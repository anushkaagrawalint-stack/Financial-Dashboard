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Consolidated" sheetId="1" r:id="rId1"/>
    <sheet name="1 - RASA Worldwide" sheetId="2" r:id="rId2"/>
    <sheet name="2 - RASA - Ballpark" sheetId="3" r:id="rId3"/>
    <sheet name="4 - RASA - MVT" sheetId="4" r:id="rId4"/>
    <sheet name="5 - RASA - National Landin" sheetId="5" r:id="rId5"/>
    <sheet name="6 - RASA - Mosaic" sheetId="6" r:id="rId6"/>
    <sheet name="7 - RASA - Rockville" sheetId="7" r:id="rId7"/>
  </sheets>
  <definedNames>
    <definedName name="_xlnm.Print_Titles" localSheetId="0">Consolidated!$1:$5</definedName>
    <definedName name="_xlnm.Print_Titles" localSheetId="1">'1 - RASA Worldwide'!$1:$5</definedName>
    <definedName name="_xlnm.Print_Titles" localSheetId="2">'2 - RASA - Ballpark'!$1:$5</definedName>
    <definedName name="_xlnm.Print_Titles" localSheetId="3">'4 - RASA - MVT'!$1:$5</definedName>
    <definedName name="_xlnm.Print_Titles" localSheetId="4">'5 - RASA - National Landin'!$1:$5</definedName>
    <definedName name="_xlnm.Print_Titles" localSheetId="5">'6 - RASA - Mosaic'!$1:$5</definedName>
    <definedName name="_xlnm.Print_Titles" localSheetId="6">'7 - RASA - Rockville'!$1:$5</definedName>
  </definedNames>
  <calcPr fullCalcOnLoad="1"/>
</workbook>
</file>

<file path=xl/sharedStrings.xml><?xml version="1.0" encoding="utf-8"?>
<sst xmlns="http://schemas.openxmlformats.org/spreadsheetml/2006/main">
  <si>
    <t>P&amp;L - Per. &amp; YTD vs Budget and PY</t>
  </si>
  <si>
    <t>02/22/2026</t>
  </si>
  <si>
    <t>Consolidated</t>
  </si>
  <si>
    <t/>
  </si>
  <si>
    <t>Actual</t>
  </si>
  <si>
    <t>Budget</t>
  </si>
  <si>
    <t>Variance</t>
  </si>
  <si>
    <t>Prior Year</t>
  </si>
  <si>
    <t>YTD Actual</t>
  </si>
  <si>
    <t>YTD Budget</t>
  </si>
  <si>
    <t>YTD Prior</t>
  </si>
  <si>
    <t>Sales</t>
  </si>
  <si>
    <t>Single Plate In-House Sales</t>
  </si>
  <si>
    <t>Food</t>
  </si>
  <si>
    <t>N/A Beverage</t>
  </si>
  <si>
    <t>Beer</t>
  </si>
  <si>
    <t>Liquor</t>
  </si>
  <si>
    <t>Wine</t>
  </si>
  <si>
    <t>Retail</t>
  </si>
  <si>
    <t>DNU_Wow Bao Sales</t>
  </si>
  <si>
    <t>Total Single Plate In-House Sales</t>
  </si>
  <si>
    <t>DNU_Digital Sales</t>
  </si>
  <si>
    <t>Takeout Sales</t>
  </si>
  <si>
    <t>Takeout Sales - RASA Website</t>
  </si>
  <si>
    <t>Takeout Sales - RASA App</t>
  </si>
  <si>
    <t>Takeout Sales - DoorDash</t>
  </si>
  <si>
    <t>Takeout Sales - GrubHub</t>
  </si>
  <si>
    <t>Takeout Sales - Uber Eats</t>
  </si>
  <si>
    <t>Takeout Sales - Ritual</t>
  </si>
  <si>
    <t>Takeout Sales - Too Good To Go</t>
  </si>
  <si>
    <t>Total Takeout Sales</t>
  </si>
  <si>
    <t>Delivery Sales</t>
  </si>
  <si>
    <t>Delivery Sales - Hungry Marketplace</t>
  </si>
  <si>
    <t>Delivery Sales - DoorDash</t>
  </si>
  <si>
    <t>Delivery Sales - Google</t>
  </si>
  <si>
    <t>Delivery Sales - GrubHub</t>
  </si>
  <si>
    <t>Delivery Sales - Uber Eats</t>
  </si>
  <si>
    <t>Delivery Sales - RASA App</t>
  </si>
  <si>
    <t>DNU_Delivery Sales - RASA Website</t>
  </si>
  <si>
    <t>Delivery Sales - RASA Website</t>
  </si>
  <si>
    <t>Total Delivery Sales</t>
  </si>
  <si>
    <t>Catering Sales</t>
  </si>
  <si>
    <t>Catering Sales - RASA Website</t>
  </si>
  <si>
    <t>DNU_RASA Owned Catering Sales</t>
  </si>
  <si>
    <t>Catering Sales - Other 3rd Party</t>
  </si>
  <si>
    <t>Catering Sales - Cater Cow</t>
  </si>
  <si>
    <t>Catering Sales - EZ Cater</t>
  </si>
  <si>
    <t>Catering Sales - Food Fleet</t>
  </si>
  <si>
    <t>Catering Sales - Hungry Marketplace</t>
  </si>
  <si>
    <t>Catering Sales - Territory Foods</t>
  </si>
  <si>
    <t>Catering Sales - WCK</t>
  </si>
  <si>
    <t>Catering Sales - Foodworks</t>
  </si>
  <si>
    <t>Catering Sales - Foodee</t>
  </si>
  <si>
    <t>Catering Sales - Sharebite</t>
  </si>
  <si>
    <t>Catering Sales - Cater 2 Me</t>
  </si>
  <si>
    <t>Catering Sales - ZeroCater</t>
  </si>
  <si>
    <t>Catering Sales - Homemade in DC</t>
  </si>
  <si>
    <t>Catering Sales - Budeli</t>
  </si>
  <si>
    <t>Catering Sales - Club Feast</t>
  </si>
  <si>
    <t>Total Catering Sales - Other 3rd Party</t>
  </si>
  <si>
    <t>Total Catering Sales</t>
  </si>
  <si>
    <t>Offsites</t>
  </si>
  <si>
    <t>Offsites - Fooda</t>
  </si>
  <si>
    <t>Offsites - Aramark</t>
  </si>
  <si>
    <t>Offsites - Compass</t>
  </si>
  <si>
    <t>Offsites - Eurest</t>
  </si>
  <si>
    <t>Offsites - Taher</t>
  </si>
  <si>
    <t>Offsites - Metz Corp</t>
  </si>
  <si>
    <t>Offsites - Guest Services</t>
  </si>
  <si>
    <t>Offsites - Cureate</t>
  </si>
  <si>
    <t>Total Offsites</t>
  </si>
  <si>
    <t>Delivery Fee Income</t>
  </si>
  <si>
    <t>Delivery Service Charge</t>
  </si>
  <si>
    <t>Delivery Fee - Online Ordering</t>
  </si>
  <si>
    <t>Delivery Fee - Cater Cow</t>
  </si>
  <si>
    <t>Delivery Fee - Delivery by DoorDash (WL)</t>
  </si>
  <si>
    <t>Delivery Fee - EZ Cater</t>
  </si>
  <si>
    <t>Delivery Fee - GrubHub</t>
  </si>
  <si>
    <t>Delivery Fee - Sharebite</t>
  </si>
  <si>
    <t>Delivery Fee - Fooda</t>
  </si>
  <si>
    <t>Delivery Fee - Uber Eats</t>
  </si>
  <si>
    <t>Delivery Fee - Cater 2 Me</t>
  </si>
  <si>
    <t>Delivery Fee - ZeroCater</t>
  </si>
  <si>
    <t>Delivery Fee - Compass</t>
  </si>
  <si>
    <t>Total Delivery Fee Income</t>
  </si>
  <si>
    <t>Sales Adjustments</t>
  </si>
  <si>
    <t>Open App Sales Adjustments</t>
  </si>
  <si>
    <t>Open Tickets</t>
  </si>
  <si>
    <t>Toast Order Processing Fees</t>
  </si>
  <si>
    <t>Discounts / Refunds</t>
  </si>
  <si>
    <t>Squad Discount</t>
  </si>
  <si>
    <t>Squad Meals</t>
  </si>
  <si>
    <t>Free Meal Cards (This Ones on Us)</t>
  </si>
  <si>
    <t>Open App Loyalty</t>
  </si>
  <si>
    <t>Magic Fund</t>
  </si>
  <si>
    <t>Manager Comps</t>
  </si>
  <si>
    <t>Open App Promos</t>
  </si>
  <si>
    <t>SLT Comps</t>
  </si>
  <si>
    <t>Open App Store Credits</t>
  </si>
  <si>
    <t>LSM Comps</t>
  </si>
  <si>
    <t>Meridian Resident Online Order</t>
  </si>
  <si>
    <t>Catering Comps</t>
  </si>
  <si>
    <t>Veg Society 10% Off</t>
  </si>
  <si>
    <t>Partnerships</t>
  </si>
  <si>
    <t>Discounts / Refunds Given Other</t>
  </si>
  <si>
    <t>Doordash Service Charge</t>
  </si>
  <si>
    <t>RASA Tab 50/100</t>
  </si>
  <si>
    <t>COVID-19</t>
  </si>
  <si>
    <t>50% Off Bowl Card</t>
  </si>
  <si>
    <t>50% off Bowl Card - NL</t>
  </si>
  <si>
    <t>HBD3</t>
  </si>
  <si>
    <t>Veg Society Online Order 10% Off</t>
  </si>
  <si>
    <t>Yale Steam Condos Online Order</t>
  </si>
  <si>
    <t>Total Discounts / Refunds</t>
  </si>
  <si>
    <t>Other Income_WCK</t>
  </si>
  <si>
    <t>Other Income_OTP</t>
  </si>
  <si>
    <t>Other Income_To Good To Go</t>
  </si>
  <si>
    <t>Total Sales</t>
  </si>
  <si>
    <t>Toast Order Processing Fee Pass-Through</t>
  </si>
  <si>
    <t>Cost of Goods Sold</t>
  </si>
  <si>
    <t>Food &amp; Beverage Costs</t>
  </si>
  <si>
    <t>Food Costs</t>
  </si>
  <si>
    <t>COGS - Produce</t>
  </si>
  <si>
    <t>COGS - Grocery Dry &amp; Canned</t>
  </si>
  <si>
    <t>COGS - Poultry</t>
  </si>
  <si>
    <t>COGS - Dairy</t>
  </si>
  <si>
    <t>COGS - Frozen</t>
  </si>
  <si>
    <t>COGS - Meat</t>
  </si>
  <si>
    <t>COGS - Seafood</t>
  </si>
  <si>
    <t>COGS - Spices</t>
  </si>
  <si>
    <t>COGS - Prepped Food</t>
  </si>
  <si>
    <t>COGS - Wow Bao</t>
  </si>
  <si>
    <t>COGS - Distribution</t>
  </si>
  <si>
    <t>Total Food Costs</t>
  </si>
  <si>
    <t>Beverage Costs</t>
  </si>
  <si>
    <t>COGS - N/A Beverage</t>
  </si>
  <si>
    <t>COGS - Beer</t>
  </si>
  <si>
    <t>COGS - Liquor</t>
  </si>
  <si>
    <t>COGS - Wine</t>
  </si>
  <si>
    <t>Total Beverage Costs</t>
  </si>
  <si>
    <t>Total Food &amp; Beverage Costs</t>
  </si>
  <si>
    <t>Other Costs</t>
  </si>
  <si>
    <t>Paper Costs</t>
  </si>
  <si>
    <t>COGS - Paper Supplies</t>
  </si>
  <si>
    <t>COGS - Catering Supplies</t>
  </si>
  <si>
    <t>COGS - Event Supplies</t>
  </si>
  <si>
    <t>COGS - Wow Bao Supplies</t>
  </si>
  <si>
    <t>Total Paper Costs</t>
  </si>
  <si>
    <t>Waste Costs</t>
  </si>
  <si>
    <t>Waste - Food</t>
  </si>
  <si>
    <t>Waste - N/A Beverage</t>
  </si>
  <si>
    <t>Waste - Beer</t>
  </si>
  <si>
    <t>Waste - Liquor</t>
  </si>
  <si>
    <t>Waste - Wine</t>
  </si>
  <si>
    <t>Total Waste Costs</t>
  </si>
  <si>
    <t>COGS - Freight, Delivery, &amp; Sales Tax</t>
  </si>
  <si>
    <t>COGS - Fuel Surcharge</t>
  </si>
  <si>
    <t>COGS - Credit for Discounts</t>
  </si>
  <si>
    <t>Total Other Costs</t>
  </si>
  <si>
    <t>Total Cost of Goods Sold</t>
  </si>
  <si>
    <t>Gross Profit</t>
  </si>
  <si>
    <t>Payroll Expenses</t>
  </si>
  <si>
    <t>Salaries &amp; Wages</t>
  </si>
  <si>
    <t>Management</t>
  </si>
  <si>
    <t>Culinary</t>
  </si>
  <si>
    <t>Hourly</t>
  </si>
  <si>
    <t>Overtime</t>
  </si>
  <si>
    <t>Total Salaries &amp; Wages</t>
  </si>
  <si>
    <t>Salaries &amp; Wages Adjustment</t>
  </si>
  <si>
    <t>Bonus</t>
  </si>
  <si>
    <t>Payroll Taxes</t>
  </si>
  <si>
    <t>FICA Tax Expense</t>
  </si>
  <si>
    <t>FUTA Tax Expense</t>
  </si>
  <si>
    <t>SUTA Tax Expense (VA)</t>
  </si>
  <si>
    <t>SUTA Tax Expense (DC)</t>
  </si>
  <si>
    <t>FL Tax Expense (DC)</t>
  </si>
  <si>
    <t>Other Payroll Taxes</t>
  </si>
  <si>
    <t>Total Payroll Taxes</t>
  </si>
  <si>
    <t>Payroll Processing Fee</t>
  </si>
  <si>
    <t>Health Insurance</t>
  </si>
  <si>
    <t>Total Payroll Expenses</t>
  </si>
  <si>
    <t>Prime Profit</t>
  </si>
  <si>
    <t>Operating Expense</t>
  </si>
  <si>
    <t>Supplies</t>
  </si>
  <si>
    <t>Cleaning &amp; Maintenance Supplies</t>
  </si>
  <si>
    <t>Kitchen Supplies</t>
  </si>
  <si>
    <t>FOH Supplies</t>
  </si>
  <si>
    <t>Towel &amp; Doormat Service</t>
  </si>
  <si>
    <t>Kitchen Smallwares</t>
  </si>
  <si>
    <t>Uniforms</t>
  </si>
  <si>
    <t>Office Supplies</t>
  </si>
  <si>
    <t>Total Supplies</t>
  </si>
  <si>
    <t>Marketing</t>
  </si>
  <si>
    <t>Third-Party Promos</t>
  </si>
  <si>
    <t>DoorDash Promos</t>
  </si>
  <si>
    <t>EZ Cater Promos</t>
  </si>
  <si>
    <t>GrubHub Promos</t>
  </si>
  <si>
    <t>Uber Eats Promos</t>
  </si>
  <si>
    <t>Total Third-Party Promos</t>
  </si>
  <si>
    <t>Free Meal Cards - This Ones On Us</t>
  </si>
  <si>
    <t>To Go Bags</t>
  </si>
  <si>
    <t>Social Media Management</t>
  </si>
  <si>
    <t>Other Marketing Expenses</t>
  </si>
  <si>
    <t>Squad Discounts</t>
  </si>
  <si>
    <t>Squad Meal</t>
  </si>
  <si>
    <t>Toast Takeout Reward</t>
  </si>
  <si>
    <t>Rewards Network</t>
  </si>
  <si>
    <t>Total Marketing</t>
  </si>
  <si>
    <t>Delivery Fees</t>
  </si>
  <si>
    <t>Delivery Driver Expenses</t>
  </si>
  <si>
    <t>DoorDash White Label Fees</t>
  </si>
  <si>
    <t>DeliverThat Fees</t>
  </si>
  <si>
    <t>First Delivery Fees</t>
  </si>
  <si>
    <t>Nash Fees</t>
  </si>
  <si>
    <t>Open App Fees</t>
  </si>
  <si>
    <t>Total Delivery Fees</t>
  </si>
  <si>
    <t>Third-Party Fees</t>
  </si>
  <si>
    <t>Delivery Partner Commissions</t>
  </si>
  <si>
    <t>Cater Cow Commissions</t>
  </si>
  <si>
    <t>DoorDash Commissions</t>
  </si>
  <si>
    <t>EZ Cater Commissions</t>
  </si>
  <si>
    <t>Fooda Commissions</t>
  </si>
  <si>
    <t>Google Commissions</t>
  </si>
  <si>
    <t>GrubHub Commissions</t>
  </si>
  <si>
    <t>Ritual Commissions</t>
  </si>
  <si>
    <t>Too Good To Go Commissions</t>
  </si>
  <si>
    <t>Uber Eats Commissions</t>
  </si>
  <si>
    <t>Foodee Commissions</t>
  </si>
  <si>
    <t>ShareBite Commissions</t>
  </si>
  <si>
    <t>Cater 2 Me Commissions</t>
  </si>
  <si>
    <t>ZeroCater Commissions</t>
  </si>
  <si>
    <t>Aramark Commissions</t>
  </si>
  <si>
    <t>Budeli Commissions</t>
  </si>
  <si>
    <t>Club Feast Commissions</t>
  </si>
  <si>
    <t>Food Fleet Commissions</t>
  </si>
  <si>
    <t>Eurest Commissions</t>
  </si>
  <si>
    <t>Taher Commissions</t>
  </si>
  <si>
    <t>Metz Corp Commissions</t>
  </si>
  <si>
    <t>Guest Services Commissions</t>
  </si>
  <si>
    <t>Foodworks Commissions</t>
  </si>
  <si>
    <t>Total Delivery Partner Commissions</t>
  </si>
  <si>
    <t>Total Third-Party Fees</t>
  </si>
  <si>
    <t>Credit Card Fees</t>
  </si>
  <si>
    <t>Chargebacks</t>
  </si>
  <si>
    <t>Total Credit Card Fees</t>
  </si>
  <si>
    <t>Insurance</t>
  </si>
  <si>
    <t>Workers Compensation Insurance</t>
  </si>
  <si>
    <t>Business Owners Policy</t>
  </si>
  <si>
    <t>Auto Insurance</t>
  </si>
  <si>
    <t>Total Insurance</t>
  </si>
  <si>
    <t>Professional Fees</t>
  </si>
  <si>
    <t>Public Relations</t>
  </si>
  <si>
    <t>Legal Fees</t>
  </si>
  <si>
    <t>Accounting Fees</t>
  </si>
  <si>
    <t>Subcontractors Fees</t>
  </si>
  <si>
    <t>Architect Fees</t>
  </si>
  <si>
    <t>Consultant Fees</t>
  </si>
  <si>
    <t>Photography Fees</t>
  </si>
  <si>
    <t>Organizational cost</t>
  </si>
  <si>
    <t>Total Professional Fees</t>
  </si>
  <si>
    <t>Repairs &amp; Maintenance</t>
  </si>
  <si>
    <t>Scrubber Expense</t>
  </si>
  <si>
    <t>R&amp;M - Hood Cleaning</t>
  </si>
  <si>
    <t>R&amp;M - Pest Control</t>
  </si>
  <si>
    <t>R&amp;M - Building, General</t>
  </si>
  <si>
    <t>R&amp;M - Equipment, General</t>
  </si>
  <si>
    <t>R&amp;M - Refrigeration</t>
  </si>
  <si>
    <t>R&amp;M - HVAC</t>
  </si>
  <si>
    <t>R&amp;M - Preventative Maintenance</t>
  </si>
  <si>
    <t>Total Repairs &amp; Maintenance</t>
  </si>
  <si>
    <t>Other Expenses</t>
  </si>
  <si>
    <t>Recruitment Expense</t>
  </si>
  <si>
    <t>Equipment Rental</t>
  </si>
  <si>
    <t>Meals &amp; Entertainment</t>
  </si>
  <si>
    <t>Travel:Travel Meals</t>
  </si>
  <si>
    <t>Tools</t>
  </si>
  <si>
    <t>Patio Permit Expense</t>
  </si>
  <si>
    <t>Donations</t>
  </si>
  <si>
    <t>Bank Fees</t>
  </si>
  <si>
    <t>Storage Rental</t>
  </si>
  <si>
    <t>Dues &amp; Subscriptions</t>
  </si>
  <si>
    <t>Charitable Contributions</t>
  </si>
  <si>
    <t>Training Costs</t>
  </si>
  <si>
    <t>Employee Incentives (M&amp;E)</t>
  </si>
  <si>
    <t>Menu Printing</t>
  </si>
  <si>
    <t>Ground Transportation (Auto Expense)</t>
  </si>
  <si>
    <t>Parking Fees</t>
  </si>
  <si>
    <t>Transportation</t>
  </si>
  <si>
    <t>Tangible Property Tax</t>
  </si>
  <si>
    <t>GC Guest Recovery</t>
  </si>
  <si>
    <t>Shipping &amp; Delivery Expense</t>
  </si>
  <si>
    <t>Equipment Lease</t>
  </si>
  <si>
    <t>Phone/Internet</t>
  </si>
  <si>
    <t>POS &amp; Technology</t>
  </si>
  <si>
    <t>Cost for Discounts</t>
  </si>
  <si>
    <t>Licenses &amp; Permits</t>
  </si>
  <si>
    <t>Cash Over/Short</t>
  </si>
  <si>
    <t>Total Other Expenses</t>
  </si>
  <si>
    <t>Total Operating Expense</t>
  </si>
  <si>
    <t>Non Controllable Expense</t>
  </si>
  <si>
    <t>Occupancy Cost</t>
  </si>
  <si>
    <t>Rent Expense</t>
  </si>
  <si>
    <t>Common Area Maintenance (CAM)</t>
  </si>
  <si>
    <t>Public Space Rental</t>
  </si>
  <si>
    <t>Insurance - Building</t>
  </si>
  <si>
    <t>Real Estate Tax</t>
  </si>
  <si>
    <t>Rent - 4/4/5</t>
  </si>
  <si>
    <t>Percentage Rent Expense</t>
  </si>
  <si>
    <t>Utilities</t>
  </si>
  <si>
    <t>Electric</t>
  </si>
  <si>
    <t>Gas</t>
  </si>
  <si>
    <t>Water/Sewer</t>
  </si>
  <si>
    <t>Trash</t>
  </si>
  <si>
    <t>Total Utilities</t>
  </si>
  <si>
    <t>Total Occupancy Cost</t>
  </si>
  <si>
    <t>Total Non Controllable Expense</t>
  </si>
  <si>
    <t>Store Level Profit</t>
  </si>
  <si>
    <t>Corporate Overhead &amp; Other</t>
  </si>
  <si>
    <t>Corporate G&amp;A Expenses</t>
  </si>
  <si>
    <t>Corp - Payroll Expenses</t>
  </si>
  <si>
    <t>Corp - Salaries &amp; Wages</t>
  </si>
  <si>
    <t>Corp - Officers' Compensation</t>
  </si>
  <si>
    <t>Corp - MIT Wages</t>
  </si>
  <si>
    <t>Corp - Commission Wages</t>
  </si>
  <si>
    <t>Corp - Payroll Taxes</t>
  </si>
  <si>
    <t>Corp - Payroll Processing Fee</t>
  </si>
  <si>
    <t>Corp - Bonus</t>
  </si>
  <si>
    <t>Corp - Health Insurance</t>
  </si>
  <si>
    <t>Total Corp - Payroll Expenses</t>
  </si>
  <si>
    <t>Corp - Meals, Entertainment, &amp; Travel</t>
  </si>
  <si>
    <t>Corp - Fuel &amp; Gas</t>
  </si>
  <si>
    <t>Corp - Parking Fees</t>
  </si>
  <si>
    <t>Corp - Ground Transportation</t>
  </si>
  <si>
    <t>Corp - M&amp;E</t>
  </si>
  <si>
    <t>Corp - Lodging</t>
  </si>
  <si>
    <t>Corp - Airfare</t>
  </si>
  <si>
    <t>Corp - Travel (New Market)</t>
  </si>
  <si>
    <t>Total Corp - Meals, Entertainment, &amp; Travel</t>
  </si>
  <si>
    <t>Corp - Other G&amp;A Expenses</t>
  </si>
  <si>
    <t>Corp - Dues &amp; Subscriptions</t>
  </si>
  <si>
    <t>Corp - Office Supplies</t>
  </si>
  <si>
    <t>Corp - Other Taxes</t>
  </si>
  <si>
    <t>Corp - Rent Expense</t>
  </si>
  <si>
    <t>Corp - Insurance Expense</t>
  </si>
  <si>
    <t>Corp - Charitable Contributions</t>
  </si>
  <si>
    <t>Corp - Other Employee Incentives</t>
  </si>
  <si>
    <t>Corp - Professional Fees</t>
  </si>
  <si>
    <t>Corp - IT &amp; Technology</t>
  </si>
  <si>
    <t>Corp - R&amp;D</t>
  </si>
  <si>
    <t>Corp - Accounting Fees</t>
  </si>
  <si>
    <t>Corp - Legal Fees</t>
  </si>
  <si>
    <t>Corp - Recruiting Fees</t>
  </si>
  <si>
    <t>Corp - Public Relations</t>
  </si>
  <si>
    <t>Corp - Marketing</t>
  </si>
  <si>
    <t>Corp - Marketing Food Drops</t>
  </si>
  <si>
    <t>Corp - 3rd Party Marketing Fees</t>
  </si>
  <si>
    <t>Corp - DoorDash Marketing Fees</t>
  </si>
  <si>
    <t>Corp - EZ Cater Marketing Fees</t>
  </si>
  <si>
    <t>Corp - GrubHub Marketing Fees</t>
  </si>
  <si>
    <t>Corp - Uber Eats Marketing Fees</t>
  </si>
  <si>
    <t>Total Corp - 3rd Party Marketing Fees</t>
  </si>
  <si>
    <t>Corp - Paid Media</t>
  </si>
  <si>
    <t>Corp - SMS Marketing</t>
  </si>
  <si>
    <t>Total Corp - Marketing</t>
  </si>
  <si>
    <t>Corp - Other Professional Fees</t>
  </si>
  <si>
    <t>Corp - Bank Fees</t>
  </si>
  <si>
    <t>Corp - Licenses &amp; Permits</t>
  </si>
  <si>
    <t>Corp - Management Fee</t>
  </si>
  <si>
    <t>Corp - Investor Advisory Fees</t>
  </si>
  <si>
    <t>Corp - Realty Tax</t>
  </si>
  <si>
    <t>Total Corporate Overhead &amp; Other</t>
  </si>
  <si>
    <t>EBITDA</t>
  </si>
  <si>
    <t>Other Income &amp; Expense</t>
  </si>
  <si>
    <t>Other (Income)/Expense</t>
  </si>
  <si>
    <t>Prior Period Adjustments</t>
  </si>
  <si>
    <t>Penalties &amp; Settlements</t>
  </si>
  <si>
    <t>Depreciation</t>
  </si>
  <si>
    <t>Amortization</t>
  </si>
  <si>
    <t>Other Income_Feed the District</t>
  </si>
  <si>
    <t>Other Income_Feed the fridge</t>
  </si>
  <si>
    <t>Taxable Grant Income</t>
  </si>
  <si>
    <t>Tax Exempt Grant Income</t>
  </si>
  <si>
    <t>Sales Tax Commission Income</t>
  </si>
  <si>
    <t>Sales Tax Adjustments</t>
  </si>
  <si>
    <t>Ramp CC Cashback Rewards</t>
  </si>
  <si>
    <t>Legal Fees - Capital Raise</t>
  </si>
  <si>
    <t>Other Income</t>
  </si>
  <si>
    <t>MVT Bucks Income</t>
  </si>
  <si>
    <t>Unrealized (Gain)/Loss On Investments</t>
  </si>
  <si>
    <t>Dividend Income</t>
  </si>
  <si>
    <t>Store Closing Expense</t>
  </si>
  <si>
    <t>Taxes</t>
  </si>
  <si>
    <t>(Gain)/Loss On Sale/Disposal Of Assets</t>
  </si>
  <si>
    <t>Interest Income</t>
  </si>
  <si>
    <t>Discounts received</t>
  </si>
  <si>
    <t>Total Other (Income)/Expense</t>
  </si>
  <si>
    <t>Total Other Income &amp; Expense</t>
  </si>
  <si>
    <t>Pre-Opening Costs</t>
  </si>
  <si>
    <t>Pre-Opening Expenses</t>
  </si>
  <si>
    <t>Pre-Opening Expenses - Supplies</t>
  </si>
  <si>
    <t>Pre-Opening Expenses - Other</t>
  </si>
  <si>
    <t>Pre-Opening Expenses - Payroll</t>
  </si>
  <si>
    <t>Pre-Opening Expenses - COGS</t>
  </si>
  <si>
    <t>Pre-Opening Expenses - Travel &amp; Meals</t>
  </si>
  <si>
    <t>Pre-Opening Expenses - Legal, Permits, &amp; Design Fees</t>
  </si>
  <si>
    <t>Pre-Opening Expenses - Rent &amp; Utilities</t>
  </si>
  <si>
    <t>Pre-Opening Expenses - Leases &amp; Subscriptions</t>
  </si>
  <si>
    <t>Total Pre-Opening Expenses</t>
  </si>
  <si>
    <t>Total Pre-Opening Costs</t>
  </si>
  <si>
    <t>Net Income</t>
  </si>
  <si>
    <t>Powered by Restaurant365</t>
  </si>
  <si>
    <t>1</t>
  </si>
  <si>
    <t>07/23/2026 08:29 AM PDT</t>
  </si>
  <si>
    <t>1 - RASA Worldwide</t>
  </si>
  <si>
    <t>2 - RASA - Ballpark</t>
  </si>
  <si>
    <t>4 - RASA - MVT</t>
  </si>
  <si>
    <t>5 - RASA - National Landing</t>
  </si>
  <si>
    <t>6 - RASA - Mosaic</t>
  </si>
  <si>
    <t>7 - RASA - Rockville</t>
  </si>
</sst>
</file>

<file path=xl/styles.xml><?xml version="1.0" encoding="utf-8"?>
<styleSheet xmlns="http://schemas.openxmlformats.org/spreadsheetml/2006/main">
  <numFmts count="3">
    <numFmt numFmtId="164" formatCode="#,##0.0%"/>
    <numFmt numFmtId="165" formatCode="#,##0.0%;(#,##0.0%)"/>
    <numFmt numFmtId="166" formatCode="#,##0.0;(#,##0.0)"/>
  </numFmts>
  <fonts count="11">
    <font>
      <sz val="11"/>
      <color theme="1"/>
      <name val="Calibri"/>
      <family val="2"/>
      <scheme val="minor"/>
    </font>
    <font>
      <b/>
      <sz val="26"/>
      <color rgb="FF000000"/>
      <name val="Calibri"/>
      <scheme val="minor"/>
    </font>
    <font>
      <sz val="18"/>
      <color rgb="FF000000"/>
      <name val="Calibri"/>
      <scheme val="minor"/>
    </font>
    <font>
      <sz val="12"/>
      <color rgb="FF000000"/>
      <name val="Calibri"/>
      <scheme val="minor"/>
    </font>
    <font>
      <sz val="12"/>
      <name val="Calibri"/>
      <scheme val="minor"/>
    </font>
    <font>
      <b/>
      <sz val="12"/>
      <color rgb="FF696969"/>
      <name val="Calibri"/>
      <scheme val="minor"/>
    </font>
    <font>
      <b/>
      <sz val="12"/>
      <name val="Calibri"/>
      <scheme val="minor"/>
    </font>
    <font>
      <b/>
      <i/>
      <sz val="8"/>
      <name val="Calibri"/>
      <scheme val="minor"/>
    </font>
    <font>
      <i/>
      <sz val="8"/>
      <name val="Calibri"/>
      <scheme val="minor"/>
    </font>
    <font>
      <b/>
      <sz val="12"/>
      <color rgb="FF000000"/>
      <name val="Calibri"/>
      <scheme val="minor"/>
    </font>
    <font>
      <b/>
      <i/>
      <sz val="8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9D7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vertical="center" wrapText="1"/>
    </xf>
    <xf numFmtId="4" fontId="5" fillId="2" borderId="0" xfId="0" applyNumberFormat="1" applyFont="1" applyFill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0" fontId="6" fillId="0" borderId="0" xfId="0" applyNumberFormat="1" applyFont="1" applyAlignment="1">
      <alignment horizontal="left" vertical="center" wrapText="1"/>
    </xf>
    <xf numFmtId="39" fontId="6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0" fontId="6" fillId="0" borderId="0" xfId="0" applyNumberFormat="1" applyFont="1" applyAlignment="1">
      <alignment vertical="center"/>
    </xf>
    <xf numFmtId="0" fontId="6" fillId="0" borderId="0" xfId="0" applyNumberFormat="1" applyFont="1" applyAlignment="1">
      <alignment horizontal="left" vertical="center" wrapText="1" indent="1"/>
    </xf>
    <xf numFmtId="0" fontId="4" fillId="0" borderId="0" xfId="0" applyNumberFormat="1" applyFont="1" applyAlignment="1">
      <alignment horizontal="left" vertical="center" wrapText="1" indent="2"/>
    </xf>
    <xf numFmtId="39" fontId="4" fillId="0" borderId="0" xfId="0" applyNumberFormat="1" applyFont="1" applyAlignment="1">
      <alignment vertical="center"/>
    </xf>
    <xf numFmtId="165" fontId="8" fillId="0" borderId="0" xfId="0" applyNumberFormat="1" applyFont="1" applyAlignment="1">
      <alignment horizontal="right" vertical="center"/>
    </xf>
    <xf numFmtId="0" fontId="4" fillId="0" borderId="0" xfId="0" applyNumberFormat="1" applyFont="1" applyAlignment="1">
      <alignment vertical="center"/>
    </xf>
    <xf numFmtId="39" fontId="4" fillId="0" borderId="0" xfId="0" applyNumberFormat="1" applyFont="1" applyAlignment="1">
      <alignment horizontal="right" vertical="center"/>
    </xf>
    <xf numFmtId="0" fontId="6" fillId="0" borderId="0" xfId="0" applyNumberFormat="1" applyFont="1" applyAlignment="1">
      <alignment horizontal="left" vertical="center" wrapText="1" indent="2"/>
    </xf>
    <xf numFmtId="0" fontId="4" fillId="0" borderId="0" xfId="0" applyNumberFormat="1" applyFont="1" applyAlignment="1">
      <alignment horizontal="left" vertical="center" wrapText="1" indent="3"/>
    </xf>
    <xf numFmtId="39" fontId="6" fillId="0" borderId="0" xfId="0" applyNumberFormat="1" applyFont="1" applyAlignment="1">
      <alignment horizontal="left" vertical="center" wrapText="1" indent="2"/>
    </xf>
    <xf numFmtId="39" fontId="6" fillId="0" borderId="0" xfId="0" applyNumberFormat="1" applyFont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0" fontId="6" fillId="0" borderId="0" xfId="0" applyNumberFormat="1" applyFont="1" applyAlignment="1">
      <alignment horizontal="left" vertical="center" wrapText="1" indent="3"/>
    </xf>
    <xf numFmtId="0" fontId="4" fillId="0" borderId="0" xfId="0" applyNumberFormat="1" applyFont="1" applyAlignment="1">
      <alignment horizontal="left" vertical="center" wrapText="1" indent="4"/>
    </xf>
    <xf numFmtId="39" fontId="6" fillId="0" borderId="0" xfId="0" applyNumberFormat="1" applyFont="1" applyAlignment="1">
      <alignment horizontal="left" vertical="center" wrapText="1" indent="3"/>
    </xf>
    <xf numFmtId="39" fontId="6" fillId="0" borderId="0" xfId="0" applyNumberFormat="1" applyFont="1" applyAlignment="1">
      <alignment horizontal="left" vertical="center" wrapText="1" indent="1"/>
    </xf>
    <xf numFmtId="0" fontId="4" fillId="0" borderId="0" xfId="0" applyNumberFormat="1" applyFont="1" applyAlignment="1">
      <alignment horizontal="left" vertical="center" wrapText="1" indent="1"/>
    </xf>
    <xf numFmtId="39" fontId="6" fillId="0" borderId="0" xfId="0" applyNumberFormat="1" applyFont="1" applyAlignment="1">
      <alignment horizontal="left" vertical="center" wrapText="1"/>
    </xf>
    <xf numFmtId="39" fontId="9" fillId="0" borderId="0" xfId="0" applyNumberFormat="1" applyFont="1" applyAlignment="1">
      <alignment horizontal="left" vertical="center" wrapText="1"/>
    </xf>
    <xf numFmtId="39" fontId="9" fillId="0" borderId="0" xfId="0" applyNumberFormat="1" applyFont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39" fontId="9" fillId="0" borderId="0" xfId="0" applyNumberFormat="1" applyFont="1" applyAlignment="1">
      <alignment vertical="center"/>
    </xf>
    <xf numFmtId="0" fontId="4" fillId="0" borderId="0" xfId="0" applyNumberFormat="1" applyFont="1" applyAlignment="1">
      <alignment horizontal="left" vertical="center" wrapText="1"/>
    </xf>
    <xf numFmtId="166" fontId="8" fillId="0" borderId="0" xfId="0" applyNumberFormat="1" applyFont="1" applyAlignment="1">
      <alignment vertical="center"/>
    </xf>
    <xf numFmtId="0" fontId="4" fillId="0" borderId="0" xfId="0" applyNumberFormat="1" applyFo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2</v>
      </c>
      <c t="s" r="B3" s="3">
        <v>2</v>
      </c>
      <c t="s" r="C3" s="3">
        <v>2</v>
      </c>
      <c t="s" r="D3" s="3">
        <v>2</v>
      </c>
      <c t="s" r="E3" s="3">
        <v>2</v>
      </c>
      <c t="s" r="F3" s="3">
        <v>2</v>
      </c>
      <c t="s" r="G3" s="3">
        <v>2</v>
      </c>
      <c t="s" r="H3" s="3">
        <v>2</v>
      </c>
      <c t="s" r="I3" s="3">
        <v>2</v>
      </c>
      <c t="s" r="J3" s="3">
        <v>2</v>
      </c>
      <c t="s" r="K3" s="3">
        <v>2</v>
      </c>
      <c t="s" r="L3" s="3">
        <v>2</v>
      </c>
      <c t="s" r="M3" s="3">
        <v>2</v>
      </c>
      <c t="s" r="N3" s="3">
        <v>2</v>
      </c>
      <c t="s" r="O3" s="3">
        <v>2</v>
      </c>
      <c t="s" r="P3" s="3">
        <v>2</v>
      </c>
      <c t="s" r="Q3" s="3">
        <v>2</v>
      </c>
      <c t="s" r="R3" s="3">
        <v>2</v>
      </c>
      <c t="s" r="S3" s="3">
        <v>2</v>
      </c>
      <c t="s" r="T3" s="3">
        <v>2</v>
      </c>
      <c t="s" r="U3" s="3">
        <v>2</v>
      </c>
      <c t="s" r="V3" s="3">
        <v>2</v>
      </c>
      <c t="s" r="W3" s="3">
        <v>2</v>
      </c>
      <c t="s" r="X3" s="3">
        <v>2</v>
      </c>
      <c t="s" r="Y3" s="3">
        <v>2</v>
      </c>
      <c t="s" r="Z3" s="3">
        <v>2</v>
      </c>
      <c t="s" r="AA3" s="3">
        <v>2</v>
      </c>
      <c t="s" r="AB3" s="3">
        <v>2</v>
      </c>
      <c t="s" r="AC3" s="3">
        <v>2</v>
      </c>
      <c t="s" r="AD3" s="3">
        <v>2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209385.56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396525.13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148902.20999999999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175033.70999999999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323539.58000000002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333026.73999999999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14172.300000000001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16686.049999999999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31206.450000000001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31989.599999999999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388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594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858.5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1024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85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1240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175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2290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216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229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388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376.5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t="16.5" customHeight="1">
      <c t="s" r="A16" s="18">
        <v>18</v>
      </c>
      <c r="B16" s="13">
        <v>1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0.59999999999999998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2.3700000000000001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1.7000000000000002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46994.809999999998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88977.779999999999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276.5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32494.749999999996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16536.610000000001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60434.849999999999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23617.860000000001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36720.059999999998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3796.2200000000003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6521.4500000000007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8017.8999999999996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10317.030000000001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583.24000000000001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1194.3500000000001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6425.9200000000001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3001.1199999999999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10134.42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5056.5799999999999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3647.9099999999999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3821.6199999999999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7763.04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7972.6900000000005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102760.64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194047.69000000003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57642.380000000005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53245.619999999995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110111.48999999999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99259.660000000003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3165.3000000000002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6559.6599999999999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6949.3299999999999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10817.380000000001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57553.189999999988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73062.100000000006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101239.17000000001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126549.81999999999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3091.4300000000003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5718.8700000000008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22.600000000000001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4705.5299999999997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1679.9900000000002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8806.880000000001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120094.34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227463.84000000003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21229.260000000002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28426.619999999995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32408.000000000004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46013.669999999998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t="16.5" customHeight="1">
      <c t="s" r="A47" s="23">
        <v>45</v>
      </c>
      <c r="B47" s="13">
        <v>647.17999999999995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2356.4499999999998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647.17999999999995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2873.1500000000001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79267.589999999997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68955.509999999995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135908.66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151031.76000000001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idden="1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0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0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t="16.5" customHeight="1">
      <c t="s" r="A50" s="23">
        <v>48</v>
      </c>
      <c r="B50" s="13">
        <v>5332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1139.03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5879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1276.1700000000001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t="16.5" customHeight="1">
      <c t="s" r="A51" s="23">
        <v>49</v>
      </c>
      <c r="B51" s="13">
        <v>2340.0799999999999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3236.4499999999998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4498.5900000000001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6779.4399999999996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t="16.5" customHeight="1">
      <c t="s" r="A52" s="23">
        <v>50</v>
      </c>
      <c r="B52" s="13">
        <v>7000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7000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idden="1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idden="1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0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t="16.5" customHeight="1">
      <c t="s" r="A55" s="23">
        <v>53</v>
      </c>
      <c r="B55" s="13">
        <v>2609.4000000000001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525.56000000000006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5161.1000000000004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525.56000000000006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idden="1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0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t="16.5" customHeight="1">
      <c t="s" r="A57" s="23">
        <v>55</v>
      </c>
      <c r="B57" s="13">
        <v>1658.0899999999999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3735.79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0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idden="1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t="16.5" customHeight="1">
      <c t="s" r="A60" s="23">
        <v>58</v>
      </c>
      <c r="B60" s="13">
        <v>661.07000000000005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661.07000000000005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40027.729999999996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75479.919999999998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17237.200000000001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1349.51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31754.840000000004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3459.71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t="16.5" customHeight="1">
      <c t="s" r="A66" s="18">
        <v>63</v>
      </c>
      <c r="B66" s="13">
        <v>16253.490000000002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11235.280000000001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29401.829999999998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24724.940000000002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9882.75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t="16.5" customHeight="1">
      <c t="s" r="A68" s="18">
        <v>65</v>
      </c>
      <c r="B68" s="13">
        <v>1784.8500000000001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0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2490.2599999999998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0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t="16.5" customHeight="1">
      <c t="s" r="A69" s="18">
        <v>66</v>
      </c>
      <c r="B69" s="13">
        <v>4560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7927.1499999999996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t="16.5" customHeight="1">
      <c t="s" r="A70" s="18">
        <v>67</v>
      </c>
      <c r="B70" s="13">
        <v>3329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8781.5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t="16.5" customHeight="1">
      <c t="s" r="A71" s="18">
        <v>68</v>
      </c>
      <c r="B71" s="13">
        <v>2166.1300000000001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2166.1300000000001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t="16.5" customHeight="1">
      <c t="s" r="A72" s="18">
        <v>69</v>
      </c>
      <c r="B72" s="13">
        <v>1353.8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1353.8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8932.5200000000004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16976.630000000001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1738.3599999999999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1678.2999999999997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2859.0800000000004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3148.9500000000003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t="16.5" customHeight="1">
      <c t="s" r="A78" s="18">
        <v>74</v>
      </c>
      <c r="B78" s="13">
        <v>50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100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50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125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7925.4999999999991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7354.4899999999998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13220.970000000001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15341.870000000001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25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25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t="16.5" customHeight="1">
      <c t="s" r="A83" s="18">
        <v>79</v>
      </c>
      <c r="B83" s="13">
        <v>113.06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234.52000000000001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t="16.5" customHeight="1">
      <c t="s" r="A86" s="18">
        <v>82</v>
      </c>
      <c r="B86" s="13">
        <v>25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50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988.27999999999997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t="16.5" customHeight="1">
      <c t="s" r="A89" s="12">
        <v>85</v>
      </c>
      <c r="B89" s="13">
        <v>-5.1499999999999986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-113.32000000000001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-18.099999999999998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-132.58000000000001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-1199.72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-1873.7100000000003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-25382.32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-47949.510000000002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-5921.3299999999999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-7748.3999999999996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-11546.369999999999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-14722.419999999998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-5016.1800000000003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-7372.0100000000002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-14859.950000000001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-15544.219999999999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t="16.5" customHeight="1">
      <c t="s" r="A100" s="18">
        <v>95</v>
      </c>
      <c r="B100" s="13">
        <v>-1465.1999999999998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-2578.5900000000001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-1594.95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-4105.6999999999998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t="16.5" customHeight="1">
      <c t="s" r="A101" s="18">
        <v>96</v>
      </c>
      <c r="B101" s="13">
        <v>-295.86000000000001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-295.86000000000001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-4262.4200000000001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-5232.46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-8309.0100000000002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-9753.6899999999987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t="16.5" customHeight="1">
      <c t="s" r="A103" s="18">
        <v>98</v>
      </c>
      <c r="B103" s="13">
        <v>-77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-223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-497.13000000000005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-2297.8500000000004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-2449.4300000000003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-4985.25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t="16.5" customHeight="1">
      <c t="s" r="A106" s="18">
        <v>101</v>
      </c>
      <c r="B106" s="13">
        <v>-216.84999999999999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-93.159999999999997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-290.84000000000003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-1178.77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105720.28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204870.07999999999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22549.57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28462.059999999998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44239.959999999999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52696.769999999997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12955.360000000001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14958.09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26008.959999999995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28391.869999999999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16302.369999999999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18076.849999999999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29195.209999999999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34558.5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10386.419999999998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10840.009999999998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20563.650000000001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20884.07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5324.6999999999998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4014.4200000000001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10431.780000000001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7539.4500000000007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3917.5299999999997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4306.6199999999999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7758.1499999999996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8248.1899999999987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3696.23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6918.5599999999995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2336.2200000000003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2350.6700000000001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4701.1899999999996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4795.8800000000001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33921.020000000004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24756.540000000001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66006.860000000001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47893.029999999999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1.98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22.059999999999999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5382.7700000000004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10167.990000000002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5345.75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5574.8099999999995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10649.41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10887.73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83.139999999999986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-766.83999999999992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271.98000000000002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-622.03999999999996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65.070000000000007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170.61000000000001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161.94999999999999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1107.6500000000001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25.23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56.789999999999999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72.659999999999997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127.50999999999999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20615.460000000003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39022.580000000002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13668.199999999999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15813.33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27642.080000000002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28449.010000000002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7336.1099999999997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5168.6700000000001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12642.709999999999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10392.860000000001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t="16.5" customHeight="1">
      <c t="s" r="A156" s="18">
        <v>145</v>
      </c>
      <c r="B156" s="13">
        <v>28.190000000000001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102.39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1300.29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1624.9599999999998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2425.21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2761.5700000000002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3.5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idden="1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0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734.90999999999997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616.54999999999995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1459.6399999999999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1289.9400000000001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139.24000000000001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197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290.79000000000002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391.60000000000002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-4125.4700000000003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-10715.890000000001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-9433.5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-23139.650000000001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31832.32</v>
      </c>
      <c r="C178" s="14">
        <f>IFERROR(B178/B446, "NA")</f>
      </c>
      <c r="D178" s="15"/>
      <c r="E178" s="13">
        <v>31370.799999999999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31370.799999999999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63664.639999999999</v>
      </c>
      <c r="R178" s="14">
        <f>IFERROR(Q178/Q446, "NA")</f>
      </c>
      <c r="S178" s="15"/>
      <c r="T178" s="13">
        <v>62741.599999999999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62741.599999999999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89032.470000000001</v>
      </c>
      <c r="C180" s="14">
        <f>IFERROR(B180/B446, "NA")</f>
      </c>
      <c r="D180" s="15"/>
      <c r="E180" s="13">
        <v>94891.239999999991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93440.009999999995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174030.29000000001</v>
      </c>
      <c r="R180" s="14">
        <f>IFERROR(Q180/Q446, "NA")</f>
      </c>
      <c r="S180" s="15"/>
      <c r="T180" s="13">
        <v>180145.67999999999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177545.66999999998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t="16.5" customHeight="1">
      <c t="s" r="A181" s="18">
        <v>166</v>
      </c>
      <c r="B181" s="13">
        <v>344.55000000000001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344.75999999999999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555.63999999999999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374.61000000000001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1996</v>
      </c>
      <c r="C184" s="14">
        <f>IFERROR(B184/B446, "NA")</f>
      </c>
      <c r="D184" s="15"/>
      <c r="E184" s="13">
        <v>1995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2950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3992</v>
      </c>
      <c r="R184" s="14">
        <f>IFERROR(Q184/Q446, "NA")</f>
      </c>
      <c r="S184" s="15"/>
      <c r="T184" s="13">
        <v>3990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5900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12787.82</v>
      </c>
      <c r="C186" s="14">
        <f>IFERROR(B186/B446, "NA")</f>
      </c>
      <c r="D186" s="15"/>
      <c r="E186" s="13">
        <v>14648.559999999999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13933.439999999999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25231.849999999999</v>
      </c>
      <c r="R186" s="14">
        <f>IFERROR(Q186/Q446, "NA")</f>
      </c>
      <c r="S186" s="15"/>
      <c r="T186" s="13">
        <v>28134.029999999999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27024.18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1797.3000000000002</v>
      </c>
      <c r="C194" s="14">
        <f>IFERROR(B194/B446, "NA")</f>
      </c>
      <c r="D194" s="15"/>
      <c r="E194" s="13">
        <v>1026.05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1684.1599999999999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3084.1000000000004</v>
      </c>
      <c r="R194" s="14">
        <f>IFERROR(Q194/Q446, "NA")</f>
      </c>
      <c r="S194" s="15"/>
      <c r="T194" s="13">
        <v>1975.02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2894.6399999999999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t="16.5" customHeight="1">
      <c t="s" r="A195" s="12">
        <v>179</v>
      </c>
      <c r="B195" s="13">
        <v>1922.6500000000001</v>
      </c>
      <c r="C195" s="14">
        <f>IFERROR(B195/B446, "NA")</f>
      </c>
      <c r="D195" s="15"/>
      <c r="E195" s="13">
        <v>1571.0799999999999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1742.0799999999999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3767.2200000000003</v>
      </c>
      <c r="R195" s="14">
        <f>IFERROR(Q195/Q446, "NA")</f>
      </c>
      <c r="S195" s="15"/>
      <c r="T195" s="13">
        <v>3098.5699999999997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3057.73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5353.6800000000003</v>
      </c>
      <c r="C202" s="14">
        <f>IFERROR(B202/B446, "NA")</f>
      </c>
      <c r="D202" s="15"/>
      <c r="E202" s="13">
        <v>4644.4499999999998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5227.1300000000001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10496.890000000001</v>
      </c>
      <c r="R202" s="14">
        <f>IFERROR(Q202/Q446, "NA")</f>
      </c>
      <c r="S202" s="15"/>
      <c r="T202" s="13">
        <v>8811.4700000000012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9816.3600000000006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2861.7799999999997</v>
      </c>
      <c r="C203" s="14">
        <f>IFERROR(B203/B446, "NA")</f>
      </c>
      <c r="D203" s="15"/>
      <c r="E203" s="13">
        <v>3359.3299999999999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2681.0599999999999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5836.7799999999997</v>
      </c>
      <c r="R203" s="14">
        <f>IFERROR(Q203/Q446, "NA")</f>
      </c>
      <c r="S203" s="15"/>
      <c r="T203" s="13">
        <v>6345.4300000000003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5628.6599999999999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137.99000000000001</v>
      </c>
      <c r="C204" s="14">
        <f>IFERROR(B204/B446, "NA")</f>
      </c>
      <c r="D204" s="15"/>
      <c r="E204" s="13">
        <v>1005.6299999999999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1165.1700000000001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255.34</v>
      </c>
      <c r="R204" s="14">
        <f>IFERROR(Q204/Q446, "NA")</f>
      </c>
      <c r="S204" s="15"/>
      <c r="T204" s="13">
        <v>1903.05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1308.8699999999999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1912.75</v>
      </c>
      <c r="C205" s="14">
        <f>IFERROR(B205/B446, "NA")</f>
      </c>
      <c r="D205" s="15"/>
      <c r="E205" s="13">
        <v>1508.4400000000001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1832.72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4003.8600000000001</v>
      </c>
      <c r="R205" s="14">
        <f>IFERROR(Q205/Q446, "NA")</f>
      </c>
      <c r="S205" s="15"/>
      <c r="T205" s="13">
        <v>2854.5599999999999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3737.7800000000002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173.59999999999999</v>
      </c>
      <c r="C206" s="14">
        <f>IFERROR(B206/B446, "NA")</f>
      </c>
      <c r="D206" s="15"/>
      <c r="E206" s="13">
        <v>502.81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326.17000000000002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462.08000000000004</v>
      </c>
      <c r="R206" s="14">
        <f>IFERROR(Q206/Q446, "NA")</f>
      </c>
      <c r="S206" s="15"/>
      <c r="T206" s="13">
        <v>951.5200000000001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326.17000000000002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418.36000000000001</v>
      </c>
      <c r="C207" s="14">
        <f>IFERROR(B207/B446, "NA")</f>
      </c>
      <c r="D207" s="15"/>
      <c r="E207" s="13">
        <v>500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0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806.55999999999995</v>
      </c>
      <c r="R207" s="14">
        <f>IFERROR(Q207/Q446, "NA")</f>
      </c>
      <c r="S207" s="15"/>
      <c r="T207" s="13">
        <v>1000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497.99000000000001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239.70999999999998</v>
      </c>
      <c r="C208" s="14">
        <f>IFERROR(B208/B446, "NA")</f>
      </c>
      <c r="D208" s="15"/>
      <c r="E208" s="13">
        <v>500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1091.52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521.62</v>
      </c>
      <c r="R208" s="14">
        <f>IFERROR(Q208/Q446, "NA")</f>
      </c>
      <c r="S208" s="15"/>
      <c r="T208" s="13">
        <v>1000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1820.21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17004.380000000001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32114.790000000005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9099.3499999999985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15751.039999999997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16440.860000000001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28264.780000000002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t="16.5" customHeight="1">
      <c t="s" r="A215" s="18">
        <v>195</v>
      </c>
      <c r="B215" s="13">
        <v>2344.5600000000004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0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3935.9699999999998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0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t="16.5" customHeight="1">
      <c t="s" r="A216" s="18">
        <v>196</v>
      </c>
      <c r="B216" s="13">
        <v>154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2.1000000000000001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254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2.1000000000000001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11341.400000000001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15536.360000000001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15602.27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26551.870000000003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727.96000000000004</v>
      </c>
      <c r="C222" s="14">
        <f>IFERROR(B222/B446, "NA")</f>
      </c>
      <c r="D222" s="15"/>
      <c r="E222" s="13">
        <v>500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893.73000000000002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1036.3</v>
      </c>
      <c r="R222" s="14">
        <f>IFERROR(Q222/Q446, "NA")</f>
      </c>
      <c r="S222" s="15"/>
      <c r="T222" s="13">
        <v>1000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1517.0300000000002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7711.46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14632.690000000001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idden="1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0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859.12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574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1953.3900000000001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t="16.5" customHeight="1">
      <c t="s" r="A233" s="12">
        <v>212</v>
      </c>
      <c r="B233" s="13">
        <v>53.539999999999999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271.31999999999999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8154.8199999999997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7728.3799999999992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14588.390000000003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15097.5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98.340000000000003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143.03999999999999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33556.489999999998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63548.229999999996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t="16.5" customHeight="1">
      <c t="s" r="A241" s="18">
        <v>218</v>
      </c>
      <c r="B241" s="13">
        <v>115.04000000000001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380.81999999999999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115.04000000000001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459.52999999999997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8200.5699999999997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6595.0999999999995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15830.240000000002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12351.200000000001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13816.949999999999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13082.82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23517.080000000002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27408.34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3719.8099999999995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340.62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6960.0199999999995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737.25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647.14999999999998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1897.6000000000001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1308.96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3107.48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988.90999999999997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1046.8199999999999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2106.6399999999999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2178.4899999999998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9470.1200000000008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10049.690000000002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17278.27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17408.34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t="16.5" customHeight="1">
      <c t="s" r="A251" s="18">
        <v>228</v>
      </c>
      <c r="B251" s="13">
        <v>139.90000000000001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58.310000000000002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287.20999999999998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95.280000000000001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t="16.5" customHeight="1">
      <c t="s" r="A253" s="18">
        <v>230</v>
      </c>
      <c r="B253" s="13">
        <v>414.51999999999998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933.95000000000005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0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t="16.5" customHeight="1">
      <c t="s" r="A254" s="18">
        <v>231</v>
      </c>
      <c r="B254" s="13">
        <v>3250.6999999999998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2246.98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5875.9599999999991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4945.25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idden="1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0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t="16.5" customHeight="1">
      <c t="s" r="A258" s="18">
        <v>235</v>
      </c>
      <c r="B258" s="13">
        <v>276.32999999999998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0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276.32999999999998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0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t="16.5" customHeight="1">
      <c t="s" r="A260" s="18">
        <v>237</v>
      </c>
      <c r="B260" s="13">
        <v>665.79999999999995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1756.3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t="16.5" customHeight="1">
      <c t="s" r="A261" s="18">
        <v>238</v>
      </c>
      <c r="B261" s="13">
        <v>433.70999999999998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433.70999999999998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12503.17</v>
      </c>
      <c r="C266" s="14">
        <f>IFERROR(B266/B446, "NA")</f>
      </c>
      <c r="D266" s="15"/>
      <c r="E266" s="13">
        <v>13014.619999999999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11282.939999999999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23726.389999999999</v>
      </c>
      <c r="R266" s="14">
        <f>IFERROR(Q266/Q446, "NA")</f>
      </c>
      <c r="S266" s="15"/>
      <c r="T266" s="13">
        <v>24649.960000000003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21860.959999999999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t="16.5" customHeight="1">
      <c t="s" r="A267" s="12">
        <v>243</v>
      </c>
      <c r="B267" s="13">
        <v>63.339999999999996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44.619999999999997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63.339999999999996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44.619999999999997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1180.97</v>
      </c>
      <c r="C271" s="14">
        <f>IFERROR(B271/B446, "NA")</f>
      </c>
      <c r="D271" s="15"/>
      <c r="E271" s="13">
        <v>1139.0599999999999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1215.5699999999999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2284.9900000000002</v>
      </c>
      <c r="R271" s="14">
        <f>IFERROR(Q271/Q446, "NA")</f>
      </c>
      <c r="S271" s="15"/>
      <c r="T271" s="13">
        <v>2278.1199999999999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2422.6900000000001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5008.0200000000004</v>
      </c>
      <c r="C272" s="14">
        <f>IFERROR(B272/B446, "NA")</f>
      </c>
      <c r="D272" s="15"/>
      <c r="E272" s="13">
        <v>5130.2199999999993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4841.3999999999996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10092.84</v>
      </c>
      <c r="R272" s="14">
        <f>IFERROR(Q272/Q446, "NA")</f>
      </c>
      <c r="S272" s="15"/>
      <c r="T272" s="13">
        <v>10260.439999999999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9450.2599999999984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t="16.5" customHeight="1">
      <c t="s" r="A273" s="12">
        <v>248</v>
      </c>
      <c r="B273" s="13">
        <v>199.27000000000001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398.54000000000002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t="16.5" customHeight="1">
      <c t="s" r="A288" s="12">
        <v>261</v>
      </c>
      <c r="B288" s="13">
        <v>1067.5899999999999</v>
      </c>
      <c r="C288" s="14">
        <f>IFERROR(B288/B446, "NA")</f>
      </c>
      <c r="D288" s="15"/>
      <c r="E288" s="13">
        <v>971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970.52999999999997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2135.1799999999998</v>
      </c>
      <c r="R288" s="14">
        <f>IFERROR(Q288/Q446, "NA")</f>
      </c>
      <c r="S288" s="15"/>
      <c r="T288" s="13">
        <v>1942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1941.0599999999999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839.23000000000002</v>
      </c>
      <c r="C289" s="14">
        <f>IFERROR(B289/B446, "NA")</f>
      </c>
      <c r="D289" s="15"/>
      <c r="E289" s="13">
        <v>843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949.95000000000005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1678.46</v>
      </c>
      <c r="R289" s="14">
        <f>IFERROR(Q289/Q446, "NA")</f>
      </c>
      <c r="S289" s="15"/>
      <c r="T289" s="13">
        <v>1686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1899.8800000000001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1151.1199999999999</v>
      </c>
      <c r="C290" s="14">
        <f>IFERROR(B290/B446, "NA")</f>
      </c>
      <c r="D290" s="15"/>
      <c r="E290" s="13">
        <v>1149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1005.15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2287.4000000000001</v>
      </c>
      <c r="R290" s="14">
        <f>IFERROR(Q290/Q446, "NA")</f>
      </c>
      <c r="S290" s="15"/>
      <c r="T290" s="13">
        <v>2298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1996.0600000000002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1373.6999999999998</v>
      </c>
      <c r="C291" s="14">
        <f>IFERROR(B291/B446, "NA")</f>
      </c>
      <c r="D291" s="15"/>
      <c r="E291" s="13">
        <v>2639.6799999999998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4995.9100000000008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5851.3699999999999</v>
      </c>
      <c r="R291" s="14">
        <f>IFERROR(Q291/Q446, "NA")</f>
      </c>
      <c r="S291" s="15"/>
      <c r="T291" s="13">
        <v>4977.6399999999994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7781.5100000000002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4965.9400000000005</v>
      </c>
      <c r="C292" s="14">
        <f>IFERROR(B292/B446, "NA")</f>
      </c>
      <c r="D292" s="15"/>
      <c r="E292" s="13">
        <v>2674.2199999999998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4981.6500000000005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12374.999999999998</v>
      </c>
      <c r="R292" s="14">
        <f>IFERROR(Q292/Q446, "NA")</f>
      </c>
      <c r="S292" s="15"/>
      <c r="T292" s="13">
        <v>5020.3999999999996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10650.709999999999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0</v>
      </c>
      <c r="C293" s="14">
        <f>IFERROR(B293/B446, "NA")</f>
      </c>
      <c r="D293" s="15"/>
      <c r="E293" s="13">
        <v>748.83999999999992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1703.6900000000001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394.79000000000002</v>
      </c>
      <c r="R293" s="14">
        <f>IFERROR(Q293/Q446, "NA")</f>
      </c>
      <c r="S293" s="15"/>
      <c r="T293" s="13">
        <v>1396.8899999999999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1703.6900000000001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851.73000000000002</v>
      </c>
      <c r="C294" s="14">
        <f>IFERROR(B294/B446, "NA")</f>
      </c>
      <c r="D294" s="15"/>
      <c r="E294" s="13">
        <v>705.95000000000005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0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851.73000000000002</v>
      </c>
      <c r="R294" s="14">
        <f>IFERROR(Q294/Q446, "NA")</f>
      </c>
      <c r="S294" s="15"/>
      <c r="T294" s="13">
        <v>1326.7099999999998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369.93000000000001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1590.49</v>
      </c>
      <c r="C295" s="14">
        <f>IFERROR(B295/B446, "NA")</f>
      </c>
      <c r="D295" s="15"/>
      <c r="E295" s="13">
        <v>1784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1328.3499999999999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3180.9300000000003</v>
      </c>
      <c r="R295" s="14">
        <f>IFERROR(Q295/Q446, "NA")</f>
      </c>
      <c r="S295" s="15"/>
      <c r="T295" s="13">
        <v>3568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3031.6300000000001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2216.8100000000004</v>
      </c>
      <c r="C300" s="14">
        <f>IFERROR(B300/B446, "NA")</f>
      </c>
      <c r="D300" s="15"/>
      <c r="E300" s="13">
        <v>2209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1687.01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4441.8299999999999</v>
      </c>
      <c r="R300" s="14">
        <f>IFERROR(Q300/Q446, "NA")</f>
      </c>
      <c r="S300" s="15"/>
      <c r="T300" s="13">
        <v>4418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3773.73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t="16.5" customHeight="1">
      <c t="s" r="A305" s="12">
        <v>277</v>
      </c>
      <c r="B305" s="13">
        <v>186.68000000000001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197.00999999999999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186.68000000000001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197.00999999999999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t="16.5" customHeight="1">
      <c t="s" r="A306" s="12">
        <v>278</v>
      </c>
      <c r="B306" s="13">
        <v>50.899999999999999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20.59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74.969999999999999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35.590000000000003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747.66000000000008</v>
      </c>
      <c r="C311" s="14">
        <f>IFERROR(B311/B446, "NA")</f>
      </c>
      <c r="D311" s="15"/>
      <c r="E311" s="13">
        <v>275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65.859999999999999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1016.2</v>
      </c>
      <c r="R311" s="14">
        <f>IFERROR(Q311/Q446, "NA")</f>
      </c>
      <c r="S311" s="15"/>
      <c r="T311" s="13">
        <v>550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97.430000000000007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167.47999999999999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167.47999999999999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1349.1300000000001</v>
      </c>
      <c r="C313" s="14">
        <f>IFERROR(B313/B446, "NA")</f>
      </c>
      <c r="D313" s="15"/>
      <c r="E313" s="13">
        <v>175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601.84999999999991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2645.6299999999997</v>
      </c>
      <c r="R313" s="14">
        <f>IFERROR(Q313/Q446, "NA")</f>
      </c>
      <c r="S313" s="15"/>
      <c r="T313" s="13">
        <v>350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978.84000000000003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324</v>
      </c>
      <c r="C314" s="14">
        <f>IFERROR(B314/B446, "NA")</f>
      </c>
      <c r="D314" s="15"/>
      <c r="E314" s="13">
        <v>310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277.05000000000001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570.60000000000002</v>
      </c>
      <c r="R314" s="14">
        <f>IFERROR(Q314/Q446, "NA")</f>
      </c>
      <c r="S314" s="15"/>
      <c r="T314" s="13">
        <v>620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572.04999999999995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t="16.5" customHeight="1">
      <c t="s" r="A316" s="12">
        <v>288</v>
      </c>
      <c r="B316" s="13">
        <v>1690.3699999999999</v>
      </c>
      <c r="C316" s="14">
        <f>IFERROR(B316/B446, "NA")</f>
      </c>
      <c r="D316" s="15"/>
      <c r="E316" s="13">
        <v>1304.01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1249.6300000000001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3380.7399999999998</v>
      </c>
      <c r="R316" s="14">
        <f>IFERROR(Q316/Q446, "NA")</f>
      </c>
      <c r="S316" s="15"/>
      <c r="T316" s="13">
        <v>2494.8299999999999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2499.2600000000002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idden="1" ht="16.5" customHeight="1">
      <c t="s" r="A317" s="12">
        <v>289</v>
      </c>
      <c r="B317" s="13">
        <v>0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0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t="16.5" customHeight="1">
      <c t="s" r="A319" s="12">
        <v>291</v>
      </c>
      <c r="B319" s="13">
        <v>1319.75</v>
      </c>
      <c r="C319" s="14">
        <f>IFERROR(B319/B446, "NA")</f>
      </c>
      <c r="D319" s="15"/>
      <c r="E319" s="13">
        <v>1321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1319.75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2639.5</v>
      </c>
      <c r="R319" s="14">
        <f>IFERROR(Q319/Q446, "NA")</f>
      </c>
      <c r="S319" s="15"/>
      <c r="T319" s="13">
        <v>2642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2639.5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1269.7199999999998</v>
      </c>
      <c r="C320" s="14">
        <f>IFERROR(B320/B446, "NA")</f>
      </c>
      <c r="D320" s="15"/>
      <c r="E320" s="13">
        <v>1241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1139.4400000000001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2539.5799999999999</v>
      </c>
      <c r="R320" s="14">
        <f>IFERROR(Q320/Q446, "NA")</f>
      </c>
      <c r="S320" s="15"/>
      <c r="T320" s="13">
        <v>2482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2259.9000000000001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5856.2900000000009</v>
      </c>
      <c r="C321" s="14">
        <f>IFERROR(B321/B446, "NA")</f>
      </c>
      <c r="D321" s="15"/>
      <c r="E321" s="13">
        <v>5783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5142.4099999999989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12813.01</v>
      </c>
      <c r="R321" s="14">
        <f>IFERROR(Q321/Q446, "NA")</f>
      </c>
      <c r="S321" s="15"/>
      <c r="T321" s="13">
        <v>11566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10284.82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4125.4700000000003</v>
      </c>
      <c r="C322" s="14">
        <f>IFERROR(B322/B446, "NA")</f>
      </c>
      <c r="D322" s="15"/>
      <c r="E322" s="13">
        <v>6505.6000000000004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10715.890000000001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9433.5</v>
      </c>
      <c r="R322" s="14">
        <f>IFERROR(Q322/Q446, "NA")</f>
      </c>
      <c r="S322" s="15"/>
      <c r="T322" s="13">
        <v>11872.09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23139.650000000001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1381.8799999999999</v>
      </c>
      <c r="C323" s="14">
        <f>IFERROR(B323/B446, "NA")</f>
      </c>
      <c r="D323" s="15"/>
      <c r="E323" s="13">
        <v>1413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1718.1600000000001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3076.71</v>
      </c>
      <c r="R323" s="14">
        <f>IFERROR(Q323/Q446, "NA")</f>
      </c>
      <c r="S323" s="15"/>
      <c r="T323" s="13">
        <v>2826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2794.2600000000002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0.01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60203.629999999997</v>
      </c>
      <c r="C330" s="14">
        <f>IFERROR(B330/B446, "NA")</f>
      </c>
      <c r="D330" s="15"/>
      <c r="E330" s="13">
        <v>60203.629999999997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52829.580000000002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120407.25999999999</v>
      </c>
      <c r="R330" s="14">
        <f>IFERROR(Q330/Q446, "NA")</f>
      </c>
      <c r="S330" s="15"/>
      <c r="T330" s="13">
        <v>120407.25999999999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105659.16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6433.1300000000001</v>
      </c>
      <c r="C331" s="14">
        <f>IFERROR(B331/B446, "NA")</f>
      </c>
      <c r="D331" s="15"/>
      <c r="E331" s="13">
        <v>6433.1300000000001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6225.6100000000006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12866.26</v>
      </c>
      <c r="R331" s="14">
        <f>IFERROR(Q331/Q446, "NA")</f>
      </c>
      <c r="S331" s="15"/>
      <c r="T331" s="13">
        <v>12866.26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12451.220000000001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t="16.5" customHeight="1">
      <c t="s" r="A333" s="12">
        <v>304</v>
      </c>
      <c r="B333" s="13">
        <v>195.16</v>
      </c>
      <c r="C333" s="14">
        <f>IFERROR(B333/B446, "NA")</f>
      </c>
      <c r="D333" s="15"/>
      <c r="E333" s="13">
        <v>313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195.16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390.31999999999999</v>
      </c>
      <c r="R333" s="14">
        <f>IFERROR(Q333/Q446, "NA")</f>
      </c>
      <c r="S333" s="15"/>
      <c r="T333" s="13">
        <v>626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390.31999999999999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5737.8100000000004</v>
      </c>
      <c r="C334" s="14">
        <f>IFERROR(B334/B446, "NA")</f>
      </c>
      <c r="D334" s="15"/>
      <c r="E334" s="13">
        <v>5619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5618.8900000000003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11475.620000000001</v>
      </c>
      <c r="R334" s="14">
        <f>IFERROR(Q334/Q446, "NA")</f>
      </c>
      <c r="S334" s="15"/>
      <c r="T334" s="13">
        <v>11238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11142.49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-4635.6899999999996</v>
      </c>
      <c r="C335" s="14">
        <f>IFERROR(B335/B446, "NA")</f>
      </c>
      <c r="D335" s="15"/>
      <c r="E335" s="13">
        <v>-4635.6899999999996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-4067.8699999999999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-9271.3799999999992</v>
      </c>
      <c r="R335" s="14">
        <f>IFERROR(Q335/Q446, "NA")</f>
      </c>
      <c r="S335" s="15"/>
      <c r="T335" s="13">
        <v>-9271.3799999999992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-8135.7399999999998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235.03999999999999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1654.8099999999999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448.29000000000002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3309.6199999999999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9631.7800000000007</v>
      </c>
      <c r="C339" s="14">
        <f>IFERROR(B339/B446, "NA")</f>
      </c>
      <c r="D339" s="15"/>
      <c r="E339" s="13">
        <v>8913.5699999999997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10383.23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19387.290000000001</v>
      </c>
      <c r="R339" s="14">
        <f>IFERROR(Q339/Q446, "NA")</f>
      </c>
      <c r="S339" s="15"/>
      <c r="T339" s="13">
        <v>16819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20939.68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3046.2600000000002</v>
      </c>
      <c r="C340" s="14">
        <f>IFERROR(B340/B446, "NA")</f>
      </c>
      <c r="D340" s="15"/>
      <c r="E340" s="13">
        <v>2001.23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3147.7800000000002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5958.4799999999996</v>
      </c>
      <c r="R340" s="14">
        <f>IFERROR(Q340/Q446, "NA")</f>
      </c>
      <c r="S340" s="15"/>
      <c r="T340" s="13">
        <v>3795.6199999999999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6070.0100000000002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2939.23</v>
      </c>
      <c r="C341" s="14">
        <f>IFERROR(B341/B446, "NA")</f>
      </c>
      <c r="D341" s="15"/>
      <c r="E341" s="13">
        <v>2230.25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2489.1300000000001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6257.6800000000003</v>
      </c>
      <c r="R341" s="14">
        <f>IFERROR(Q341/Q446, "NA")</f>
      </c>
      <c r="S341" s="15"/>
      <c r="T341" s="13">
        <v>4240.7700000000004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5398.6899999999996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t="16.5" customHeight="1">
      <c t="s" r="A342" s="18">
        <v>312</v>
      </c>
      <c r="B342" s="13">
        <v>1884.5900000000001</v>
      </c>
      <c r="C342" s="14">
        <f>IFERROR(B342/B446, "NA")</f>
      </c>
      <c r="D342" s="15"/>
      <c r="E342" s="13">
        <v>1536.9400000000001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1863.98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3769.1800000000003</v>
      </c>
      <c r="R342" s="14">
        <f>IFERROR(Q342/Q446, "NA")</f>
      </c>
      <c r="S342" s="15"/>
      <c r="T342" s="13">
        <v>2997.9300000000003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3766.8000000000002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t="16.5" customHeight="1">
      <c t="s" r="A351" s="12">
        <v>320</v>
      </c>
      <c r="B351" s="13">
        <v>35399.029999999999</v>
      </c>
      <c r="C351" s="14">
        <f>IFERROR(B351/B446, "NA")</f>
      </c>
      <c r="D351" s="15"/>
      <c r="E351" s="13">
        <v>36000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65276.879999999997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70802.869999999995</v>
      </c>
      <c r="R351" s="14">
        <f>IFERROR(Q351/Q446, "NA")</f>
      </c>
      <c r="S351" s="15"/>
      <c r="T351" s="13">
        <v>72000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125887.42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2581.8499999999999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6774.8000000000002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t="16.5" customHeight="1">
      <c t="s" r="A355" s="12">
        <v>324</v>
      </c>
      <c r="B355" s="13">
        <v>2967.71</v>
      </c>
      <c r="C355" s="14">
        <f>IFERROR(B355/B446, "NA")</f>
      </c>
      <c r="D355" s="15"/>
      <c r="E355" s="13">
        <v>2988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5617.0699999999997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6268.9099999999999</v>
      </c>
      <c r="R355" s="14">
        <f>IFERROR(Q355/Q446, "NA")</f>
      </c>
      <c r="S355" s="15"/>
      <c r="T355" s="13">
        <v>5976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12407.309999999999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t="16.5" customHeight="1">
      <c t="s" r="A356" s="12">
        <v>325</v>
      </c>
      <c r="B356" s="13">
        <v>206.69999999999999</v>
      </c>
      <c r="C356" s="14">
        <f>IFERROR(B356/B446, "NA")</f>
      </c>
      <c r="D356" s="15"/>
      <c r="E356" s="13">
        <v>212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307.39999999999998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376.30000000000001</v>
      </c>
      <c r="R356" s="14">
        <f>IFERROR(Q356/Q446, "NA")</f>
      </c>
      <c r="S356" s="15"/>
      <c r="T356" s="13">
        <v>424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540.60000000000002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t="16.5" customHeight="1">
      <c t="s" r="A357" s="12">
        <v>326</v>
      </c>
      <c r="B357" s="13">
        <v>4500</v>
      </c>
      <c r="C357" s="14">
        <f>IFERROR(B357/B446, "NA")</f>
      </c>
      <c r="D357" s="15"/>
      <c r="E357" s="13">
        <v>4500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6187.5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9000</v>
      </c>
      <c r="R357" s="14">
        <f>IFERROR(Q357/Q446, "NA")</f>
      </c>
      <c r="S357" s="15"/>
      <c r="T357" s="13">
        <v>9000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12375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t="16.5" customHeight="1">
      <c t="s" r="A358" s="12">
        <v>327</v>
      </c>
      <c r="B358" s="13">
        <v>3319.2399999999998</v>
      </c>
      <c r="C358" s="14">
        <f>IFERROR(B358/B446, "NA")</f>
      </c>
      <c r="D358" s="15"/>
      <c r="E358" s="13">
        <v>3680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3469.3499999999999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6638.4799999999996</v>
      </c>
      <c r="R358" s="14">
        <f>IFERROR(Q358/Q446, "NA")</f>
      </c>
      <c r="S358" s="15"/>
      <c r="T358" s="13">
        <v>7360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6938.6999999999998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t="16.5" customHeight="1">
      <c t="s" r="A363" s="12">
        <v>331</v>
      </c>
      <c r="B363" s="13">
        <v>354.81999999999999</v>
      </c>
      <c r="C363" s="14">
        <f>IFERROR(B363/B446, "NA")</f>
      </c>
      <c r="D363" s="15"/>
      <c r="E363" s="13">
        <v>864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1011.15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605.76999999999998</v>
      </c>
      <c r="R363" s="14">
        <f>IFERROR(Q363/Q446, "NA")</f>
      </c>
      <c r="S363" s="15"/>
      <c r="T363" s="13">
        <v>1728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1737.4300000000001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t="16.5" customHeight="1">
      <c t="s" r="A364" s="12">
        <v>332</v>
      </c>
      <c r="B364" s="13">
        <v>502.38999999999999</v>
      </c>
      <c r="C364" s="14">
        <f>IFERROR(B364/B446, "NA")</f>
      </c>
      <c r="D364" s="15"/>
      <c r="E364" s="13">
        <v>150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724.19000000000005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1314.3299999999999</v>
      </c>
      <c r="R364" s="14">
        <f>IFERROR(Q364/Q446, "NA")</f>
      </c>
      <c r="S364" s="15"/>
      <c r="T364" s="13">
        <v>300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1050.74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t="16.5" customHeight="1">
      <c t="s" r="A365" s="12">
        <v>333</v>
      </c>
      <c r="B365" s="13">
        <v>144.40000000000001</v>
      </c>
      <c r="C365" s="14">
        <f>IFERROR(B365/B446, "NA")</f>
      </c>
      <c r="D365" s="15"/>
      <c r="E365" s="13">
        <v>750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1851.27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199.03</v>
      </c>
      <c r="R365" s="14">
        <f>IFERROR(Q365/Q446, "NA")</f>
      </c>
      <c r="S365" s="15"/>
      <c r="T365" s="13">
        <v>1150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1896.53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t="16.5" customHeight="1">
      <c t="s" r="A366" s="12">
        <v>334</v>
      </c>
      <c r="B366" s="13">
        <v>292</v>
      </c>
      <c r="C366" s="14">
        <f>IFERROR(B366/B446, "NA")</f>
      </c>
      <c r="D366" s="15"/>
      <c r="E366" s="13">
        <v>675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896.20000000000005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292</v>
      </c>
      <c r="R366" s="14">
        <f>IFERROR(Q366/Q446, "NA")</f>
      </c>
      <c r="S366" s="15"/>
      <c r="T366" s="13">
        <v>1575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896.20000000000005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t="16.5" customHeight="1">
      <c t="s" r="A367" s="12">
        <v>335</v>
      </c>
      <c r="B367" s="13">
        <v>797.79999999999995</v>
      </c>
      <c r="C367" s="14">
        <f>IFERROR(B367/B446, "NA")</f>
      </c>
      <c r="D367" s="15"/>
      <c r="E367" s="13">
        <v>450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1049.3499999999999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797.79999999999995</v>
      </c>
      <c r="R367" s="14">
        <f>IFERROR(Q367/Q446, "NA")</f>
      </c>
      <c r="S367" s="15"/>
      <c r="T367" s="13">
        <v>900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1049.3499999999999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t="16.5" customHeight="1">
      <c t="s" r="A368" s="12">
        <v>336</v>
      </c>
      <c r="B368" s="13">
        <v>0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1667.6099999999999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0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t="16.5" customHeight="1">
      <c t="s" r="A371" s="26">
        <v>339</v>
      </c>
      <c r="B371" s="13">
        <v>98</v>
      </c>
      <c r="C371" s="14">
        <f>IFERROR(B371/B446, "NA")</f>
      </c>
      <c r="D371" s="15"/>
      <c r="E371" s="13">
        <v>100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103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196</v>
      </c>
      <c r="R371" s="14">
        <f>IFERROR(Q371/Q446, "NA")</f>
      </c>
      <c r="S371" s="15"/>
      <c r="T371" s="13">
        <v>200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206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t="16.5" customHeight="1">
      <c t="s" r="A372" s="26">
        <v>340</v>
      </c>
      <c r="B372" s="13">
        <v>357.00999999999999</v>
      </c>
      <c r="C372" s="14">
        <f>IFERROR(B372/B446, "NA")</f>
      </c>
      <c r="D372" s="15"/>
      <c r="E372" s="13">
        <v>125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187.21000000000001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446.61000000000001</v>
      </c>
      <c r="R372" s="14">
        <f>IFERROR(Q372/Q446, "NA")</f>
      </c>
      <c r="S372" s="15"/>
      <c r="T372" s="13">
        <v>250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297.27999999999997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t="16.5" customHeight="1">
      <c t="s" r="A373" s="26">
        <v>341</v>
      </c>
      <c r="B373" s="13">
        <v>254.08000000000001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277.17000000000002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508.16000000000003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277.17000000000002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t="16.5" customHeight="1">
      <c t="s" r="A374" s="26">
        <v>342</v>
      </c>
      <c r="B374" s="13">
        <v>935.17999999999995</v>
      </c>
      <c r="C374" s="14">
        <f>IFERROR(B374/B446, "NA")</f>
      </c>
      <c r="D374" s="15"/>
      <c r="E374" s="13">
        <v>629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607.08000000000004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1602.3099999999999</v>
      </c>
      <c r="R374" s="14">
        <f>IFERROR(Q374/Q446, "NA")</f>
      </c>
      <c r="S374" s="15"/>
      <c r="T374" s="13">
        <v>1258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1061.97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t="16.5" customHeight="1">
      <c t="s" r="A375" s="26">
        <v>343</v>
      </c>
      <c r="B375" s="13">
        <v>2114.0999999999999</v>
      </c>
      <c r="C375" s="14">
        <f>IFERROR(B375/B446, "NA")</f>
      </c>
      <c r="D375" s="15"/>
      <c r="E375" s="13">
        <v>2150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1897.01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4228.1999999999998</v>
      </c>
      <c r="R375" s="14">
        <f>IFERROR(Q375/Q446, "NA")</f>
      </c>
      <c r="S375" s="15"/>
      <c r="T375" s="13">
        <v>4300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3794.02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t="16.5" customHeight="1">
      <c t="s" r="A376" s="26">
        <v>344</v>
      </c>
      <c r="B376" s="13">
        <v>110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110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205.25999999999999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0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-2413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t="16.5" customHeight="1">
      <c t="s" r="A379" s="26">
        <v>347</v>
      </c>
      <c r="B379" s="13">
        <v>7046.4399999999996</v>
      </c>
      <c r="C379" s="14">
        <f>IFERROR(B379/B446, "NA")</f>
      </c>
      <c r="D379" s="15"/>
      <c r="E379" s="13">
        <v>7484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8906.0599999999995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14370.620000000001</v>
      </c>
      <c r="R379" s="14">
        <f>IFERROR(Q379/Q446, "NA")</f>
      </c>
      <c r="S379" s="15"/>
      <c r="T379" s="13">
        <v>16968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16835.02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t="16.5" customHeight="1">
      <c t="s" r="A380" s="26">
        <v>348</v>
      </c>
      <c r="B380" s="13">
        <v>892.87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214.31999999999999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1633.3900000000001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232.72999999999999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t="16.5" customHeight="1">
      <c t="s" r="A381" s="26">
        <v>349</v>
      </c>
      <c r="B381" s="13">
        <v>11855.67</v>
      </c>
      <c r="C381" s="14">
        <f>IFERROR(B381/B446, "NA")</f>
      </c>
      <c r="D381" s="15"/>
      <c r="E381" s="13">
        <v>11800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11500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23655.669999999998</v>
      </c>
      <c r="R381" s="14">
        <f>IFERROR(Q381/Q446, "NA")</f>
      </c>
      <c r="S381" s="15"/>
      <c r="T381" s="13">
        <v>23600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23000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t="16.5" customHeight="1">
      <c t="s" r="A382" s="26">
        <v>350</v>
      </c>
      <c r="B382" s="13">
        <v>125</v>
      </c>
      <c r="C382" s="14">
        <f>IFERROR(B382/B446, "NA")</f>
      </c>
      <c r="D382" s="15"/>
      <c r="E382" s="13">
        <v>3000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13241.51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3672.5</v>
      </c>
      <c r="R382" s="14">
        <f>IFERROR(Q382/Q446, "NA")</f>
      </c>
      <c r="S382" s="15"/>
      <c r="T382" s="13">
        <v>5500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17241.509999999998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t="16.5" customHeight="1">
      <c t="s" r="A383" s="26">
        <v>351</v>
      </c>
      <c r="B383" s="13">
        <v>719.15999999999997</v>
      </c>
      <c r="C383" s="14">
        <f>IFERROR(B383/B446, "NA")</f>
      </c>
      <c r="D383" s="15"/>
      <c r="E383" s="13">
        <v>506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0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1393.3199999999999</v>
      </c>
      <c r="R383" s="14">
        <f>IFERROR(Q383/Q446, "NA")</f>
      </c>
      <c r="S383" s="15"/>
      <c r="T383" s="13">
        <v>1012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505.62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t="16.5" customHeight="1">
      <c t="s" r="A386" s="12">
        <v>353</v>
      </c>
      <c r="B386" s="13">
        <v>8400.0499999999993</v>
      </c>
      <c r="C386" s="14">
        <f>IFERROR(B386/B446, "NA")</f>
      </c>
      <c r="D386" s="15"/>
      <c r="E386" s="13">
        <v>1000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2098.5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10622.35</v>
      </c>
      <c r="R386" s="14">
        <f>IFERROR(Q386/Q446, "NA")</f>
      </c>
      <c r="S386" s="15"/>
      <c r="T386" s="13">
        <v>1750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4295.7299999999996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idden="1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0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10559.08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19981.950000000001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t="16.5" customHeight="1">
      <c t="s" r="A390" s="18">
        <v>356</v>
      </c>
      <c r="B390" s="13">
        <v>7232.3500000000004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3611.7199999999998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14132.77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6806.4700000000003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t="16.5" customHeight="1">
      <c t="s" r="A391" s="18">
        <v>357</v>
      </c>
      <c r="B391" s="13">
        <v>6789.9899999999998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10432.280000000001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9992.3500000000004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23238.48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t="16.5" customHeight="1">
      <c t="s" r="A393" s="18">
        <v>359</v>
      </c>
      <c r="B393" s="13">
        <v>4186.7600000000002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4786.21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9024.3099999999995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9130.9300000000003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4022.5100000000002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2711.79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4022.5100000000002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6612.0600000000004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t="16.5" customHeight="1">
      <c t="s" r="A396" s="12">
        <v>362</v>
      </c>
      <c r="B396" s="13">
        <v>72.859999999999999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109.23999999999999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t="16.5" customHeight="1">
      <c t="s" r="A398" s="26">
        <v>364</v>
      </c>
      <c r="B398" s="13">
        <v>11699.5</v>
      </c>
      <c r="C398" s="14">
        <f>IFERROR(B398/B446, "NA")</f>
      </c>
      <c r="D398" s="15"/>
      <c r="E398" s="13">
        <v>9200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2790.4099999999999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22205.75</v>
      </c>
      <c r="R398" s="14">
        <f>IFERROR(Q398/Q446, "NA")</f>
      </c>
      <c r="S398" s="15"/>
      <c r="T398" s="13">
        <v>16400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4561.8400000000001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t="16.5" customHeight="1">
      <c t="s" r="A399" s="26">
        <v>365</v>
      </c>
      <c r="B399" s="13">
        <v>233.44999999999999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179.87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624.10000000000002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300.02999999999997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815.84000000000003</v>
      </c>
      <c r="R400" s="14">
        <f>IFERROR(Q400/Q446, "NA")</f>
      </c>
      <c r="S400" s="15"/>
      <c r="T400" s="13">
        <v>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15551.049999999999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30426.380000000001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31482.380000000005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28073.379999999997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62887.350000000006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55836.619999999995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t="16.5" customHeight="1">
      <c t="s" r="A412" s="12">
        <v>377</v>
      </c>
      <c r="B412" s="13">
        <v>268.37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268.37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536.74000000000001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268.37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t="16.5" customHeight="1">
      <c t="s" r="A417" s="12">
        <v>382</v>
      </c>
      <c r="B417" s="13">
        <v>-189.72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-104.37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-293.11000000000001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-214.08999999999997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756.49999999999989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-249.45999999999998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781.12999999999988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-10.969999999999999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-1725.6900000000001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-1725.6900000000001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t="16.5" customHeight="1">
      <c t="s" r="A422" s="12">
        <v>387</v>
      </c>
      <c r="B422" s="13">
        <v>96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96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-20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t="16.5" customHeight="1">
      <c t="s" r="A423" s="12">
        <v>388</v>
      </c>
      <c r="B423" s="13">
        <v>-506.81999999999999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-1012.04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t="16.5" customHeight="1">
      <c t="s" r="A424" s="12">
        <v>389</v>
      </c>
      <c r="B424" s="13">
        <v>-14712.35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-30813.360000000001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-0.98999999999999999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t="16.5" customHeight="1">
      <c t="s" r="A426" s="12">
        <v>391</v>
      </c>
      <c r="B426" s="13">
        <v>67.079999999999998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47.920000000000002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134.16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95.840000000000003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idden="1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0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t="16.5" customHeight="1">
      <c t="s" r="A428" s="12">
        <v>393</v>
      </c>
      <c r="B428" s="13">
        <v>-1734.5699999999999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-355.30000000000001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-4167.5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-730.79999999999995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481911.28000000003</v>
      </c>
      <c r="C446" s="33"/>
      <c r="D446" s="15"/>
      <c r="E446" s="13">
        <v>502813.28000000003</v>
      </c>
      <c r="F446" s="33"/>
      <c r="G446" s="15"/>
      <c r="H446" s="16">
        <f>IFERROR(B446-E446, "NA")</f>
      </c>
      <c r="I446" s="33"/>
      <c r="J446" s="15"/>
      <c r="K446" s="13">
        <v>478141.62000000005</v>
      </c>
      <c r="L446" s="33"/>
      <c r="M446" s="15"/>
      <c r="N446" s="16">
        <f>IFERROR(B446-K446, "NA")</f>
      </c>
      <c r="O446" s="33"/>
      <c r="P446" s="15"/>
      <c r="Q446" s="13">
        <v>916963.38</v>
      </c>
      <c r="R446" s="33"/>
      <c r="S446" s="15"/>
      <c r="T446" s="13">
        <v>951521.47999999998</v>
      </c>
      <c r="U446" s="33"/>
      <c r="V446" s="15"/>
      <c r="W446" s="16">
        <f>IFERROR(Q446-T446, "NA")</f>
      </c>
      <c r="X446" s="33"/>
      <c r="Y446" s="15"/>
      <c r="Z446" s="13">
        <v>913697.04999999993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413</v>
      </c>
      <c t="s" r="B3" s="3">
        <v>413</v>
      </c>
      <c t="s" r="C3" s="3">
        <v>413</v>
      </c>
      <c t="s" r="D3" s="3">
        <v>413</v>
      </c>
      <c t="s" r="E3" s="3">
        <v>413</v>
      </c>
      <c t="s" r="F3" s="3">
        <v>413</v>
      </c>
      <c t="s" r="G3" s="3">
        <v>413</v>
      </c>
      <c t="s" r="H3" s="3">
        <v>413</v>
      </c>
      <c t="s" r="I3" s="3">
        <v>413</v>
      </c>
      <c t="s" r="J3" s="3">
        <v>413</v>
      </c>
      <c t="s" r="K3" s="3">
        <v>413</v>
      </c>
      <c t="s" r="L3" s="3">
        <v>413</v>
      </c>
      <c t="s" r="M3" s="3">
        <v>413</v>
      </c>
      <c t="s" r="N3" s="3">
        <v>413</v>
      </c>
      <c t="s" r="O3" s="3">
        <v>413</v>
      </c>
      <c t="s" r="P3" s="3">
        <v>413</v>
      </c>
      <c t="s" r="Q3" s="3">
        <v>413</v>
      </c>
      <c t="s" r="R3" s="3">
        <v>413</v>
      </c>
      <c t="s" r="S3" s="3">
        <v>413</v>
      </c>
      <c t="s" r="T3" s="3">
        <v>413</v>
      </c>
      <c t="s" r="U3" s="3">
        <v>413</v>
      </c>
      <c t="s" r="V3" s="3">
        <v>413</v>
      </c>
      <c t="s" r="W3" s="3">
        <v>413</v>
      </c>
      <c t="s" r="X3" s="3">
        <v>413</v>
      </c>
      <c t="s" r="Y3" s="3">
        <v>413</v>
      </c>
      <c t="s" r="Z3" s="3">
        <v>413</v>
      </c>
      <c t="s" r="AA3" s="3">
        <v>413</v>
      </c>
      <c t="s" r="AB3" s="3">
        <v>413</v>
      </c>
      <c t="s" r="AC3" s="3">
        <v>413</v>
      </c>
      <c t="s" r="AD3" s="3">
        <v>413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idden="1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0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0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idden="1" ht="16.5" customHeight="1">
      <c t="s" r="A11" s="18">
        <v>13</v>
      </c>
      <c r="B11" s="13">
        <v>0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0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0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0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idden="1" ht="16.5" customHeight="1">
      <c t="s" r="A12" s="18">
        <v>14</v>
      </c>
      <c r="B12" s="13">
        <v>0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0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0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0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idden="1" ht="16.5" customHeight="1">
      <c t="s" r="A13" s="18">
        <v>15</v>
      </c>
      <c r="B13" s="13">
        <v>0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0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0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0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idden="1" ht="16.5" customHeight="1">
      <c t="s" r="A14" s="18">
        <v>16</v>
      </c>
      <c r="B14" s="13">
        <v>0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0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0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0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idden="1" ht="16.5" customHeight="1">
      <c t="s" r="A15" s="18">
        <v>17</v>
      </c>
      <c r="B15" s="13">
        <v>0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0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0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0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idden="1" ht="16.5" customHeight="1">
      <c t="s" r="A16" s="18">
        <v>18</v>
      </c>
      <c r="B16" s="13">
        <v>0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0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0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idden="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0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0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idden="1" ht="16.5" customHeight="1">
      <c t="s" r="A22" s="18">
        <v>23</v>
      </c>
      <c r="B22" s="13">
        <v>0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0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0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0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idden="1" ht="16.5" customHeight="1">
      <c t="s" r="A23" s="18">
        <v>24</v>
      </c>
      <c r="B23" s="13">
        <v>0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0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idden="1" ht="16.5" customHeight="1">
      <c t="s" r="A24" s="18">
        <v>25</v>
      </c>
      <c r="B24" s="13">
        <v>0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0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0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0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idden="1" ht="16.5" customHeight="1">
      <c t="s" r="A25" s="18">
        <v>26</v>
      </c>
      <c r="B25" s="13">
        <v>0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0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idden="1" ht="16.5" customHeight="1">
      <c t="s" r="A26" s="18">
        <v>27</v>
      </c>
      <c r="B26" s="13">
        <v>0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0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0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0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idden="1" ht="16.5" customHeight="1">
      <c t="s" r="A28" s="18">
        <v>29</v>
      </c>
      <c r="B28" s="13">
        <v>0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0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0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0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idden="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0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0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idden="1" ht="16.5" customHeight="1">
      <c t="s" r="A33" s="18">
        <v>33</v>
      </c>
      <c r="B33" s="13">
        <v>0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0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0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0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idden="1" ht="16.5" customHeight="1">
      <c t="s" r="A35" s="18">
        <v>35</v>
      </c>
      <c r="B35" s="13">
        <v>0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0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0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0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idden="1" ht="16.5" customHeight="1">
      <c t="s" r="A36" s="18">
        <v>36</v>
      </c>
      <c r="B36" s="13">
        <v>0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0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0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0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idden="1" ht="16.5" customHeight="1">
      <c t="s" r="A37" s="18">
        <v>37</v>
      </c>
      <c r="B37" s="13">
        <v>0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0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idden="1" ht="16.5" customHeight="1">
      <c t="s" r="A39" s="18">
        <v>39</v>
      </c>
      <c r="B39" s="13">
        <v>0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0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0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0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idden="1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0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0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idden="1" ht="16.5" customHeight="1">
      <c t="s" r="A43" s="18">
        <v>42</v>
      </c>
      <c r="B43" s="13">
        <v>0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0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0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0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idden="1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0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0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0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idden="1" ht="16.5" customHeight="1">
      <c t="s" r="A48" s="23">
        <v>46</v>
      </c>
      <c r="B48" s="13">
        <v>0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0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0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0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idden="1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0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0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idden="1" ht="16.5" customHeight="1">
      <c t="s" r="A50" s="23">
        <v>48</v>
      </c>
      <c r="B50" s="13">
        <v>0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0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0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0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idden="1" ht="16.5" customHeight="1">
      <c t="s" r="A51" s="23">
        <v>49</v>
      </c>
      <c r="B51" s="13">
        <v>0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0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0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0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idden="1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idden="1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idden="1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0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idden="1" ht="16.5" customHeight="1">
      <c t="s" r="A55" s="23">
        <v>53</v>
      </c>
      <c r="B55" s="13">
        <v>0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0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0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0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idden="1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0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idden="1" ht="16.5" customHeight="1">
      <c t="s" r="A57" s="23">
        <v>55</v>
      </c>
      <c r="B57" s="13">
        <v>0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0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0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idden="1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idden="1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0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idden="1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0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0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idden="1" ht="16.5" customHeight="1">
      <c t="s" r="A65" s="18">
        <v>62</v>
      </c>
      <c r="B65" s="13">
        <v>0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0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0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0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idden="1" ht="16.5" customHeight="1">
      <c t="s" r="A66" s="18">
        <v>63</v>
      </c>
      <c r="B66" s="13">
        <v>0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0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0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0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idden="1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0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idden="1" ht="16.5" customHeight="1">
      <c t="s" r="A68" s="18">
        <v>65</v>
      </c>
      <c r="B68" s="13">
        <v>0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0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0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0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idden="1" ht="16.5" customHeight="1">
      <c t="s" r="A69" s="18">
        <v>66</v>
      </c>
      <c r="B69" s="13">
        <v>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0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idden="1" ht="16.5" customHeight="1">
      <c t="s" r="A70" s="18">
        <v>67</v>
      </c>
      <c r="B70" s="13">
        <v>0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0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idden="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0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idden="1" ht="16.5" customHeight="1">
      <c t="s" r="A72" s="18">
        <v>69</v>
      </c>
      <c r="B72" s="13">
        <v>0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0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idden="1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0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0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idden="1" ht="16.5" customHeight="1">
      <c t="s" r="A77" s="18">
        <v>73</v>
      </c>
      <c r="B77" s="13">
        <v>0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0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0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0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idden="1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0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idden="1" ht="16.5" customHeight="1">
      <c t="s" r="A80" s="18">
        <v>76</v>
      </c>
      <c r="B80" s="13">
        <v>0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0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0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0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idden="1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0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idden="1" ht="16.5" customHeight="1">
      <c t="s" r="A83" s="18">
        <v>79</v>
      </c>
      <c r="B83" s="13">
        <v>0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0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idden="1" ht="16.5" customHeight="1">
      <c t="s" r="A86" s="18">
        <v>82</v>
      </c>
      <c r="B86" s="13">
        <v>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idden="1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0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idden="1" ht="16.5" customHeight="1">
      <c t="s" r="A89" s="12">
        <v>85</v>
      </c>
      <c r="B89" s="13">
        <v>0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0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0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0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idden="1" ht="16.5" customHeight="1">
      <c t="s" r="A90" s="12">
        <v>86</v>
      </c>
      <c r="B90" s="13">
        <v>0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0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idden="1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0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0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idden="1" ht="16.5" customHeight="1">
      <c t="s" r="A96" s="18">
        <v>91</v>
      </c>
      <c r="B96" s="13">
        <v>0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0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0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0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idden="1" ht="16.5" customHeight="1">
      <c t="s" r="A98" s="18">
        <v>93</v>
      </c>
      <c r="B98" s="13">
        <v>0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0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0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0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idden="1" ht="16.5" customHeight="1">
      <c t="s" r="A100" s="18">
        <v>95</v>
      </c>
      <c r="B100" s="13">
        <v>0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0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0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0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idden="1" ht="16.5" customHeight="1">
      <c t="s" r="A101" s="18">
        <v>96</v>
      </c>
      <c r="B101" s="13">
        <v>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0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idden="1" ht="16.5" customHeight="1">
      <c t="s" r="A102" s="18">
        <v>97</v>
      </c>
      <c r="B102" s="13">
        <v>0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0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0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0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idden="1" ht="16.5" customHeight="1">
      <c t="s" r="A103" s="18">
        <v>98</v>
      </c>
      <c r="B103" s="13">
        <v>0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0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idden="1" ht="16.5" customHeight="1">
      <c t="s" r="A104" s="18">
        <v>99</v>
      </c>
      <c r="B104" s="13">
        <v>0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0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0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0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idden="1" ht="16.5" customHeight="1">
      <c t="s" r="A106" s="18">
        <v>101</v>
      </c>
      <c r="B106" s="13">
        <v>0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0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0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0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idden="1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0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0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idden="1" ht="16.5" customHeight="1">
      <c t="s" r="A130" s="18">
        <v>122</v>
      </c>
      <c r="B130" s="13">
        <v>0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0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0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0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idden="1" ht="16.5" customHeight="1">
      <c t="s" r="A131" s="18">
        <v>123</v>
      </c>
      <c r="B131" s="13">
        <v>0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0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0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0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idden="1" ht="16.5" customHeight="1">
      <c t="s" r="A132" s="18">
        <v>124</v>
      </c>
      <c r="B132" s="13">
        <v>0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0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0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0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idden="1" ht="16.5" customHeight="1">
      <c t="s" r="A133" s="18">
        <v>125</v>
      </c>
      <c r="B133" s="13">
        <v>0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0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0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0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idden="1" ht="16.5" customHeight="1">
      <c t="s" r="A134" s="18">
        <v>126</v>
      </c>
      <c r="B134" s="13">
        <v>0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0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0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0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idden="1" ht="16.5" customHeight="1">
      <c t="s" r="A135" s="18">
        <v>127</v>
      </c>
      <c r="B135" s="13">
        <v>0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0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0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0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idden="1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0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0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idden="1" ht="16.5" customHeight="1">
      <c t="s" r="A137" s="18">
        <v>129</v>
      </c>
      <c r="B137" s="13">
        <v>0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0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0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0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idden="1" ht="16.5" customHeight="1">
      <c t="s" r="A138" s="18">
        <v>130</v>
      </c>
      <c r="B138" s="13">
        <v>0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0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0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0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idden="1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0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0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idden="1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0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0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idden="1" ht="16.5" customHeight="1">
      <c t="s" r="A144" s="18">
        <v>135</v>
      </c>
      <c r="B144" s="13">
        <v>0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0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0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0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idden="1" ht="16.5" customHeight="1">
      <c t="s" r="A145" s="18">
        <v>136</v>
      </c>
      <c r="B145" s="13">
        <v>0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0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0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0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idden="1" ht="16.5" customHeight="1">
      <c t="s" r="A146" s="18">
        <v>137</v>
      </c>
      <c r="B146" s="13">
        <v>0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0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0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0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idden="1" ht="16.5" customHeight="1">
      <c t="s" r="A147" s="18">
        <v>138</v>
      </c>
      <c r="B147" s="13">
        <v>0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0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0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0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idden="1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0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0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idden="1" ht="16.5" customHeight="1">
      <c t="s" r="A154" s="18">
        <v>143</v>
      </c>
      <c r="B154" s="13">
        <v>0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0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0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0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idden="1" ht="16.5" customHeight="1">
      <c t="s" r="A155" s="18">
        <v>144</v>
      </c>
      <c r="B155" s="13">
        <v>0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0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0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0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idden="1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0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idden="1" ht="16.5" customHeight="1">
      <c t="s" r="A161" s="18">
        <v>149</v>
      </c>
      <c r="B161" s="13">
        <v>0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0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0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0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idden="1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0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idden="1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0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idden="1" ht="16.5" customHeight="1">
      <c t="s" r="A167" s="12">
        <v>155</v>
      </c>
      <c r="B167" s="13">
        <v>0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0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0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0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idden="1" ht="16.5" customHeight="1">
      <c t="s" r="A168" s="12">
        <v>156</v>
      </c>
      <c r="B168" s="13">
        <v>0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0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0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0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idden="1" ht="16.5" customHeight="1">
      <c t="s" r="A169" s="12">
        <v>157</v>
      </c>
      <c r="B169" s="13">
        <v>0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0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0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0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idden="1" ht="16.5" customHeight="1">
      <c t="s" r="A178" s="18">
        <v>163</v>
      </c>
      <c r="B178" s="13">
        <v>0</v>
      </c>
      <c r="C178" s="14">
        <f>IFERROR(B178/B446, "NA")</f>
      </c>
      <c r="D178" s="15"/>
      <c r="E178" s="13">
        <v>0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0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0</v>
      </c>
      <c r="R178" s="14">
        <f>IFERROR(Q178/Q446, "NA")</f>
      </c>
      <c r="S178" s="15"/>
      <c r="T178" s="13">
        <v>0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0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idden="1" ht="16.5" customHeight="1">
      <c t="s" r="A180" s="18">
        <v>165</v>
      </c>
      <c r="B180" s="13">
        <v>0</v>
      </c>
      <c r="C180" s="14">
        <f>IFERROR(B180/B446, "NA")</f>
      </c>
      <c r="D180" s="15"/>
      <c r="E180" s="13">
        <v>0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0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0</v>
      </c>
      <c r="R180" s="14">
        <f>IFERROR(Q180/Q446, "NA")</f>
      </c>
      <c r="S180" s="15"/>
      <c r="T180" s="13">
        <v>0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0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idden="1" ht="16.5" customHeight="1">
      <c t="s" r="A181" s="18">
        <v>166</v>
      </c>
      <c r="B181" s="13">
        <v>0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0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0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0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idden="1" ht="16.5" customHeight="1">
      <c t="s" r="A184" s="12">
        <v>169</v>
      </c>
      <c r="B184" s="13">
        <v>0</v>
      </c>
      <c r="C184" s="14">
        <f>IFERROR(B184/B446, "NA")</f>
      </c>
      <c r="D184" s="15"/>
      <c r="E184" s="13">
        <v>0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0</v>
      </c>
      <c r="R184" s="14">
        <f>IFERROR(Q184/Q446, "NA")</f>
      </c>
      <c r="S184" s="15"/>
      <c r="T184" s="13">
        <v>0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idden="1" ht="16.5" customHeight="1">
      <c t="s" r="A186" s="18">
        <v>170</v>
      </c>
      <c r="B186" s="13">
        <v>0</v>
      </c>
      <c r="C186" s="14">
        <f>IFERROR(B186/B446, "NA")</f>
      </c>
      <c r="D186" s="15"/>
      <c r="E186" s="13">
        <v>0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0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0</v>
      </c>
      <c r="R186" s="14">
        <f>IFERROR(Q186/Q446, "NA")</f>
      </c>
      <c r="S186" s="15"/>
      <c r="T186" s="13">
        <v>0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0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idden="1" ht="16.5" customHeight="1">
      <c t="s" r="A194" s="12">
        <v>178</v>
      </c>
      <c r="B194" s="13">
        <v>0</v>
      </c>
      <c r="C194" s="14">
        <f>IFERROR(B194/B446, "NA")</f>
      </c>
      <c r="D194" s="15"/>
      <c r="E194" s="13">
        <v>0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0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0</v>
      </c>
      <c r="R194" s="14">
        <f>IFERROR(Q194/Q446, "NA")</f>
      </c>
      <c r="S194" s="15"/>
      <c r="T194" s="13">
        <v>0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0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idden="1" ht="16.5" customHeight="1">
      <c t="s" r="A195" s="12">
        <v>179</v>
      </c>
      <c r="B195" s="13">
        <v>0</v>
      </c>
      <c r="C195" s="14">
        <f>IFERROR(B195/B446, "NA")</f>
      </c>
      <c r="D195" s="15"/>
      <c r="E195" s="13">
        <v>0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0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0</v>
      </c>
      <c r="R195" s="14">
        <f>IFERROR(Q195/Q446, "NA")</f>
      </c>
      <c r="S195" s="15"/>
      <c r="T195" s="13">
        <v>0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0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idden="1" ht="16.5" customHeight="1">
      <c t="s" r="A202" s="12">
        <v>184</v>
      </c>
      <c r="B202" s="13">
        <v>0</v>
      </c>
      <c r="C202" s="14">
        <f>IFERROR(B202/B446, "NA")</f>
      </c>
      <c r="D202" s="15"/>
      <c r="E202" s="13">
        <v>0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0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0</v>
      </c>
      <c r="R202" s="14">
        <f>IFERROR(Q202/Q446, "NA")</f>
      </c>
      <c r="S202" s="15"/>
      <c r="T202" s="13">
        <v>0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0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idden="1" ht="16.5" customHeight="1">
      <c t="s" r="A203" s="12">
        <v>185</v>
      </c>
      <c r="B203" s="13">
        <v>0</v>
      </c>
      <c r="C203" s="14">
        <f>IFERROR(B203/B446, "NA")</f>
      </c>
      <c r="D203" s="15"/>
      <c r="E203" s="13">
        <v>0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0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0</v>
      </c>
      <c r="R203" s="14">
        <f>IFERROR(Q203/Q446, "NA")</f>
      </c>
      <c r="S203" s="15"/>
      <c r="T203" s="13">
        <v>0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0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idden="1" ht="16.5" customHeight="1">
      <c t="s" r="A204" s="12">
        <v>186</v>
      </c>
      <c r="B204" s="13">
        <v>0</v>
      </c>
      <c r="C204" s="14">
        <f>IFERROR(B204/B446, "NA")</f>
      </c>
      <c r="D204" s="15"/>
      <c r="E204" s="13">
        <v>0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0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0</v>
      </c>
      <c r="R204" s="14">
        <f>IFERROR(Q204/Q446, "NA")</f>
      </c>
      <c r="S204" s="15"/>
      <c r="T204" s="13">
        <v>0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0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idden="1" ht="16.5" customHeight="1">
      <c t="s" r="A205" s="12">
        <v>187</v>
      </c>
      <c r="B205" s="13">
        <v>0</v>
      </c>
      <c r="C205" s="14">
        <f>IFERROR(B205/B446, "NA")</f>
      </c>
      <c r="D205" s="15"/>
      <c r="E205" s="13">
        <v>0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0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0</v>
      </c>
      <c r="R205" s="14">
        <f>IFERROR(Q205/Q446, "NA")</f>
      </c>
      <c r="S205" s="15"/>
      <c r="T205" s="13">
        <v>0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0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idden="1" ht="16.5" customHeight="1">
      <c t="s" r="A206" s="12">
        <v>188</v>
      </c>
      <c r="B206" s="13">
        <v>0</v>
      </c>
      <c r="C206" s="14">
        <f>IFERROR(B206/B446, "NA")</f>
      </c>
      <c r="D206" s="15"/>
      <c r="E206" s="13">
        <v>0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0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0</v>
      </c>
      <c r="R206" s="14">
        <f>IFERROR(Q206/Q446, "NA")</f>
      </c>
      <c r="S206" s="15"/>
      <c r="T206" s="13">
        <v>0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0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idden="1" ht="16.5" customHeight="1">
      <c t="s" r="A207" s="12">
        <v>189</v>
      </c>
      <c r="B207" s="13">
        <v>0</v>
      </c>
      <c r="C207" s="14">
        <f>IFERROR(B207/B446, "NA")</f>
      </c>
      <c r="D207" s="15"/>
      <c r="E207" s="13">
        <v>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0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0</v>
      </c>
      <c r="R207" s="14">
        <f>IFERROR(Q207/Q446, "NA")</f>
      </c>
      <c r="S207" s="15"/>
      <c r="T207" s="13">
        <v>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0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idden="1" ht="16.5" customHeight="1">
      <c t="s" r="A208" s="12">
        <v>190</v>
      </c>
      <c r="B208" s="13">
        <v>0</v>
      </c>
      <c r="C208" s="14">
        <f>IFERROR(B208/B446, "NA")</f>
      </c>
      <c r="D208" s="15"/>
      <c r="E208" s="13">
        <v>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0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0</v>
      </c>
      <c r="R208" s="14">
        <f>IFERROR(Q208/Q446, "NA")</f>
      </c>
      <c r="S208" s="15"/>
      <c r="T208" s="13">
        <v>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0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idden="1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0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0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idden="1" ht="16.5" customHeight="1">
      <c t="s" r="A214" s="18">
        <v>194</v>
      </c>
      <c r="B214" s="13">
        <v>0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0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0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0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idden="1" ht="16.5" customHeight="1">
      <c t="s" r="A215" s="18">
        <v>195</v>
      </c>
      <c r="B215" s="13">
        <v>0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0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0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0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idden="1" ht="16.5" customHeight="1">
      <c t="s" r="A216" s="18">
        <v>196</v>
      </c>
      <c r="B216" s="13">
        <v>0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0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0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0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idden="1" ht="16.5" customHeight="1">
      <c t="s" r="A217" s="18">
        <v>197</v>
      </c>
      <c r="B217" s="13">
        <v>0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0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0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0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idden="1" ht="16.5" customHeight="1">
      <c t="s" r="A222" s="12">
        <v>202</v>
      </c>
      <c r="B222" s="13">
        <v>0</v>
      </c>
      <c r="C222" s="14">
        <f>IFERROR(B222/B446, "NA")</f>
      </c>
      <c r="D222" s="15"/>
      <c r="E222" s="13">
        <v>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0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0</v>
      </c>
      <c r="R222" s="14">
        <f>IFERROR(Q222/Q446, "NA")</f>
      </c>
      <c r="S222" s="15"/>
      <c r="T222" s="13">
        <v>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0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idden="1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0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0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idden="1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0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idden="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0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0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0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idden="1" ht="16.5" customHeight="1">
      <c t="s" r="A233" s="12">
        <v>212</v>
      </c>
      <c r="B233" s="13">
        <v>0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0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idden="1" ht="16.5" customHeight="1">
      <c t="s" r="A234" s="12">
        <v>213</v>
      </c>
      <c r="B234" s="13">
        <v>0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0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0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0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idden="1" ht="16.5" customHeight="1">
      <c t="s" r="A235" s="12">
        <v>214</v>
      </c>
      <c r="B235" s="13">
        <v>0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0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idden="1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0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0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idden="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0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0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0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idden="1" ht="16.5" customHeight="1">
      <c t="s" r="A242" s="18">
        <v>219</v>
      </c>
      <c r="B242" s="13">
        <v>0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0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0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0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idden="1" ht="16.5" customHeight="1">
      <c t="s" r="A243" s="18">
        <v>220</v>
      </c>
      <c r="B243" s="13">
        <v>0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0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0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0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idden="1" ht="16.5" customHeight="1">
      <c t="s" r="A244" s="18">
        <v>221</v>
      </c>
      <c r="B244" s="13">
        <v>0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0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0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0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idden="1" ht="16.5" customHeight="1">
      <c t="s" r="A246" s="18">
        <v>223</v>
      </c>
      <c r="B246" s="13">
        <v>0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0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0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0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idden="1" ht="16.5" customHeight="1">
      <c t="s" r="A248" s="18">
        <v>225</v>
      </c>
      <c r="B248" s="13">
        <v>0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0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0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0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idden="1" ht="16.5" customHeight="1">
      <c t="s" r="A249" s="18">
        <v>226</v>
      </c>
      <c r="B249" s="13">
        <v>0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0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0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0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idden="1" ht="16.5" customHeight="1">
      <c t="s" r="A251" s="18">
        <v>228</v>
      </c>
      <c r="B251" s="13">
        <v>0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0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0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0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idden="1" ht="16.5" customHeight="1">
      <c t="s" r="A253" s="18">
        <v>230</v>
      </c>
      <c r="B253" s="13">
        <v>0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0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0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idden="1" ht="16.5" customHeight="1">
      <c t="s" r="A254" s="18">
        <v>231</v>
      </c>
      <c r="B254" s="13">
        <v>0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0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0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0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idden="1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0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idden="1" ht="16.5" customHeight="1">
      <c t="s" r="A258" s="18">
        <v>235</v>
      </c>
      <c r="B258" s="13">
        <v>0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0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0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0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idden="1" ht="16.5" customHeight="1">
      <c t="s" r="A260" s="18">
        <v>237</v>
      </c>
      <c r="B260" s="13">
        <v>0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0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idden="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0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idden="1" ht="16.5" customHeight="1">
      <c t="s" r="A266" s="12">
        <v>242</v>
      </c>
      <c r="B266" s="13">
        <v>0</v>
      </c>
      <c r="C266" s="14">
        <f>IFERROR(B266/B446, "NA")</f>
      </c>
      <c r="D266" s="15"/>
      <c r="E266" s="13">
        <v>0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0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0</v>
      </c>
      <c r="R266" s="14">
        <f>IFERROR(Q266/Q446, "NA")</f>
      </c>
      <c r="S266" s="15"/>
      <c r="T266" s="13">
        <v>0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0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idden="1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0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0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0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idden="1" ht="16.5" customHeight="1">
      <c t="s" r="A271" s="12">
        <v>246</v>
      </c>
      <c r="B271" s="13">
        <v>0</v>
      </c>
      <c r="C271" s="14">
        <f>IFERROR(B271/B446, "NA")</f>
      </c>
      <c r="D271" s="15"/>
      <c r="E271" s="13">
        <v>0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0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0</v>
      </c>
      <c r="R271" s="14">
        <f>IFERROR(Q271/Q446, "NA")</f>
      </c>
      <c r="S271" s="15"/>
      <c r="T271" s="13">
        <v>0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0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idden="1" ht="16.5" customHeight="1">
      <c t="s" r="A272" s="12">
        <v>247</v>
      </c>
      <c r="B272" s="13">
        <v>0</v>
      </c>
      <c r="C272" s="14">
        <f>IFERROR(B272/B446, "NA")</f>
      </c>
      <c r="D272" s="15"/>
      <c r="E272" s="13">
        <v>0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0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0</v>
      </c>
      <c r="R272" s="14">
        <f>IFERROR(Q272/Q446, "NA")</f>
      </c>
      <c r="S272" s="15"/>
      <c r="T272" s="13">
        <v>0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0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idden="1" ht="16.5" customHeight="1">
      <c t="s" r="A273" s="12">
        <v>248</v>
      </c>
      <c r="B273" s="13">
        <v>0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0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idden="1" ht="16.5" customHeight="1">
      <c t="s" r="A288" s="12">
        <v>261</v>
      </c>
      <c r="B288" s="13">
        <v>0</v>
      </c>
      <c r="C288" s="14">
        <f>IFERROR(B288/B446, "NA")</f>
      </c>
      <c r="D288" s="15"/>
      <c r="E288" s="13">
        <v>0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0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0</v>
      </c>
      <c r="R288" s="14">
        <f>IFERROR(Q288/Q446, "NA")</f>
      </c>
      <c r="S288" s="15"/>
      <c r="T288" s="13">
        <v>0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0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idden="1" ht="16.5" customHeight="1">
      <c t="s" r="A289" s="12">
        <v>262</v>
      </c>
      <c r="B289" s="13">
        <v>0</v>
      </c>
      <c r="C289" s="14">
        <f>IFERROR(B289/B446, "NA")</f>
      </c>
      <c r="D289" s="15"/>
      <c r="E289" s="13">
        <v>0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0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0</v>
      </c>
      <c r="R289" s="14">
        <f>IFERROR(Q289/Q446, "NA")</f>
      </c>
      <c r="S289" s="15"/>
      <c r="T289" s="13">
        <v>0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0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idden="1" ht="16.5" customHeight="1">
      <c t="s" r="A290" s="12">
        <v>263</v>
      </c>
      <c r="B290" s="13">
        <v>0</v>
      </c>
      <c r="C290" s="14">
        <f>IFERROR(B290/B446, "NA")</f>
      </c>
      <c r="D290" s="15"/>
      <c r="E290" s="13">
        <v>0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0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0</v>
      </c>
      <c r="R290" s="14">
        <f>IFERROR(Q290/Q446, "NA")</f>
      </c>
      <c r="S290" s="15"/>
      <c r="T290" s="13">
        <v>0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0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idden="1" ht="16.5" customHeight="1">
      <c t="s" r="A291" s="12">
        <v>264</v>
      </c>
      <c r="B291" s="13">
        <v>0</v>
      </c>
      <c r="C291" s="14">
        <f>IFERROR(B291/B446, "NA")</f>
      </c>
      <c r="D291" s="15"/>
      <c r="E291" s="13">
        <v>0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0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0</v>
      </c>
      <c r="R291" s="14">
        <f>IFERROR(Q291/Q446, "NA")</f>
      </c>
      <c r="S291" s="15"/>
      <c r="T291" s="13">
        <v>0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0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idden="1" ht="16.5" customHeight="1">
      <c t="s" r="A292" s="12">
        <v>265</v>
      </c>
      <c r="B292" s="13">
        <v>0</v>
      </c>
      <c r="C292" s="14">
        <f>IFERROR(B292/B446, "NA")</f>
      </c>
      <c r="D292" s="15"/>
      <c r="E292" s="13">
        <v>0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0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0</v>
      </c>
      <c r="R292" s="14">
        <f>IFERROR(Q292/Q446, "NA")</f>
      </c>
      <c r="S292" s="15"/>
      <c r="T292" s="13">
        <v>0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0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idden="1" ht="16.5" customHeight="1">
      <c t="s" r="A293" s="12">
        <v>266</v>
      </c>
      <c r="B293" s="13">
        <v>0</v>
      </c>
      <c r="C293" s="14">
        <f>IFERROR(B293/B446, "NA")</f>
      </c>
      <c r="D293" s="15"/>
      <c r="E293" s="13">
        <v>0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0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0</v>
      </c>
      <c r="R293" s="14">
        <f>IFERROR(Q293/Q446, "NA")</f>
      </c>
      <c r="S293" s="15"/>
      <c r="T293" s="13">
        <v>0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0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idden="1" ht="16.5" customHeight="1">
      <c t="s" r="A294" s="12">
        <v>267</v>
      </c>
      <c r="B294" s="13">
        <v>0</v>
      </c>
      <c r="C294" s="14">
        <f>IFERROR(B294/B446, "NA")</f>
      </c>
      <c r="D294" s="15"/>
      <c r="E294" s="13">
        <v>0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0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0</v>
      </c>
      <c r="R294" s="14">
        <f>IFERROR(Q294/Q446, "NA")</f>
      </c>
      <c r="S294" s="15"/>
      <c r="T294" s="13">
        <v>0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0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idden="1" ht="16.5" customHeight="1">
      <c t="s" r="A295" s="12">
        <v>268</v>
      </c>
      <c r="B295" s="13">
        <v>0</v>
      </c>
      <c r="C295" s="14">
        <f>IFERROR(B295/B446, "NA")</f>
      </c>
      <c r="D295" s="15"/>
      <c r="E295" s="13">
        <v>0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0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0</v>
      </c>
      <c r="R295" s="14">
        <f>IFERROR(Q295/Q446, "NA")</f>
      </c>
      <c r="S295" s="15"/>
      <c r="T295" s="13">
        <v>0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0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idden="1" ht="16.5" customHeight="1">
      <c t="s" r="A300" s="12">
        <v>272</v>
      </c>
      <c r="B300" s="13">
        <v>0</v>
      </c>
      <c r="C300" s="14">
        <f>IFERROR(B300/B446, "NA")</f>
      </c>
      <c r="D300" s="15"/>
      <c r="E300" s="13">
        <v>0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0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0</v>
      </c>
      <c r="R300" s="14">
        <f>IFERROR(Q300/Q446, "NA")</f>
      </c>
      <c r="S300" s="15"/>
      <c r="T300" s="13">
        <v>0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0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idden="1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0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0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idden="1" ht="16.5" customHeight="1">
      <c t="s" r="A306" s="12">
        <v>278</v>
      </c>
      <c r="B306" s="13">
        <v>0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0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0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0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idden="1" ht="16.5" customHeight="1">
      <c t="s" r="A311" s="12">
        <v>283</v>
      </c>
      <c r="B311" s="13">
        <v>0</v>
      </c>
      <c r="C311" s="14">
        <f>IFERROR(B311/B446, "NA")</f>
      </c>
      <c r="D311" s="15"/>
      <c r="E311" s="13">
        <v>0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0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0</v>
      </c>
      <c r="R311" s="14">
        <f>IFERROR(Q311/Q446, "NA")</f>
      </c>
      <c r="S311" s="15"/>
      <c r="T311" s="13">
        <v>0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0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idden="1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0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idden="1" ht="16.5" customHeight="1">
      <c t="s" r="A313" s="12">
        <v>285</v>
      </c>
      <c r="B313" s="13">
        <v>0</v>
      </c>
      <c r="C313" s="14">
        <f>IFERROR(B313/B446, "NA")</f>
      </c>
      <c r="D313" s="15"/>
      <c r="E313" s="13">
        <v>0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0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0</v>
      </c>
      <c r="R313" s="14">
        <f>IFERROR(Q313/Q446, "NA")</f>
      </c>
      <c r="S313" s="15"/>
      <c r="T313" s="13">
        <v>0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0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idden="1" ht="16.5" customHeight="1">
      <c t="s" r="A314" s="12">
        <v>286</v>
      </c>
      <c r="B314" s="13">
        <v>0</v>
      </c>
      <c r="C314" s="14">
        <f>IFERROR(B314/B446, "NA")</f>
      </c>
      <c r="D314" s="15"/>
      <c r="E314" s="13">
        <v>0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0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0</v>
      </c>
      <c r="R314" s="14">
        <f>IFERROR(Q314/Q446, "NA")</f>
      </c>
      <c r="S314" s="15"/>
      <c r="T314" s="13">
        <v>0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0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idden="1" ht="16.5" customHeight="1">
      <c t="s" r="A316" s="12">
        <v>288</v>
      </c>
      <c r="B316" s="13">
        <v>0</v>
      </c>
      <c r="C316" s="14">
        <f>IFERROR(B316/B446, "NA")</f>
      </c>
      <c r="D316" s="15"/>
      <c r="E316" s="13">
        <v>0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0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0</v>
      </c>
      <c r="R316" s="14">
        <f>IFERROR(Q316/Q446, "NA")</f>
      </c>
      <c r="S316" s="15"/>
      <c r="T316" s="13">
        <v>0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0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idden="1" ht="16.5" customHeight="1">
      <c t="s" r="A317" s="12">
        <v>289</v>
      </c>
      <c r="B317" s="13">
        <v>0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0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idden="1" ht="16.5" customHeight="1">
      <c t="s" r="A319" s="12">
        <v>291</v>
      </c>
      <c r="B319" s="13">
        <v>0</v>
      </c>
      <c r="C319" s="14">
        <f>IFERROR(B319/B446, "NA")</f>
      </c>
      <c r="D319" s="15"/>
      <c r="E319" s="13">
        <v>0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0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0</v>
      </c>
      <c r="R319" s="14">
        <f>IFERROR(Q319/Q446, "NA")</f>
      </c>
      <c r="S319" s="15"/>
      <c r="T319" s="13">
        <v>0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0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idden="1" ht="16.5" customHeight="1">
      <c t="s" r="A320" s="12">
        <v>292</v>
      </c>
      <c r="B320" s="13">
        <v>0</v>
      </c>
      <c r="C320" s="14">
        <f>IFERROR(B320/B446, "NA")</f>
      </c>
      <c r="D320" s="15"/>
      <c r="E320" s="13">
        <v>0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0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0</v>
      </c>
      <c r="R320" s="14">
        <f>IFERROR(Q320/Q446, "NA")</f>
      </c>
      <c r="S320" s="15"/>
      <c r="T320" s="13">
        <v>0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0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idden="1" ht="16.5" customHeight="1">
      <c t="s" r="A321" s="12">
        <v>293</v>
      </c>
      <c r="B321" s="13">
        <v>0</v>
      </c>
      <c r="C321" s="14">
        <f>IFERROR(B321/B446, "NA")</f>
      </c>
      <c r="D321" s="15"/>
      <c r="E321" s="13">
        <v>0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0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0</v>
      </c>
      <c r="R321" s="14">
        <f>IFERROR(Q321/Q446, "NA")</f>
      </c>
      <c r="S321" s="15"/>
      <c r="T321" s="13">
        <v>0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0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idden="1" ht="16.5" customHeight="1">
      <c t="s" r="A322" s="12">
        <v>294</v>
      </c>
      <c r="B322" s="13">
        <v>0</v>
      </c>
      <c r="C322" s="14">
        <f>IFERROR(B322/B446, "NA")</f>
      </c>
      <c r="D322" s="15"/>
      <c r="E322" s="13">
        <v>0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0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0</v>
      </c>
      <c r="R322" s="14">
        <f>IFERROR(Q322/Q446, "NA")</f>
      </c>
      <c r="S322" s="15"/>
      <c r="T322" s="13">
        <v>0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0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idden="1" ht="16.5" customHeight="1">
      <c t="s" r="A323" s="12">
        <v>295</v>
      </c>
      <c r="B323" s="13">
        <v>0</v>
      </c>
      <c r="C323" s="14">
        <f>IFERROR(B323/B446, "NA")</f>
      </c>
      <c r="D323" s="15"/>
      <c r="E323" s="13">
        <v>0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0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0</v>
      </c>
      <c r="R323" s="14">
        <f>IFERROR(Q323/Q446, "NA")</f>
      </c>
      <c r="S323" s="15"/>
      <c r="T323" s="13">
        <v>0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0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idden="1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0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idden="1" ht="16.5" customHeight="1">
      <c t="s" r="A330" s="12">
        <v>301</v>
      </c>
      <c r="B330" s="13">
        <v>0</v>
      </c>
      <c r="C330" s="14">
        <f>IFERROR(B330/B446, "NA")</f>
      </c>
      <c r="D330" s="15"/>
      <c r="E330" s="13">
        <v>0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0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0</v>
      </c>
      <c r="R330" s="14">
        <f>IFERROR(Q330/Q446, "NA")</f>
      </c>
      <c r="S330" s="15"/>
      <c r="T330" s="13">
        <v>0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0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idden="1" ht="16.5" customHeight="1">
      <c t="s" r="A331" s="12">
        <v>302</v>
      </c>
      <c r="B331" s="13">
        <v>0</v>
      </c>
      <c r="C331" s="14">
        <f>IFERROR(B331/B446, "NA")</f>
      </c>
      <c r="D331" s="15"/>
      <c r="E331" s="13">
        <v>0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0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0</v>
      </c>
      <c r="R331" s="14">
        <f>IFERROR(Q331/Q446, "NA")</f>
      </c>
      <c r="S331" s="15"/>
      <c r="T331" s="13">
        <v>0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0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idden="1" ht="16.5" customHeight="1">
      <c t="s" r="A333" s="12">
        <v>304</v>
      </c>
      <c r="B333" s="13">
        <v>0</v>
      </c>
      <c r="C333" s="14">
        <f>IFERROR(B333/B446, "NA")</f>
      </c>
      <c r="D333" s="15"/>
      <c r="E333" s="13">
        <v>0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0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0</v>
      </c>
      <c r="R333" s="14">
        <f>IFERROR(Q333/Q446, "NA")</f>
      </c>
      <c r="S333" s="15"/>
      <c r="T333" s="13">
        <v>0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0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idden="1" ht="16.5" customHeight="1">
      <c t="s" r="A334" s="12">
        <v>305</v>
      </c>
      <c r="B334" s="13">
        <v>0</v>
      </c>
      <c r="C334" s="14">
        <f>IFERROR(B334/B446, "NA")</f>
      </c>
      <c r="D334" s="15"/>
      <c r="E334" s="13">
        <v>0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0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0</v>
      </c>
      <c r="R334" s="14">
        <f>IFERROR(Q334/Q446, "NA")</f>
      </c>
      <c r="S334" s="15"/>
      <c r="T334" s="13">
        <v>0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0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idden="1" ht="16.5" customHeight="1">
      <c t="s" r="A335" s="12">
        <v>306</v>
      </c>
      <c r="B335" s="13">
        <v>0</v>
      </c>
      <c r="C335" s="14">
        <f>IFERROR(B335/B446, "NA")</f>
      </c>
      <c r="D335" s="15"/>
      <c r="E335" s="13">
        <v>0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0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0</v>
      </c>
      <c r="R335" s="14">
        <f>IFERROR(Q335/Q446, "NA")</f>
      </c>
      <c r="S335" s="15"/>
      <c r="T335" s="13">
        <v>0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0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idden="1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0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0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0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idden="1" ht="16.5" customHeight="1">
      <c t="s" r="A339" s="18">
        <v>309</v>
      </c>
      <c r="B339" s="13">
        <v>0</v>
      </c>
      <c r="C339" s="14">
        <f>IFERROR(B339/B446, "NA")</f>
      </c>
      <c r="D339" s="15"/>
      <c r="E339" s="13">
        <v>0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0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0</v>
      </c>
      <c r="R339" s="14">
        <f>IFERROR(Q339/Q446, "NA")</f>
      </c>
      <c r="S339" s="15"/>
      <c r="T339" s="13">
        <v>0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0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idden="1" ht="16.5" customHeight="1">
      <c t="s" r="A340" s="18">
        <v>310</v>
      </c>
      <c r="B340" s="13">
        <v>0</v>
      </c>
      <c r="C340" s="14">
        <f>IFERROR(B340/B446, "NA")</f>
      </c>
      <c r="D340" s="15"/>
      <c r="E340" s="13">
        <v>0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0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0</v>
      </c>
      <c r="R340" s="14">
        <f>IFERROR(Q340/Q446, "NA")</f>
      </c>
      <c r="S340" s="15"/>
      <c r="T340" s="13">
        <v>0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0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idden="1" ht="16.5" customHeight="1">
      <c t="s" r="A341" s="18">
        <v>311</v>
      </c>
      <c r="B341" s="13">
        <v>0</v>
      </c>
      <c r="C341" s="14">
        <f>IFERROR(B341/B446, "NA")</f>
      </c>
      <c r="D341" s="15"/>
      <c r="E341" s="13">
        <v>0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0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0</v>
      </c>
      <c r="R341" s="14">
        <f>IFERROR(Q341/Q446, "NA")</f>
      </c>
      <c r="S341" s="15"/>
      <c r="T341" s="13">
        <v>0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0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idden="1" ht="16.5" customHeight="1">
      <c t="s" r="A342" s="18">
        <v>312</v>
      </c>
      <c r="B342" s="13">
        <v>0</v>
      </c>
      <c r="C342" s="14">
        <f>IFERROR(B342/B446, "NA")</f>
      </c>
      <c r="D342" s="15"/>
      <c r="E342" s="13">
        <v>0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0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0</v>
      </c>
      <c r="R342" s="14">
        <f>IFERROR(Q342/Q446, "NA")</f>
      </c>
      <c r="S342" s="15"/>
      <c r="T342" s="13">
        <v>0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0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t="16.5" customHeight="1">
      <c t="s" r="A351" s="12">
        <v>320</v>
      </c>
      <c r="B351" s="13">
        <v>35399.029999999999</v>
      </c>
      <c r="C351" s="14">
        <f>IFERROR(B351/B446, "NA")</f>
      </c>
      <c r="D351" s="15"/>
      <c r="E351" s="13">
        <v>36000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65276.879999999997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70802.869999999995</v>
      </c>
      <c r="R351" s="14">
        <f>IFERROR(Q351/Q446, "NA")</f>
      </c>
      <c r="S351" s="15"/>
      <c r="T351" s="13">
        <v>72000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125887.42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2581.8499999999999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6774.8000000000002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t="16.5" customHeight="1">
      <c t="s" r="A355" s="12">
        <v>324</v>
      </c>
      <c r="B355" s="13">
        <v>2967.71</v>
      </c>
      <c r="C355" s="14">
        <f>IFERROR(B355/B446, "NA")</f>
      </c>
      <c r="D355" s="15"/>
      <c r="E355" s="13">
        <v>2988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5617.0699999999997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6268.9099999999999</v>
      </c>
      <c r="R355" s="14">
        <f>IFERROR(Q355/Q446, "NA")</f>
      </c>
      <c r="S355" s="15"/>
      <c r="T355" s="13">
        <v>5976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12407.309999999999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t="16.5" customHeight="1">
      <c t="s" r="A356" s="12">
        <v>325</v>
      </c>
      <c r="B356" s="13">
        <v>206.69999999999999</v>
      </c>
      <c r="C356" s="14">
        <f>IFERROR(B356/B446, "NA")</f>
      </c>
      <c r="D356" s="15"/>
      <c r="E356" s="13">
        <v>212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307.39999999999998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376.30000000000001</v>
      </c>
      <c r="R356" s="14">
        <f>IFERROR(Q356/Q446, "NA")</f>
      </c>
      <c r="S356" s="15"/>
      <c r="T356" s="13">
        <v>424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540.60000000000002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t="16.5" customHeight="1">
      <c t="s" r="A357" s="12">
        <v>326</v>
      </c>
      <c r="B357" s="13">
        <v>4500</v>
      </c>
      <c r="C357" s="14">
        <f>IFERROR(B357/B446, "NA")</f>
      </c>
      <c r="D357" s="15"/>
      <c r="E357" s="13">
        <v>4500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6187.5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9000</v>
      </c>
      <c r="R357" s="14">
        <f>IFERROR(Q357/Q446, "NA")</f>
      </c>
      <c r="S357" s="15"/>
      <c r="T357" s="13">
        <v>9000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12375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t="16.5" customHeight="1">
      <c t="s" r="A358" s="12">
        <v>327</v>
      </c>
      <c r="B358" s="13">
        <v>3319.2399999999998</v>
      </c>
      <c r="C358" s="14">
        <f>IFERROR(B358/B446, "NA")</f>
      </c>
      <c r="D358" s="15"/>
      <c r="E358" s="13">
        <v>3680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3469.3499999999999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6638.4799999999996</v>
      </c>
      <c r="R358" s="14">
        <f>IFERROR(Q358/Q446, "NA")</f>
      </c>
      <c r="S358" s="15"/>
      <c r="T358" s="13">
        <v>7360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6938.6999999999998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t="16.5" customHeight="1">
      <c t="s" r="A363" s="12">
        <v>331</v>
      </c>
      <c r="B363" s="13">
        <v>354.81999999999999</v>
      </c>
      <c r="C363" s="14">
        <f>IFERROR(B363/B446, "NA")</f>
      </c>
      <c r="D363" s="15"/>
      <c r="E363" s="13">
        <v>864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1011.15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605.76999999999998</v>
      </c>
      <c r="R363" s="14">
        <f>IFERROR(Q363/Q446, "NA")</f>
      </c>
      <c r="S363" s="15"/>
      <c r="T363" s="13">
        <v>1728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1737.4300000000001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t="16.5" customHeight="1">
      <c t="s" r="A364" s="12">
        <v>332</v>
      </c>
      <c r="B364" s="13">
        <v>502.38999999999999</v>
      </c>
      <c r="C364" s="14">
        <f>IFERROR(B364/B446, "NA")</f>
      </c>
      <c r="D364" s="15"/>
      <c r="E364" s="13">
        <v>150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724.19000000000005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1314.3299999999999</v>
      </c>
      <c r="R364" s="14">
        <f>IFERROR(Q364/Q446, "NA")</f>
      </c>
      <c r="S364" s="15"/>
      <c r="T364" s="13">
        <v>300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1050.74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t="16.5" customHeight="1">
      <c t="s" r="A365" s="12">
        <v>333</v>
      </c>
      <c r="B365" s="13">
        <v>144.40000000000001</v>
      </c>
      <c r="C365" s="14">
        <f>IFERROR(B365/B446, "NA")</f>
      </c>
      <c r="D365" s="15"/>
      <c r="E365" s="13">
        <v>750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1851.27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199.03</v>
      </c>
      <c r="R365" s="14">
        <f>IFERROR(Q365/Q446, "NA")</f>
      </c>
      <c r="S365" s="15"/>
      <c r="T365" s="13">
        <v>1150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1896.53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t="16.5" customHeight="1">
      <c t="s" r="A366" s="12">
        <v>334</v>
      </c>
      <c r="B366" s="13">
        <v>292</v>
      </c>
      <c r="C366" s="14">
        <f>IFERROR(B366/B446, "NA")</f>
      </c>
      <c r="D366" s="15"/>
      <c r="E366" s="13">
        <v>675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896.20000000000005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292</v>
      </c>
      <c r="R366" s="14">
        <f>IFERROR(Q366/Q446, "NA")</f>
      </c>
      <c r="S366" s="15"/>
      <c r="T366" s="13">
        <v>1575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896.20000000000005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t="16.5" customHeight="1">
      <c t="s" r="A367" s="12">
        <v>335</v>
      </c>
      <c r="B367" s="13">
        <v>797.79999999999995</v>
      </c>
      <c r="C367" s="14">
        <f>IFERROR(B367/B446, "NA")</f>
      </c>
      <c r="D367" s="15"/>
      <c r="E367" s="13">
        <v>450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1049.3499999999999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797.79999999999995</v>
      </c>
      <c r="R367" s="14">
        <f>IFERROR(Q367/Q446, "NA")</f>
      </c>
      <c r="S367" s="15"/>
      <c r="T367" s="13">
        <v>900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1049.3499999999999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t="16.5" customHeight="1">
      <c t="s" r="A368" s="12">
        <v>336</v>
      </c>
      <c r="B368" s="13">
        <v>0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1667.6099999999999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0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t="16.5" customHeight="1">
      <c t="s" r="A371" s="26">
        <v>339</v>
      </c>
      <c r="B371" s="13">
        <v>98</v>
      </c>
      <c r="C371" s="14">
        <f>IFERROR(B371/B446, "NA")</f>
      </c>
      <c r="D371" s="15"/>
      <c r="E371" s="13">
        <v>100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103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196</v>
      </c>
      <c r="R371" s="14">
        <f>IFERROR(Q371/Q446, "NA")</f>
      </c>
      <c r="S371" s="15"/>
      <c r="T371" s="13">
        <v>200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206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t="16.5" customHeight="1">
      <c t="s" r="A372" s="26">
        <v>340</v>
      </c>
      <c r="B372" s="13">
        <v>357.00999999999999</v>
      </c>
      <c r="C372" s="14">
        <f>IFERROR(B372/B446, "NA")</f>
      </c>
      <c r="D372" s="15"/>
      <c r="E372" s="13">
        <v>125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187.21000000000001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446.61000000000001</v>
      </c>
      <c r="R372" s="14">
        <f>IFERROR(Q372/Q446, "NA")</f>
      </c>
      <c r="S372" s="15"/>
      <c r="T372" s="13">
        <v>250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297.27999999999997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t="16.5" customHeight="1">
      <c t="s" r="A373" s="26">
        <v>341</v>
      </c>
      <c r="B373" s="13">
        <v>254.08000000000001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277.17000000000002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508.16000000000003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277.17000000000002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t="16.5" customHeight="1">
      <c t="s" r="A374" s="26">
        <v>342</v>
      </c>
      <c r="B374" s="13">
        <v>935.17999999999995</v>
      </c>
      <c r="C374" s="14">
        <f>IFERROR(B374/B446, "NA")</f>
      </c>
      <c r="D374" s="15"/>
      <c r="E374" s="13">
        <v>629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607.08000000000004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1602.3099999999999</v>
      </c>
      <c r="R374" s="14">
        <f>IFERROR(Q374/Q446, "NA")</f>
      </c>
      <c r="S374" s="15"/>
      <c r="T374" s="13">
        <v>1258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1061.97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t="16.5" customHeight="1">
      <c t="s" r="A375" s="26">
        <v>343</v>
      </c>
      <c r="B375" s="13">
        <v>2114.0999999999999</v>
      </c>
      <c r="C375" s="14">
        <f>IFERROR(B375/B446, "NA")</f>
      </c>
      <c r="D375" s="15"/>
      <c r="E375" s="13">
        <v>2150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1897.01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4228.1999999999998</v>
      </c>
      <c r="R375" s="14">
        <f>IFERROR(Q375/Q446, "NA")</f>
      </c>
      <c r="S375" s="15"/>
      <c r="T375" s="13">
        <v>4300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3794.02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t="16.5" customHeight="1">
      <c t="s" r="A376" s="26">
        <v>344</v>
      </c>
      <c r="B376" s="13">
        <v>110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110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205.25999999999999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0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-2413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t="16.5" customHeight="1">
      <c t="s" r="A379" s="26">
        <v>347</v>
      </c>
      <c r="B379" s="13">
        <v>7046.4399999999996</v>
      </c>
      <c r="C379" s="14">
        <f>IFERROR(B379/B446, "NA")</f>
      </c>
      <c r="D379" s="15"/>
      <c r="E379" s="13">
        <v>7484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8906.0599999999995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14370.620000000001</v>
      </c>
      <c r="R379" s="14">
        <f>IFERROR(Q379/Q446, "NA")</f>
      </c>
      <c r="S379" s="15"/>
      <c r="T379" s="13">
        <v>16968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16835.02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t="16.5" customHeight="1">
      <c t="s" r="A380" s="26">
        <v>348</v>
      </c>
      <c r="B380" s="13">
        <v>892.87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214.31999999999999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1633.3900000000001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232.72999999999999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t="16.5" customHeight="1">
      <c t="s" r="A381" s="26">
        <v>349</v>
      </c>
      <c r="B381" s="13">
        <v>11855.67</v>
      </c>
      <c r="C381" s="14">
        <f>IFERROR(B381/B446, "NA")</f>
      </c>
      <c r="D381" s="15"/>
      <c r="E381" s="13">
        <v>11800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11500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23655.669999999998</v>
      </c>
      <c r="R381" s="14">
        <f>IFERROR(Q381/Q446, "NA")</f>
      </c>
      <c r="S381" s="15"/>
      <c r="T381" s="13">
        <v>23600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23000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t="16.5" customHeight="1">
      <c t="s" r="A382" s="26">
        <v>350</v>
      </c>
      <c r="B382" s="13">
        <v>125</v>
      </c>
      <c r="C382" s="14">
        <f>IFERROR(B382/B446, "NA")</f>
      </c>
      <c r="D382" s="15"/>
      <c r="E382" s="13">
        <v>3000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13241.51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3672.5</v>
      </c>
      <c r="R382" s="14">
        <f>IFERROR(Q382/Q446, "NA")</f>
      </c>
      <c r="S382" s="15"/>
      <c r="T382" s="13">
        <v>5500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17241.509999999998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t="16.5" customHeight="1">
      <c t="s" r="A383" s="26">
        <v>351</v>
      </c>
      <c r="B383" s="13">
        <v>719.15999999999997</v>
      </c>
      <c r="C383" s="14">
        <f>IFERROR(B383/B446, "NA")</f>
      </c>
      <c r="D383" s="15"/>
      <c r="E383" s="13">
        <v>506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0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1393.3199999999999</v>
      </c>
      <c r="R383" s="14">
        <f>IFERROR(Q383/Q446, "NA")</f>
      </c>
      <c r="S383" s="15"/>
      <c r="T383" s="13">
        <v>1012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505.62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t="16.5" customHeight="1">
      <c t="s" r="A386" s="12">
        <v>353</v>
      </c>
      <c r="B386" s="13">
        <v>8400.0499999999993</v>
      </c>
      <c r="C386" s="14">
        <f>IFERROR(B386/B446, "NA")</f>
      </c>
      <c r="D386" s="15"/>
      <c r="E386" s="13">
        <v>1000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2098.5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10622.35</v>
      </c>
      <c r="R386" s="14">
        <f>IFERROR(Q386/Q446, "NA")</f>
      </c>
      <c r="S386" s="15"/>
      <c r="T386" s="13">
        <v>1750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4295.7299999999996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idden="1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0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10559.08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19981.950000000001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t="16.5" customHeight="1">
      <c t="s" r="A390" s="18">
        <v>356</v>
      </c>
      <c r="B390" s="13">
        <v>7232.3500000000004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3611.7199999999998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14132.77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6806.4700000000003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t="16.5" customHeight="1">
      <c t="s" r="A391" s="18">
        <v>357</v>
      </c>
      <c r="B391" s="13">
        <v>6789.9899999999998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10432.280000000001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9992.3500000000004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23238.48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t="16.5" customHeight="1">
      <c t="s" r="A393" s="18">
        <v>359</v>
      </c>
      <c r="B393" s="13">
        <v>4186.7600000000002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4786.21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9024.3099999999995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9130.9300000000003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4022.5100000000002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2711.79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4022.5100000000002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6612.0600000000004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t="16.5" customHeight="1">
      <c t="s" r="A396" s="12">
        <v>362</v>
      </c>
      <c r="B396" s="13">
        <v>72.859999999999999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109.23999999999999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t="16.5" customHeight="1">
      <c t="s" r="A398" s="26">
        <v>364</v>
      </c>
      <c r="B398" s="13">
        <v>11699.5</v>
      </c>
      <c r="C398" s="14">
        <f>IFERROR(B398/B446, "NA")</f>
      </c>
      <c r="D398" s="15"/>
      <c r="E398" s="13">
        <v>9200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2790.4099999999999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22205.75</v>
      </c>
      <c r="R398" s="14">
        <f>IFERROR(Q398/Q446, "NA")</f>
      </c>
      <c r="S398" s="15"/>
      <c r="T398" s="13">
        <v>16400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4561.8400000000001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t="16.5" customHeight="1">
      <c t="s" r="A399" s="26">
        <v>365</v>
      </c>
      <c r="B399" s="13">
        <v>233.44999999999999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179.87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624.10000000000002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300.02999999999997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815.84000000000003</v>
      </c>
      <c r="R400" s="14">
        <f>IFERROR(Q400/Q446, "NA")</f>
      </c>
      <c r="S400" s="15"/>
      <c r="T400" s="13">
        <v>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-13500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-27000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59.700000000000003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59.700000000000003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119.40000000000001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244.59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t="16.5" customHeight="1">
      <c t="s" r="A412" s="12">
        <v>377</v>
      </c>
      <c r="B412" s="13">
        <v>268.37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268.37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536.74000000000001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268.37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idden="1" ht="16.5" customHeight="1">
      <c t="s" r="A417" s="12">
        <v>382</v>
      </c>
      <c r="B417" s="13">
        <v>0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0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0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0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idden="1" ht="16.5" customHeight="1">
      <c t="s" r="A418" s="12">
        <v>383</v>
      </c>
      <c r="B418" s="13">
        <v>0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0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0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0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-1725.6900000000001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-1725.6900000000001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idden="1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0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t="16.5" customHeight="1">
      <c t="s" r="A423" s="12">
        <v>388</v>
      </c>
      <c r="B423" s="13">
        <v>-506.81999999999999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-1012.04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t="16.5" customHeight="1">
      <c t="s" r="A424" s="12">
        <v>389</v>
      </c>
      <c r="B424" s="13">
        <v>-14712.35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-30813.360000000001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-0.98999999999999999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idden="1" ht="16.5" customHeight="1">
      <c t="s" r="A426" s="12">
        <v>391</v>
      </c>
      <c r="B426" s="13">
        <v>0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0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0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0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idden="1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0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t="16.5" customHeight="1">
      <c t="s" r="A428" s="12">
        <v>393</v>
      </c>
      <c r="B428" s="13">
        <v>-1621.5599999999999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-220.36000000000001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-3938.5100000000002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-452.81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0</v>
      </c>
      <c r="C446" s="33"/>
      <c r="D446" s="15"/>
      <c r="E446" s="13">
        <v>0</v>
      </c>
      <c r="F446" s="33"/>
      <c r="G446" s="15"/>
      <c r="H446" s="16">
        <f>IFERROR(B446-E446, "NA")</f>
      </c>
      <c r="I446" s="33"/>
      <c r="J446" s="15"/>
      <c r="K446" s="13">
        <v>0</v>
      </c>
      <c r="L446" s="33"/>
      <c r="M446" s="15"/>
      <c r="N446" s="16">
        <f>IFERROR(B446-K446, "NA")</f>
      </c>
      <c r="O446" s="33"/>
      <c r="P446" s="15"/>
      <c r="Q446" s="13">
        <v>0</v>
      </c>
      <c r="R446" s="33"/>
      <c r="S446" s="15"/>
      <c r="T446" s="13">
        <v>0</v>
      </c>
      <c r="U446" s="33"/>
      <c r="V446" s="15"/>
      <c r="W446" s="16">
        <f>IFERROR(Q446-T446, "NA")</f>
      </c>
      <c r="X446" s="33"/>
      <c r="Y446" s="15"/>
      <c r="Z446" s="13">
        <v>0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414</v>
      </c>
      <c t="s" r="B3" s="3">
        <v>414</v>
      </c>
      <c t="s" r="C3" s="3">
        <v>414</v>
      </c>
      <c t="s" r="D3" s="3">
        <v>414</v>
      </c>
      <c t="s" r="E3" s="3">
        <v>414</v>
      </c>
      <c t="s" r="F3" s="3">
        <v>414</v>
      </c>
      <c t="s" r="G3" s="3">
        <v>414</v>
      </c>
      <c t="s" r="H3" s="3">
        <v>414</v>
      </c>
      <c t="s" r="I3" s="3">
        <v>414</v>
      </c>
      <c t="s" r="J3" s="3">
        <v>414</v>
      </c>
      <c t="s" r="K3" s="3">
        <v>414</v>
      </c>
      <c t="s" r="L3" s="3">
        <v>414</v>
      </c>
      <c t="s" r="M3" s="3">
        <v>414</v>
      </c>
      <c t="s" r="N3" s="3">
        <v>414</v>
      </c>
      <c t="s" r="O3" s="3">
        <v>414</v>
      </c>
      <c t="s" r="P3" s="3">
        <v>414</v>
      </c>
      <c t="s" r="Q3" s="3">
        <v>414</v>
      </c>
      <c t="s" r="R3" s="3">
        <v>414</v>
      </c>
      <c t="s" r="S3" s="3">
        <v>414</v>
      </c>
      <c t="s" r="T3" s="3">
        <v>414</v>
      </c>
      <c t="s" r="U3" s="3">
        <v>414</v>
      </c>
      <c t="s" r="V3" s="3">
        <v>414</v>
      </c>
      <c t="s" r="W3" s="3">
        <v>414</v>
      </c>
      <c t="s" r="X3" s="3">
        <v>414</v>
      </c>
      <c t="s" r="Y3" s="3">
        <v>414</v>
      </c>
      <c t="s" r="Z3" s="3">
        <v>414</v>
      </c>
      <c t="s" r="AA3" s="3">
        <v>414</v>
      </c>
      <c t="s" r="AB3" s="3">
        <v>414</v>
      </c>
      <c t="s" r="AC3" s="3">
        <v>414</v>
      </c>
      <c t="s" r="AD3" s="3">
        <v>414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37097.760000000002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67197.350000000006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23119.400000000001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28359.689999999999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50562.110000000001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53661.68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2112.0999999999999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2566.4499999999998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4799.8999999999996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4887.1999999999998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101.5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137.5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244.5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218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10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260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35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375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49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33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90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69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t="16.5" customHeight="1">
      <c t="s" r="A16" s="18">
        <v>18</v>
      </c>
      <c r="B16" s="13">
        <v>0.82999999999999996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1.8700000000000001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0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8082.3000000000002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14639.950000000001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97.299999999999997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5995.6999999999998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1956.45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11247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4478.1499999999996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6818.9200000000001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657.94000000000005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794.91999999999996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1314.9200000000001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1205.3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184.43000000000001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362.16000000000003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1673.5899999999999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0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2128.6700000000001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0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730.77999999999997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712.80999999999995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1533.4400000000001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1515.47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15356.370000000001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27815.900000000001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5714.8299999999999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6138.3500000000004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10808.92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10832.709999999999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237.81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530.87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473.35000000000002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980.66999999999996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9848.0499999999993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10386.49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17802.349999999999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19806.849999999999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270.75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697.75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22.600000000000001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938.14999999999998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116.34999999999999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1399.25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16164.6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29279.889999999999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2088.98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13187.1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4196.5500000000002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16365.76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t="16.5" customHeight="1">
      <c t="s" r="A47" s="23">
        <v>45</v>
      </c>
      <c r="B47" s="13">
        <v>647.17999999999995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2356.4499999999998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647.17999999999995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2873.1500000000001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953.27999999999997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7050.6700000000001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2076.9899999999998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20230.369999999999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idden="1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0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0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t="16.5" customHeight="1">
      <c t="s" r="A50" s="23">
        <v>48</v>
      </c>
      <c r="B50" s="13">
        <v>5332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1139.03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5879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1276.1700000000001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idden="1" ht="16.5" customHeight="1">
      <c t="s" r="A51" s="23">
        <v>49</v>
      </c>
      <c r="B51" s="13">
        <v>0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0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0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0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idden="1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idden="1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idden="1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0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t="16.5" customHeight="1">
      <c t="s" r="A55" s="23">
        <v>53</v>
      </c>
      <c r="B55" s="13">
        <v>2480.6100000000001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334.29000000000002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4765.96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334.29000000000002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idden="1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0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t="16.5" customHeight="1">
      <c t="s" r="A57" s="23">
        <v>55</v>
      </c>
      <c r="B57" s="13">
        <v>1658.0899999999999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3735.79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0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idden="1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idden="1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0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8243.9500000000007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14932.75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5705.3000000000002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0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11265.299999999999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0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t="16.5" customHeight="1">
      <c t="s" r="A66" s="18">
        <v>63</v>
      </c>
      <c r="B66" s="13">
        <v>0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0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0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400.22000000000003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idden="1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0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t="16.5" customHeight="1">
      <c t="s" r="A68" s="18">
        <v>65</v>
      </c>
      <c r="B68" s="13">
        <v>403.19999999999999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0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403.19999999999999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0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t="16.5" customHeight="1">
      <c t="s" r="A69" s="18">
        <v>66</v>
      </c>
      <c r="B69" s="13">
        <v>4560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6820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t="16.5" customHeight="1">
      <c t="s" r="A70" s="18">
        <v>67</v>
      </c>
      <c r="B70" s="13">
        <v>3329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8781.5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idden="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0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idden="1" ht="16.5" customHeight="1">
      <c t="s" r="A72" s="18">
        <v>69</v>
      </c>
      <c r="B72" s="13">
        <v>0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0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646.58000000000004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1171.1900000000001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179.19999999999999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165.00999999999999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382.23000000000002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452.39999999999998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t="16.5" customHeight="1">
      <c t="s" r="A78" s="18">
        <v>74</v>
      </c>
      <c r="B78" s="13">
        <v>50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100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50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125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95.329999999999998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724.44000000000005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206.34999999999999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1975.6300000000001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25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25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idden="1" ht="16.5" customHeight="1">
      <c t="s" r="A83" s="18">
        <v>79</v>
      </c>
      <c r="B83" s="13">
        <v>0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0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t="16.5" customHeight="1">
      <c t="s" r="A86" s="18">
        <v>82</v>
      </c>
      <c r="B86" s="13">
        <v>25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50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idden="1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0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t="16.5" customHeight="1">
      <c t="s" r="A89" s="12">
        <v>85</v>
      </c>
      <c r="B89" s="13">
        <v>20.850000000000001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-99.950000000000003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20.850000000000001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-102.22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-216.53999999999999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-203.55000000000001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-4768.5600000000004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-8637.5699999999997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-719.62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-1260.9000000000001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-1966.28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-2487.8000000000002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-997.48000000000002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-1408.52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-2584.02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-3068.6599999999999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t="16.5" customHeight="1">
      <c t="s" r="A100" s="18">
        <v>95</v>
      </c>
      <c r="B100" s="13">
        <v>-174.5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-643.70000000000005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-180.63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-739.32000000000005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t="16.5" customHeight="1">
      <c t="s" r="A101" s="18">
        <v>96</v>
      </c>
      <c r="B101" s="13">
        <v>-46.439999999999998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-46.439999999999998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-899.25999999999999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-930.32000000000005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-1760.4000000000001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-1741.0799999999999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t="16.5" customHeight="1">
      <c t="s" r="A103" s="18">
        <v>98</v>
      </c>
      <c r="B103" s="13">
        <v>-13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-48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-122.19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-360.79000000000002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-663.59000000000003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-828.05999999999995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t="16.5" customHeight="1">
      <c t="s" r="A106" s="18">
        <v>101</v>
      </c>
      <c r="B106" s="13">
        <v>0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0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-40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-235.87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17134.48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31561.299999999999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3254.3200000000002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4299.5100000000002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6547.8100000000004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7857.6700000000001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2145.1199999999999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2420.48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4007.9699999999998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4267.6400000000003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2933.8600000000001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3241.21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5056.2200000000003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5697.1899999999996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1402.6300000000001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1358.6500000000001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2986.4699999999998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2660.5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745.04999999999995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532.36000000000001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1513.0999999999999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1043.72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541.75999999999999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528.23000000000002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1207.4000000000001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999.38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802.13999999999999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1439.3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321.25999999999999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274.25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650.36000000000001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822.39999999999998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5536.2600000000002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3736.96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10529.110000000001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6988.79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idden="1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0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0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969.88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1756.8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832.23000000000002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730.09000000000003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1673.26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1259.01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5.3399999999999999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61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89.260000000000005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100.55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8.3300000000000001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-4.0999999999999996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8.3300000000000001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74.040000000000006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16.68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9.8599999999999994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19.690000000000001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37.579999999999998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3232.9200000000001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5855.9799999999996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2108.75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2491.6999999999998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4293.4399999999996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4436.1000000000004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1194.5799999999999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868.24000000000001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2890.9200000000001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1634.6700000000001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74.200000000000003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403.05000000000001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295.56999999999999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719.58000000000004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616.25999999999999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idden="1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0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idden="1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0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43.25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56.5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102.83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142.59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18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30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36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62.600000000000001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-684.63999999999999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-2290.6700000000001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-1755.0999999999999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-4339.9499999999998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5076.9200000000001</v>
      </c>
      <c r="C178" s="14">
        <f>IFERROR(B178/B446, "NA")</f>
      </c>
      <c r="D178" s="15"/>
      <c r="E178" s="13">
        <v>4615.3999999999996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4615.3999999999996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10153.84</v>
      </c>
      <c r="R178" s="14">
        <f>IFERROR(Q178/Q446, "NA")</f>
      </c>
      <c r="S178" s="15"/>
      <c r="T178" s="13">
        <v>9230.7999999999993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9230.7999999999993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14356.790000000001</v>
      </c>
      <c r="C180" s="14">
        <f>IFERROR(B180/B446, "NA")</f>
      </c>
      <c r="D180" s="15"/>
      <c r="E180" s="13">
        <v>15841.309999999999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15267.110000000001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29846.619999999999</v>
      </c>
      <c r="R180" s="14">
        <f>IFERROR(Q180/Q446, "NA")</f>
      </c>
      <c r="S180" s="15"/>
      <c r="T180" s="13">
        <v>29284.48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28665.720000000001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t="16.5" customHeight="1">
      <c t="s" r="A181" s="18">
        <v>166</v>
      </c>
      <c r="B181" s="13">
        <v>41.030000000000001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78.459999999999994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235.43000000000001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78.459999999999994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165</v>
      </c>
      <c r="C184" s="14">
        <f>IFERROR(B184/B446, "NA")</f>
      </c>
      <c r="D184" s="15"/>
      <c r="E184" s="13">
        <v>165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300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330</v>
      </c>
      <c r="R184" s="14">
        <f>IFERROR(Q184/Q446, "NA")</f>
      </c>
      <c r="S184" s="15"/>
      <c r="T184" s="13">
        <v>330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600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2368.75</v>
      </c>
      <c r="C186" s="14">
        <f>IFERROR(B186/B446, "NA")</f>
      </c>
      <c r="D186" s="15"/>
      <c r="E186" s="13">
        <v>3202.4099999999999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3060.1100000000001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4880.1000000000004</v>
      </c>
      <c r="R186" s="14">
        <f>IFERROR(Q186/Q446, "NA")</f>
      </c>
      <c r="S186" s="15"/>
      <c r="T186" s="13">
        <v>6249.75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6025.8900000000003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391.13999999999999</v>
      </c>
      <c r="C194" s="14">
        <f>IFERROR(B194/B446, "NA")</f>
      </c>
      <c r="D194" s="15"/>
      <c r="E194" s="13">
        <v>164.97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314.81999999999999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692.17999999999995</v>
      </c>
      <c r="R194" s="14">
        <f>IFERROR(Q194/Q446, "NA")</f>
      </c>
      <c r="S194" s="15"/>
      <c r="T194" s="13">
        <v>310.75999999999999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539.53999999999996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t="16.5" customHeight="1">
      <c t="s" r="A195" s="12">
        <v>179</v>
      </c>
      <c r="B195" s="13">
        <v>3.5699999999999998</v>
      </c>
      <c r="C195" s="14">
        <f>IFERROR(B195/B446, "NA")</f>
      </c>
      <c r="D195" s="15"/>
      <c r="E195" s="13">
        <v>0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-172.78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7.1399999999999997</v>
      </c>
      <c r="R195" s="14">
        <f>IFERROR(Q195/Q446, "NA")</f>
      </c>
      <c r="S195" s="15"/>
      <c r="T195" s="13">
        <v>0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-345.56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308.63</v>
      </c>
      <c r="C202" s="14">
        <f>IFERROR(B202/B446, "NA")</f>
      </c>
      <c r="D202" s="15"/>
      <c r="E202" s="13">
        <v>646.58000000000004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524.37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765.07000000000005</v>
      </c>
      <c r="R202" s="14">
        <f>IFERROR(Q202/Q446, "NA")</f>
      </c>
      <c r="S202" s="15"/>
      <c r="T202" s="13">
        <v>1171.1900000000001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1079.73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440.13</v>
      </c>
      <c r="C203" s="14">
        <f>IFERROR(B203/B446, "NA")</f>
      </c>
      <c r="D203" s="15"/>
      <c r="E203" s="13">
        <v>727.40999999999997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369.01999999999998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841.78999999999996</v>
      </c>
      <c r="R203" s="14">
        <f>IFERROR(Q203/Q446, "NA")</f>
      </c>
      <c r="S203" s="15"/>
      <c r="T203" s="13">
        <v>1317.5999999999999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751.86000000000001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36.57</v>
      </c>
      <c r="C204" s="14">
        <f>IFERROR(B204/B446, "NA")</f>
      </c>
      <c r="D204" s="15"/>
      <c r="E204" s="13">
        <v>161.65000000000001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243.50999999999999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58.049999999999997</v>
      </c>
      <c r="R204" s="14">
        <f>IFERROR(Q204/Q446, "NA")</f>
      </c>
      <c r="S204" s="15"/>
      <c r="T204" s="13">
        <v>292.80000000000001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270.13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329.33999999999997</v>
      </c>
      <c r="C205" s="14">
        <f>IFERROR(B205/B446, "NA")</f>
      </c>
      <c r="D205" s="15"/>
      <c r="E205" s="13">
        <v>242.47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299.38999999999999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659.5</v>
      </c>
      <c r="R205" s="14">
        <f>IFERROR(Q205/Q446, "NA")</f>
      </c>
      <c r="S205" s="15"/>
      <c r="T205" s="13">
        <v>439.19999999999999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588.02999999999997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8.3800000000000008</v>
      </c>
      <c r="C206" s="14">
        <f>IFERROR(B206/B446, "NA")</f>
      </c>
      <c r="D206" s="15"/>
      <c r="E206" s="13">
        <v>80.819999999999993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10.800000000000001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8.3800000000000008</v>
      </c>
      <c r="R206" s="14">
        <f>IFERROR(Q206/Q446, "NA")</f>
      </c>
      <c r="S206" s="15"/>
      <c r="T206" s="13">
        <v>146.40000000000001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10.800000000000001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156.74000000000001</v>
      </c>
      <c r="C207" s="14">
        <f>IFERROR(B207/B446, "NA")</f>
      </c>
      <c r="D207" s="15"/>
      <c r="E207" s="13">
        <v>100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0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156.74000000000001</v>
      </c>
      <c r="R207" s="14">
        <f>IFERROR(Q207/Q446, "NA")</f>
      </c>
      <c r="S207" s="15"/>
      <c r="T207" s="13">
        <v>200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99.590000000000003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72.829999999999998</v>
      </c>
      <c r="C208" s="14">
        <f>IFERROR(B208/B446, "NA")</f>
      </c>
      <c r="D208" s="15"/>
      <c r="E208" s="13">
        <v>100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431.05000000000001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93.689999999999998</v>
      </c>
      <c r="R208" s="14">
        <f>IFERROR(Q208/Q446, "NA")</f>
      </c>
      <c r="S208" s="15"/>
      <c r="T208" s="13">
        <v>200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597.90999999999997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2343.8699999999999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4245.5900000000001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976.58000000000004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1749.3099999999999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1685.0999999999999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2846.54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idden="1" ht="16.5" customHeight="1">
      <c t="s" r="A215" s="18">
        <v>195</v>
      </c>
      <c r="B215" s="13">
        <v>0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0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0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0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idden="1" ht="16.5" customHeight="1">
      <c t="s" r="A216" s="18">
        <v>196</v>
      </c>
      <c r="B216" s="13">
        <v>0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0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0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0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2155.6399999999999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2105.1199999999999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2990.4099999999999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4114.29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167.33000000000001</v>
      </c>
      <c r="C222" s="14">
        <f>IFERROR(B222/B446, "NA")</f>
      </c>
      <c r="D222" s="15"/>
      <c r="E222" s="13">
        <v>100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150.44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234</v>
      </c>
      <c r="R222" s="14">
        <f>IFERROR(Q222/Q446, "NA")</f>
      </c>
      <c r="S222" s="15"/>
      <c r="T222" s="13">
        <v>200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247.91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646.58000000000004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1171.1900000000001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idden="1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0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133.59999999999999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126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276.49000000000001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idden="1" ht="16.5" customHeight="1">
      <c t="s" r="A233" s="12">
        <v>212</v>
      </c>
      <c r="B233" s="13">
        <v>0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0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506.50999999999999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939.77999999999997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670.94000000000005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2187.9000000000001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11.92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16.390000000000001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4364.4399999999996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7905.5699999999997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t="16.5" customHeight="1">
      <c t="s" r="A241" s="18">
        <v>218</v>
      </c>
      <c r="B241" s="13">
        <v>115.04000000000001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380.81999999999999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115.04000000000001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459.52999999999997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649.41999999999996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624.16999999999996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1247.24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1113.0799999999999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157.28999999999999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1165.0599999999999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340.48000000000002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3302.9400000000001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1167.0599999999999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0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2254.0599999999999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0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55.310000000000002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135.63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102.51000000000001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246.83000000000001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169.58000000000001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165.41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355.83999999999997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351.67000000000002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1634.0599999999999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1456.6700000000001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3005.2199999999998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2753.7600000000002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t="16.5" customHeight="1">
      <c t="s" r="A251" s="18">
        <v>228</v>
      </c>
      <c r="B251" s="13">
        <v>123.8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29.09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237.81999999999999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29.09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t="16.5" customHeight="1">
      <c t="s" r="A253" s="18">
        <v>230</v>
      </c>
      <c r="B253" s="13">
        <v>414.51999999999998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933.95000000000005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0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t="16.5" customHeight="1">
      <c t="s" r="A254" s="18">
        <v>231</v>
      </c>
      <c r="B254" s="13">
        <v>0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0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0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80.049999999999997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idden="1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0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idden="1" ht="16.5" customHeight="1">
      <c t="s" r="A258" s="18">
        <v>235</v>
      </c>
      <c r="B258" s="13">
        <v>0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0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0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0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t="16.5" customHeight="1">
      <c t="s" r="A260" s="18">
        <v>237</v>
      </c>
      <c r="B260" s="13">
        <v>665.79999999999995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1756.3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idden="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0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1723.5899999999999</v>
      </c>
      <c r="C266" s="14">
        <f>IFERROR(B266/B446, "NA")</f>
      </c>
      <c r="D266" s="15"/>
      <c r="E266" s="13">
        <v>2182.2199999999998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1743.8399999999999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3353.4899999999998</v>
      </c>
      <c r="R266" s="14">
        <f>IFERROR(Q266/Q446, "NA")</f>
      </c>
      <c r="S266" s="15"/>
      <c r="T266" s="13">
        <v>3952.7800000000002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3417.98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44.619999999999997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0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44.619999999999997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267</v>
      </c>
      <c r="C271" s="14">
        <f>IFERROR(B271/B446, "NA")</f>
      </c>
      <c r="D271" s="15"/>
      <c r="E271" s="13">
        <v>236.72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218.47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534</v>
      </c>
      <c r="R271" s="14">
        <f>IFERROR(Q271/Q446, "NA")</f>
      </c>
      <c r="S271" s="15"/>
      <c r="T271" s="13">
        <v>473.44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436.94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1142.46</v>
      </c>
      <c r="C272" s="14">
        <f>IFERROR(B272/B446, "NA")</f>
      </c>
      <c r="D272" s="15"/>
      <c r="E272" s="13">
        <v>1078.3299999999999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1218.2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2284.9200000000001</v>
      </c>
      <c r="R272" s="14">
        <f>IFERROR(Q272/Q446, "NA")</f>
      </c>
      <c r="S272" s="15"/>
      <c r="T272" s="13">
        <v>2156.6599999999999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2436.4000000000001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idden="1" ht="16.5" customHeight="1">
      <c t="s" r="A273" s="12">
        <v>248</v>
      </c>
      <c r="B273" s="13">
        <v>0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0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t="16.5" customHeight="1">
      <c t="s" r="A288" s="12">
        <v>261</v>
      </c>
      <c r="B288" s="13">
        <v>1067.5899999999999</v>
      </c>
      <c r="C288" s="14">
        <f>IFERROR(B288/B446, "NA")</f>
      </c>
      <c r="D288" s="15"/>
      <c r="E288" s="13">
        <v>971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970.52999999999997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2135.1799999999998</v>
      </c>
      <c r="R288" s="14">
        <f>IFERROR(Q288/Q446, "NA")</f>
      </c>
      <c r="S288" s="15"/>
      <c r="T288" s="13">
        <v>1942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1941.0599999999999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260.13</v>
      </c>
      <c r="C289" s="14">
        <f>IFERROR(B289/B446, "NA")</f>
      </c>
      <c r="D289" s="15"/>
      <c r="E289" s="13">
        <v>263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371.94999999999999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520.25999999999999</v>
      </c>
      <c r="R289" s="14">
        <f>IFERROR(Q289/Q446, "NA")</f>
      </c>
      <c r="S289" s="15"/>
      <c r="T289" s="13">
        <v>526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743.89999999999998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237.03</v>
      </c>
      <c r="C290" s="14">
        <f>IFERROR(B290/B446, "NA")</f>
      </c>
      <c r="D290" s="15"/>
      <c r="E290" s="13">
        <v>224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211.16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474.06</v>
      </c>
      <c r="R290" s="14">
        <f>IFERROR(Q290/Q446, "NA")</f>
      </c>
      <c r="S290" s="15"/>
      <c r="T290" s="13">
        <v>448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419.41000000000003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23.280000000000001</v>
      </c>
      <c r="C291" s="14">
        <f>IFERROR(B291/B446, "NA")</f>
      </c>
      <c r="D291" s="15"/>
      <c r="E291" s="13">
        <v>323.29000000000002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278.97000000000003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328.31</v>
      </c>
      <c r="R291" s="14">
        <f>IFERROR(Q291/Q446, "NA")</f>
      </c>
      <c r="S291" s="15"/>
      <c r="T291" s="13">
        <v>585.60000000000002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512.13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1048.3399999999999</v>
      </c>
      <c r="C292" s="14">
        <f>IFERROR(B292/B446, "NA")</f>
      </c>
      <c r="D292" s="15"/>
      <c r="E292" s="13">
        <v>323.29000000000002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115.89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3364.73</v>
      </c>
      <c r="R292" s="14">
        <f>IFERROR(Q292/Q446, "NA")</f>
      </c>
      <c r="S292" s="15"/>
      <c r="T292" s="13">
        <v>585.60000000000002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1121.22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0</v>
      </c>
      <c r="C293" s="14">
        <f>IFERROR(B293/B446, "NA")</f>
      </c>
      <c r="D293" s="15"/>
      <c r="E293" s="13">
        <v>242.47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1703.6900000000001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0</v>
      </c>
      <c r="R293" s="14">
        <f>IFERROR(Q293/Q446, "NA")</f>
      </c>
      <c r="S293" s="15"/>
      <c r="T293" s="13">
        <v>439.19999999999999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1703.6900000000001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0</v>
      </c>
      <c r="C294" s="14">
        <f>IFERROR(B294/B446, "NA")</f>
      </c>
      <c r="D294" s="15"/>
      <c r="E294" s="13">
        <v>121.23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0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0</v>
      </c>
      <c r="R294" s="14">
        <f>IFERROR(Q294/Q446, "NA")</f>
      </c>
      <c r="S294" s="15"/>
      <c r="T294" s="13">
        <v>219.59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0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300</v>
      </c>
      <c r="C295" s="14">
        <f>IFERROR(B295/B446, "NA")</f>
      </c>
      <c r="D295" s="15"/>
      <c r="E295" s="13">
        <v>350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33.329999999999998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599.99000000000001</v>
      </c>
      <c r="R295" s="14">
        <f>IFERROR(Q295/Q446, "NA")</f>
      </c>
      <c r="S295" s="15"/>
      <c r="T295" s="13">
        <v>700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441.64999999999998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496.08999999999997</v>
      </c>
      <c r="C300" s="14">
        <f>IFERROR(B300/B446, "NA")</f>
      </c>
      <c r="D300" s="15"/>
      <c r="E300" s="13">
        <v>489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516.35000000000002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992.17999999999995</v>
      </c>
      <c r="R300" s="14">
        <f>IFERROR(Q300/Q446, "NA")</f>
      </c>
      <c r="S300" s="15"/>
      <c r="T300" s="13">
        <v>978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1032.7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idden="1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0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0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t="16.5" customHeight="1">
      <c t="s" r="A306" s="12">
        <v>278</v>
      </c>
      <c r="B306" s="13">
        <v>14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15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14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30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87.969999999999999</v>
      </c>
      <c r="C311" s="14">
        <f>IFERROR(B311/B446, "NA")</f>
      </c>
      <c r="D311" s="15"/>
      <c r="E311" s="13">
        <v>55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65.859999999999999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87.969999999999999</v>
      </c>
      <c r="R311" s="14">
        <f>IFERROR(Q311/Q446, "NA")</f>
      </c>
      <c r="S311" s="15"/>
      <c r="T311" s="13">
        <v>110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65.859999999999999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26.73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26.73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304.88999999999999</v>
      </c>
      <c r="C313" s="14">
        <f>IFERROR(B313/B446, "NA")</f>
      </c>
      <c r="D313" s="15"/>
      <c r="E313" s="13">
        <v>35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51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1039.3299999999999</v>
      </c>
      <c r="R313" s="14">
        <f>IFERROR(Q313/Q446, "NA")</f>
      </c>
      <c r="S313" s="15"/>
      <c r="T313" s="13">
        <v>70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51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0</v>
      </c>
      <c r="C314" s="14">
        <f>IFERROR(B314/B446, "NA")</f>
      </c>
      <c r="D314" s="15"/>
      <c r="E314" s="13">
        <v>25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5.0499999999999998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8.5999999999999996</v>
      </c>
      <c r="R314" s="14">
        <f>IFERROR(Q314/Q446, "NA")</f>
      </c>
      <c r="S314" s="15"/>
      <c r="T314" s="13">
        <v>50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20.050000000000001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idden="1" ht="16.5" customHeight="1">
      <c t="s" r="A316" s="12">
        <v>288</v>
      </c>
      <c r="B316" s="13">
        <v>0</v>
      </c>
      <c r="C316" s="14">
        <f>IFERROR(B316/B446, "NA")</f>
      </c>
      <c r="D316" s="15"/>
      <c r="E316" s="13">
        <v>0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0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0</v>
      </c>
      <c r="R316" s="14">
        <f>IFERROR(Q316/Q446, "NA")</f>
      </c>
      <c r="S316" s="15"/>
      <c r="T316" s="13">
        <v>0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0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idden="1" ht="16.5" customHeight="1">
      <c t="s" r="A317" s="12">
        <v>289</v>
      </c>
      <c r="B317" s="13">
        <v>0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0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t="16.5" customHeight="1">
      <c t="s" r="A319" s="12">
        <v>291</v>
      </c>
      <c r="B319" s="13">
        <v>414.56999999999999</v>
      </c>
      <c r="C319" s="14">
        <f>IFERROR(B319/B446, "NA")</f>
      </c>
      <c r="D319" s="15"/>
      <c r="E319" s="13">
        <v>415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414.56999999999999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829.13999999999999</v>
      </c>
      <c r="R319" s="14">
        <f>IFERROR(Q319/Q446, "NA")</f>
      </c>
      <c r="S319" s="15"/>
      <c r="T319" s="13">
        <v>830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829.13999999999999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149.62</v>
      </c>
      <c r="C320" s="14">
        <f>IFERROR(B320/B446, "NA")</f>
      </c>
      <c r="D320" s="15"/>
      <c r="E320" s="13">
        <v>150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149.58000000000001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299.26999999999998</v>
      </c>
      <c r="R320" s="14">
        <f>IFERROR(Q320/Q446, "NA")</f>
      </c>
      <c r="S320" s="15"/>
      <c r="T320" s="13">
        <v>300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299.12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1232.27</v>
      </c>
      <c r="C321" s="14">
        <f>IFERROR(B321/B446, "NA")</f>
      </c>
      <c r="D321" s="15"/>
      <c r="E321" s="13">
        <v>1242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993.14999999999998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3660.0599999999999</v>
      </c>
      <c r="R321" s="14">
        <f>IFERROR(Q321/Q446, "NA")</f>
      </c>
      <c r="S321" s="15"/>
      <c r="T321" s="13">
        <v>2484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1999.01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684.63999999999999</v>
      </c>
      <c r="C322" s="14">
        <f>IFERROR(B322/B446, "NA")</f>
      </c>
      <c r="D322" s="15"/>
      <c r="E322" s="13">
        <v>1212.3499999999999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2290.6700000000001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1755.0999999999999</v>
      </c>
      <c r="R322" s="14">
        <f>IFERROR(Q322/Q446, "NA")</f>
      </c>
      <c r="S322" s="15"/>
      <c r="T322" s="13">
        <v>2130.4200000000001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4339.9499999999998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162.28999999999999</v>
      </c>
      <c r="C323" s="14">
        <f>IFERROR(B323/B446, "NA")</f>
      </c>
      <c r="D323" s="15"/>
      <c r="E323" s="13">
        <v>250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552.26999999999998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324.57999999999998</v>
      </c>
      <c r="R323" s="14">
        <f>IFERROR(Q323/Q446, "NA")</f>
      </c>
      <c r="S323" s="15"/>
      <c r="T323" s="13">
        <v>500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714.53999999999996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idden="1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0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4735.6999999999998</v>
      </c>
      <c r="C330" s="14">
        <f>IFERROR(B330/B446, "NA")</f>
      </c>
      <c r="D330" s="15"/>
      <c r="E330" s="13">
        <v>4735.6999999999998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4597.7600000000002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9471.3999999999996</v>
      </c>
      <c r="R330" s="14">
        <f>IFERROR(Q330/Q446, "NA")</f>
      </c>
      <c r="S330" s="15"/>
      <c r="T330" s="13">
        <v>9471.3999999999996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9195.5200000000004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1736.5999999999999</v>
      </c>
      <c r="C331" s="14">
        <f>IFERROR(B331/B446, "NA")</f>
      </c>
      <c r="D331" s="15"/>
      <c r="E331" s="13">
        <v>1736.5999999999999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1686.02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3473.1999999999998</v>
      </c>
      <c r="R331" s="14">
        <f>IFERROR(Q331/Q446, "NA")</f>
      </c>
      <c r="S331" s="15"/>
      <c r="T331" s="13">
        <v>3473.1999999999998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3372.04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idden="1" ht="16.5" customHeight="1">
      <c t="s" r="A333" s="12">
        <v>304</v>
      </c>
      <c r="B333" s="13">
        <v>0</v>
      </c>
      <c r="C333" s="14">
        <f>IFERROR(B333/B446, "NA")</f>
      </c>
      <c r="D333" s="15"/>
      <c r="E333" s="13">
        <v>0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0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0</v>
      </c>
      <c r="R333" s="14">
        <f>IFERROR(Q333/Q446, "NA")</f>
      </c>
      <c r="S333" s="15"/>
      <c r="T333" s="13">
        <v>0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0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1881.98</v>
      </c>
      <c r="C334" s="14">
        <f>IFERROR(B334/B446, "NA")</f>
      </c>
      <c r="D334" s="15"/>
      <c r="E334" s="13">
        <v>1914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1913.97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3763.96</v>
      </c>
      <c r="R334" s="14">
        <f>IFERROR(Q334/Q446, "NA")</f>
      </c>
      <c r="S334" s="15"/>
      <c r="T334" s="13">
        <v>3828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3827.9400000000001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-364.64999999999998</v>
      </c>
      <c r="C335" s="14">
        <f>IFERROR(B335/B446, "NA")</f>
      </c>
      <c r="D335" s="15"/>
      <c r="E335" s="13">
        <v>-364.64999999999998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-354.02999999999997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-729.29999999999995</v>
      </c>
      <c r="R335" s="14">
        <f>IFERROR(Q335/Q446, "NA")</f>
      </c>
      <c r="S335" s="15"/>
      <c r="T335" s="13">
        <v>-729.29999999999995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-708.05999999999995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idden="1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0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0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0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2494.3899999999999</v>
      </c>
      <c r="C339" s="14">
        <f>IFERROR(B339/B446, "NA")</f>
      </c>
      <c r="D339" s="15"/>
      <c r="E339" s="13">
        <v>2343.8699999999999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2367.77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5029.9099999999999</v>
      </c>
      <c r="R339" s="14">
        <f>IFERROR(Q339/Q446, "NA")</f>
      </c>
      <c r="S339" s="15"/>
      <c r="T339" s="13">
        <v>4245.5900000000001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4995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393.39999999999998</v>
      </c>
      <c r="C340" s="14">
        <f>IFERROR(B340/B446, "NA")</f>
      </c>
      <c r="D340" s="15"/>
      <c r="E340" s="13">
        <v>323.29000000000002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348.42000000000002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787.21000000000004</v>
      </c>
      <c r="R340" s="14">
        <f>IFERROR(Q340/Q446, "NA")</f>
      </c>
      <c r="S340" s="15"/>
      <c r="T340" s="13">
        <v>585.60000000000002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624.11000000000001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524.65999999999997</v>
      </c>
      <c r="C341" s="14">
        <f>IFERROR(B341/B446, "NA")</f>
      </c>
      <c r="D341" s="15"/>
      <c r="E341" s="13">
        <v>323.29000000000002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434.69999999999999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1000.21</v>
      </c>
      <c r="R341" s="14">
        <f>IFERROR(Q341/Q446, "NA")</f>
      </c>
      <c r="S341" s="15"/>
      <c r="T341" s="13">
        <v>585.60000000000002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843.12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idden="1" ht="16.5" customHeight="1">
      <c t="s" r="A342" s="18">
        <v>312</v>
      </c>
      <c r="B342" s="13">
        <v>0</v>
      </c>
      <c r="C342" s="14">
        <f>IFERROR(B342/B446, "NA")</f>
      </c>
      <c r="D342" s="15"/>
      <c r="E342" s="13">
        <v>0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0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0</v>
      </c>
      <c r="R342" s="14">
        <f>IFERROR(Q342/Q446, "NA")</f>
      </c>
      <c r="S342" s="15"/>
      <c r="T342" s="13">
        <v>0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0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idden="1" ht="16.5" customHeight="1">
      <c t="s" r="A351" s="12">
        <v>320</v>
      </c>
      <c r="B351" s="13">
        <v>0</v>
      </c>
      <c r="C351" s="14">
        <f>IFERROR(B351/B446, "NA")</f>
      </c>
      <c r="D351" s="15"/>
      <c r="E351" s="13">
        <v>0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0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0</v>
      </c>
      <c r="R351" s="14">
        <f>IFERROR(Q351/Q446, "NA")</f>
      </c>
      <c r="S351" s="15"/>
      <c r="T351" s="13">
        <v>0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0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idden="1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0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idden="1" ht="16.5" customHeight="1">
      <c t="s" r="A355" s="12">
        <v>324</v>
      </c>
      <c r="B355" s="13">
        <v>0</v>
      </c>
      <c r="C355" s="14">
        <f>IFERROR(B355/B446, "NA")</f>
      </c>
      <c r="D355" s="15"/>
      <c r="E355" s="13">
        <v>0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0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0</v>
      </c>
      <c r="R355" s="14">
        <f>IFERROR(Q355/Q446, "NA")</f>
      </c>
      <c r="S355" s="15"/>
      <c r="T355" s="13">
        <v>0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0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idden="1" ht="16.5" customHeight="1">
      <c t="s" r="A356" s="12">
        <v>325</v>
      </c>
      <c r="B356" s="13">
        <v>0</v>
      </c>
      <c r="C356" s="14">
        <f>IFERROR(B356/B446, "NA")</f>
      </c>
      <c r="D356" s="15"/>
      <c r="E356" s="13">
        <v>0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0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0</v>
      </c>
      <c r="R356" s="14">
        <f>IFERROR(Q356/Q446, "NA")</f>
      </c>
      <c r="S356" s="15"/>
      <c r="T356" s="13">
        <v>0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0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idden="1" ht="16.5" customHeight="1">
      <c t="s" r="A357" s="12">
        <v>326</v>
      </c>
      <c r="B357" s="13">
        <v>0</v>
      </c>
      <c r="C357" s="14">
        <f>IFERROR(B357/B446, "NA")</f>
      </c>
      <c r="D357" s="15"/>
      <c r="E357" s="13">
        <v>0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0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0</v>
      </c>
      <c r="R357" s="14">
        <f>IFERROR(Q357/Q446, "NA")</f>
      </c>
      <c r="S357" s="15"/>
      <c r="T357" s="13">
        <v>0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0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idden="1" ht="16.5" customHeight="1">
      <c t="s" r="A358" s="12">
        <v>327</v>
      </c>
      <c r="B358" s="13">
        <v>0</v>
      </c>
      <c r="C358" s="14">
        <f>IFERROR(B358/B446, "NA")</f>
      </c>
      <c r="D358" s="15"/>
      <c r="E358" s="13">
        <v>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0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0</v>
      </c>
      <c r="R358" s="14">
        <f>IFERROR(Q358/Q446, "NA")</f>
      </c>
      <c r="S358" s="15"/>
      <c r="T358" s="13">
        <v>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0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idden="1" ht="16.5" customHeight="1">
      <c t="s" r="A363" s="12">
        <v>331</v>
      </c>
      <c r="B363" s="13">
        <v>0</v>
      </c>
      <c r="C363" s="14">
        <f>IFERROR(B363/B446, "NA")</f>
      </c>
      <c r="D363" s="15"/>
      <c r="E363" s="13">
        <v>0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0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0</v>
      </c>
      <c r="R363" s="14">
        <f>IFERROR(Q363/Q446, "NA")</f>
      </c>
      <c r="S363" s="15"/>
      <c r="T363" s="13">
        <v>0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0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idden="1" ht="16.5" customHeight="1">
      <c t="s" r="A364" s="12">
        <v>332</v>
      </c>
      <c r="B364" s="13">
        <v>0</v>
      </c>
      <c r="C364" s="14">
        <f>IFERROR(B364/B446, "NA")</f>
      </c>
      <c r="D364" s="15"/>
      <c r="E364" s="13">
        <v>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0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0</v>
      </c>
      <c r="R364" s="14">
        <f>IFERROR(Q364/Q446, "NA")</f>
      </c>
      <c r="S364" s="15"/>
      <c r="T364" s="13">
        <v>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0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idden="1" ht="16.5" customHeight="1">
      <c t="s" r="A365" s="12">
        <v>333</v>
      </c>
      <c r="B365" s="13">
        <v>0</v>
      </c>
      <c r="C365" s="14">
        <f>IFERROR(B365/B446, "NA")</f>
      </c>
      <c r="D365" s="15"/>
      <c r="E365" s="13">
        <v>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0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0</v>
      </c>
      <c r="R365" s="14">
        <f>IFERROR(Q365/Q446, "NA")</f>
      </c>
      <c r="S365" s="15"/>
      <c r="T365" s="13">
        <v>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0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idden="1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0</v>
      </c>
      <c r="R366" s="14">
        <f>IFERROR(Q366/Q446, "NA")</f>
      </c>
      <c r="S366" s="15"/>
      <c r="T366" s="13">
        <v>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0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idden="1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0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0</v>
      </c>
      <c r="R367" s="14">
        <f>IFERROR(Q367/Q446, "NA")</f>
      </c>
      <c r="S367" s="15"/>
      <c r="T367" s="13">
        <v>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0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idden="1" ht="16.5" customHeight="1">
      <c t="s" r="A368" s="12">
        <v>336</v>
      </c>
      <c r="B368" s="13">
        <v>0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0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0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idden="1" ht="16.5" customHeight="1">
      <c t="s" r="A371" s="26">
        <v>339</v>
      </c>
      <c r="B371" s="13">
        <v>0</v>
      </c>
      <c r="C371" s="14">
        <f>IFERROR(B371/B446, "NA")</f>
      </c>
      <c r="D371" s="15"/>
      <c r="E371" s="13">
        <v>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0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0</v>
      </c>
      <c r="R371" s="14">
        <f>IFERROR(Q371/Q446, "NA")</f>
      </c>
      <c r="S371" s="15"/>
      <c r="T371" s="13">
        <v>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0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idden="1" ht="16.5" customHeight="1">
      <c t="s" r="A372" s="26">
        <v>340</v>
      </c>
      <c r="B372" s="13">
        <v>0</v>
      </c>
      <c r="C372" s="14">
        <f>IFERROR(B372/B446, "NA")</f>
      </c>
      <c r="D372" s="15"/>
      <c r="E372" s="13">
        <v>0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0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0</v>
      </c>
      <c r="R372" s="14">
        <f>IFERROR(Q372/Q446, "NA")</f>
      </c>
      <c r="S372" s="15"/>
      <c r="T372" s="13">
        <v>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0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idden="1" ht="16.5" customHeight="1">
      <c t="s" r="A373" s="26">
        <v>341</v>
      </c>
      <c r="B373" s="13">
        <v>0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0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0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0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idden="1" ht="16.5" customHeight="1">
      <c t="s" r="A374" s="26">
        <v>342</v>
      </c>
      <c r="B374" s="13">
        <v>0</v>
      </c>
      <c r="C374" s="14">
        <f>IFERROR(B374/B446, "NA")</f>
      </c>
      <c r="D374" s="15"/>
      <c r="E374" s="13">
        <v>0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0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0</v>
      </c>
      <c r="R374" s="14">
        <f>IFERROR(Q374/Q446, "NA")</f>
      </c>
      <c r="S374" s="15"/>
      <c r="T374" s="13">
        <v>0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0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idden="1" ht="16.5" customHeight="1">
      <c t="s" r="A375" s="26">
        <v>343</v>
      </c>
      <c r="B375" s="13">
        <v>0</v>
      </c>
      <c r="C375" s="14">
        <f>IFERROR(B375/B446, "NA")</f>
      </c>
      <c r="D375" s="15"/>
      <c r="E375" s="13">
        <v>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0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0</v>
      </c>
      <c r="R375" s="14">
        <f>IFERROR(Q375/Q446, "NA")</f>
      </c>
      <c r="S375" s="15"/>
      <c r="T375" s="13">
        <v>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0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idden="1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0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idden="1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0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0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idden="1" ht="16.5" customHeight="1">
      <c t="s" r="A379" s="26">
        <v>347</v>
      </c>
      <c r="B379" s="13">
        <v>0</v>
      </c>
      <c r="C379" s="14">
        <f>IFERROR(B379/B446, "NA")</f>
      </c>
      <c r="D379" s="15"/>
      <c r="E379" s="13">
        <v>0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0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0</v>
      </c>
      <c r="R379" s="14">
        <f>IFERROR(Q379/Q446, "NA")</f>
      </c>
      <c r="S379" s="15"/>
      <c r="T379" s="13">
        <v>0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0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idden="1" ht="16.5" customHeight="1">
      <c t="s" r="A380" s="26">
        <v>348</v>
      </c>
      <c r="B380" s="13">
        <v>0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0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0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0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idden="1" ht="16.5" customHeight="1">
      <c t="s" r="A381" s="26">
        <v>349</v>
      </c>
      <c r="B381" s="13">
        <v>0</v>
      </c>
      <c r="C381" s="14">
        <f>IFERROR(B381/B446, "NA")</f>
      </c>
      <c r="D381" s="15"/>
      <c r="E381" s="13">
        <v>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0</v>
      </c>
      <c r="R381" s="14">
        <f>IFERROR(Q381/Q446, "NA")</f>
      </c>
      <c r="S381" s="15"/>
      <c r="T381" s="13">
        <v>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idden="1" ht="16.5" customHeight="1">
      <c t="s" r="A382" s="26">
        <v>350</v>
      </c>
      <c r="B382" s="13">
        <v>0</v>
      </c>
      <c r="C382" s="14">
        <f>IFERROR(B382/B446, "NA")</f>
      </c>
      <c r="D382" s="15"/>
      <c r="E382" s="13">
        <v>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0</v>
      </c>
      <c r="R382" s="14">
        <f>IFERROR(Q382/Q446, "NA")</f>
      </c>
      <c r="S382" s="15"/>
      <c r="T382" s="13">
        <v>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0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idden="1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0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0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0</v>
      </c>
      <c r="R383" s="14">
        <f>IFERROR(Q383/Q446, "NA")</f>
      </c>
      <c r="S383" s="15"/>
      <c r="T383" s="13">
        <v>0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0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idden="1" ht="16.5" customHeight="1">
      <c t="s" r="A386" s="12">
        <v>353</v>
      </c>
      <c r="B386" s="13">
        <v>0</v>
      </c>
      <c r="C386" s="14">
        <f>IFERROR(B386/B446, "NA")</f>
      </c>
      <c r="D386" s="15"/>
      <c r="E386" s="13">
        <v>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0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0</v>
      </c>
      <c r="R386" s="14">
        <f>IFERROR(Q386/Q446, "NA")</f>
      </c>
      <c r="S386" s="15"/>
      <c r="T386" s="13">
        <v>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0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idden="1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0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idden="1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0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0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idden="1" ht="16.5" customHeight="1">
      <c t="s" r="A390" s="18">
        <v>356</v>
      </c>
      <c r="B390" s="13">
        <v>0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0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0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0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idden="1" ht="16.5" customHeight="1">
      <c t="s" r="A391" s="18">
        <v>357</v>
      </c>
      <c r="B391" s="13">
        <v>0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0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0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0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idden="1" ht="16.5" customHeight="1">
      <c t="s" r="A393" s="18">
        <v>359</v>
      </c>
      <c r="B393" s="13">
        <v>0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0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0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0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idden="1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0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0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0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idden="1" ht="16.5" customHeight="1">
      <c t="s" r="A396" s="12">
        <v>362</v>
      </c>
      <c r="B396" s="13">
        <v>0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0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idden="1" ht="16.5" customHeight="1">
      <c t="s" r="A398" s="26">
        <v>364</v>
      </c>
      <c r="B398" s="13">
        <v>0</v>
      </c>
      <c r="C398" s="14">
        <f>IFERROR(B398/B446, "NA")</f>
      </c>
      <c r="D398" s="15"/>
      <c r="E398" s="13">
        <v>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0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0</v>
      </c>
      <c r="R398" s="14">
        <f>IFERROR(Q398/Q446, "NA")</f>
      </c>
      <c r="S398" s="15"/>
      <c r="T398" s="13">
        <v>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0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idden="1" ht="16.5" customHeight="1">
      <c t="s" r="A399" s="26">
        <v>365</v>
      </c>
      <c r="B399" s="13">
        <v>0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0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0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0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idden="1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0</v>
      </c>
      <c r="R400" s="14">
        <f>IFERROR(Q400/Q446, "NA")</f>
      </c>
      <c r="S400" s="15"/>
      <c r="T400" s="13">
        <v>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3942.3499999999999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7810.0100000000002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4735.6400000000003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3879.2399999999998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9471.2700000000004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7665.8800000000001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idden="1" ht="16.5" customHeight="1">
      <c t="s" r="A412" s="12">
        <v>377</v>
      </c>
      <c r="B412" s="13">
        <v>0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0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0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0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idden="1" ht="16.5" customHeight="1">
      <c t="s" r="A417" s="12">
        <v>382</v>
      </c>
      <c r="B417" s="13">
        <v>0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0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0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0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8.1300000000000008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-25.039999999999999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6.2400000000000002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47.600000000000001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idden="1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0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idden="1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0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idden="1" ht="16.5" customHeight="1">
      <c t="s" r="A423" s="12">
        <v>388</v>
      </c>
      <c r="B423" s="13">
        <v>0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0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idden="1" ht="16.5" customHeight="1">
      <c t="s" r="A424" s="12">
        <v>389</v>
      </c>
      <c r="B424" s="13">
        <v>0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0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0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t="16.5" customHeight="1">
      <c t="s" r="A426" s="12">
        <v>391</v>
      </c>
      <c r="B426" s="13">
        <v>67.079999999999998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47.920000000000002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134.16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95.840000000000003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idden="1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0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t="16.5" customHeight="1">
      <c t="s" r="A428" s="12">
        <v>393</v>
      </c>
      <c r="B428" s="13">
        <v>-113.01000000000001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-134.94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-228.99000000000001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-277.99000000000001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73648.050000000003</v>
      </c>
      <c r="C446" s="33"/>
      <c r="D446" s="15"/>
      <c r="E446" s="13">
        <v>80823</v>
      </c>
      <c r="F446" s="33"/>
      <c r="G446" s="15"/>
      <c r="H446" s="16">
        <f>IFERROR(B446-E446, "NA")</f>
      </c>
      <c r="I446" s="33"/>
      <c r="J446" s="15"/>
      <c r="K446" s="13">
        <v>77231.740000000005</v>
      </c>
      <c r="L446" s="33"/>
      <c r="M446" s="15"/>
      <c r="N446" s="16">
        <f>IFERROR(B446-K446, "NA")</f>
      </c>
      <c r="O446" s="33"/>
      <c r="P446" s="15"/>
      <c r="Q446" s="13">
        <v>141534.64999999999</v>
      </c>
      <c r="R446" s="33"/>
      <c r="S446" s="15"/>
      <c r="T446" s="13">
        <v>146399.45999999999</v>
      </c>
      <c r="U446" s="33"/>
      <c r="V446" s="15"/>
      <c r="W446" s="16">
        <f>IFERROR(Q446-T446, "NA")</f>
      </c>
      <c r="X446" s="33"/>
      <c r="Y446" s="15"/>
      <c r="Z446" s="13">
        <v>141053.10999999999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415</v>
      </c>
      <c t="s" r="B3" s="3">
        <v>415</v>
      </c>
      <c t="s" r="C3" s="3">
        <v>415</v>
      </c>
      <c t="s" r="D3" s="3">
        <v>415</v>
      </c>
      <c t="s" r="E3" s="3">
        <v>415</v>
      </c>
      <c t="s" r="F3" s="3">
        <v>415</v>
      </c>
      <c t="s" r="G3" s="3">
        <v>415</v>
      </c>
      <c t="s" r="H3" s="3">
        <v>415</v>
      </c>
      <c t="s" r="I3" s="3">
        <v>415</v>
      </c>
      <c t="s" r="J3" s="3">
        <v>415</v>
      </c>
      <c t="s" r="K3" s="3">
        <v>415</v>
      </c>
      <c t="s" r="L3" s="3">
        <v>415</v>
      </c>
      <c t="s" r="M3" s="3">
        <v>415</v>
      </c>
      <c t="s" r="N3" s="3">
        <v>415</v>
      </c>
      <c t="s" r="O3" s="3">
        <v>415</v>
      </c>
      <c t="s" r="P3" s="3">
        <v>415</v>
      </c>
      <c t="s" r="Q3" s="3">
        <v>415</v>
      </c>
      <c t="s" r="R3" s="3">
        <v>415</v>
      </c>
      <c t="s" r="S3" s="3">
        <v>415</v>
      </c>
      <c t="s" r="T3" s="3">
        <v>415</v>
      </c>
      <c t="s" r="U3" s="3">
        <v>415</v>
      </c>
      <c t="s" r="V3" s="3">
        <v>415</v>
      </c>
      <c t="s" r="W3" s="3">
        <v>415</v>
      </c>
      <c t="s" r="X3" s="3">
        <v>415</v>
      </c>
      <c t="s" r="Y3" s="3">
        <v>415</v>
      </c>
      <c t="s" r="Z3" s="3">
        <v>415</v>
      </c>
      <c t="s" r="AA3" s="3">
        <v>415</v>
      </c>
      <c t="s" r="AB3" s="3">
        <v>415</v>
      </c>
      <c t="s" r="AC3" s="3">
        <v>415</v>
      </c>
      <c t="s" r="AD3" s="3">
        <v>415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43874.370000000003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83681.419999999998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30819.509999999998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33284.150000000001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69540.130000000005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62649.599999999999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2909.8499999999999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2564.8499999999999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6771.1000000000004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4946.3999999999996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86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154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198.5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286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25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230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45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425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44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136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89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157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t="16.5" customHeight="1">
      <c t="s" r="A16" s="18">
        <v>18</v>
      </c>
      <c r="B16" s="13">
        <v>0.14999999999999999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0.59999999999999998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0.35999999999999999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0.59999999999999998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13005.620000000001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24805.57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90.099999999999994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6098.4499999999998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4179.4499999999998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11599.450000000001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5899.5200000000004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8688.0799999999999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1265.45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1795.55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2279.2199999999998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2749.6999999999998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118.06999999999999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321.23000000000002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2369.3899999999999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3001.1199999999999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3994.0300000000002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5056.5799999999999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784.69000000000005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712.80999999999995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1659.23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1539.4300000000001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34786.110000000001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66347.410000000003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19097.919999999998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18261.25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37621.059999999998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36489.68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1170.6900000000001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2402.4499999999998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2436.04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3322.8200000000002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24971.18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23966.59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42432.620000000003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39872.209999999999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882.84000000000003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1865.1800000000001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0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1875.3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904.59000000000003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3207.9000000000001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53432.709999999999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101912.00999999999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11660.18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8570.8600000000006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13528.059999999999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14489.76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idden="1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0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0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0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44970.699999999997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34503.910000000003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70606.850000000006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68314.580000000002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idden="1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0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0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idden="1" ht="16.5" customHeight="1">
      <c t="s" r="A50" s="23">
        <v>48</v>
      </c>
      <c r="B50" s="13">
        <v>0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0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0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0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t="16.5" customHeight="1">
      <c t="s" r="A51" s="23">
        <v>49</v>
      </c>
      <c r="B51" s="13">
        <v>2340.0799999999999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3236.4499999999998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4498.5900000000001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6779.4399999999996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t="16.5" customHeight="1">
      <c t="s" r="A52" s="23">
        <v>50</v>
      </c>
      <c r="B52" s="13">
        <v>7000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7000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idden="1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idden="1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0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idden="1" ht="16.5" customHeight="1">
      <c t="s" r="A55" s="23">
        <v>53</v>
      </c>
      <c r="B55" s="13">
        <v>0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0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0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0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idden="1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0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idden="1" ht="16.5" customHeight="1">
      <c t="s" r="A57" s="23">
        <v>55</v>
      </c>
      <c r="B57" s="13">
        <v>0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0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0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idden="1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idden="1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0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13632.389999999999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26001.009999999998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4211.29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0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5724.4200000000001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0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t="16.5" customHeight="1">
      <c t="s" r="A66" s="18">
        <v>63</v>
      </c>
      <c r="B66" s="13">
        <v>12942.690000000001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9663.7800000000007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22360.919999999998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16868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9882.75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idden="1" ht="16.5" customHeight="1">
      <c t="s" r="A68" s="18">
        <v>65</v>
      </c>
      <c r="B68" s="13">
        <v>0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0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0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0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idden="1" ht="16.5" customHeight="1">
      <c t="s" r="A69" s="18">
        <v>66</v>
      </c>
      <c r="B69" s="13">
        <v>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0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idden="1" ht="16.5" customHeight="1">
      <c t="s" r="A70" s="18">
        <v>67</v>
      </c>
      <c r="B70" s="13">
        <v>0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0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idden="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0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t="16.5" customHeight="1">
      <c t="s" r="A72" s="18">
        <v>69</v>
      </c>
      <c r="B72" s="13">
        <v>1353.8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1353.8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4387.4399999999996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8368.1399999999994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982.55999999999995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725.51999999999998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1251.3800000000001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1415.27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idden="1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0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4554.4399999999996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3566.4899999999998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6918.9300000000003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6732.6599999999999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idden="1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0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idden="1" ht="16.5" customHeight="1">
      <c t="s" r="A83" s="18">
        <v>79</v>
      </c>
      <c r="B83" s="13">
        <v>0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0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idden="1" ht="16.5" customHeight="1">
      <c t="s" r="A86" s="18">
        <v>82</v>
      </c>
      <c r="B86" s="13">
        <v>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988.27999999999997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idden="1" ht="16.5" customHeight="1">
      <c t="s" r="A89" s="12">
        <v>85</v>
      </c>
      <c r="B89" s="13">
        <v>0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0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0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0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-426.63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-632.08000000000004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-6424.46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-12253.35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-1444.5799999999999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-1945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-2248.1300000000001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-3458.9499999999998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-1083.73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-1214.8199999999999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-3207.3000000000002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-2826.5599999999999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t="16.5" customHeight="1">
      <c t="s" r="A100" s="18">
        <v>95</v>
      </c>
      <c r="B100" s="13">
        <v>-1111.55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-27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-1129.1400000000001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-405.66000000000003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t="16.5" customHeight="1">
      <c t="s" r="A101" s="18">
        <v>96</v>
      </c>
      <c r="B101" s="13">
        <v>-43.07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-43.07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-1953.23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-1879.2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-3124.27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-3255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t="16.5" customHeight="1">
      <c t="s" r="A103" s="18">
        <v>98</v>
      </c>
      <c r="B103" s="13">
        <v>0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-86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-110.12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-363.41000000000003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-375.43000000000001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-913.17999999999995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t="16.5" customHeight="1">
      <c t="s" r="A106" s="18">
        <v>101</v>
      </c>
      <c r="B106" s="13">
        <v>-66.849999999999994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-88.159999999999997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-66.849999999999994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-88.159999999999997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31965.610000000001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62531.739999999998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7566.2399999999998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8807.8199999999997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14040.85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15824.549999999999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4240.3000000000002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4203.4399999999996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8474.0599999999995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8002.75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5756.4200000000001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5610.2600000000002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9732.7099999999991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10674.629999999999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3453.8499999999999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2923.3899999999999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6435.8800000000001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5804.4099999999999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1833.1099999999999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1058.2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3100.4200000000001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2010.6300000000001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1707.76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1466.6199999999999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2999.7600000000002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3121.73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784.26999999999998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1702.6900000000001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949.99000000000001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695.34000000000003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1471.1600000000001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1287.72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11196.65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7224.29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20323.689999999999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14198.49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idden="1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0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0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1410.25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2689.7600000000002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1576.02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1505.5899999999999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2963.54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3533.4699999999998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25.960000000000001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-1013.03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60.82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-982.89999999999998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4.79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-231.41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6.3899999999999997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481.35000000000002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3.3500000000000001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27.780000000000001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0.51000000000000001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44.799999999999997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6424.46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12253.35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3970.96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3806.29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7798.3500000000004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7168.9099999999999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3108.3099999999999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2143.8400000000001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4579.6700000000001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4417.2799999999997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t="16.5" customHeight="1">
      <c t="s" r="A156" s="18">
        <v>145</v>
      </c>
      <c r="B156" s="13">
        <v>28.190000000000001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28.190000000000001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244.97999999999999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114.31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425.55000000000001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171.49000000000001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idden="1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0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idden="1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0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198.47999999999999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94.799999999999997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360.06999999999999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211.47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51.93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47.799999999999997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103.55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95.400000000000006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-1310.3299999999999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-2229.5100000000002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-2316.54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-4221.9799999999996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10076.92</v>
      </c>
      <c r="C178" s="14">
        <f>IFERROR(B178/B446, "NA")</f>
      </c>
      <c r="D178" s="15"/>
      <c r="E178" s="13">
        <v>10076.92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10076.92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20153.84</v>
      </c>
      <c r="R178" s="14">
        <f>IFERROR(Q178/Q446, "NA")</f>
      </c>
      <c r="S178" s="15"/>
      <c r="T178" s="13">
        <v>20153.84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20153.84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26826</v>
      </c>
      <c r="C180" s="14">
        <f>IFERROR(B180/B446, "NA")</f>
      </c>
      <c r="D180" s="15"/>
      <c r="E180" s="13">
        <v>25384.459999999999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24554.09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48365.150000000001</v>
      </c>
      <c r="R180" s="14">
        <f>IFERROR(Q180/Q446, "NA")</f>
      </c>
      <c r="S180" s="15"/>
      <c r="T180" s="13">
        <v>47562.669999999998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46422.089999999997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t="16.5" customHeight="1">
      <c t="s" r="A181" s="18">
        <v>166</v>
      </c>
      <c r="B181" s="13">
        <v>83.370000000000005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201.63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88.099999999999994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215.62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863</v>
      </c>
      <c r="C184" s="14">
        <f>IFERROR(B184/B446, "NA")</f>
      </c>
      <c r="D184" s="15"/>
      <c r="E184" s="13">
        <v>862.5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1150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1726</v>
      </c>
      <c r="R184" s="14">
        <f>IFERROR(Q184/Q446, "NA")</f>
      </c>
      <c r="S184" s="15"/>
      <c r="T184" s="13">
        <v>1725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2300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4436.8000000000002</v>
      </c>
      <c r="C186" s="14">
        <f>IFERROR(B186/B446, "NA")</f>
      </c>
      <c r="D186" s="15"/>
      <c r="E186" s="13">
        <v>3808.5900000000001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3627.23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8265.7600000000002</v>
      </c>
      <c r="R186" s="14">
        <f>IFERROR(Q186/Q446, "NA")</f>
      </c>
      <c r="S186" s="15"/>
      <c r="T186" s="13">
        <v>7296.7299999999996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7003.1199999999999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345.56</v>
      </c>
      <c r="C194" s="14">
        <f>IFERROR(B194/B446, "NA")</f>
      </c>
      <c r="D194" s="15"/>
      <c r="E194" s="13">
        <v>290.58999999999997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361.45999999999998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595.72000000000003</v>
      </c>
      <c r="R194" s="14">
        <f>IFERROR(Q194/Q446, "NA")</f>
      </c>
      <c r="S194" s="15"/>
      <c r="T194" s="13">
        <v>555.52999999999997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611.62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t="16.5" customHeight="1">
      <c t="s" r="A195" s="12">
        <v>179</v>
      </c>
      <c r="B195" s="13">
        <v>239.37</v>
      </c>
      <c r="C195" s="14">
        <f>IFERROR(B195/B446, "NA")</f>
      </c>
      <c r="D195" s="15"/>
      <c r="E195" s="13">
        <v>470.07999999999998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381.85000000000002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478.74000000000001</v>
      </c>
      <c r="R195" s="14">
        <f>IFERROR(Q195/Q446, "NA")</f>
      </c>
      <c r="S195" s="15"/>
      <c r="T195" s="13">
        <v>896.58000000000004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763.70000000000005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1724.6700000000001</v>
      </c>
      <c r="C202" s="14">
        <f>IFERROR(B202/B446, "NA")</f>
      </c>
      <c r="D202" s="15"/>
      <c r="E202" s="13">
        <v>1410.25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1132.8199999999999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3734.73</v>
      </c>
      <c r="R202" s="14">
        <f>IFERROR(Q202/Q446, "NA")</f>
      </c>
      <c r="S202" s="15"/>
      <c r="T202" s="13">
        <v>2689.7600000000002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2222.75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1093.03</v>
      </c>
      <c r="C203" s="14">
        <f>IFERROR(B203/B446, "NA")</f>
      </c>
      <c r="D203" s="15"/>
      <c r="E203" s="13">
        <v>940.16999999999996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719.25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1937.25</v>
      </c>
      <c r="R203" s="14">
        <f>IFERROR(Q203/Q446, "NA")</f>
      </c>
      <c r="S203" s="15"/>
      <c r="T203" s="13">
        <v>1793.1800000000001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1856.04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40.799999999999997</v>
      </c>
      <c r="C204" s="14">
        <f>IFERROR(B204/B446, "NA")</f>
      </c>
      <c r="D204" s="15"/>
      <c r="E204" s="13">
        <v>313.38999999999999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249.16999999999999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64.980000000000004</v>
      </c>
      <c r="R204" s="14">
        <f>IFERROR(Q204/Q446, "NA")</f>
      </c>
      <c r="S204" s="15"/>
      <c r="T204" s="13">
        <v>597.73000000000002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311.19999999999999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623.13</v>
      </c>
      <c r="C205" s="14">
        <f>IFERROR(B205/B446, "NA")</f>
      </c>
      <c r="D205" s="15"/>
      <c r="E205" s="13">
        <v>470.07999999999998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697.40999999999997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1231.01</v>
      </c>
      <c r="R205" s="14">
        <f>IFERROR(Q205/Q446, "NA")</f>
      </c>
      <c r="S205" s="15"/>
      <c r="T205" s="13">
        <v>896.58000000000004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1395.6099999999999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22.32</v>
      </c>
      <c r="C206" s="14">
        <f>IFERROR(B206/B446, "NA")</f>
      </c>
      <c r="D206" s="15"/>
      <c r="E206" s="13">
        <v>156.69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135.75999999999999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245.12</v>
      </c>
      <c r="R206" s="14">
        <f>IFERROR(Q206/Q446, "NA")</f>
      </c>
      <c r="S206" s="15"/>
      <c r="T206" s="13">
        <v>298.86000000000001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135.75999999999999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103.77</v>
      </c>
      <c r="C207" s="14">
        <f>IFERROR(B207/B446, "NA")</f>
      </c>
      <c r="D207" s="15"/>
      <c r="E207" s="13">
        <v>100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0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103.77</v>
      </c>
      <c r="R207" s="14">
        <f>IFERROR(Q207/Q446, "NA")</f>
      </c>
      <c r="S207" s="15"/>
      <c r="T207" s="13">
        <v>200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99.599999999999994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25.969999999999999</v>
      </c>
      <c r="C208" s="14">
        <f>IFERROR(B208/B446, "NA")</f>
      </c>
      <c r="D208" s="15"/>
      <c r="E208" s="13">
        <v>100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24.370000000000001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66.790000000000006</v>
      </c>
      <c r="R208" s="14">
        <f>IFERROR(Q208/Q446, "NA")</f>
      </c>
      <c r="S208" s="15"/>
      <c r="T208" s="13">
        <v>200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229.30000000000001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5954.3800000000001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11356.77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3040.9699999999998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4978.3299999999999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5434.1000000000004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9725.0699999999997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t="16.5" customHeight="1">
      <c t="s" r="A215" s="18">
        <v>195</v>
      </c>
      <c r="B215" s="13">
        <v>1308.02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0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2027.6900000000001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0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t="16.5" customHeight="1">
      <c t="s" r="A216" s="18">
        <v>196</v>
      </c>
      <c r="B216" s="13">
        <v>44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0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144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0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5174.8900000000003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5383.3500000000004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7222.6599999999999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8508.1800000000003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246.77000000000001</v>
      </c>
      <c r="C222" s="14">
        <f>IFERROR(B222/B446, "NA")</f>
      </c>
      <c r="D222" s="15"/>
      <c r="E222" s="13">
        <v>100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328.97000000000003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338.44</v>
      </c>
      <c r="R222" s="14">
        <f>IFERROR(Q222/Q446, "NA")</f>
      </c>
      <c r="S222" s="15"/>
      <c r="T222" s="13">
        <v>200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436.13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3447.27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6574.9700000000003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idden="1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0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303.23000000000002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0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636.94000000000005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t="16.5" customHeight="1">
      <c t="s" r="A233" s="12">
        <v>212</v>
      </c>
      <c r="B233" s="13">
        <v>53.539999999999999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271.31999999999999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3880.3200000000002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3360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6536.1000000000004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5866.9200000000001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34.270000000000003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50.659999999999997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13319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25403.279999999999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idden="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0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0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0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2772.5799999999999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2352.4899999999998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5490.5799999999999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4648.8500000000004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7634.8599999999997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5970.25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11956.08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11719.83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867.25999999999999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0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1184.8900000000001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0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228.19999999999999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698.28999999999996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453.26999999999998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960.75999999999999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182.09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165.41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385.02999999999997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357.23000000000002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4037.1799999999998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3837.71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7155.1899999999996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6518.9399999999996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idden="1" ht="16.5" customHeight="1">
      <c t="s" r="A251" s="18">
        <v>228</v>
      </c>
      <c r="B251" s="13">
        <v>0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0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0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0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idden="1" ht="16.5" customHeight="1">
      <c t="s" r="A253" s="18">
        <v>230</v>
      </c>
      <c r="B253" s="13">
        <v>0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0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0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t="16.5" customHeight="1">
      <c t="s" r="A254" s="18">
        <v>231</v>
      </c>
      <c r="B254" s="13">
        <v>2588.54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1932.76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4472.1899999999996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3375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idden="1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0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idden="1" ht="16.5" customHeight="1">
      <c t="s" r="A258" s="18">
        <v>235</v>
      </c>
      <c r="B258" s="13">
        <v>0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0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0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0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idden="1" ht="16.5" customHeight="1">
      <c t="s" r="A260" s="18">
        <v>237</v>
      </c>
      <c r="B260" s="13">
        <v>0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0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idden="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0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4551.2399999999998</v>
      </c>
      <c r="C266" s="14">
        <f>IFERROR(B266/B446, "NA")</f>
      </c>
      <c r="D266" s="15"/>
      <c r="E266" s="13">
        <v>3760.6599999999999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3239.3600000000001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7832.5299999999997</v>
      </c>
      <c r="R266" s="14">
        <f>IFERROR(Q266/Q446, "NA")</f>
      </c>
      <c r="S266" s="15"/>
      <c r="T266" s="13">
        <v>7172.6899999999996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6144.0500000000002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idden="1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0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0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0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241.5</v>
      </c>
      <c r="C271" s="14">
        <f>IFERROR(B271/B446, "NA")</f>
      </c>
      <c r="D271" s="15"/>
      <c r="E271" s="13">
        <v>236.63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229.69999999999999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483</v>
      </c>
      <c r="R271" s="14">
        <f>IFERROR(Q271/Q446, "NA")</f>
      </c>
      <c r="S271" s="15"/>
      <c r="T271" s="13">
        <v>473.25999999999999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459.39999999999998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1068.3</v>
      </c>
      <c r="C272" s="14">
        <f>IFERROR(B272/B446, "NA")</f>
      </c>
      <c r="D272" s="15"/>
      <c r="E272" s="13">
        <v>1068.3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852.79999999999995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2136.5999999999999</v>
      </c>
      <c r="R272" s="14">
        <f>IFERROR(Q272/Q446, "NA")</f>
      </c>
      <c r="S272" s="15"/>
      <c r="T272" s="13">
        <v>2136.5999999999999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1705.5999999999999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t="16.5" customHeight="1">
      <c t="s" r="A273" s="12">
        <v>248</v>
      </c>
      <c r="B273" s="13">
        <v>199.27000000000001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398.54000000000002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idden="1" ht="16.5" customHeight="1">
      <c t="s" r="A288" s="12">
        <v>261</v>
      </c>
      <c r="B288" s="13">
        <v>0</v>
      </c>
      <c r="C288" s="14">
        <f>IFERROR(B288/B446, "NA")</f>
      </c>
      <c r="D288" s="15"/>
      <c r="E288" s="13">
        <v>0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0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0</v>
      </c>
      <c r="R288" s="14">
        <f>IFERROR(Q288/Q446, "NA")</f>
      </c>
      <c r="S288" s="15"/>
      <c r="T288" s="13">
        <v>0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0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145.75</v>
      </c>
      <c r="C289" s="14">
        <f>IFERROR(B289/B446, "NA")</f>
      </c>
      <c r="D289" s="15"/>
      <c r="E289" s="13">
        <v>146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144.65000000000001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291.5</v>
      </c>
      <c r="R289" s="14">
        <f>IFERROR(Q289/Q446, "NA")</f>
      </c>
      <c r="S289" s="15"/>
      <c r="T289" s="13">
        <v>292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289.30000000000001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262.13999999999999</v>
      </c>
      <c r="C290" s="14">
        <f>IFERROR(B290/B446, "NA")</f>
      </c>
      <c r="D290" s="15"/>
      <c r="E290" s="13">
        <v>247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220.99000000000001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509.44</v>
      </c>
      <c r="R290" s="14">
        <f>IFERROR(Q290/Q446, "NA")</f>
      </c>
      <c r="S290" s="15"/>
      <c r="T290" s="13">
        <v>494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439.06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430</v>
      </c>
      <c r="C291" s="14">
        <f>IFERROR(B291/B446, "NA")</f>
      </c>
      <c r="D291" s="15"/>
      <c r="E291" s="13">
        <v>940.16999999999996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3569.0500000000002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1388.4100000000001</v>
      </c>
      <c r="R291" s="14">
        <f>IFERROR(Q291/Q446, "NA")</f>
      </c>
      <c r="S291" s="15"/>
      <c r="T291" s="13">
        <v>1793.1800000000001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4834.4300000000003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1334.79</v>
      </c>
      <c r="C292" s="14">
        <f>IFERROR(B292/B446, "NA")</f>
      </c>
      <c r="D292" s="15"/>
      <c r="E292" s="13">
        <v>783.47000000000003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1926.1600000000001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3829.4699999999998</v>
      </c>
      <c r="R292" s="14">
        <f>IFERROR(Q292/Q446, "NA")</f>
      </c>
      <c r="S292" s="15"/>
      <c r="T292" s="13">
        <v>1494.3099999999999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4845.1000000000004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0</v>
      </c>
      <c r="C293" s="14">
        <f>IFERROR(B293/B446, "NA")</f>
      </c>
      <c r="D293" s="15"/>
      <c r="E293" s="13">
        <v>156.69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0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394.79000000000002</v>
      </c>
      <c r="R293" s="14">
        <f>IFERROR(Q293/Q446, "NA")</f>
      </c>
      <c r="S293" s="15"/>
      <c r="T293" s="13">
        <v>298.86000000000001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0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0</v>
      </c>
      <c r="C294" s="14">
        <f>IFERROR(B294/B446, "NA")</f>
      </c>
      <c r="D294" s="15"/>
      <c r="E294" s="13">
        <v>235.03999999999999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0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0</v>
      </c>
      <c r="R294" s="14">
        <f>IFERROR(Q294/Q446, "NA")</f>
      </c>
      <c r="S294" s="15"/>
      <c r="T294" s="13">
        <v>448.29000000000002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0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300</v>
      </c>
      <c r="C295" s="14">
        <f>IFERROR(B295/B446, "NA")</f>
      </c>
      <c r="D295" s="15"/>
      <c r="E295" s="13">
        <v>311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325.01999999999998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599.99000000000001</v>
      </c>
      <c r="R295" s="14">
        <f>IFERROR(Q295/Q446, "NA")</f>
      </c>
      <c r="S295" s="15"/>
      <c r="T295" s="13">
        <v>622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650.00999999999999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525.57000000000005</v>
      </c>
      <c r="C300" s="14">
        <f>IFERROR(B300/B446, "NA")</f>
      </c>
      <c r="D300" s="15"/>
      <c r="E300" s="13">
        <v>517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507.39999999999998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1051.1400000000001</v>
      </c>
      <c r="R300" s="14">
        <f>IFERROR(Q300/Q446, "NA")</f>
      </c>
      <c r="S300" s="15"/>
      <c r="T300" s="13">
        <v>1034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1414.51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idden="1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0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0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idden="1" ht="16.5" customHeight="1">
      <c t="s" r="A306" s="12">
        <v>278</v>
      </c>
      <c r="B306" s="13">
        <v>0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0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0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0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546</v>
      </c>
      <c r="C311" s="14">
        <f>IFERROR(B311/B446, "NA")</f>
      </c>
      <c r="D311" s="15"/>
      <c r="E311" s="13">
        <v>55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0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546</v>
      </c>
      <c r="R311" s="14">
        <f>IFERROR(Q311/Q446, "NA")</f>
      </c>
      <c r="S311" s="15"/>
      <c r="T311" s="13">
        <v>110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0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26.73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26.73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523.70000000000005</v>
      </c>
      <c r="C313" s="14">
        <f>IFERROR(B313/B446, "NA")</f>
      </c>
      <c r="D313" s="15"/>
      <c r="E313" s="13">
        <v>35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236.28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808.53999999999996</v>
      </c>
      <c r="R313" s="14">
        <f>IFERROR(Q313/Q446, "NA")</f>
      </c>
      <c r="S313" s="15"/>
      <c r="T313" s="13">
        <v>70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407.58999999999997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312</v>
      </c>
      <c r="C314" s="14">
        <f>IFERROR(B314/B446, "NA")</f>
      </c>
      <c r="D314" s="15"/>
      <c r="E314" s="13">
        <v>250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248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540</v>
      </c>
      <c r="R314" s="14">
        <f>IFERROR(Q314/Q446, "NA")</f>
      </c>
      <c r="S314" s="15"/>
      <c r="T314" s="13">
        <v>500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496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idden="1" ht="16.5" customHeight="1">
      <c t="s" r="A316" s="12">
        <v>288</v>
      </c>
      <c r="B316" s="13">
        <v>0</v>
      </c>
      <c r="C316" s="14">
        <f>IFERROR(B316/B446, "NA")</f>
      </c>
      <c r="D316" s="15"/>
      <c r="E316" s="13">
        <v>0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0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0</v>
      </c>
      <c r="R316" s="14">
        <f>IFERROR(Q316/Q446, "NA")</f>
      </c>
      <c r="S316" s="15"/>
      <c r="T316" s="13">
        <v>0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0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idden="1" ht="16.5" customHeight="1">
      <c t="s" r="A317" s="12">
        <v>289</v>
      </c>
      <c r="B317" s="13">
        <v>0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0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idden="1" ht="16.5" customHeight="1">
      <c t="s" r="A319" s="12">
        <v>291</v>
      </c>
      <c r="B319" s="13">
        <v>0</v>
      </c>
      <c r="C319" s="14">
        <f>IFERROR(B319/B446, "NA")</f>
      </c>
      <c r="D319" s="15"/>
      <c r="E319" s="13">
        <v>0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0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0</v>
      </c>
      <c r="R319" s="14">
        <f>IFERROR(Q319/Q446, "NA")</f>
      </c>
      <c r="S319" s="15"/>
      <c r="T319" s="13">
        <v>0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0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323.94</v>
      </c>
      <c r="C320" s="14">
        <f>IFERROR(B320/B446, "NA")</f>
      </c>
      <c r="D320" s="15"/>
      <c r="E320" s="13">
        <v>314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315.81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647.88</v>
      </c>
      <c r="R320" s="14">
        <f>IFERROR(Q320/Q446, "NA")</f>
      </c>
      <c r="S320" s="15"/>
      <c r="T320" s="13">
        <v>628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631.62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1122.8800000000001</v>
      </c>
      <c r="C321" s="14">
        <f>IFERROR(B321/B446, "NA")</f>
      </c>
      <c r="D321" s="15"/>
      <c r="E321" s="13">
        <v>1101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981.04999999999995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2211.54</v>
      </c>
      <c r="R321" s="14">
        <f>IFERROR(Q321/Q446, "NA")</f>
      </c>
      <c r="S321" s="15"/>
      <c r="T321" s="13">
        <v>2202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1949.3900000000001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1310.3299999999999</v>
      </c>
      <c r="C322" s="14">
        <f>IFERROR(B322/B446, "NA")</f>
      </c>
      <c r="D322" s="15"/>
      <c r="E322" s="13">
        <v>1566.9400000000001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2229.5100000000002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2316.54</v>
      </c>
      <c r="R322" s="14">
        <f>IFERROR(Q322/Q446, "NA")</f>
      </c>
      <c r="S322" s="15"/>
      <c r="T322" s="13">
        <v>2846.4499999999998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4221.9799999999996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174.5</v>
      </c>
      <c r="C323" s="14">
        <f>IFERROR(B323/B446, "NA")</f>
      </c>
      <c r="D323" s="15"/>
      <c r="E323" s="13">
        <v>191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174.47999999999999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411.94999999999999</v>
      </c>
      <c r="R323" s="14">
        <f>IFERROR(Q323/Q446, "NA")</f>
      </c>
      <c r="S323" s="15"/>
      <c r="T323" s="13">
        <v>382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334.43000000000001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idden="1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0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10440.49</v>
      </c>
      <c r="C330" s="14">
        <f>IFERROR(B330/B446, "NA")</f>
      </c>
      <c r="D330" s="15"/>
      <c r="E330" s="13">
        <v>10440.49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10136.4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20880.98</v>
      </c>
      <c r="R330" s="14">
        <f>IFERROR(Q330/Q446, "NA")</f>
      </c>
      <c r="S330" s="15"/>
      <c r="T330" s="13">
        <v>20880.98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20272.799999999999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728.64999999999998</v>
      </c>
      <c r="C331" s="14">
        <f>IFERROR(B331/B446, "NA")</f>
      </c>
      <c r="D331" s="15"/>
      <c r="E331" s="13">
        <v>728.64999999999998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728.64999999999998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1457.3</v>
      </c>
      <c r="R331" s="14">
        <f>IFERROR(Q331/Q446, "NA")</f>
      </c>
      <c r="S331" s="15"/>
      <c r="T331" s="13">
        <v>1457.3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1457.3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t="16.5" customHeight="1">
      <c t="s" r="A333" s="12">
        <v>304</v>
      </c>
      <c r="B333" s="13">
        <v>15.16</v>
      </c>
      <c r="C333" s="14">
        <f>IFERROR(B333/B446, "NA")</f>
      </c>
      <c r="D333" s="15"/>
      <c r="E333" s="13">
        <v>133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15.16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30.32</v>
      </c>
      <c r="R333" s="14">
        <f>IFERROR(Q333/Q446, "NA")</f>
      </c>
      <c r="S333" s="15"/>
      <c r="T333" s="13">
        <v>266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30.32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964.13999999999999</v>
      </c>
      <c r="C334" s="14">
        <f>IFERROR(B334/B446, "NA")</f>
      </c>
      <c r="D334" s="15"/>
      <c r="E334" s="13">
        <v>964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964.13999999999999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1928.28</v>
      </c>
      <c r="R334" s="14">
        <f>IFERROR(Q334/Q446, "NA")</f>
      </c>
      <c r="S334" s="15"/>
      <c r="T334" s="13">
        <v>1928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1928.28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-803.91999999999996</v>
      </c>
      <c r="C335" s="14">
        <f>IFERROR(B335/B446, "NA")</f>
      </c>
      <c r="D335" s="15"/>
      <c r="E335" s="13">
        <v>-803.91999999999996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-780.5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-1607.8399999999999</v>
      </c>
      <c r="R335" s="14">
        <f>IFERROR(Q335/Q446, "NA")</f>
      </c>
      <c r="S335" s="15"/>
      <c r="T335" s="13">
        <v>-1607.8399999999999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-1561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235.03999999999999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1654.8099999999999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448.29000000000002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3309.6199999999999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4133.8900000000003</v>
      </c>
      <c r="C339" s="14">
        <f>IFERROR(B339/B446, "NA")</f>
      </c>
      <c r="D339" s="15"/>
      <c r="E339" s="13">
        <v>3133.8800000000001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4933.7299999999996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8059.6099999999997</v>
      </c>
      <c r="R339" s="14">
        <f>IFERROR(Q339/Q446, "NA")</f>
      </c>
      <c r="S339" s="15"/>
      <c r="T339" s="13">
        <v>5977.2399999999998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9707.1000000000004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392.39999999999998</v>
      </c>
      <c r="C340" s="14">
        <f>IFERROR(B340/B446, "NA")</f>
      </c>
      <c r="D340" s="15"/>
      <c r="E340" s="13">
        <v>313.38999999999999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341.75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723.47000000000003</v>
      </c>
      <c r="R340" s="14">
        <f>IFERROR(Q340/Q446, "NA")</f>
      </c>
      <c r="S340" s="15"/>
      <c r="T340" s="13">
        <v>597.73000000000002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642.78999999999996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251.38</v>
      </c>
      <c r="C341" s="14">
        <f>IFERROR(B341/B446, "NA")</f>
      </c>
      <c r="D341" s="15"/>
      <c r="E341" s="13">
        <v>626.77999999999997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498.80000000000001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1493.52</v>
      </c>
      <c r="R341" s="14">
        <f>IFERROR(Q341/Q446, "NA")</f>
      </c>
      <c r="S341" s="15"/>
      <c r="T341" s="13">
        <v>1195.45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1060.1900000000001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t="16.5" customHeight="1">
      <c t="s" r="A342" s="18">
        <v>312</v>
      </c>
      <c r="B342" s="13">
        <v>380.17000000000002</v>
      </c>
      <c r="C342" s="14">
        <f>IFERROR(B342/B446, "NA")</f>
      </c>
      <c r="D342" s="15"/>
      <c r="E342" s="13">
        <v>313.38999999999999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380.17000000000002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760.34000000000003</v>
      </c>
      <c r="R342" s="14">
        <f>IFERROR(Q342/Q446, "NA")</f>
      </c>
      <c r="S342" s="15"/>
      <c r="T342" s="13">
        <v>597.73000000000002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760.34000000000003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idden="1" ht="16.5" customHeight="1">
      <c t="s" r="A351" s="12">
        <v>320</v>
      </c>
      <c r="B351" s="13">
        <v>0</v>
      </c>
      <c r="C351" s="14">
        <f>IFERROR(B351/B446, "NA")</f>
      </c>
      <c r="D351" s="15"/>
      <c r="E351" s="13">
        <v>0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0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0</v>
      </c>
      <c r="R351" s="14">
        <f>IFERROR(Q351/Q446, "NA")</f>
      </c>
      <c r="S351" s="15"/>
      <c r="T351" s="13">
        <v>0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0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idden="1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0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idden="1" ht="16.5" customHeight="1">
      <c t="s" r="A355" s="12">
        <v>324</v>
      </c>
      <c r="B355" s="13">
        <v>0</v>
      </c>
      <c r="C355" s="14">
        <f>IFERROR(B355/B446, "NA")</f>
      </c>
      <c r="D355" s="15"/>
      <c r="E355" s="13">
        <v>0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0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0</v>
      </c>
      <c r="R355" s="14">
        <f>IFERROR(Q355/Q446, "NA")</f>
      </c>
      <c r="S355" s="15"/>
      <c r="T355" s="13">
        <v>0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0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idden="1" ht="16.5" customHeight="1">
      <c t="s" r="A356" s="12">
        <v>325</v>
      </c>
      <c r="B356" s="13">
        <v>0</v>
      </c>
      <c r="C356" s="14">
        <f>IFERROR(B356/B446, "NA")</f>
      </c>
      <c r="D356" s="15"/>
      <c r="E356" s="13">
        <v>0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0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0</v>
      </c>
      <c r="R356" s="14">
        <f>IFERROR(Q356/Q446, "NA")</f>
      </c>
      <c r="S356" s="15"/>
      <c r="T356" s="13">
        <v>0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0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idden="1" ht="16.5" customHeight="1">
      <c t="s" r="A357" s="12">
        <v>326</v>
      </c>
      <c r="B357" s="13">
        <v>0</v>
      </c>
      <c r="C357" s="14">
        <f>IFERROR(B357/B446, "NA")</f>
      </c>
      <c r="D357" s="15"/>
      <c r="E357" s="13">
        <v>0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0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0</v>
      </c>
      <c r="R357" s="14">
        <f>IFERROR(Q357/Q446, "NA")</f>
      </c>
      <c r="S357" s="15"/>
      <c r="T357" s="13">
        <v>0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0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idden="1" ht="16.5" customHeight="1">
      <c t="s" r="A358" s="12">
        <v>327</v>
      </c>
      <c r="B358" s="13">
        <v>0</v>
      </c>
      <c r="C358" s="14">
        <f>IFERROR(B358/B446, "NA")</f>
      </c>
      <c r="D358" s="15"/>
      <c r="E358" s="13">
        <v>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0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0</v>
      </c>
      <c r="R358" s="14">
        <f>IFERROR(Q358/Q446, "NA")</f>
      </c>
      <c r="S358" s="15"/>
      <c r="T358" s="13">
        <v>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0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idden="1" ht="16.5" customHeight="1">
      <c t="s" r="A363" s="12">
        <v>331</v>
      </c>
      <c r="B363" s="13">
        <v>0</v>
      </c>
      <c r="C363" s="14">
        <f>IFERROR(B363/B446, "NA")</f>
      </c>
      <c r="D363" s="15"/>
      <c r="E363" s="13">
        <v>0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0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0</v>
      </c>
      <c r="R363" s="14">
        <f>IFERROR(Q363/Q446, "NA")</f>
      </c>
      <c r="S363" s="15"/>
      <c r="T363" s="13">
        <v>0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0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idden="1" ht="16.5" customHeight="1">
      <c t="s" r="A364" s="12">
        <v>332</v>
      </c>
      <c r="B364" s="13">
        <v>0</v>
      </c>
      <c r="C364" s="14">
        <f>IFERROR(B364/B446, "NA")</f>
      </c>
      <c r="D364" s="15"/>
      <c r="E364" s="13">
        <v>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0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0</v>
      </c>
      <c r="R364" s="14">
        <f>IFERROR(Q364/Q446, "NA")</f>
      </c>
      <c r="S364" s="15"/>
      <c r="T364" s="13">
        <v>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0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idden="1" ht="16.5" customHeight="1">
      <c t="s" r="A365" s="12">
        <v>333</v>
      </c>
      <c r="B365" s="13">
        <v>0</v>
      </c>
      <c r="C365" s="14">
        <f>IFERROR(B365/B446, "NA")</f>
      </c>
      <c r="D365" s="15"/>
      <c r="E365" s="13">
        <v>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0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0</v>
      </c>
      <c r="R365" s="14">
        <f>IFERROR(Q365/Q446, "NA")</f>
      </c>
      <c r="S365" s="15"/>
      <c r="T365" s="13">
        <v>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0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idden="1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0</v>
      </c>
      <c r="R366" s="14">
        <f>IFERROR(Q366/Q446, "NA")</f>
      </c>
      <c r="S366" s="15"/>
      <c r="T366" s="13">
        <v>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0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idden="1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0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0</v>
      </c>
      <c r="R367" s="14">
        <f>IFERROR(Q367/Q446, "NA")</f>
      </c>
      <c r="S367" s="15"/>
      <c r="T367" s="13">
        <v>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0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idden="1" ht="16.5" customHeight="1">
      <c t="s" r="A368" s="12">
        <v>336</v>
      </c>
      <c r="B368" s="13">
        <v>0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0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0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idden="1" ht="16.5" customHeight="1">
      <c t="s" r="A371" s="26">
        <v>339</v>
      </c>
      <c r="B371" s="13">
        <v>0</v>
      </c>
      <c r="C371" s="14">
        <f>IFERROR(B371/B446, "NA")</f>
      </c>
      <c r="D371" s="15"/>
      <c r="E371" s="13">
        <v>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0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0</v>
      </c>
      <c r="R371" s="14">
        <f>IFERROR(Q371/Q446, "NA")</f>
      </c>
      <c r="S371" s="15"/>
      <c r="T371" s="13">
        <v>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0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idden="1" ht="16.5" customHeight="1">
      <c t="s" r="A372" s="26">
        <v>340</v>
      </c>
      <c r="B372" s="13">
        <v>0</v>
      </c>
      <c r="C372" s="14">
        <f>IFERROR(B372/B446, "NA")</f>
      </c>
      <c r="D372" s="15"/>
      <c r="E372" s="13">
        <v>0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0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0</v>
      </c>
      <c r="R372" s="14">
        <f>IFERROR(Q372/Q446, "NA")</f>
      </c>
      <c r="S372" s="15"/>
      <c r="T372" s="13">
        <v>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0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idden="1" ht="16.5" customHeight="1">
      <c t="s" r="A373" s="26">
        <v>341</v>
      </c>
      <c r="B373" s="13">
        <v>0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0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0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0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idden="1" ht="16.5" customHeight="1">
      <c t="s" r="A374" s="26">
        <v>342</v>
      </c>
      <c r="B374" s="13">
        <v>0</v>
      </c>
      <c r="C374" s="14">
        <f>IFERROR(B374/B446, "NA")</f>
      </c>
      <c r="D374" s="15"/>
      <c r="E374" s="13">
        <v>0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0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0</v>
      </c>
      <c r="R374" s="14">
        <f>IFERROR(Q374/Q446, "NA")</f>
      </c>
      <c r="S374" s="15"/>
      <c r="T374" s="13">
        <v>0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0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idden="1" ht="16.5" customHeight="1">
      <c t="s" r="A375" s="26">
        <v>343</v>
      </c>
      <c r="B375" s="13">
        <v>0</v>
      </c>
      <c r="C375" s="14">
        <f>IFERROR(B375/B446, "NA")</f>
      </c>
      <c r="D375" s="15"/>
      <c r="E375" s="13">
        <v>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0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0</v>
      </c>
      <c r="R375" s="14">
        <f>IFERROR(Q375/Q446, "NA")</f>
      </c>
      <c r="S375" s="15"/>
      <c r="T375" s="13">
        <v>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0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idden="1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0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idden="1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0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0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idden="1" ht="16.5" customHeight="1">
      <c t="s" r="A379" s="26">
        <v>347</v>
      </c>
      <c r="B379" s="13">
        <v>0</v>
      </c>
      <c r="C379" s="14">
        <f>IFERROR(B379/B446, "NA")</f>
      </c>
      <c r="D379" s="15"/>
      <c r="E379" s="13">
        <v>0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0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0</v>
      </c>
      <c r="R379" s="14">
        <f>IFERROR(Q379/Q446, "NA")</f>
      </c>
      <c r="S379" s="15"/>
      <c r="T379" s="13">
        <v>0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0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idden="1" ht="16.5" customHeight="1">
      <c t="s" r="A380" s="26">
        <v>348</v>
      </c>
      <c r="B380" s="13">
        <v>0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0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0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0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idden="1" ht="16.5" customHeight="1">
      <c t="s" r="A381" s="26">
        <v>349</v>
      </c>
      <c r="B381" s="13">
        <v>0</v>
      </c>
      <c r="C381" s="14">
        <f>IFERROR(B381/B446, "NA")</f>
      </c>
      <c r="D381" s="15"/>
      <c r="E381" s="13">
        <v>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0</v>
      </c>
      <c r="R381" s="14">
        <f>IFERROR(Q381/Q446, "NA")</f>
      </c>
      <c r="S381" s="15"/>
      <c r="T381" s="13">
        <v>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idden="1" ht="16.5" customHeight="1">
      <c t="s" r="A382" s="26">
        <v>350</v>
      </c>
      <c r="B382" s="13">
        <v>0</v>
      </c>
      <c r="C382" s="14">
        <f>IFERROR(B382/B446, "NA")</f>
      </c>
      <c r="D382" s="15"/>
      <c r="E382" s="13">
        <v>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0</v>
      </c>
      <c r="R382" s="14">
        <f>IFERROR(Q382/Q446, "NA")</f>
      </c>
      <c r="S382" s="15"/>
      <c r="T382" s="13">
        <v>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0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idden="1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0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0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0</v>
      </c>
      <c r="R383" s="14">
        <f>IFERROR(Q383/Q446, "NA")</f>
      </c>
      <c r="S383" s="15"/>
      <c r="T383" s="13">
        <v>0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0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idden="1" ht="16.5" customHeight="1">
      <c t="s" r="A386" s="12">
        <v>353</v>
      </c>
      <c r="B386" s="13">
        <v>0</v>
      </c>
      <c r="C386" s="14">
        <f>IFERROR(B386/B446, "NA")</f>
      </c>
      <c r="D386" s="15"/>
      <c r="E386" s="13">
        <v>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0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0</v>
      </c>
      <c r="R386" s="14">
        <f>IFERROR(Q386/Q446, "NA")</f>
      </c>
      <c r="S386" s="15"/>
      <c r="T386" s="13">
        <v>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0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idden="1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0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idden="1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0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0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idden="1" ht="16.5" customHeight="1">
      <c t="s" r="A390" s="18">
        <v>356</v>
      </c>
      <c r="B390" s="13">
        <v>0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0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0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0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idden="1" ht="16.5" customHeight="1">
      <c t="s" r="A391" s="18">
        <v>357</v>
      </c>
      <c r="B391" s="13">
        <v>0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0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0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0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idden="1" ht="16.5" customHeight="1">
      <c t="s" r="A393" s="18">
        <v>359</v>
      </c>
      <c r="B393" s="13">
        <v>0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0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0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0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idden="1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0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0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0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idden="1" ht="16.5" customHeight="1">
      <c t="s" r="A396" s="12">
        <v>362</v>
      </c>
      <c r="B396" s="13">
        <v>0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0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idden="1" ht="16.5" customHeight="1">
      <c t="s" r="A398" s="26">
        <v>364</v>
      </c>
      <c r="B398" s="13">
        <v>0</v>
      </c>
      <c r="C398" s="14">
        <f>IFERROR(B398/B446, "NA")</f>
      </c>
      <c r="D398" s="15"/>
      <c r="E398" s="13">
        <v>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0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0</v>
      </c>
      <c r="R398" s="14">
        <f>IFERROR(Q398/Q446, "NA")</f>
      </c>
      <c r="S398" s="15"/>
      <c r="T398" s="13">
        <v>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0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idden="1" ht="16.5" customHeight="1">
      <c t="s" r="A399" s="26">
        <v>365</v>
      </c>
      <c r="B399" s="13">
        <v>0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0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0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0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idden="1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0</v>
      </c>
      <c r="R400" s="14">
        <f>IFERROR(Q400/Q446, "NA")</f>
      </c>
      <c r="S400" s="15"/>
      <c r="T400" s="13">
        <v>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3198.1300000000001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6280.5699999999997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4196.9300000000003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3134.5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8316.4500000000007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6133.9300000000003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idden="1" ht="16.5" customHeight="1">
      <c t="s" r="A412" s="12">
        <v>377</v>
      </c>
      <c r="B412" s="13">
        <v>0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0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0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0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idden="1" ht="16.5" customHeight="1">
      <c t="s" r="A417" s="12">
        <v>382</v>
      </c>
      <c r="B417" s="13">
        <v>0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0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0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0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-28.34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-88.659999999999997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-50.060000000000002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-84.840000000000003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idden="1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0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t="16.5" customHeight="1">
      <c t="s" r="A422" s="12">
        <v>387</v>
      </c>
      <c r="B422" s="13">
        <v>96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96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-20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idden="1" ht="16.5" customHeight="1">
      <c t="s" r="A423" s="12">
        <v>388</v>
      </c>
      <c r="B423" s="13">
        <v>0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0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idden="1" ht="16.5" customHeight="1">
      <c t="s" r="A424" s="12">
        <v>389</v>
      </c>
      <c r="B424" s="13">
        <v>0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0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0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idden="1" ht="16.5" customHeight="1">
      <c t="s" r="A426" s="12">
        <v>391</v>
      </c>
      <c r="B426" s="13">
        <v>0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0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0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0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idden="1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0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idden="1" ht="16.5" customHeight="1">
      <c t="s" r="A428" s="12">
        <v>393</v>
      </c>
      <c r="B428" s="13">
        <v>0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0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0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0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174310.34</v>
      </c>
      <c r="C446" s="33"/>
      <c r="D446" s="15"/>
      <c r="E446" s="13">
        <v>156694.17999999999</v>
      </c>
      <c r="F446" s="33"/>
      <c r="G446" s="15"/>
      <c r="H446" s="16">
        <f>IFERROR(B446-E446, "NA")</f>
      </c>
      <c r="I446" s="33"/>
      <c r="J446" s="15"/>
      <c r="K446" s="13">
        <v>149232.54000000001</v>
      </c>
      <c r="L446" s="33"/>
      <c r="M446" s="15"/>
      <c r="N446" s="16">
        <f>IFERROR(B446-K446, "NA")</f>
      </c>
      <c r="O446" s="33"/>
      <c r="P446" s="15"/>
      <c r="Q446" s="13">
        <v>305355.5</v>
      </c>
      <c r="R446" s="33"/>
      <c r="S446" s="15"/>
      <c r="T446" s="13">
        <v>298862.21000000002</v>
      </c>
      <c r="U446" s="33"/>
      <c r="V446" s="15"/>
      <c r="W446" s="16">
        <f>IFERROR(Q446-T446, "NA")</f>
      </c>
      <c r="X446" s="33"/>
      <c r="Y446" s="15"/>
      <c r="Z446" s="13">
        <v>286825.59999999998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416</v>
      </c>
      <c t="s" r="B3" s="3">
        <v>416</v>
      </c>
      <c t="s" r="C3" s="3">
        <v>416</v>
      </c>
      <c t="s" r="D3" s="3">
        <v>416</v>
      </c>
      <c t="s" r="E3" s="3">
        <v>416</v>
      </c>
      <c t="s" r="F3" s="3">
        <v>416</v>
      </c>
      <c t="s" r="G3" s="3">
        <v>416</v>
      </c>
      <c t="s" r="H3" s="3">
        <v>416</v>
      </c>
      <c t="s" r="I3" s="3">
        <v>416</v>
      </c>
      <c t="s" r="J3" s="3">
        <v>416</v>
      </c>
      <c t="s" r="K3" s="3">
        <v>416</v>
      </c>
      <c t="s" r="L3" s="3">
        <v>416</v>
      </c>
      <c t="s" r="M3" s="3">
        <v>416</v>
      </c>
      <c t="s" r="N3" s="3">
        <v>416</v>
      </c>
      <c t="s" r="O3" s="3">
        <v>416</v>
      </c>
      <c t="s" r="P3" s="3">
        <v>416</v>
      </c>
      <c t="s" r="Q3" s="3">
        <v>416</v>
      </c>
      <c t="s" r="R3" s="3">
        <v>416</v>
      </c>
      <c t="s" r="S3" s="3">
        <v>416</v>
      </c>
      <c t="s" r="T3" s="3">
        <v>416</v>
      </c>
      <c t="s" r="U3" s="3">
        <v>416</v>
      </c>
      <c t="s" r="V3" s="3">
        <v>416</v>
      </c>
      <c t="s" r="W3" s="3">
        <v>416</v>
      </c>
      <c t="s" r="X3" s="3">
        <v>416</v>
      </c>
      <c t="s" r="Y3" s="3">
        <v>416</v>
      </c>
      <c t="s" r="Z3" s="3">
        <v>416</v>
      </c>
      <c t="s" r="AA3" s="3">
        <v>416</v>
      </c>
      <c t="s" r="AB3" s="3">
        <v>416</v>
      </c>
      <c t="s" r="AC3" s="3">
        <v>416</v>
      </c>
      <c t="s" r="AD3" s="3">
        <v>416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35945.400000000001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64996.580000000002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25281.330000000002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31552.900000000001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54945.93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59772.389999999999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2165.4000000000001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2581.0999999999999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4735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4949.75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54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34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104.5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66.5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35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180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70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335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68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15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104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30.5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t="16.5" customHeight="1">
      <c t="s" r="A16" s="18">
        <v>18</v>
      </c>
      <c r="B16" s="13">
        <v>0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0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1.1000000000000001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7762.8599999999997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14036.82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16.050000000000001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5120.4499999999998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2374.6799999999998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9287.3999999999996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3524.2600000000002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5442.96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715.99000000000001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1093.73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1828.6900000000001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1790.01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102.59999999999999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150.38999999999999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1422.8299999999999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0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2136.5700000000002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0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670.88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784.69000000000005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1461.5599999999999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1587.3499999999999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20419.689999999999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36922.949999999997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11638.799999999999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11457.299999999999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22916.779999999999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19823.639999999999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639.91999999999996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1765.78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1454.6600000000001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2875.6900000000001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13056.559999999999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17427.779999999999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20933.450000000001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30499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777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950.85000000000002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0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462.48000000000002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137.65000000000001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1084.1300000000001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16622.639999999999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30057.110000000001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3415.0599999999999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2711.4200000000001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6116.4700000000003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5983.5200000000004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idden="1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0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0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0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12983.879999999999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5938.8500000000004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22807.740000000002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10641.18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idden="1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0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0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idden="1" ht="16.5" customHeight="1">
      <c t="s" r="A50" s="23">
        <v>48</v>
      </c>
      <c r="B50" s="13">
        <v>0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0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0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0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idden="1" ht="16.5" customHeight="1">
      <c t="s" r="A51" s="23">
        <v>49</v>
      </c>
      <c r="B51" s="13">
        <v>0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0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0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0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idden="1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idden="1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idden="1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0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t="16.5" customHeight="1">
      <c t="s" r="A55" s="23">
        <v>53</v>
      </c>
      <c r="B55" s="13">
        <v>128.78999999999999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191.27000000000001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395.13999999999999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191.27000000000001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idden="1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0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idden="1" ht="16.5" customHeight="1">
      <c t="s" r="A57" s="23">
        <v>55</v>
      </c>
      <c r="B57" s="13">
        <v>0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0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0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idden="1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t="16.5" customHeight="1">
      <c t="s" r="A60" s="23">
        <v>58</v>
      </c>
      <c r="B60" s="13">
        <v>661.07000000000005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661.07000000000005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6834.6899999999996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12358.51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2210.52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1349.51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4134.5200000000004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3459.71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idden="1" ht="16.5" customHeight="1">
      <c t="s" r="A66" s="18">
        <v>63</v>
      </c>
      <c r="B66" s="13">
        <v>0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0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0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0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idden="1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0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t="16.5" customHeight="1">
      <c t="s" r="A68" s="18">
        <v>65</v>
      </c>
      <c r="B68" s="13">
        <v>0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0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-12.25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0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t="16.5" customHeight="1">
      <c t="s" r="A69" s="18">
        <v>66</v>
      </c>
      <c r="B69" s="13">
        <v>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1125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idden="1" ht="16.5" customHeight="1">
      <c t="s" r="A70" s="18">
        <v>67</v>
      </c>
      <c r="B70" s="13">
        <v>0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0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idden="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0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idden="1" ht="16.5" customHeight="1">
      <c t="s" r="A72" s="18">
        <v>69</v>
      </c>
      <c r="B72" s="13">
        <v>0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0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1265.6800000000001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2288.6100000000001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299.33999999999997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370.39999999999998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589.52999999999997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462.00999999999999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idden="1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0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1322.3499999999999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1036.23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2311.25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1686.4100000000001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idden="1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0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t="16.5" customHeight="1">
      <c t="s" r="A83" s="18">
        <v>79</v>
      </c>
      <c r="B83" s="13">
        <v>113.06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234.52000000000001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idden="1" ht="16.5" customHeight="1">
      <c t="s" r="A86" s="18">
        <v>82</v>
      </c>
      <c r="B86" s="13">
        <v>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idden="1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0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t="16.5" customHeight="1">
      <c t="s" r="A89" s="12">
        <v>85</v>
      </c>
      <c r="B89" s="13">
        <v>-13.75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-13.369999999999999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-26.699999999999999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-7.0599999999999996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-136.06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-237.16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-4472.0799999999999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-8086.4300000000003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-1280.4000000000001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-1627.8499999999999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-2834.4400000000001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-3337.0500000000002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-757.91999999999996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-1008.4299999999999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-2204.0300000000002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-2186.6300000000001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t="16.5" customHeight="1">
      <c t="s" r="A100" s="18">
        <v>95</v>
      </c>
      <c r="B100" s="13">
        <v>-54.299999999999997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-27.5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-128.94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-719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t="16.5" customHeight="1">
      <c t="s" r="A101" s="18">
        <v>96</v>
      </c>
      <c r="B101" s="13">
        <v>-37.25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-37.25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-626.09000000000003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-555.20000000000005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-1606.4300000000001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-1307.5999999999999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idden="1" ht="16.5" customHeight="1">
      <c t="s" r="A103" s="18">
        <v>98</v>
      </c>
      <c r="B103" s="13">
        <v>0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0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-44.68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-383.93000000000001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-172.12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-782.23000000000002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t="16.5" customHeight="1">
      <c t="s" r="A106" s="18">
        <v>101</v>
      </c>
      <c r="B106" s="13">
        <v>-50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0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-50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0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17803.939999999999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32602.310000000001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3413.0599999999999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4410.4799999999996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6704.71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8242.1000000000004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2000.7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2313.3299999999999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3925.7800000000002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4331.1599999999999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2469.3899999999999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3060.46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4407.0900000000001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5483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1614.6600000000001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2012.8599999999999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3290.6700000000001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3596.6399999999999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805.01999999999998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747.5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1639.49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1291.21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658.89999999999998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911.11000000000001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1223.8099999999999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1423.05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589.50999999999999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1017.21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284.49000000000001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226.02000000000001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876.12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675.85000000000002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5624.4499999999998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4070.46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10737.870000000001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7843.5799999999999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1.98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22.059999999999999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1012.55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1830.8900000000001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1097.72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1141.77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2037.46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1835.45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16.969999999999999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108.59999999999999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36.380000000000003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116.59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66.900000000000006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270.32999999999998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132.28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339.57999999999998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-6.9900000000000002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5.8600000000000003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6.9699999999999998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10.630000000000001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3459.5300000000002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6255.54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2338.3499999999999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2813.4000000000001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4603.7600000000002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5073.3699999999999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993.14999999999998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571.63999999999999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1636.74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1044.8499999999999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idden="1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0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238.80000000000001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274.01999999999998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433.70999999999998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534.72000000000003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idden="1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0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idden="1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0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253.91999999999999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255.19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506.5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521.75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18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35.600000000000001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48.310000000000002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65.400000000000006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-689.77999999999997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-1257.6900000000001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-1718.02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-3564.8699999999999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5640</v>
      </c>
      <c r="C178" s="14">
        <f>IFERROR(B178/B446, "NA")</f>
      </c>
      <c r="D178" s="15"/>
      <c r="E178" s="13">
        <v>5640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5640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11280</v>
      </c>
      <c r="R178" s="14">
        <f>IFERROR(Q178/Q446, "NA")</f>
      </c>
      <c r="S178" s="15"/>
      <c r="T178" s="13">
        <v>11280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11280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13687.1</v>
      </c>
      <c r="C180" s="14">
        <f>IFERROR(B180/B446, "NA")</f>
      </c>
      <c r="D180" s="15"/>
      <c r="E180" s="13">
        <v>17382.049999999999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16499.470000000001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27146.93</v>
      </c>
      <c r="R180" s="14">
        <f>IFERROR(Q180/Q446, "NA")</f>
      </c>
      <c r="S180" s="15"/>
      <c r="T180" s="13">
        <v>31975.84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30687.029999999999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idden="1" ht="16.5" customHeight="1">
      <c t="s" r="A181" s="18">
        <v>166</v>
      </c>
      <c r="B181" s="13">
        <v>0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0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0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0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293</v>
      </c>
      <c r="C184" s="14">
        <f>IFERROR(B184/B446, "NA")</f>
      </c>
      <c r="D184" s="15"/>
      <c r="E184" s="13">
        <v>292.5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500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586</v>
      </c>
      <c r="R184" s="14">
        <f>IFERROR(Q184/Q446, "NA")</f>
      </c>
      <c r="S184" s="15"/>
      <c r="T184" s="13">
        <v>585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1000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1761.8599999999999</v>
      </c>
      <c r="C186" s="14">
        <f>IFERROR(B186/B446, "NA")</f>
      </c>
      <c r="D186" s="15"/>
      <c r="E186" s="13">
        <v>2166.4099999999999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2065.71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3545.3899999999999</v>
      </c>
      <c r="R186" s="14">
        <f>IFERROR(Q186/Q446, "NA")</f>
      </c>
      <c r="S186" s="15"/>
      <c r="T186" s="13">
        <v>4057.0500000000002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3888.0100000000002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373</v>
      </c>
      <c r="C194" s="14">
        <f>IFERROR(B194/B446, "NA")</f>
      </c>
      <c r="D194" s="15"/>
      <c r="E194" s="13">
        <v>186.52000000000001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358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621</v>
      </c>
      <c r="R194" s="14">
        <f>IFERROR(Q194/Q446, "NA")</f>
      </c>
      <c r="S194" s="15"/>
      <c r="T194" s="13">
        <v>350.73000000000002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606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idden="1" ht="16.5" customHeight="1">
      <c t="s" r="A195" s="12">
        <v>179</v>
      </c>
      <c r="B195" s="13">
        <v>0</v>
      </c>
      <c r="C195" s="14">
        <f>IFERROR(B195/B446, "NA")</f>
      </c>
      <c r="D195" s="15"/>
      <c r="E195" s="13">
        <v>0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0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0</v>
      </c>
      <c r="R195" s="14">
        <f>IFERROR(Q195/Q446, "NA")</f>
      </c>
      <c r="S195" s="15"/>
      <c r="T195" s="13">
        <v>0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0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860.76999999999998</v>
      </c>
      <c r="C202" s="14">
        <f>IFERROR(B202/B446, "NA")</f>
      </c>
      <c r="D202" s="15"/>
      <c r="E202" s="13">
        <v>759.40999999999997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978.63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1632.45</v>
      </c>
      <c r="R202" s="14">
        <f>IFERROR(Q202/Q446, "NA")</f>
      </c>
      <c r="S202" s="15"/>
      <c r="T202" s="13">
        <v>1373.1700000000001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1798.8099999999999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263.91000000000003</v>
      </c>
      <c r="C203" s="14">
        <f>IFERROR(B203/B446, "NA")</f>
      </c>
      <c r="D203" s="15"/>
      <c r="E203" s="13">
        <v>506.26999999999998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517.40999999999997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903.36000000000001</v>
      </c>
      <c r="R203" s="14">
        <f>IFERROR(Q203/Q446, "NA")</f>
      </c>
      <c r="S203" s="15"/>
      <c r="T203" s="13">
        <v>915.44000000000005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913.87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22.629999999999999</v>
      </c>
      <c r="C204" s="14">
        <f>IFERROR(B204/B446, "NA")</f>
      </c>
      <c r="D204" s="15"/>
      <c r="E204" s="13">
        <v>168.75999999999999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232.00999999999999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45.43</v>
      </c>
      <c r="R204" s="14">
        <f>IFERROR(Q204/Q446, "NA")</f>
      </c>
      <c r="S204" s="15"/>
      <c r="T204" s="13">
        <v>305.14999999999998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240.44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357.06</v>
      </c>
      <c r="C205" s="14">
        <f>IFERROR(B205/B446, "NA")</f>
      </c>
      <c r="D205" s="15"/>
      <c r="E205" s="13">
        <v>253.13999999999999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261.72000000000003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811.58000000000004</v>
      </c>
      <c r="R205" s="14">
        <f>IFERROR(Q205/Q446, "NA")</f>
      </c>
      <c r="S205" s="15"/>
      <c r="T205" s="13">
        <v>457.73000000000002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605.74000000000001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16.739999999999998</v>
      </c>
      <c r="C206" s="14">
        <f>IFERROR(B206/B446, "NA")</f>
      </c>
      <c r="D206" s="15"/>
      <c r="E206" s="13">
        <v>84.379999999999995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10.800000000000001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82.420000000000002</v>
      </c>
      <c r="R206" s="14">
        <f>IFERROR(Q206/Q446, "NA")</f>
      </c>
      <c r="S206" s="15"/>
      <c r="T206" s="13">
        <v>152.58000000000001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10.800000000000001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0</v>
      </c>
      <c r="C207" s="14">
        <f>IFERROR(B207/B446, "NA")</f>
      </c>
      <c r="D207" s="15"/>
      <c r="E207" s="13">
        <v>100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0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145.06999999999999</v>
      </c>
      <c r="R207" s="14">
        <f>IFERROR(Q207/Q446, "NA")</f>
      </c>
      <c r="S207" s="15"/>
      <c r="T207" s="13">
        <v>200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99.599999999999994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26.449999999999999</v>
      </c>
      <c r="C208" s="14">
        <f>IFERROR(B208/B446, "NA")</f>
      </c>
      <c r="D208" s="15"/>
      <c r="E208" s="13">
        <v>100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282.18000000000001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33.259999999999998</v>
      </c>
      <c r="R208" s="14">
        <f>IFERROR(Q208/Q446, "NA")</f>
      </c>
      <c r="S208" s="15"/>
      <c r="T208" s="13">
        <v>200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391.94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3459.5300000000002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6255.54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1796.02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3477.3699999999999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3355.5300000000002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6004.4799999999996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t="16.5" customHeight="1">
      <c t="s" r="A215" s="18">
        <v>195</v>
      </c>
      <c r="B215" s="13">
        <v>661.20000000000005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0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1163.9300000000001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0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t="16.5" customHeight="1">
      <c t="s" r="A216" s="18">
        <v>196</v>
      </c>
      <c r="B216" s="13">
        <v>50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0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50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0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2901.2800000000002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3587.1300000000001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3755.5900000000001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6275.1300000000001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88.790000000000006</v>
      </c>
      <c r="C222" s="14">
        <f>IFERROR(B222/B446, "NA")</f>
      </c>
      <c r="D222" s="15"/>
      <c r="E222" s="13">
        <v>100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131.18000000000001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88.790000000000006</v>
      </c>
      <c r="R222" s="14">
        <f>IFERROR(Q222/Q446, "NA")</f>
      </c>
      <c r="S222" s="15"/>
      <c r="T222" s="13">
        <v>200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131.18000000000001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1265.6800000000001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2288.6100000000001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idden="1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0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219.28999999999999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217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403.54000000000002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idden="1" ht="16.5" customHeight="1">
      <c t="s" r="A233" s="12">
        <v>212</v>
      </c>
      <c r="B233" s="13">
        <v>0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0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1550.3299999999999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1072.52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2906.54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1786.26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22.350000000000001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25.329999999999998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5484.6300000000001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9917.3199999999997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idden="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0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0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0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1717.79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1410.74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3456.29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2446.7399999999998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2181.8299999999999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1670.9300000000001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3838.21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2743.71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623.66999999999996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340.62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1179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737.25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134.06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509.12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275.56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821.41999999999996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200.47999999999999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234.49000000000001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436.75999999999999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474.35000000000002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2100.25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1942.73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3479.0900000000001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3399.9299999999998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t="16.5" customHeight="1">
      <c t="s" r="A251" s="18">
        <v>228</v>
      </c>
      <c r="B251" s="13">
        <v>16.100000000000001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29.219999999999999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49.390000000000001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66.189999999999998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idden="1" ht="16.5" customHeight="1">
      <c t="s" r="A253" s="18">
        <v>230</v>
      </c>
      <c r="B253" s="13">
        <v>0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0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0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idden="1" ht="16.5" customHeight="1">
      <c t="s" r="A254" s="18">
        <v>231</v>
      </c>
      <c r="B254" s="13">
        <v>0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0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0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0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idden="1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0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idden="1" ht="16.5" customHeight="1">
      <c t="s" r="A258" s="18">
        <v>235</v>
      </c>
      <c r="B258" s="13">
        <v>0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0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0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0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idden="1" ht="16.5" customHeight="1">
      <c t="s" r="A260" s="18">
        <v>237</v>
      </c>
      <c r="B260" s="13">
        <v>0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0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idden="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0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1989.0899999999999</v>
      </c>
      <c r="C266" s="14">
        <f>IFERROR(B266/B446, "NA")</f>
      </c>
      <c r="D266" s="15"/>
      <c r="E266" s="13">
        <v>2025.0899999999999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1724.25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3728.6900000000001</v>
      </c>
      <c r="R266" s="14">
        <f>IFERROR(Q266/Q446, "NA")</f>
      </c>
      <c r="S266" s="15"/>
      <c r="T266" s="13">
        <v>3661.7800000000002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3204.4400000000001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t="16.5" customHeight="1">
      <c t="s" r="A267" s="12">
        <v>243</v>
      </c>
      <c r="B267" s="13">
        <v>30.539999999999999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0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30.539999999999999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0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307.92000000000002</v>
      </c>
      <c r="C271" s="14">
        <f>IFERROR(B271/B446, "NA")</f>
      </c>
      <c r="D271" s="15"/>
      <c r="E271" s="13">
        <v>354.13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342.25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615.84000000000003</v>
      </c>
      <c r="R271" s="14">
        <f>IFERROR(Q271/Q446, "NA")</f>
      </c>
      <c r="S271" s="15"/>
      <c r="T271" s="13">
        <v>708.25999999999999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684.5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795.90999999999997</v>
      </c>
      <c r="C272" s="14">
        <f>IFERROR(B272/B446, "NA")</f>
      </c>
      <c r="D272" s="15"/>
      <c r="E272" s="13">
        <v>905.40999999999997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952.74000000000001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1591.8199999999999</v>
      </c>
      <c r="R272" s="14">
        <f>IFERROR(Q272/Q446, "NA")</f>
      </c>
      <c r="S272" s="15"/>
      <c r="T272" s="13">
        <v>1810.8199999999999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1905.48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idden="1" ht="16.5" customHeight="1">
      <c t="s" r="A273" s="12">
        <v>248</v>
      </c>
      <c r="B273" s="13">
        <v>0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0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idden="1" ht="16.5" customHeight="1">
      <c t="s" r="A288" s="12">
        <v>261</v>
      </c>
      <c r="B288" s="13">
        <v>0</v>
      </c>
      <c r="C288" s="14">
        <f>IFERROR(B288/B446, "NA")</f>
      </c>
      <c r="D288" s="15"/>
      <c r="E288" s="13">
        <v>0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0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0</v>
      </c>
      <c r="R288" s="14">
        <f>IFERROR(Q288/Q446, "NA")</f>
      </c>
      <c r="S288" s="15"/>
      <c r="T288" s="13">
        <v>0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0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137.5</v>
      </c>
      <c r="C289" s="14">
        <f>IFERROR(B289/B446, "NA")</f>
      </c>
      <c r="D289" s="15"/>
      <c r="E289" s="13">
        <v>138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137.5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275</v>
      </c>
      <c r="R289" s="14">
        <f>IFERROR(Q289/Q446, "NA")</f>
      </c>
      <c r="S289" s="15"/>
      <c r="T289" s="13">
        <v>276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275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247.84</v>
      </c>
      <c r="C290" s="14">
        <f>IFERROR(B290/B446, "NA")</f>
      </c>
      <c r="D290" s="15"/>
      <c r="E290" s="13">
        <v>234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220.88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495.68000000000001</v>
      </c>
      <c r="R290" s="14">
        <f>IFERROR(Q290/Q446, "NA")</f>
      </c>
      <c r="S290" s="15"/>
      <c r="T290" s="13">
        <v>468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438.85000000000002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370.62</v>
      </c>
      <c r="C291" s="14">
        <f>IFERROR(B291/B446, "NA")</f>
      </c>
      <c r="D291" s="15"/>
      <c r="E291" s="13">
        <v>590.64999999999998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1147.8900000000001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1968.7</v>
      </c>
      <c r="R291" s="14">
        <f>IFERROR(Q291/Q446, "NA")</f>
      </c>
      <c r="S291" s="15"/>
      <c r="T291" s="13">
        <v>1068.02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1625.3199999999999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2157.0100000000002</v>
      </c>
      <c r="C292" s="14">
        <f>IFERROR(B292/B446, "NA")</f>
      </c>
      <c r="D292" s="15"/>
      <c r="E292" s="13">
        <v>843.78999999999996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2823.71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3483.6700000000001</v>
      </c>
      <c r="R292" s="14">
        <f>IFERROR(Q292/Q446, "NA")</f>
      </c>
      <c r="S292" s="15"/>
      <c r="T292" s="13">
        <v>1525.74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4568.5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0</v>
      </c>
      <c r="C293" s="14">
        <f>IFERROR(B293/B446, "NA")</f>
      </c>
      <c r="D293" s="15"/>
      <c r="E293" s="13">
        <v>168.75999999999999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0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0</v>
      </c>
      <c r="R293" s="14">
        <f>IFERROR(Q293/Q446, "NA")</f>
      </c>
      <c r="S293" s="15"/>
      <c r="T293" s="13">
        <v>305.14999999999998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0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0</v>
      </c>
      <c r="C294" s="14">
        <f>IFERROR(B294/B446, "NA")</f>
      </c>
      <c r="D294" s="15"/>
      <c r="E294" s="13">
        <v>168.75999999999999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0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0</v>
      </c>
      <c r="R294" s="14">
        <f>IFERROR(Q294/Q446, "NA")</f>
      </c>
      <c r="S294" s="15"/>
      <c r="T294" s="13">
        <v>305.14999999999998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0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380.49000000000001</v>
      </c>
      <c r="C295" s="14">
        <f>IFERROR(B295/B446, "NA")</f>
      </c>
      <c r="D295" s="15"/>
      <c r="E295" s="13">
        <v>365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325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760.97000000000003</v>
      </c>
      <c r="R295" s="14">
        <f>IFERROR(Q295/Q446, "NA")</f>
      </c>
      <c r="S295" s="15"/>
      <c r="T295" s="13">
        <v>730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649.99000000000001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159</v>
      </c>
      <c r="C300" s="14">
        <f>IFERROR(B300/B446, "NA")</f>
      </c>
      <c r="D300" s="15"/>
      <c r="E300" s="13">
        <v>159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0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318</v>
      </c>
      <c r="R300" s="14">
        <f>IFERROR(Q300/Q446, "NA")</f>
      </c>
      <c r="S300" s="15"/>
      <c r="T300" s="13">
        <v>318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0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idden="1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0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0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t="16.5" customHeight="1">
      <c t="s" r="A306" s="12">
        <v>278</v>
      </c>
      <c r="B306" s="13">
        <v>0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5.5899999999999999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0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5.5899999999999999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113.69</v>
      </c>
      <c r="C311" s="14">
        <f>IFERROR(B311/B446, "NA")</f>
      </c>
      <c r="D311" s="15"/>
      <c r="E311" s="13">
        <v>55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0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242.63</v>
      </c>
      <c r="R311" s="14">
        <f>IFERROR(Q311/Q446, "NA")</f>
      </c>
      <c r="S311" s="15"/>
      <c r="T311" s="13">
        <v>110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0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60.619999999999997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60.619999999999997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48.159999999999997</v>
      </c>
      <c r="C313" s="14">
        <f>IFERROR(B313/B446, "NA")</f>
      </c>
      <c r="D313" s="15"/>
      <c r="E313" s="13">
        <v>35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0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69.159999999999997</v>
      </c>
      <c r="R313" s="14">
        <f>IFERROR(Q313/Q446, "NA")</f>
      </c>
      <c r="S313" s="15"/>
      <c r="T313" s="13">
        <v>70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0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0</v>
      </c>
      <c r="C314" s="14">
        <f>IFERROR(B314/B446, "NA")</f>
      </c>
      <c r="D314" s="15"/>
      <c r="E314" s="13">
        <v>15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24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0</v>
      </c>
      <c r="R314" s="14">
        <f>IFERROR(Q314/Q446, "NA")</f>
      </c>
      <c r="S314" s="15"/>
      <c r="T314" s="13">
        <v>30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24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t="16.5" customHeight="1">
      <c t="s" r="A316" s="12">
        <v>288</v>
      </c>
      <c r="B316" s="13">
        <v>408.06999999999999</v>
      </c>
      <c r="C316" s="14">
        <f>IFERROR(B316/B446, "NA")</f>
      </c>
      <c r="D316" s="15"/>
      <c r="E316" s="13">
        <v>337.51999999999998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455.51999999999998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816.13999999999999</v>
      </c>
      <c r="R316" s="14">
        <f>IFERROR(Q316/Q446, "NA")</f>
      </c>
      <c r="S316" s="15"/>
      <c r="T316" s="13">
        <v>610.29999999999995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911.03999999999996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idden="1" ht="16.5" customHeight="1">
      <c t="s" r="A317" s="12">
        <v>289</v>
      </c>
      <c r="B317" s="13">
        <v>0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0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t="16.5" customHeight="1">
      <c t="s" r="A319" s="12">
        <v>291</v>
      </c>
      <c r="B319" s="13">
        <v>414.57999999999998</v>
      </c>
      <c r="C319" s="14">
        <f>IFERROR(B319/B446, "NA")</f>
      </c>
      <c r="D319" s="15"/>
      <c r="E319" s="13">
        <v>415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414.57999999999998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829.15999999999997</v>
      </c>
      <c r="R319" s="14">
        <f>IFERROR(Q319/Q446, "NA")</f>
      </c>
      <c r="S319" s="15"/>
      <c r="T319" s="13">
        <v>830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829.15999999999997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318.50999999999999</v>
      </c>
      <c r="C320" s="14">
        <f>IFERROR(B320/B446, "NA")</f>
      </c>
      <c r="D320" s="15"/>
      <c r="E320" s="13">
        <v>309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268.00999999999999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637.07000000000005</v>
      </c>
      <c r="R320" s="14">
        <f>IFERROR(Q320/Q446, "NA")</f>
      </c>
      <c r="S320" s="15"/>
      <c r="T320" s="13">
        <v>618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517.13999999999999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1153.5599999999999</v>
      </c>
      <c r="C321" s="14">
        <f>IFERROR(B321/B446, "NA")</f>
      </c>
      <c r="D321" s="15"/>
      <c r="E321" s="13">
        <v>1133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1056.0699999999999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2286.8299999999999</v>
      </c>
      <c r="R321" s="14">
        <f>IFERROR(Q321/Q446, "NA")</f>
      </c>
      <c r="S321" s="15"/>
      <c r="T321" s="13">
        <v>2266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2112.1399999999999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689.77999999999997</v>
      </c>
      <c r="C322" s="14">
        <f>IFERROR(B322/B446, "NA")</f>
      </c>
      <c r="D322" s="15"/>
      <c r="E322" s="13">
        <v>1012.55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1257.6900000000001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1718.02</v>
      </c>
      <c r="R322" s="14">
        <f>IFERROR(Q322/Q446, "NA")</f>
      </c>
      <c r="S322" s="15"/>
      <c r="T322" s="13">
        <v>1762.7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3564.8699999999999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296.87</v>
      </c>
      <c r="C323" s="14">
        <f>IFERROR(B323/B446, "NA")</f>
      </c>
      <c r="D323" s="15"/>
      <c r="E323" s="13">
        <v>354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537.07000000000005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943.74000000000001</v>
      </c>
      <c r="R323" s="14">
        <f>IFERROR(Q323/Q446, "NA")</f>
      </c>
      <c r="S323" s="15"/>
      <c r="T323" s="13">
        <v>708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836.63999999999999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idden="1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0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11441.92</v>
      </c>
      <c r="C330" s="14">
        <f>IFERROR(B330/B446, "NA")</f>
      </c>
      <c r="D330" s="15"/>
      <c r="E330" s="13">
        <v>11441.92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5393.1300000000001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22883.84</v>
      </c>
      <c r="R330" s="14">
        <f>IFERROR(Q330/Q446, "NA")</f>
      </c>
      <c r="S330" s="15"/>
      <c r="T330" s="13">
        <v>22883.84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10786.26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1183.3699999999999</v>
      </c>
      <c r="C331" s="14">
        <f>IFERROR(B331/B446, "NA")</f>
      </c>
      <c r="D331" s="15"/>
      <c r="E331" s="13">
        <v>1183.3699999999999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1026.4300000000001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2366.7399999999998</v>
      </c>
      <c r="R331" s="14">
        <f>IFERROR(Q331/Q446, "NA")</f>
      </c>
      <c r="S331" s="15"/>
      <c r="T331" s="13">
        <v>2366.7399999999998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2052.8600000000001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idden="1" ht="16.5" customHeight="1">
      <c t="s" r="A333" s="12">
        <v>304</v>
      </c>
      <c r="B333" s="13">
        <v>0</v>
      </c>
      <c r="C333" s="14">
        <f>IFERROR(B333/B446, "NA")</f>
      </c>
      <c r="D333" s="15"/>
      <c r="E333" s="13">
        <v>0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0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0</v>
      </c>
      <c r="R333" s="14">
        <f>IFERROR(Q333/Q446, "NA")</f>
      </c>
      <c r="S333" s="15"/>
      <c r="T333" s="13">
        <v>0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0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781.75999999999999</v>
      </c>
      <c r="C334" s="14">
        <f>IFERROR(B334/B446, "NA")</f>
      </c>
      <c r="D334" s="15"/>
      <c r="E334" s="13">
        <v>860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860.15999999999997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1563.52</v>
      </c>
      <c r="R334" s="14">
        <f>IFERROR(Q334/Q446, "NA")</f>
      </c>
      <c r="S334" s="15"/>
      <c r="T334" s="13">
        <v>1720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1720.3199999999999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-881.02999999999997</v>
      </c>
      <c r="C335" s="14">
        <f>IFERROR(B335/B446, "NA")</f>
      </c>
      <c r="D335" s="15"/>
      <c r="E335" s="13">
        <v>-881.02999999999997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-415.26999999999998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-1762.0599999999999</v>
      </c>
      <c r="R335" s="14">
        <f>IFERROR(Q335/Q446, "NA")</f>
      </c>
      <c r="S335" s="15"/>
      <c r="T335" s="13">
        <v>-1762.0599999999999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-830.53999999999996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idden="1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0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0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0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1023.67</v>
      </c>
      <c r="C339" s="14">
        <f>IFERROR(B339/B446, "NA")</f>
      </c>
      <c r="D339" s="15"/>
      <c r="E339" s="13">
        <v>1012.55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962.89999999999998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2024.8299999999999</v>
      </c>
      <c r="R339" s="14">
        <f>IFERROR(Q339/Q446, "NA")</f>
      </c>
      <c r="S339" s="15"/>
      <c r="T339" s="13">
        <v>1830.8900000000001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1831.1199999999999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690.29999999999995</v>
      </c>
      <c r="C340" s="14">
        <f>IFERROR(B340/B446, "NA")</f>
      </c>
      <c r="D340" s="15"/>
      <c r="E340" s="13">
        <v>421.88999999999999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733.71000000000004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1413.3099999999999</v>
      </c>
      <c r="R340" s="14">
        <f>IFERROR(Q340/Q446, "NA")</f>
      </c>
      <c r="S340" s="15"/>
      <c r="T340" s="13">
        <v>762.87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1644.98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766.94000000000005</v>
      </c>
      <c r="C341" s="14">
        <f>IFERROR(B341/B446, "NA")</f>
      </c>
      <c r="D341" s="15"/>
      <c r="E341" s="13">
        <v>337.51999999999998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325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1114.76</v>
      </c>
      <c r="R341" s="14">
        <f>IFERROR(Q341/Q446, "NA")</f>
      </c>
      <c r="S341" s="15"/>
      <c r="T341" s="13">
        <v>610.29999999999995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775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idden="1" ht="16.5" customHeight="1">
      <c t="s" r="A342" s="18">
        <v>312</v>
      </c>
      <c r="B342" s="13">
        <v>0</v>
      </c>
      <c r="C342" s="14">
        <f>IFERROR(B342/B446, "NA")</f>
      </c>
      <c r="D342" s="15"/>
      <c r="E342" s="13">
        <v>0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0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0</v>
      </c>
      <c r="R342" s="14">
        <f>IFERROR(Q342/Q446, "NA")</f>
      </c>
      <c r="S342" s="15"/>
      <c r="T342" s="13">
        <v>0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0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idden="1" ht="16.5" customHeight="1">
      <c t="s" r="A351" s="12">
        <v>320</v>
      </c>
      <c r="B351" s="13">
        <v>0</v>
      </c>
      <c r="C351" s="14">
        <f>IFERROR(B351/B446, "NA")</f>
      </c>
      <c r="D351" s="15"/>
      <c r="E351" s="13">
        <v>0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0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0</v>
      </c>
      <c r="R351" s="14">
        <f>IFERROR(Q351/Q446, "NA")</f>
      </c>
      <c r="S351" s="15"/>
      <c r="T351" s="13">
        <v>0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0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idden="1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0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idden="1" ht="16.5" customHeight="1">
      <c t="s" r="A355" s="12">
        <v>324</v>
      </c>
      <c r="B355" s="13">
        <v>0</v>
      </c>
      <c r="C355" s="14">
        <f>IFERROR(B355/B446, "NA")</f>
      </c>
      <c r="D355" s="15"/>
      <c r="E355" s="13">
        <v>0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0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0</v>
      </c>
      <c r="R355" s="14">
        <f>IFERROR(Q355/Q446, "NA")</f>
      </c>
      <c r="S355" s="15"/>
      <c r="T355" s="13">
        <v>0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0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idden="1" ht="16.5" customHeight="1">
      <c t="s" r="A356" s="12">
        <v>325</v>
      </c>
      <c r="B356" s="13">
        <v>0</v>
      </c>
      <c r="C356" s="14">
        <f>IFERROR(B356/B446, "NA")</f>
      </c>
      <c r="D356" s="15"/>
      <c r="E356" s="13">
        <v>0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0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0</v>
      </c>
      <c r="R356" s="14">
        <f>IFERROR(Q356/Q446, "NA")</f>
      </c>
      <c r="S356" s="15"/>
      <c r="T356" s="13">
        <v>0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0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idden="1" ht="16.5" customHeight="1">
      <c t="s" r="A357" s="12">
        <v>326</v>
      </c>
      <c r="B357" s="13">
        <v>0</v>
      </c>
      <c r="C357" s="14">
        <f>IFERROR(B357/B446, "NA")</f>
      </c>
      <c r="D357" s="15"/>
      <c r="E357" s="13">
        <v>0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0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0</v>
      </c>
      <c r="R357" s="14">
        <f>IFERROR(Q357/Q446, "NA")</f>
      </c>
      <c r="S357" s="15"/>
      <c r="T357" s="13">
        <v>0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0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idden="1" ht="16.5" customHeight="1">
      <c t="s" r="A358" s="12">
        <v>327</v>
      </c>
      <c r="B358" s="13">
        <v>0</v>
      </c>
      <c r="C358" s="14">
        <f>IFERROR(B358/B446, "NA")</f>
      </c>
      <c r="D358" s="15"/>
      <c r="E358" s="13">
        <v>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0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0</v>
      </c>
      <c r="R358" s="14">
        <f>IFERROR(Q358/Q446, "NA")</f>
      </c>
      <c r="S358" s="15"/>
      <c r="T358" s="13">
        <v>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0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idden="1" ht="16.5" customHeight="1">
      <c t="s" r="A363" s="12">
        <v>331</v>
      </c>
      <c r="B363" s="13">
        <v>0</v>
      </c>
      <c r="C363" s="14">
        <f>IFERROR(B363/B446, "NA")</f>
      </c>
      <c r="D363" s="15"/>
      <c r="E363" s="13">
        <v>0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0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0</v>
      </c>
      <c r="R363" s="14">
        <f>IFERROR(Q363/Q446, "NA")</f>
      </c>
      <c r="S363" s="15"/>
      <c r="T363" s="13">
        <v>0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0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idden="1" ht="16.5" customHeight="1">
      <c t="s" r="A364" s="12">
        <v>332</v>
      </c>
      <c r="B364" s="13">
        <v>0</v>
      </c>
      <c r="C364" s="14">
        <f>IFERROR(B364/B446, "NA")</f>
      </c>
      <c r="D364" s="15"/>
      <c r="E364" s="13">
        <v>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0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0</v>
      </c>
      <c r="R364" s="14">
        <f>IFERROR(Q364/Q446, "NA")</f>
      </c>
      <c r="S364" s="15"/>
      <c r="T364" s="13">
        <v>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0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idden="1" ht="16.5" customHeight="1">
      <c t="s" r="A365" s="12">
        <v>333</v>
      </c>
      <c r="B365" s="13">
        <v>0</v>
      </c>
      <c r="C365" s="14">
        <f>IFERROR(B365/B446, "NA")</f>
      </c>
      <c r="D365" s="15"/>
      <c r="E365" s="13">
        <v>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0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0</v>
      </c>
      <c r="R365" s="14">
        <f>IFERROR(Q365/Q446, "NA")</f>
      </c>
      <c r="S365" s="15"/>
      <c r="T365" s="13">
        <v>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0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idden="1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0</v>
      </c>
      <c r="R366" s="14">
        <f>IFERROR(Q366/Q446, "NA")</f>
      </c>
      <c r="S366" s="15"/>
      <c r="T366" s="13">
        <v>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0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idden="1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0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0</v>
      </c>
      <c r="R367" s="14">
        <f>IFERROR(Q367/Q446, "NA")</f>
      </c>
      <c r="S367" s="15"/>
      <c r="T367" s="13">
        <v>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0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idden="1" ht="16.5" customHeight="1">
      <c t="s" r="A368" s="12">
        <v>336</v>
      </c>
      <c r="B368" s="13">
        <v>0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0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0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idden="1" ht="16.5" customHeight="1">
      <c t="s" r="A371" s="26">
        <v>339</v>
      </c>
      <c r="B371" s="13">
        <v>0</v>
      </c>
      <c r="C371" s="14">
        <f>IFERROR(B371/B446, "NA")</f>
      </c>
      <c r="D371" s="15"/>
      <c r="E371" s="13">
        <v>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0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0</v>
      </c>
      <c r="R371" s="14">
        <f>IFERROR(Q371/Q446, "NA")</f>
      </c>
      <c r="S371" s="15"/>
      <c r="T371" s="13">
        <v>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0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idden="1" ht="16.5" customHeight="1">
      <c t="s" r="A372" s="26">
        <v>340</v>
      </c>
      <c r="B372" s="13">
        <v>0</v>
      </c>
      <c r="C372" s="14">
        <f>IFERROR(B372/B446, "NA")</f>
      </c>
      <c r="D372" s="15"/>
      <c r="E372" s="13">
        <v>0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0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0</v>
      </c>
      <c r="R372" s="14">
        <f>IFERROR(Q372/Q446, "NA")</f>
      </c>
      <c r="S372" s="15"/>
      <c r="T372" s="13">
        <v>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0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idden="1" ht="16.5" customHeight="1">
      <c t="s" r="A373" s="26">
        <v>341</v>
      </c>
      <c r="B373" s="13">
        <v>0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0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0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0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idden="1" ht="16.5" customHeight="1">
      <c t="s" r="A374" s="26">
        <v>342</v>
      </c>
      <c r="B374" s="13">
        <v>0</v>
      </c>
      <c r="C374" s="14">
        <f>IFERROR(B374/B446, "NA")</f>
      </c>
      <c r="D374" s="15"/>
      <c r="E374" s="13">
        <v>0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0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0</v>
      </c>
      <c r="R374" s="14">
        <f>IFERROR(Q374/Q446, "NA")</f>
      </c>
      <c r="S374" s="15"/>
      <c r="T374" s="13">
        <v>0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0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idden="1" ht="16.5" customHeight="1">
      <c t="s" r="A375" s="26">
        <v>343</v>
      </c>
      <c r="B375" s="13">
        <v>0</v>
      </c>
      <c r="C375" s="14">
        <f>IFERROR(B375/B446, "NA")</f>
      </c>
      <c r="D375" s="15"/>
      <c r="E375" s="13">
        <v>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0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0</v>
      </c>
      <c r="R375" s="14">
        <f>IFERROR(Q375/Q446, "NA")</f>
      </c>
      <c r="S375" s="15"/>
      <c r="T375" s="13">
        <v>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0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idden="1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0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idden="1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0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0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idden="1" ht="16.5" customHeight="1">
      <c t="s" r="A379" s="26">
        <v>347</v>
      </c>
      <c r="B379" s="13">
        <v>0</v>
      </c>
      <c r="C379" s="14">
        <f>IFERROR(B379/B446, "NA")</f>
      </c>
      <c r="D379" s="15"/>
      <c r="E379" s="13">
        <v>0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0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0</v>
      </c>
      <c r="R379" s="14">
        <f>IFERROR(Q379/Q446, "NA")</f>
      </c>
      <c r="S379" s="15"/>
      <c r="T379" s="13">
        <v>0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0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idden="1" ht="16.5" customHeight="1">
      <c t="s" r="A380" s="26">
        <v>348</v>
      </c>
      <c r="B380" s="13">
        <v>0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0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0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0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idden="1" ht="16.5" customHeight="1">
      <c t="s" r="A381" s="26">
        <v>349</v>
      </c>
      <c r="B381" s="13">
        <v>0</v>
      </c>
      <c r="C381" s="14">
        <f>IFERROR(B381/B446, "NA")</f>
      </c>
      <c r="D381" s="15"/>
      <c r="E381" s="13">
        <v>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0</v>
      </c>
      <c r="R381" s="14">
        <f>IFERROR(Q381/Q446, "NA")</f>
      </c>
      <c r="S381" s="15"/>
      <c r="T381" s="13">
        <v>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idden="1" ht="16.5" customHeight="1">
      <c t="s" r="A382" s="26">
        <v>350</v>
      </c>
      <c r="B382" s="13">
        <v>0</v>
      </c>
      <c r="C382" s="14">
        <f>IFERROR(B382/B446, "NA")</f>
      </c>
      <c r="D382" s="15"/>
      <c r="E382" s="13">
        <v>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0</v>
      </c>
      <c r="R382" s="14">
        <f>IFERROR(Q382/Q446, "NA")</f>
      </c>
      <c r="S382" s="15"/>
      <c r="T382" s="13">
        <v>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0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idden="1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0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0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0</v>
      </c>
      <c r="R383" s="14">
        <f>IFERROR(Q383/Q446, "NA")</f>
      </c>
      <c r="S383" s="15"/>
      <c r="T383" s="13">
        <v>0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0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idden="1" ht="16.5" customHeight="1">
      <c t="s" r="A386" s="12">
        <v>353</v>
      </c>
      <c r="B386" s="13">
        <v>0</v>
      </c>
      <c r="C386" s="14">
        <f>IFERROR(B386/B446, "NA")</f>
      </c>
      <c r="D386" s="15"/>
      <c r="E386" s="13">
        <v>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0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0</v>
      </c>
      <c r="R386" s="14">
        <f>IFERROR(Q386/Q446, "NA")</f>
      </c>
      <c r="S386" s="15"/>
      <c r="T386" s="13">
        <v>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0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idden="1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0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idden="1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0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0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idden="1" ht="16.5" customHeight="1">
      <c t="s" r="A390" s="18">
        <v>356</v>
      </c>
      <c r="B390" s="13">
        <v>0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0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0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0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idden="1" ht="16.5" customHeight="1">
      <c t="s" r="A391" s="18">
        <v>357</v>
      </c>
      <c r="B391" s="13">
        <v>0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0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0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0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idden="1" ht="16.5" customHeight="1">
      <c t="s" r="A393" s="18">
        <v>359</v>
      </c>
      <c r="B393" s="13">
        <v>0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0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0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0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idden="1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0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0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0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idden="1" ht="16.5" customHeight="1">
      <c t="s" r="A396" s="12">
        <v>362</v>
      </c>
      <c r="B396" s="13">
        <v>0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0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idden="1" ht="16.5" customHeight="1">
      <c t="s" r="A398" s="26">
        <v>364</v>
      </c>
      <c r="B398" s="13">
        <v>0</v>
      </c>
      <c r="C398" s="14">
        <f>IFERROR(B398/B446, "NA")</f>
      </c>
      <c r="D398" s="15"/>
      <c r="E398" s="13">
        <v>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0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0</v>
      </c>
      <c r="R398" s="14">
        <f>IFERROR(Q398/Q446, "NA")</f>
      </c>
      <c r="S398" s="15"/>
      <c r="T398" s="13">
        <v>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0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idden="1" ht="16.5" customHeight="1">
      <c t="s" r="A399" s="26">
        <v>365</v>
      </c>
      <c r="B399" s="13">
        <v>0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0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0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0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idden="1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0</v>
      </c>
      <c r="R400" s="14">
        <f>IFERROR(Q400/Q446, "NA")</f>
      </c>
      <c r="S400" s="15"/>
      <c r="T400" s="13">
        <v>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3294.5100000000002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6401.79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3333.25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3217.04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6666.5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6226.4200000000001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idden="1" ht="16.5" customHeight="1">
      <c t="s" r="A412" s="12">
        <v>377</v>
      </c>
      <c r="B412" s="13">
        <v>0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0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0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0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t="16.5" customHeight="1">
      <c t="s" r="A417" s="12">
        <v>382</v>
      </c>
      <c r="B417" s="13">
        <v>-27.510000000000002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-27.32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-54.119999999999997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-55.979999999999997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23.489999999999998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-48.350000000000001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121.27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-34.100000000000001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idden="1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0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idden="1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0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idden="1" ht="16.5" customHeight="1">
      <c t="s" r="A423" s="12">
        <v>388</v>
      </c>
      <c r="B423" s="13">
        <v>0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0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idden="1" ht="16.5" customHeight="1">
      <c t="s" r="A424" s="12">
        <v>389</v>
      </c>
      <c r="B424" s="13">
        <v>0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0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0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idden="1" ht="16.5" customHeight="1">
      <c t="s" r="A426" s="12">
        <v>391</v>
      </c>
      <c r="B426" s="13">
        <v>0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0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0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0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idden="1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0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idden="1" ht="16.5" customHeight="1">
      <c t="s" r="A428" s="12">
        <v>393</v>
      </c>
      <c r="B428" s="13">
        <v>0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0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0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0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78302.240000000005</v>
      </c>
      <c r="C446" s="33"/>
      <c r="D446" s="15"/>
      <c r="E446" s="13">
        <v>84378.880000000005</v>
      </c>
      <c r="F446" s="33"/>
      <c r="G446" s="15"/>
      <c r="H446" s="16">
        <f>IFERROR(B446-E446, "NA")</f>
      </c>
      <c r="I446" s="33"/>
      <c r="J446" s="15"/>
      <c r="K446" s="13">
        <v>80456.610000000001</v>
      </c>
      <c r="L446" s="33"/>
      <c r="M446" s="15"/>
      <c r="N446" s="16">
        <f>IFERROR(B446-K446, "NA")</f>
      </c>
      <c r="O446" s="33"/>
      <c r="P446" s="15"/>
      <c r="Q446" s="13">
        <v>150813.59</v>
      </c>
      <c r="R446" s="33"/>
      <c r="S446" s="15"/>
      <c r="T446" s="13">
        <v>152574.14999999999</v>
      </c>
      <c r="U446" s="33"/>
      <c r="V446" s="15"/>
      <c r="W446" s="16">
        <f>IFERROR(Q446-T446, "NA")</f>
      </c>
      <c r="X446" s="33"/>
      <c r="Y446" s="15"/>
      <c r="Z446" s="13">
        <v>146186.98999999999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417</v>
      </c>
      <c t="s" r="B3" s="3">
        <v>417</v>
      </c>
      <c t="s" r="C3" s="3">
        <v>417</v>
      </c>
      <c t="s" r="D3" s="3">
        <v>417</v>
      </c>
      <c t="s" r="E3" s="3">
        <v>417</v>
      </c>
      <c t="s" r="F3" s="3">
        <v>417</v>
      </c>
      <c t="s" r="G3" s="3">
        <v>417</v>
      </c>
      <c t="s" r="H3" s="3">
        <v>417</v>
      </c>
      <c t="s" r="I3" s="3">
        <v>417</v>
      </c>
      <c t="s" r="J3" s="3">
        <v>417</v>
      </c>
      <c t="s" r="K3" s="3">
        <v>417</v>
      </c>
      <c t="s" r="L3" s="3">
        <v>417</v>
      </c>
      <c t="s" r="M3" s="3">
        <v>417</v>
      </c>
      <c t="s" r="N3" s="3">
        <v>417</v>
      </c>
      <c t="s" r="O3" s="3">
        <v>417</v>
      </c>
      <c t="s" r="P3" s="3">
        <v>417</v>
      </c>
      <c t="s" r="Q3" s="3">
        <v>417</v>
      </c>
      <c t="s" r="R3" s="3">
        <v>417</v>
      </c>
      <c t="s" r="S3" s="3">
        <v>417</v>
      </c>
      <c t="s" r="T3" s="3">
        <v>417</v>
      </c>
      <c t="s" r="U3" s="3">
        <v>417</v>
      </c>
      <c t="s" r="V3" s="3">
        <v>417</v>
      </c>
      <c t="s" r="W3" s="3">
        <v>417</v>
      </c>
      <c t="s" r="X3" s="3">
        <v>417</v>
      </c>
      <c t="s" r="Y3" s="3">
        <v>417</v>
      </c>
      <c t="s" r="Z3" s="3">
        <v>417</v>
      </c>
      <c t="s" r="AA3" s="3">
        <v>417</v>
      </c>
      <c t="s" r="AB3" s="3">
        <v>417</v>
      </c>
      <c t="s" r="AC3" s="3">
        <v>417</v>
      </c>
      <c t="s" r="AD3" s="3">
        <v>417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44679.230000000003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86440.5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31971.34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38772.099999999999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69720.550000000003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72667.600000000006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3163.5999999999999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4347.6000000000004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6753.4499999999998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8305.1499999999996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46.5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114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94.5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222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0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235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0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520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24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21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32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42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idden="1" ht="16.5" customHeight="1">
      <c t="s" r="A16" s="18">
        <v>18</v>
      </c>
      <c r="B16" s="13">
        <v>0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0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0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7446.54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14406.75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14.85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6866.1000000000004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2793.4400000000001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12142.15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3992.9400000000001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6769.3400000000001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448.75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1307.3099999999999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1111.73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1952.95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82.5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158.31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439.58999999999997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0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791.82000000000005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0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652.90999999999997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802.65999999999997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1491.51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1683.1900000000001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14002.73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27090.950000000001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10374.35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8276.0300000000007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18913.549999999999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16445.950000000001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702.71000000000004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691.83000000000004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1330.3499999999999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1659.6800000000001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3978.02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7598.9399999999996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7891.71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13911.5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497.75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1087.4000000000001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0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648.39999999999998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0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1415.1500000000001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15378.719999999999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29753.07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2062.54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2416.96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3821.4699999999998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5008.1000000000004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idden="1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0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0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0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13951.459999999999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9355.5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24317.900000000001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22445.959999999999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idden="1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0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0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idden="1" ht="16.5" customHeight="1">
      <c t="s" r="A50" s="23">
        <v>48</v>
      </c>
      <c r="B50" s="13">
        <v>0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0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0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0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idden="1" ht="16.5" customHeight="1">
      <c t="s" r="A51" s="23">
        <v>49</v>
      </c>
      <c r="B51" s="13">
        <v>0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0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0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0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idden="1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idden="1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idden="1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0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idden="1" ht="16.5" customHeight="1">
      <c t="s" r="A55" s="23">
        <v>53</v>
      </c>
      <c r="B55" s="13">
        <v>0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0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0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0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idden="1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0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idden="1" ht="16.5" customHeight="1">
      <c t="s" r="A57" s="23">
        <v>55</v>
      </c>
      <c r="B57" s="13">
        <v>0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0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0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idden="1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idden="1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0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3318.5700000000002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6420.3999999999996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2550.1300000000001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0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3628.9000000000001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0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idden="1" ht="16.5" customHeight="1">
      <c t="s" r="A66" s="18">
        <v>63</v>
      </c>
      <c r="B66" s="13">
        <v>0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0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0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0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idden="1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0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idden="1" ht="16.5" customHeight="1">
      <c t="s" r="A68" s="18">
        <v>65</v>
      </c>
      <c r="B68" s="13">
        <v>0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0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0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0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idden="1" ht="16.5" customHeight="1">
      <c t="s" r="A69" s="18">
        <v>66</v>
      </c>
      <c r="B69" s="13">
        <v>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0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idden="1" ht="16.5" customHeight="1">
      <c t="s" r="A70" s="18">
        <v>67</v>
      </c>
      <c r="B70" s="13">
        <v>0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0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t="16.5" customHeight="1">
      <c t="s" r="A71" s="18">
        <v>68</v>
      </c>
      <c r="B71" s="13">
        <v>2166.1300000000001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2166.1300000000001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idden="1" ht="16.5" customHeight="1">
      <c t="s" r="A72" s="18">
        <v>69</v>
      </c>
      <c r="B72" s="13">
        <v>0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0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1133.1700000000001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2192.3299999999999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94.450000000000003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241.03999999999999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234.31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501.19999999999999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idden="1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0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1347.1700000000001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950.37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2251.48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2285.4400000000001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idden="1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0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idden="1" ht="16.5" customHeight="1">
      <c t="s" r="A83" s="18">
        <v>79</v>
      </c>
      <c r="B83" s="13">
        <v>0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0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idden="1" ht="16.5" customHeight="1">
      <c t="s" r="A86" s="18">
        <v>82</v>
      </c>
      <c r="B86" s="13">
        <v>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idden="1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0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t="16.5" customHeight="1">
      <c t="s" r="A89" s="12">
        <v>85</v>
      </c>
      <c r="B89" s="13">
        <v>0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0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0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-23.300000000000001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-132.13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-333.24000000000001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-5018.3199999999997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-9708.8999999999996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-832.53999999999996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-1259.05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-1516.97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-2289.8699999999999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-815.15999999999997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-1787.78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-2704.9400000000001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-3473.1399999999999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t="16.5" customHeight="1">
      <c t="s" r="A100" s="18">
        <v>95</v>
      </c>
      <c r="B100" s="13">
        <v>0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-543.75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0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-543.75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t="16.5" customHeight="1">
      <c t="s" r="A101" s="18">
        <v>96</v>
      </c>
      <c r="B101" s="13">
        <v>-73.590000000000003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-73.590000000000003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-578.39999999999998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-1558.0699999999999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-1391.1400000000001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-2916.7199999999998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t="16.5" customHeight="1">
      <c t="s" r="A103" s="18">
        <v>98</v>
      </c>
      <c r="B103" s="13">
        <v>0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-15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-101.97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-592.98000000000002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-647.57000000000005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-1293.3099999999999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t="16.5" customHeight="1">
      <c t="s" r="A106" s="18">
        <v>101</v>
      </c>
      <c r="B106" s="13">
        <v>-100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0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-100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-844.74000000000001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17321.290000000001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34343.550000000003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4177.4899999999998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4901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7702.6300000000001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8973.9099999999999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2228.8499999999999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2714.0900000000001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4400.8699999999999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5520.4799999999996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2441.6399999999999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2702.3299999999999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4465.46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5566.4300000000003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1839.49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2057.4699999999998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3506.2199999999998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3962.8800000000001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906.07000000000005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672.76999999999998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1887.54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1263.8399999999999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485.18000000000001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644.09000000000003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1090.3699999999999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1150.3599999999999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597.98000000000002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1097.95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484.47000000000003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688.96000000000004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828.25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1009.84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5391.2600000000002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4436.1099999999997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10956.030000000001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8436.4899999999998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idden="1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0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0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890.35000000000002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1722.55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837.90999999999997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807.13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1838.9200000000001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1884.71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7.2199999999999998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37.340000000000003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21.760000000000002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82.909999999999997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-14.949999999999999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48.5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14.949999999999999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67.400000000000006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0.34000000000000002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7.3499999999999996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22.050000000000001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14.02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3399.5100000000002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6577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2452.9899999999998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2935.4400000000001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4968.5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5334.8599999999997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1221.4400000000001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787.23000000000002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1992.48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1617.6300000000001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idden="1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0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206.47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404.77999999999997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506.88999999999999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720.88999999999999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idden="1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0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idden="1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0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113.34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98.400000000000006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237.94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200.00999999999999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27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41.799999999999997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51.310000000000002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80.599999999999994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-607.01999999999998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-2256.6999999999998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-1590.1600000000001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-4417.1099999999997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5846.1599999999999</v>
      </c>
      <c r="C178" s="14">
        <f>IFERROR(B178/B446, "NA")</f>
      </c>
      <c r="D178" s="15"/>
      <c r="E178" s="13">
        <v>5846.1599999999999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5846.1599999999999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11692.32</v>
      </c>
      <c r="R178" s="14">
        <f>IFERROR(Q178/Q446, "NA")</f>
      </c>
      <c r="S178" s="15"/>
      <c r="T178" s="13">
        <v>11692.32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11692.32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15612.01</v>
      </c>
      <c r="C180" s="14">
        <f>IFERROR(B180/B446, "NA")</f>
      </c>
      <c r="D180" s="15"/>
      <c r="E180" s="13">
        <v>16188.129999999999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16562.23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29936.369999999999</v>
      </c>
      <c r="R180" s="14">
        <f>IFERROR(Q180/Q446, "NA")</f>
      </c>
      <c r="S180" s="15"/>
      <c r="T180" s="13">
        <v>31319.029999999999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31239.25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t="16.5" customHeight="1">
      <c t="s" r="A181" s="18">
        <v>166</v>
      </c>
      <c r="B181" s="13">
        <v>72.370000000000005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0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84.329999999999998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0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350</v>
      </c>
      <c r="C184" s="14">
        <f>IFERROR(B184/B446, "NA")</f>
      </c>
      <c r="D184" s="15"/>
      <c r="E184" s="13">
        <v>350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500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700</v>
      </c>
      <c r="R184" s="14">
        <f>IFERROR(Q184/Q446, "NA")</f>
      </c>
      <c r="S184" s="15"/>
      <c r="T184" s="13">
        <v>700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1000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1938.7</v>
      </c>
      <c r="C186" s="14">
        <f>IFERROR(B186/B446, "NA")</f>
      </c>
      <c r="D186" s="15"/>
      <c r="E186" s="13">
        <v>2816.4299999999998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2675.9400000000001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3793.8499999999999</v>
      </c>
      <c r="R186" s="14">
        <f>IFERROR(Q186/Q446, "NA")</f>
      </c>
      <c r="S186" s="15"/>
      <c r="T186" s="13">
        <v>5287.3100000000004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5057.5100000000002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322</v>
      </c>
      <c r="C194" s="14">
        <f>IFERROR(B194/B446, "NA")</f>
      </c>
      <c r="D194" s="15"/>
      <c r="E194" s="13">
        <v>179.06999999999999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292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534</v>
      </c>
      <c r="R194" s="14">
        <f>IFERROR(Q194/Q446, "NA")</f>
      </c>
      <c r="S194" s="15"/>
      <c r="T194" s="13">
        <v>349.69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504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t="16.5" customHeight="1">
      <c t="s" r="A195" s="12">
        <v>179</v>
      </c>
      <c r="B195" s="13">
        <v>1679.71</v>
      </c>
      <c r="C195" s="14">
        <f>IFERROR(B195/B446, "NA")</f>
      </c>
      <c r="D195" s="15"/>
      <c r="E195" s="13">
        <v>227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667.85000000000002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3281.3400000000001</v>
      </c>
      <c r="R195" s="14">
        <f>IFERROR(Q195/Q446, "NA")</f>
      </c>
      <c r="S195" s="15"/>
      <c r="T195" s="13">
        <v>453.95999999999998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879.42999999999995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1520.47</v>
      </c>
      <c r="C202" s="14">
        <f>IFERROR(B202/B446, "NA")</f>
      </c>
      <c r="D202" s="15"/>
      <c r="E202" s="13">
        <v>728.47000000000003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1750.9100000000001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2554.6900000000001</v>
      </c>
      <c r="R202" s="14">
        <f>IFERROR(Q202/Q446, "NA")</f>
      </c>
      <c r="S202" s="15"/>
      <c r="T202" s="13">
        <v>1409.3599999999999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3056.0799999999999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538.04999999999995</v>
      </c>
      <c r="C203" s="14">
        <f>IFERROR(B203/B446, "NA")</f>
      </c>
      <c r="D203" s="15"/>
      <c r="E203" s="13">
        <v>485.63999999999999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435.17000000000002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1001.76</v>
      </c>
      <c r="R203" s="14">
        <f>IFERROR(Q203/Q446, "NA")</f>
      </c>
      <c r="S203" s="15"/>
      <c r="T203" s="13">
        <v>939.57000000000005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941.92999999999995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20.59</v>
      </c>
      <c r="C204" s="14">
        <f>IFERROR(B204/B446, "NA")</f>
      </c>
      <c r="D204" s="15"/>
      <c r="E204" s="13">
        <v>161.88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241.33000000000001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46.590000000000003</v>
      </c>
      <c r="R204" s="14">
        <f>IFERROR(Q204/Q446, "NA")</f>
      </c>
      <c r="S204" s="15"/>
      <c r="T204" s="13">
        <v>313.19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265.25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237.63999999999999</v>
      </c>
      <c r="C205" s="14">
        <f>IFERROR(B205/B446, "NA")</f>
      </c>
      <c r="D205" s="15"/>
      <c r="E205" s="13">
        <v>242.81999999999999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209.96000000000001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480.88999999999999</v>
      </c>
      <c r="R205" s="14">
        <f>IFERROR(Q205/Q446, "NA")</f>
      </c>
      <c r="S205" s="15"/>
      <c r="T205" s="13">
        <v>469.77999999999997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419.92000000000002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117.78</v>
      </c>
      <c r="C206" s="14">
        <f>IFERROR(B206/B446, "NA")</f>
      </c>
      <c r="D206" s="15"/>
      <c r="E206" s="13">
        <v>80.939999999999998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33.049999999999997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117.78</v>
      </c>
      <c r="R206" s="14">
        <f>IFERROR(Q206/Q446, "NA")</f>
      </c>
      <c r="S206" s="15"/>
      <c r="T206" s="13">
        <v>156.59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33.049999999999997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157.84999999999999</v>
      </c>
      <c r="C207" s="14">
        <f>IFERROR(B207/B446, "NA")</f>
      </c>
      <c r="D207" s="15"/>
      <c r="E207" s="13">
        <v>100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0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400.98000000000002</v>
      </c>
      <c r="R207" s="14">
        <f>IFERROR(Q207/Q446, "NA")</f>
      </c>
      <c r="S207" s="15"/>
      <c r="T207" s="13">
        <v>200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99.599999999999994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0</v>
      </c>
      <c r="C208" s="14">
        <f>IFERROR(B208/B446, "NA")</f>
      </c>
      <c r="D208" s="15"/>
      <c r="E208" s="13">
        <v>100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47.689999999999998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86.299999999999997</v>
      </c>
      <c r="R208" s="14">
        <f>IFERROR(Q208/Q446, "NA")</f>
      </c>
      <c r="S208" s="15"/>
      <c r="T208" s="13">
        <v>200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191.41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2347.2800000000002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4541.2600000000002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1562.0599999999999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2617.8699999999999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2780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4901.9200000000001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t="16.5" customHeight="1">
      <c t="s" r="A215" s="18">
        <v>195</v>
      </c>
      <c r="B215" s="13">
        <v>254.08000000000001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0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437.70999999999998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0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t="16.5" customHeight="1">
      <c t="s" r="A216" s="18">
        <v>196</v>
      </c>
      <c r="B216" s="13">
        <v>50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0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50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0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422.93000000000001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1501.75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629.26999999999998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2959.29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187.46000000000001</v>
      </c>
      <c r="C222" s="14">
        <f>IFERROR(B222/B446, "NA")</f>
      </c>
      <c r="D222" s="15"/>
      <c r="E222" s="13">
        <v>100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237.61000000000001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337.45999999999998</v>
      </c>
      <c r="R222" s="14">
        <f>IFERROR(Q222/Q446, "NA")</f>
      </c>
      <c r="S222" s="15"/>
      <c r="T222" s="13">
        <v>200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409.43000000000001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1052.23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2035.74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idden="1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0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84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0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300.37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idden="1" ht="16.5" customHeight="1">
      <c t="s" r="A233" s="12">
        <v>212</v>
      </c>
      <c r="B233" s="13">
        <v>0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0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1342.47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1112.4000000000001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2426.79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2354.2800000000002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10.43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16.390000000000001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4289.8500000000004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8299.5400000000009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idden="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0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0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0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1516.8199999999999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1044.5799999999999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2776.25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2062.71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2389.8299999999999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1543.8499999999999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3995.6500000000001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3638.4099999999999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530.01999999999998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0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1002.27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0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139.91999999999999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203.36000000000001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247.62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489.06999999999999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195.11000000000001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239.86000000000001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445.70999999999998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502.99000000000001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704.19000000000005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997.45000000000005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1430.0699999999999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1777.9100000000001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idden="1" ht="16.5" customHeight="1">
      <c t="s" r="A251" s="18">
        <v>228</v>
      </c>
      <c r="B251" s="13">
        <v>0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0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0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0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idden="1" ht="16.5" customHeight="1">
      <c t="s" r="A253" s="18">
        <v>230</v>
      </c>
      <c r="B253" s="13">
        <v>0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0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0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idden="1" ht="16.5" customHeight="1">
      <c t="s" r="A254" s="18">
        <v>231</v>
      </c>
      <c r="B254" s="13">
        <v>0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0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0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0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idden="1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0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idden="1" ht="16.5" customHeight="1">
      <c t="s" r="A258" s="18">
        <v>235</v>
      </c>
      <c r="B258" s="13">
        <v>0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0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0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0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idden="1" ht="16.5" customHeight="1">
      <c t="s" r="A260" s="18">
        <v>237</v>
      </c>
      <c r="B260" s="13">
        <v>0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0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t="16.5" customHeight="1">
      <c t="s" r="A261" s="18">
        <v>238</v>
      </c>
      <c r="B261" s="13">
        <v>433.70999999999998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433.70999999999998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2147.5799999999999</v>
      </c>
      <c r="C266" s="14">
        <f>IFERROR(B266/B446, "NA")</f>
      </c>
      <c r="D266" s="15"/>
      <c r="E266" s="13">
        <v>2347.2800000000002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2137.54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4247.8999999999996</v>
      </c>
      <c r="R266" s="14">
        <f>IFERROR(Q266/Q446, "NA")</f>
      </c>
      <c r="S266" s="15"/>
      <c r="T266" s="13">
        <v>4541.2600000000002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4119.4399999999996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t="16.5" customHeight="1">
      <c t="s" r="A267" s="12">
        <v>243</v>
      </c>
      <c r="B267" s="13">
        <v>32.799999999999997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0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32.799999999999997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0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197.88</v>
      </c>
      <c r="C271" s="14">
        <f>IFERROR(B271/B446, "NA")</f>
      </c>
      <c r="D271" s="15"/>
      <c r="E271" s="13">
        <v>200.19999999999999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201.72999999999999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395.75999999999999</v>
      </c>
      <c r="R271" s="14">
        <f>IFERROR(Q271/Q446, "NA")</f>
      </c>
      <c r="S271" s="15"/>
      <c r="T271" s="13">
        <v>400.39999999999998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403.45999999999998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894.42999999999995</v>
      </c>
      <c r="C272" s="14">
        <f>IFERROR(B272/B446, "NA")</f>
      </c>
      <c r="D272" s="15"/>
      <c r="E272" s="13">
        <v>894.42999999999995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778.58000000000004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1788.8599999999999</v>
      </c>
      <c r="R272" s="14">
        <f>IFERROR(Q272/Q446, "NA")</f>
      </c>
      <c r="S272" s="15"/>
      <c r="T272" s="13">
        <v>1788.8599999999999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1557.1600000000001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idden="1" ht="16.5" customHeight="1">
      <c t="s" r="A273" s="12">
        <v>248</v>
      </c>
      <c r="B273" s="13">
        <v>0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0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idden="1" ht="16.5" customHeight="1">
      <c t="s" r="A288" s="12">
        <v>261</v>
      </c>
      <c r="B288" s="13">
        <v>0</v>
      </c>
      <c r="C288" s="14">
        <f>IFERROR(B288/B446, "NA")</f>
      </c>
      <c r="D288" s="15"/>
      <c r="E288" s="13">
        <v>0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0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0</v>
      </c>
      <c r="R288" s="14">
        <f>IFERROR(Q288/Q446, "NA")</f>
      </c>
      <c r="S288" s="15"/>
      <c r="T288" s="13">
        <v>0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0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137.5</v>
      </c>
      <c r="C289" s="14">
        <f>IFERROR(B289/B446, "NA")</f>
      </c>
      <c r="D289" s="15"/>
      <c r="E289" s="13">
        <v>138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137.5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275</v>
      </c>
      <c r="R289" s="14">
        <f>IFERROR(Q289/Q446, "NA")</f>
      </c>
      <c r="S289" s="15"/>
      <c r="T289" s="13">
        <v>276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275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156.81</v>
      </c>
      <c r="C290" s="14">
        <f>IFERROR(B290/B446, "NA")</f>
      </c>
      <c r="D290" s="15"/>
      <c r="E290" s="13">
        <v>211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143.63999999999999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313.62</v>
      </c>
      <c r="R290" s="14">
        <f>IFERROR(Q290/Q446, "NA")</f>
      </c>
      <c r="S290" s="15"/>
      <c r="T290" s="13">
        <v>422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284.52999999999997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0</v>
      </c>
      <c r="C291" s="14">
        <f>IFERROR(B291/B446, "NA")</f>
      </c>
      <c r="D291" s="15"/>
      <c r="E291" s="13">
        <v>485.63999999999999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0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869.20000000000005</v>
      </c>
      <c r="R291" s="14">
        <f>IFERROR(Q291/Q446, "NA")</f>
      </c>
      <c r="S291" s="15"/>
      <c r="T291" s="13">
        <v>939.57000000000005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809.63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425.80000000000001</v>
      </c>
      <c r="C292" s="14">
        <f>IFERROR(B292/B446, "NA")</f>
      </c>
      <c r="D292" s="15"/>
      <c r="E292" s="13">
        <v>323.75999999999999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0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425.80000000000001</v>
      </c>
      <c r="R292" s="14">
        <f>IFERROR(Q292/Q446, "NA")</f>
      </c>
      <c r="S292" s="15"/>
      <c r="T292" s="13">
        <v>626.38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0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0</v>
      </c>
      <c r="C293" s="14">
        <f>IFERROR(B293/B446, "NA")</f>
      </c>
      <c r="D293" s="15"/>
      <c r="E293" s="13">
        <v>80.939999999999998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0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0</v>
      </c>
      <c r="R293" s="14">
        <f>IFERROR(Q293/Q446, "NA")</f>
      </c>
      <c r="S293" s="15"/>
      <c r="T293" s="13">
        <v>156.59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0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851.73000000000002</v>
      </c>
      <c r="C294" s="14">
        <f>IFERROR(B294/B446, "NA")</f>
      </c>
      <c r="D294" s="15"/>
      <c r="E294" s="13">
        <v>80.939999999999998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0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851.73000000000002</v>
      </c>
      <c r="R294" s="14">
        <f>IFERROR(Q294/Q446, "NA")</f>
      </c>
      <c r="S294" s="15"/>
      <c r="T294" s="13">
        <v>156.59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369.93000000000001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310</v>
      </c>
      <c r="C295" s="14">
        <f>IFERROR(B295/B446, "NA")</f>
      </c>
      <c r="D295" s="15"/>
      <c r="E295" s="13">
        <v>346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320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619.99000000000001</v>
      </c>
      <c r="R295" s="14">
        <f>IFERROR(Q295/Q446, "NA")</f>
      </c>
      <c r="S295" s="15"/>
      <c r="T295" s="13">
        <v>692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639.99000000000001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559.62</v>
      </c>
      <c r="C300" s="14">
        <f>IFERROR(B300/B446, "NA")</f>
      </c>
      <c r="D300" s="15"/>
      <c r="E300" s="13">
        <v>575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194.06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1127.45</v>
      </c>
      <c r="R300" s="14">
        <f>IFERROR(Q300/Q446, "NA")</f>
      </c>
      <c r="S300" s="15"/>
      <c r="T300" s="13">
        <v>1150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388.12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197.00999999999999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0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197.00999999999999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idden="1" ht="16.5" customHeight="1">
      <c t="s" r="A306" s="12">
        <v>278</v>
      </c>
      <c r="B306" s="13">
        <v>0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0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0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0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0</v>
      </c>
      <c r="C311" s="14">
        <f>IFERROR(B311/B446, "NA")</f>
      </c>
      <c r="D311" s="15"/>
      <c r="E311" s="13">
        <v>55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0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39.600000000000001</v>
      </c>
      <c r="R311" s="14">
        <f>IFERROR(Q311/Q446, "NA")</f>
      </c>
      <c r="S311" s="15"/>
      <c r="T311" s="13">
        <v>110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31.57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26.699999999999999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26.699999999999999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305.13</v>
      </c>
      <c r="C313" s="14">
        <f>IFERROR(B313/B446, "NA")</f>
      </c>
      <c r="D313" s="15"/>
      <c r="E313" s="13">
        <v>35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0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368.45999999999998</v>
      </c>
      <c r="R313" s="14">
        <f>IFERROR(Q313/Q446, "NA")</f>
      </c>
      <c r="S313" s="15"/>
      <c r="T313" s="13">
        <v>70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29.030000000000001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12</v>
      </c>
      <c r="C314" s="14">
        <f>IFERROR(B314/B446, "NA")</f>
      </c>
      <c r="D314" s="15"/>
      <c r="E314" s="13">
        <v>10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0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12</v>
      </c>
      <c r="R314" s="14">
        <f>IFERROR(Q314/Q446, "NA")</f>
      </c>
      <c r="S314" s="15"/>
      <c r="T314" s="13">
        <v>20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18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t="16.5" customHeight="1">
      <c t="s" r="A316" s="12">
        <v>288</v>
      </c>
      <c r="B316" s="13">
        <v>748.97000000000003</v>
      </c>
      <c r="C316" s="14">
        <f>IFERROR(B316/B446, "NA")</f>
      </c>
      <c r="D316" s="15"/>
      <c r="E316" s="13">
        <v>566.58000000000004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794.11000000000001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1497.9400000000001</v>
      </c>
      <c r="R316" s="14">
        <f>IFERROR(Q316/Q446, "NA")</f>
      </c>
      <c r="S316" s="15"/>
      <c r="T316" s="13">
        <v>1096.1600000000001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1588.22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idden="1" ht="16.5" customHeight="1">
      <c t="s" r="A317" s="12">
        <v>289</v>
      </c>
      <c r="B317" s="13">
        <v>0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0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t="16.5" customHeight="1">
      <c t="s" r="A319" s="12">
        <v>291</v>
      </c>
      <c r="B319" s="13">
        <v>490.60000000000002</v>
      </c>
      <c r="C319" s="14">
        <f>IFERROR(B319/B446, "NA")</f>
      </c>
      <c r="D319" s="15"/>
      <c r="E319" s="13">
        <v>491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490.60000000000002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981.20000000000005</v>
      </c>
      <c r="R319" s="14">
        <f>IFERROR(Q319/Q446, "NA")</f>
      </c>
      <c r="S319" s="15"/>
      <c r="T319" s="13">
        <v>982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981.20000000000005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160.38</v>
      </c>
      <c r="C320" s="14">
        <f>IFERROR(B320/B446, "NA")</f>
      </c>
      <c r="D320" s="15"/>
      <c r="E320" s="13">
        <v>160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160.16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320.75999999999999</v>
      </c>
      <c r="R320" s="14">
        <f>IFERROR(Q320/Q446, "NA")</f>
      </c>
      <c r="S320" s="15"/>
      <c r="T320" s="13">
        <v>320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320.31999999999999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1141.6500000000001</v>
      </c>
      <c r="C321" s="14">
        <f>IFERROR(B321/B446, "NA")</f>
      </c>
      <c r="D321" s="15"/>
      <c r="E321" s="13">
        <v>1121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1031.0699999999999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2263.0100000000002</v>
      </c>
      <c r="R321" s="14">
        <f>IFERROR(Q321/Q446, "NA")</f>
      </c>
      <c r="S321" s="15"/>
      <c r="T321" s="13">
        <v>2242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2062.1399999999999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607.01999999999998</v>
      </c>
      <c r="C322" s="14">
        <f>IFERROR(B322/B446, "NA")</f>
      </c>
      <c r="D322" s="15"/>
      <c r="E322" s="13">
        <v>1214.1099999999999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2256.6999999999998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1590.1600000000001</v>
      </c>
      <c r="R322" s="14">
        <f>IFERROR(Q322/Q446, "NA")</f>
      </c>
      <c r="S322" s="15"/>
      <c r="T322" s="13">
        <v>2273.27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4417.1099999999997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280.20999999999998</v>
      </c>
      <c r="C323" s="14">
        <f>IFERROR(B323/B446, "NA")</f>
      </c>
      <c r="D323" s="15"/>
      <c r="E323" s="13">
        <v>366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185.13999999999999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560.41999999999996</v>
      </c>
      <c r="R323" s="14">
        <f>IFERROR(Q323/Q446, "NA")</f>
      </c>
      <c r="S323" s="15"/>
      <c r="T323" s="13">
        <v>732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370.25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0.01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13526.48</v>
      </c>
      <c r="C330" s="14">
        <f>IFERROR(B330/B446, "NA")</f>
      </c>
      <c r="D330" s="15"/>
      <c r="E330" s="13">
        <v>13526.48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13132.5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27052.959999999999</v>
      </c>
      <c r="R330" s="14">
        <f>IFERROR(Q330/Q446, "NA")</f>
      </c>
      <c r="S330" s="15"/>
      <c r="T330" s="13">
        <v>27052.959999999999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26265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2126</v>
      </c>
      <c r="C331" s="14">
        <f>IFERROR(B331/B446, "NA")</f>
      </c>
      <c r="D331" s="15"/>
      <c r="E331" s="13">
        <v>2126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2126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4252</v>
      </c>
      <c r="R331" s="14">
        <f>IFERROR(Q331/Q446, "NA")</f>
      </c>
      <c r="S331" s="15"/>
      <c r="T331" s="13">
        <v>4252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4252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t="16.5" customHeight="1">
      <c t="s" r="A333" s="12">
        <v>304</v>
      </c>
      <c r="B333" s="13">
        <v>180</v>
      </c>
      <c r="C333" s="14">
        <f>IFERROR(B333/B446, "NA")</f>
      </c>
      <c r="D333" s="15"/>
      <c r="E333" s="13">
        <v>180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180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360</v>
      </c>
      <c r="R333" s="14">
        <f>IFERROR(Q333/Q446, "NA")</f>
      </c>
      <c r="S333" s="15"/>
      <c r="T333" s="13">
        <v>360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360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1254</v>
      </c>
      <c r="C334" s="14">
        <f>IFERROR(B334/B446, "NA")</f>
      </c>
      <c r="D334" s="15"/>
      <c r="E334" s="13">
        <v>1025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1024.6900000000001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2508</v>
      </c>
      <c r="R334" s="14">
        <f>IFERROR(Q334/Q446, "NA")</f>
      </c>
      <c r="S334" s="15"/>
      <c r="T334" s="13">
        <v>2050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2049.3800000000001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-1041.54</v>
      </c>
      <c r="C335" s="14">
        <f>IFERROR(B335/B446, "NA")</f>
      </c>
      <c r="D335" s="15"/>
      <c r="E335" s="13">
        <v>-1041.54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-1011.2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-2083.0799999999999</v>
      </c>
      <c r="R335" s="14">
        <f>IFERROR(Q335/Q446, "NA")</f>
      </c>
      <c r="S335" s="15"/>
      <c r="T335" s="13">
        <v>-2083.0799999999999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-2022.4000000000001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idden="1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0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0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0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201.80000000000001</v>
      </c>
      <c r="C339" s="14">
        <f>IFERROR(B339/B446, "NA")</f>
      </c>
      <c r="D339" s="15"/>
      <c r="E339" s="13">
        <v>323.75999999999999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392.85000000000002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561.79999999999995</v>
      </c>
      <c r="R339" s="14">
        <f>IFERROR(Q339/Q446, "NA")</f>
      </c>
      <c r="S339" s="15"/>
      <c r="T339" s="13">
        <v>626.38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879.11000000000001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397.25</v>
      </c>
      <c r="C340" s="14">
        <f>IFERROR(B340/B446, "NA")</f>
      </c>
      <c r="D340" s="15"/>
      <c r="E340" s="13">
        <v>242.81999999999999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270.49000000000001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797.25</v>
      </c>
      <c r="R340" s="14">
        <f>IFERROR(Q340/Q446, "NA")</f>
      </c>
      <c r="S340" s="15"/>
      <c r="T340" s="13">
        <v>469.77999999999997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637.23000000000002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472</v>
      </c>
      <c r="C341" s="14">
        <f>IFERROR(B341/B446, "NA")</f>
      </c>
      <c r="D341" s="15"/>
      <c r="E341" s="13">
        <v>242.81999999999999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410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905</v>
      </c>
      <c r="R341" s="14">
        <f>IFERROR(Q341/Q446, "NA")</f>
      </c>
      <c r="S341" s="15"/>
      <c r="T341" s="13">
        <v>469.77999999999997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919.17999999999995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t="16.5" customHeight="1">
      <c t="s" r="A342" s="18">
        <v>312</v>
      </c>
      <c r="B342" s="13">
        <v>472.43000000000001</v>
      </c>
      <c r="C342" s="14">
        <f>IFERROR(B342/B446, "NA")</f>
      </c>
      <c r="D342" s="15"/>
      <c r="E342" s="13">
        <v>323.75999999999999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470.94999999999999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944.86000000000001</v>
      </c>
      <c r="R342" s="14">
        <f>IFERROR(Q342/Q446, "NA")</f>
      </c>
      <c r="S342" s="15"/>
      <c r="T342" s="13">
        <v>626.38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941.89999999999998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idden="1" ht="16.5" customHeight="1">
      <c t="s" r="A351" s="12">
        <v>320</v>
      </c>
      <c r="B351" s="13">
        <v>0</v>
      </c>
      <c r="C351" s="14">
        <f>IFERROR(B351/B446, "NA")</f>
      </c>
      <c r="D351" s="15"/>
      <c r="E351" s="13">
        <v>0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0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0</v>
      </c>
      <c r="R351" s="14">
        <f>IFERROR(Q351/Q446, "NA")</f>
      </c>
      <c r="S351" s="15"/>
      <c r="T351" s="13">
        <v>0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0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idden="1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0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idden="1" ht="16.5" customHeight="1">
      <c t="s" r="A355" s="12">
        <v>324</v>
      </c>
      <c r="B355" s="13">
        <v>0</v>
      </c>
      <c r="C355" s="14">
        <f>IFERROR(B355/B446, "NA")</f>
      </c>
      <c r="D355" s="15"/>
      <c r="E355" s="13">
        <v>0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0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0</v>
      </c>
      <c r="R355" s="14">
        <f>IFERROR(Q355/Q446, "NA")</f>
      </c>
      <c r="S355" s="15"/>
      <c r="T355" s="13">
        <v>0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0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idden="1" ht="16.5" customHeight="1">
      <c t="s" r="A356" s="12">
        <v>325</v>
      </c>
      <c r="B356" s="13">
        <v>0</v>
      </c>
      <c r="C356" s="14">
        <f>IFERROR(B356/B446, "NA")</f>
      </c>
      <c r="D356" s="15"/>
      <c r="E356" s="13">
        <v>0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0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0</v>
      </c>
      <c r="R356" s="14">
        <f>IFERROR(Q356/Q446, "NA")</f>
      </c>
      <c r="S356" s="15"/>
      <c r="T356" s="13">
        <v>0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0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idden="1" ht="16.5" customHeight="1">
      <c t="s" r="A357" s="12">
        <v>326</v>
      </c>
      <c r="B357" s="13">
        <v>0</v>
      </c>
      <c r="C357" s="14">
        <f>IFERROR(B357/B446, "NA")</f>
      </c>
      <c r="D357" s="15"/>
      <c r="E357" s="13">
        <v>0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0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0</v>
      </c>
      <c r="R357" s="14">
        <f>IFERROR(Q357/Q446, "NA")</f>
      </c>
      <c r="S357" s="15"/>
      <c r="T357" s="13">
        <v>0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0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idden="1" ht="16.5" customHeight="1">
      <c t="s" r="A358" s="12">
        <v>327</v>
      </c>
      <c r="B358" s="13">
        <v>0</v>
      </c>
      <c r="C358" s="14">
        <f>IFERROR(B358/B446, "NA")</f>
      </c>
      <c r="D358" s="15"/>
      <c r="E358" s="13">
        <v>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0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0</v>
      </c>
      <c r="R358" s="14">
        <f>IFERROR(Q358/Q446, "NA")</f>
      </c>
      <c r="S358" s="15"/>
      <c r="T358" s="13">
        <v>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0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idden="1" ht="16.5" customHeight="1">
      <c t="s" r="A363" s="12">
        <v>331</v>
      </c>
      <c r="B363" s="13">
        <v>0</v>
      </c>
      <c r="C363" s="14">
        <f>IFERROR(B363/B446, "NA")</f>
      </c>
      <c r="D363" s="15"/>
      <c r="E363" s="13">
        <v>0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0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0</v>
      </c>
      <c r="R363" s="14">
        <f>IFERROR(Q363/Q446, "NA")</f>
      </c>
      <c r="S363" s="15"/>
      <c r="T363" s="13">
        <v>0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0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idden="1" ht="16.5" customHeight="1">
      <c t="s" r="A364" s="12">
        <v>332</v>
      </c>
      <c r="B364" s="13">
        <v>0</v>
      </c>
      <c r="C364" s="14">
        <f>IFERROR(B364/B446, "NA")</f>
      </c>
      <c r="D364" s="15"/>
      <c r="E364" s="13">
        <v>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0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0</v>
      </c>
      <c r="R364" s="14">
        <f>IFERROR(Q364/Q446, "NA")</f>
      </c>
      <c r="S364" s="15"/>
      <c r="T364" s="13">
        <v>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0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idden="1" ht="16.5" customHeight="1">
      <c t="s" r="A365" s="12">
        <v>333</v>
      </c>
      <c r="B365" s="13">
        <v>0</v>
      </c>
      <c r="C365" s="14">
        <f>IFERROR(B365/B446, "NA")</f>
      </c>
      <c r="D365" s="15"/>
      <c r="E365" s="13">
        <v>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0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0</v>
      </c>
      <c r="R365" s="14">
        <f>IFERROR(Q365/Q446, "NA")</f>
      </c>
      <c r="S365" s="15"/>
      <c r="T365" s="13">
        <v>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0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idden="1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0</v>
      </c>
      <c r="R366" s="14">
        <f>IFERROR(Q366/Q446, "NA")</f>
      </c>
      <c r="S366" s="15"/>
      <c r="T366" s="13">
        <v>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0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idden="1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0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0</v>
      </c>
      <c r="R367" s="14">
        <f>IFERROR(Q367/Q446, "NA")</f>
      </c>
      <c r="S367" s="15"/>
      <c r="T367" s="13">
        <v>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0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idden="1" ht="16.5" customHeight="1">
      <c t="s" r="A368" s="12">
        <v>336</v>
      </c>
      <c r="B368" s="13">
        <v>0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0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0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idden="1" ht="16.5" customHeight="1">
      <c t="s" r="A371" s="26">
        <v>339</v>
      </c>
      <c r="B371" s="13">
        <v>0</v>
      </c>
      <c r="C371" s="14">
        <f>IFERROR(B371/B446, "NA")</f>
      </c>
      <c r="D371" s="15"/>
      <c r="E371" s="13">
        <v>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0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0</v>
      </c>
      <c r="R371" s="14">
        <f>IFERROR(Q371/Q446, "NA")</f>
      </c>
      <c r="S371" s="15"/>
      <c r="T371" s="13">
        <v>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0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idden="1" ht="16.5" customHeight="1">
      <c t="s" r="A372" s="26">
        <v>340</v>
      </c>
      <c r="B372" s="13">
        <v>0</v>
      </c>
      <c r="C372" s="14">
        <f>IFERROR(B372/B446, "NA")</f>
      </c>
      <c r="D372" s="15"/>
      <c r="E372" s="13">
        <v>0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0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0</v>
      </c>
      <c r="R372" s="14">
        <f>IFERROR(Q372/Q446, "NA")</f>
      </c>
      <c r="S372" s="15"/>
      <c r="T372" s="13">
        <v>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0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idden="1" ht="16.5" customHeight="1">
      <c t="s" r="A373" s="26">
        <v>341</v>
      </c>
      <c r="B373" s="13">
        <v>0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0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0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0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idden="1" ht="16.5" customHeight="1">
      <c t="s" r="A374" s="26">
        <v>342</v>
      </c>
      <c r="B374" s="13">
        <v>0</v>
      </c>
      <c r="C374" s="14">
        <f>IFERROR(B374/B446, "NA")</f>
      </c>
      <c r="D374" s="15"/>
      <c r="E374" s="13">
        <v>0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0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0</v>
      </c>
      <c r="R374" s="14">
        <f>IFERROR(Q374/Q446, "NA")</f>
      </c>
      <c r="S374" s="15"/>
      <c r="T374" s="13">
        <v>0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0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idden="1" ht="16.5" customHeight="1">
      <c t="s" r="A375" s="26">
        <v>343</v>
      </c>
      <c r="B375" s="13">
        <v>0</v>
      </c>
      <c r="C375" s="14">
        <f>IFERROR(B375/B446, "NA")</f>
      </c>
      <c r="D375" s="15"/>
      <c r="E375" s="13">
        <v>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0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0</v>
      </c>
      <c r="R375" s="14">
        <f>IFERROR(Q375/Q446, "NA")</f>
      </c>
      <c r="S375" s="15"/>
      <c r="T375" s="13">
        <v>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0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idden="1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0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idden="1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0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0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idden="1" ht="16.5" customHeight="1">
      <c t="s" r="A379" s="26">
        <v>347</v>
      </c>
      <c r="B379" s="13">
        <v>0</v>
      </c>
      <c r="C379" s="14">
        <f>IFERROR(B379/B446, "NA")</f>
      </c>
      <c r="D379" s="15"/>
      <c r="E379" s="13">
        <v>0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0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0</v>
      </c>
      <c r="R379" s="14">
        <f>IFERROR(Q379/Q446, "NA")</f>
      </c>
      <c r="S379" s="15"/>
      <c r="T379" s="13">
        <v>0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0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idden="1" ht="16.5" customHeight="1">
      <c t="s" r="A380" s="26">
        <v>348</v>
      </c>
      <c r="B380" s="13">
        <v>0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0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0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0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idden="1" ht="16.5" customHeight="1">
      <c t="s" r="A381" s="26">
        <v>349</v>
      </c>
      <c r="B381" s="13">
        <v>0</v>
      </c>
      <c r="C381" s="14">
        <f>IFERROR(B381/B446, "NA")</f>
      </c>
      <c r="D381" s="15"/>
      <c r="E381" s="13">
        <v>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0</v>
      </c>
      <c r="R381" s="14">
        <f>IFERROR(Q381/Q446, "NA")</f>
      </c>
      <c r="S381" s="15"/>
      <c r="T381" s="13">
        <v>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idden="1" ht="16.5" customHeight="1">
      <c t="s" r="A382" s="26">
        <v>350</v>
      </c>
      <c r="B382" s="13">
        <v>0</v>
      </c>
      <c r="C382" s="14">
        <f>IFERROR(B382/B446, "NA")</f>
      </c>
      <c r="D382" s="15"/>
      <c r="E382" s="13">
        <v>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0</v>
      </c>
      <c r="R382" s="14">
        <f>IFERROR(Q382/Q446, "NA")</f>
      </c>
      <c r="S382" s="15"/>
      <c r="T382" s="13">
        <v>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0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idden="1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0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0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0</v>
      </c>
      <c r="R383" s="14">
        <f>IFERROR(Q383/Q446, "NA")</f>
      </c>
      <c r="S383" s="15"/>
      <c r="T383" s="13">
        <v>0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0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idden="1" ht="16.5" customHeight="1">
      <c t="s" r="A386" s="12">
        <v>353</v>
      </c>
      <c r="B386" s="13">
        <v>0</v>
      </c>
      <c r="C386" s="14">
        <f>IFERROR(B386/B446, "NA")</f>
      </c>
      <c r="D386" s="15"/>
      <c r="E386" s="13">
        <v>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0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0</v>
      </c>
      <c r="R386" s="14">
        <f>IFERROR(Q386/Q446, "NA")</f>
      </c>
      <c r="S386" s="15"/>
      <c r="T386" s="13">
        <v>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0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idden="1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0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idden="1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0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0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idden="1" ht="16.5" customHeight="1">
      <c t="s" r="A390" s="18">
        <v>356</v>
      </c>
      <c r="B390" s="13">
        <v>0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0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0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0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idden="1" ht="16.5" customHeight="1">
      <c t="s" r="A391" s="18">
        <v>357</v>
      </c>
      <c r="B391" s="13">
        <v>0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0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0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0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idden="1" ht="16.5" customHeight="1">
      <c t="s" r="A393" s="18">
        <v>359</v>
      </c>
      <c r="B393" s="13">
        <v>0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0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0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0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idden="1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0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0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0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idden="1" ht="16.5" customHeight="1">
      <c t="s" r="A396" s="12">
        <v>362</v>
      </c>
      <c r="B396" s="13">
        <v>0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0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idden="1" ht="16.5" customHeight="1">
      <c t="s" r="A398" s="26">
        <v>364</v>
      </c>
      <c r="B398" s="13">
        <v>0</v>
      </c>
      <c r="C398" s="14">
        <f>IFERROR(B398/B446, "NA")</f>
      </c>
      <c r="D398" s="15"/>
      <c r="E398" s="13">
        <v>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0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0</v>
      </c>
      <c r="R398" s="14">
        <f>IFERROR(Q398/Q446, "NA")</f>
      </c>
      <c r="S398" s="15"/>
      <c r="T398" s="13">
        <v>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0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idden="1" ht="16.5" customHeight="1">
      <c t="s" r="A399" s="26">
        <v>365</v>
      </c>
      <c r="B399" s="13">
        <v>0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0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0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0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idden="1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0</v>
      </c>
      <c r="R400" s="14">
        <f>IFERROR(Q400/Q446, "NA")</f>
      </c>
      <c r="S400" s="15"/>
      <c r="T400" s="13">
        <v>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8348.3400000000001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16693.25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8507.9899999999998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8002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17015.98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16004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idden="1" ht="16.5" customHeight="1">
      <c t="s" r="A412" s="12">
        <v>377</v>
      </c>
      <c r="B412" s="13">
        <v>0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0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0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0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t="16.5" customHeight="1">
      <c t="s" r="A417" s="12">
        <v>382</v>
      </c>
      <c r="B417" s="13">
        <v>-113.31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-26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-141.65000000000001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-55.310000000000002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775.42999999999995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-44.090000000000003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732.13999999999999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26.510000000000002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idden="1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0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idden="1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0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idden="1" ht="16.5" customHeight="1">
      <c t="s" r="A423" s="12">
        <v>388</v>
      </c>
      <c r="B423" s="13">
        <v>0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0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idden="1" ht="16.5" customHeight="1">
      <c t="s" r="A424" s="12">
        <v>389</v>
      </c>
      <c r="B424" s="13">
        <v>0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0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0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idden="1" ht="16.5" customHeight="1">
      <c t="s" r="A426" s="12">
        <v>391</v>
      </c>
      <c r="B426" s="13">
        <v>0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0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0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0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idden="1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0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idden="1" ht="16.5" customHeight="1">
      <c t="s" r="A428" s="12">
        <v>393</v>
      </c>
      <c r="B428" s="13">
        <v>0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0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0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0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75927.899999999994</v>
      </c>
      <c r="C446" s="33"/>
      <c r="D446" s="15"/>
      <c r="E446" s="13">
        <v>80940.639999999999</v>
      </c>
      <c r="F446" s="33"/>
      <c r="G446" s="15"/>
      <c r="H446" s="16">
        <f>IFERROR(B446-E446, "NA")</f>
      </c>
      <c r="I446" s="33"/>
      <c r="J446" s="15"/>
      <c r="K446" s="13">
        <v>76903.210000000006</v>
      </c>
      <c r="L446" s="33"/>
      <c r="M446" s="15"/>
      <c r="N446" s="16">
        <f>IFERROR(B446-K446, "NA")</f>
      </c>
      <c r="O446" s="33"/>
      <c r="P446" s="15"/>
      <c r="Q446" s="13">
        <v>148577.39999999999</v>
      </c>
      <c r="R446" s="33"/>
      <c r="S446" s="15"/>
      <c r="T446" s="13">
        <v>156595.10000000001</v>
      </c>
      <c r="U446" s="33"/>
      <c r="V446" s="15"/>
      <c r="W446" s="16">
        <f>IFERROR(Q446-T446, "NA")</f>
      </c>
      <c r="X446" s="33"/>
      <c r="Y446" s="15"/>
      <c r="Z446" s="13">
        <v>149823.19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418</v>
      </c>
      <c t="s" r="B3" s="3">
        <v>418</v>
      </c>
      <c t="s" r="C3" s="3">
        <v>418</v>
      </c>
      <c t="s" r="D3" s="3">
        <v>418</v>
      </c>
      <c t="s" r="E3" s="3">
        <v>418</v>
      </c>
      <c t="s" r="F3" s="3">
        <v>418</v>
      </c>
      <c t="s" r="G3" s="3">
        <v>418</v>
      </c>
      <c t="s" r="H3" s="3">
        <v>418</v>
      </c>
      <c t="s" r="I3" s="3">
        <v>418</v>
      </c>
      <c t="s" r="J3" s="3">
        <v>418</v>
      </c>
      <c t="s" r="K3" s="3">
        <v>418</v>
      </c>
      <c t="s" r="L3" s="3">
        <v>418</v>
      </c>
      <c t="s" r="M3" s="3">
        <v>418</v>
      </c>
      <c t="s" r="N3" s="3">
        <v>418</v>
      </c>
      <c t="s" r="O3" s="3">
        <v>418</v>
      </c>
      <c t="s" r="P3" s="3">
        <v>418</v>
      </c>
      <c t="s" r="Q3" s="3">
        <v>418</v>
      </c>
      <c t="s" r="R3" s="3">
        <v>418</v>
      </c>
      <c t="s" r="S3" s="3">
        <v>418</v>
      </c>
      <c t="s" r="T3" s="3">
        <v>418</v>
      </c>
      <c t="s" r="U3" s="3">
        <v>418</v>
      </c>
      <c t="s" r="V3" s="3">
        <v>418</v>
      </c>
      <c t="s" r="W3" s="3">
        <v>418</v>
      </c>
      <c t="s" r="X3" s="3">
        <v>418</v>
      </c>
      <c t="s" r="Y3" s="3">
        <v>418</v>
      </c>
      <c t="s" r="Z3" s="3">
        <v>418</v>
      </c>
      <c t="s" r="AA3" s="3">
        <v>418</v>
      </c>
      <c t="s" r="AB3" s="3">
        <v>418</v>
      </c>
      <c t="s" r="AC3" s="3">
        <v>418</v>
      </c>
      <c t="s" r="AD3" s="3">
        <v>418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47788.800000000003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94209.279999999999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37710.629999999997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43064.870000000003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78770.860000000001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84275.470000000001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3821.3499999999999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4626.0500000000002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8147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8901.1000000000004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100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154.5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216.5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231.5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15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335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25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635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31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24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73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78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t="16.5" customHeight="1">
      <c t="s" r="A16" s="18">
        <v>18</v>
      </c>
      <c r="B16" s="13">
        <v>0.02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0.14000000000000001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0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10697.49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21088.689999999999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58.200000000000003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8414.0499999999993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5232.5900000000001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16158.85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5722.9899999999998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9000.7600000000002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708.09000000000003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1529.9400000000001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1483.3399999999999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2619.0700000000002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95.640000000000001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202.25999999999999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520.51999999999998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0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1083.3299999999999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0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808.64999999999998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808.64999999999998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1617.3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1647.25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18195.740000000002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35870.480000000003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10816.48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9112.6900000000005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19851.18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15667.68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414.17000000000002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1168.73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1254.9300000000001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1978.52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5699.3800000000001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13682.299999999999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12179.040000000001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22460.259999999998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663.09000000000003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1117.6900000000001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0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781.20000000000005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521.39999999999998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1700.45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18495.669999999998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36461.760000000002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2002.5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1540.28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4745.4499999999998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4166.5299999999997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idden="1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0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0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0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6408.2700000000004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12106.58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16099.18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29399.669999999998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idden="1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0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0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idden="1" ht="16.5" customHeight="1">
      <c t="s" r="A50" s="23">
        <v>48</v>
      </c>
      <c r="B50" s="13">
        <v>0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0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0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0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idden="1" ht="16.5" customHeight="1">
      <c t="s" r="A51" s="23">
        <v>49</v>
      </c>
      <c r="B51" s="13">
        <v>0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0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0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0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idden="1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idden="1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idden="1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0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idden="1" ht="16.5" customHeight="1">
      <c t="s" r="A55" s="23">
        <v>53</v>
      </c>
      <c r="B55" s="13">
        <v>0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0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0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0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idden="1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0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idden="1" ht="16.5" customHeight="1">
      <c t="s" r="A57" s="23">
        <v>55</v>
      </c>
      <c r="B57" s="13">
        <v>0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0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0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idden="1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idden="1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0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7998.1300000000001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15767.25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2559.96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0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7001.6999999999998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0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t="16.5" customHeight="1">
      <c t="s" r="A66" s="18">
        <v>63</v>
      </c>
      <c r="B66" s="13">
        <v>3310.8000000000002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1571.5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7040.9099999999999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7456.7200000000003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idden="1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0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t="16.5" customHeight="1">
      <c t="s" r="A68" s="18">
        <v>65</v>
      </c>
      <c r="B68" s="13">
        <v>1381.6500000000001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0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2099.3099999999999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0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t="16.5" customHeight="1">
      <c t="s" r="A69" s="18">
        <v>66</v>
      </c>
      <c r="B69" s="13">
        <v>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-17.850000000000001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idden="1" ht="16.5" customHeight="1">
      <c t="s" r="A70" s="18">
        <v>67</v>
      </c>
      <c r="B70" s="13">
        <v>0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0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idden="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0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idden="1" ht="16.5" customHeight="1">
      <c t="s" r="A72" s="18">
        <v>69</v>
      </c>
      <c r="B72" s="13">
        <v>0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0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1499.6500000000001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2956.3600000000001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182.81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176.33000000000001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401.63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318.06999999999999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idden="1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0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606.21000000000004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1076.96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1532.96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2661.73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idden="1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0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idden="1" ht="16.5" customHeight="1">
      <c t="s" r="A83" s="18">
        <v>79</v>
      </c>
      <c r="B83" s="13">
        <v>0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0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idden="1" ht="16.5" customHeight="1">
      <c t="s" r="A86" s="18">
        <v>82</v>
      </c>
      <c r="B86" s="13">
        <v>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idden="1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0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t="16.5" customHeight="1">
      <c t="s" r="A89" s="12">
        <v>85</v>
      </c>
      <c r="B89" s="13">
        <v>-12.25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0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-12.25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0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-288.36000000000001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-467.68000000000001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-4698.8999999999996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-9263.2600000000002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-1644.1900000000001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-1655.5999999999999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-2980.5500000000002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-3148.75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-1361.8900000000001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-1952.46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-4159.6599999999999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-3989.23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t="16.5" customHeight="1">
      <c t="s" r="A100" s="18">
        <v>95</v>
      </c>
      <c r="B100" s="13">
        <v>-124.84999999999999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-1336.6400000000001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-156.24000000000001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-1697.97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t="16.5" customHeight="1">
      <c t="s" r="A101" s="18">
        <v>96</v>
      </c>
      <c r="B101" s="13">
        <v>-95.510000000000005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-95.510000000000005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-205.44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-309.67000000000002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-426.76999999999998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-533.28999999999996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t="16.5" customHeight="1">
      <c t="s" r="A103" s="18">
        <v>98</v>
      </c>
      <c r="B103" s="13">
        <v>-64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-74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-118.17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-596.74000000000001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-590.72000000000003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-1168.47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t="16.5" customHeight="1">
      <c t="s" r="A106" s="18">
        <v>101</v>
      </c>
      <c r="B106" s="13">
        <v>0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-5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-33.990000000000002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-10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21494.959999999999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43831.18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4138.46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6043.25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9243.9599999999991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11798.540000000001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2340.3899999999999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3306.75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5200.2799999999997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6269.8400000000001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2701.0599999999999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3462.5900000000001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5533.7299999999996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7137.25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2075.79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2487.6399999999999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4344.4099999999999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4859.6400000000003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1035.45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1003.59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2291.23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1930.05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523.92999999999995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756.57000000000005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1236.8099999999999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1553.6700000000001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922.33000000000004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1661.4100000000001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296.00999999999999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466.10000000000002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875.29999999999995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1000.0700000000001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6172.3999999999996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5288.7200000000003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13460.16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10425.68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idden="1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0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0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1099.74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2167.9899999999998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1001.87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1390.23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2136.23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2375.0900000000001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27.649999999999999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39.25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63.759999999999998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60.810000000000002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0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87.290000000000006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0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145.28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11.85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5.9400000000000004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23.440000000000001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20.48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4099.04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8080.71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2797.1500000000001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3766.5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5978.0299999999997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6435.7700000000004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818.63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797.72000000000003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1542.9000000000001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1678.4300000000001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idden="1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0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206.99000000000001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536.27999999999997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339.48000000000002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718.21000000000004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3.5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idden="1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0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125.92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111.66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252.30000000000001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214.12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24.309999999999999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41.799999999999997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51.619999999999997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87.599999999999994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-833.70000000000005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-2681.3200000000002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-2053.6799999999998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-6595.7399999999998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5192.3199999999997</v>
      </c>
      <c r="C178" s="14">
        <f>IFERROR(B178/B446, "NA")</f>
      </c>
      <c r="D178" s="15"/>
      <c r="E178" s="13">
        <v>5192.3199999999997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5192.3199999999997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10384.639999999999</v>
      </c>
      <c r="R178" s="14">
        <f>IFERROR(Q178/Q446, "NA")</f>
      </c>
      <c r="S178" s="15"/>
      <c r="T178" s="13">
        <v>10384.639999999999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10384.639999999999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18550.57</v>
      </c>
      <c r="C180" s="14">
        <f>IFERROR(B180/B446, "NA")</f>
      </c>
      <c r="D180" s="15"/>
      <c r="E180" s="13">
        <v>20095.290000000001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20557.110000000001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38735.220000000001</v>
      </c>
      <c r="R180" s="14">
        <f>IFERROR(Q180/Q446, "NA")</f>
      </c>
      <c r="S180" s="15"/>
      <c r="T180" s="13">
        <v>40003.660000000003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40531.580000000002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t="16.5" customHeight="1">
      <c t="s" r="A181" s="18">
        <v>166</v>
      </c>
      <c r="B181" s="13">
        <v>147.78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64.670000000000002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147.78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80.530000000000001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325</v>
      </c>
      <c r="C184" s="14">
        <f>IFERROR(B184/B446, "NA")</f>
      </c>
      <c r="D184" s="15"/>
      <c r="E184" s="13">
        <v>325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500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650</v>
      </c>
      <c r="R184" s="14">
        <f>IFERROR(Q184/Q446, "NA")</f>
      </c>
      <c r="S184" s="15"/>
      <c r="T184" s="13">
        <v>650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1000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2281.71</v>
      </c>
      <c r="C186" s="14">
        <f>IFERROR(B186/B446, "NA")</f>
      </c>
      <c r="D186" s="15"/>
      <c r="E186" s="13">
        <v>2654.7199999999998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2504.4499999999998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4746.75</v>
      </c>
      <c r="R186" s="14">
        <f>IFERROR(Q186/Q446, "NA")</f>
      </c>
      <c r="S186" s="15"/>
      <c r="T186" s="13">
        <v>5243.1899999999996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5049.6499999999996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365.60000000000002</v>
      </c>
      <c r="C194" s="14">
        <f>IFERROR(B194/B446, "NA")</f>
      </c>
      <c r="D194" s="15"/>
      <c r="E194" s="13">
        <v>204.90000000000001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357.88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641.20000000000005</v>
      </c>
      <c r="R194" s="14">
        <f>IFERROR(Q194/Q446, "NA")</f>
      </c>
      <c r="S194" s="15"/>
      <c r="T194" s="13">
        <v>408.31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633.48000000000002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t="16.5" customHeight="1">
      <c t="s" r="A195" s="12">
        <v>179</v>
      </c>
      <c r="B195" s="13">
        <v>0</v>
      </c>
      <c r="C195" s="14">
        <f>IFERROR(B195/B446, "NA")</f>
      </c>
      <c r="D195" s="15"/>
      <c r="E195" s="13">
        <v>874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865.15999999999997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0</v>
      </c>
      <c r="R195" s="14">
        <f>IFERROR(Q195/Q446, "NA")</f>
      </c>
      <c r="S195" s="15"/>
      <c r="T195" s="13">
        <v>1748.03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1760.1600000000001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939.13999999999999</v>
      </c>
      <c r="C202" s="14">
        <f>IFERROR(B202/B446, "NA")</f>
      </c>
      <c r="D202" s="15"/>
      <c r="E202" s="13">
        <v>1099.74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840.39999999999998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1809.95</v>
      </c>
      <c r="R202" s="14">
        <f>IFERROR(Q202/Q446, "NA")</f>
      </c>
      <c r="S202" s="15"/>
      <c r="T202" s="13">
        <v>2167.9899999999998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1658.99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526.65999999999997</v>
      </c>
      <c r="C203" s="14">
        <f>IFERROR(B203/B446, "NA")</f>
      </c>
      <c r="D203" s="15"/>
      <c r="E203" s="13">
        <v>699.84000000000003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640.21000000000004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1152.6199999999999</v>
      </c>
      <c r="R203" s="14">
        <f>IFERROR(Q203/Q446, "NA")</f>
      </c>
      <c r="S203" s="15"/>
      <c r="T203" s="13">
        <v>1379.6400000000001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1164.96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17.399999999999999</v>
      </c>
      <c r="C204" s="14">
        <f>IFERROR(B204/B446, "NA")</f>
      </c>
      <c r="D204" s="15"/>
      <c r="E204" s="13">
        <v>199.94999999999999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199.15000000000001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40.289999999999999</v>
      </c>
      <c r="R204" s="14">
        <f>IFERROR(Q204/Q446, "NA")</f>
      </c>
      <c r="S204" s="15"/>
      <c r="T204" s="13">
        <v>394.18000000000001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221.84999999999999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365.57999999999998</v>
      </c>
      <c r="C205" s="14">
        <f>IFERROR(B205/B446, "NA")</f>
      </c>
      <c r="D205" s="15"/>
      <c r="E205" s="13">
        <v>299.93000000000001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364.24000000000001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820.88</v>
      </c>
      <c r="R205" s="14">
        <f>IFERROR(Q205/Q446, "NA")</f>
      </c>
      <c r="S205" s="15"/>
      <c r="T205" s="13">
        <v>591.26999999999998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728.48000000000002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8.3800000000000008</v>
      </c>
      <c r="C206" s="14">
        <f>IFERROR(B206/B446, "NA")</f>
      </c>
      <c r="D206" s="15"/>
      <c r="E206" s="13">
        <v>99.980000000000004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135.75999999999999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8.3800000000000008</v>
      </c>
      <c r="R206" s="14">
        <f>IFERROR(Q206/Q446, "NA")</f>
      </c>
      <c r="S206" s="15"/>
      <c r="T206" s="13">
        <v>197.09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135.75999999999999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0</v>
      </c>
      <c r="C207" s="14">
        <f>IFERROR(B207/B446, "NA")</f>
      </c>
      <c r="D207" s="15"/>
      <c r="E207" s="13">
        <v>100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0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0</v>
      </c>
      <c r="R207" s="14">
        <f>IFERROR(Q207/Q446, "NA")</f>
      </c>
      <c r="S207" s="15"/>
      <c r="T207" s="13">
        <v>200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99.599999999999994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114.45999999999999</v>
      </c>
      <c r="C208" s="14">
        <f>IFERROR(B208/B446, "NA")</f>
      </c>
      <c r="D208" s="15"/>
      <c r="E208" s="13">
        <v>100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306.23000000000002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241.58000000000001</v>
      </c>
      <c r="R208" s="14">
        <f>IFERROR(Q208/Q446, "NA")</f>
      </c>
      <c r="S208" s="15"/>
      <c r="T208" s="13">
        <v>200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409.64999999999998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2899.3200000000002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5715.6300000000001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1723.72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2928.1599999999999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3186.1300000000001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4786.7700000000004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t="16.5" customHeight="1">
      <c t="s" r="A215" s="18">
        <v>195</v>
      </c>
      <c r="B215" s="13">
        <v>121.26000000000001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0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306.63999999999999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0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t="16.5" customHeight="1">
      <c t="s" r="A216" s="18">
        <v>196</v>
      </c>
      <c r="B216" s="13">
        <v>10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2.1000000000000001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10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2.1000000000000001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686.65999999999997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2959.0100000000002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1004.34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4694.9799999999996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37.609999999999999</v>
      </c>
      <c r="C222" s="14">
        <f>IFERROR(B222/B446, "NA")</f>
      </c>
      <c r="D222" s="15"/>
      <c r="E222" s="13">
        <v>100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45.530000000000001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37.609999999999999</v>
      </c>
      <c r="R222" s="14">
        <f>IFERROR(Q222/Q446, "NA")</f>
      </c>
      <c r="S222" s="15"/>
      <c r="T222" s="13">
        <v>200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292.38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1299.7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2562.1799999999998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idden="1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0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119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231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336.05000000000001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idden="1" ht="16.5" customHeight="1">
      <c t="s" r="A233" s="12">
        <v>212</v>
      </c>
      <c r="B233" s="13">
        <v>0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0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875.19000000000005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1243.6800000000001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2048.02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2902.1399999999999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19.370000000000001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34.270000000000003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6098.5699999999997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12022.52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idden="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0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0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0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1543.96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1163.1199999999999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2859.8800000000001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2079.8200000000002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1453.1400000000001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2732.73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3386.6599999999999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6003.4499999999998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531.79999999999995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0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1339.8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0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89.659999999999997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351.19999999999999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230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589.39999999999998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241.65000000000001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241.65000000000001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483.30000000000001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492.25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994.44000000000005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1815.1300000000001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2208.6999999999998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2957.8000000000002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idden="1" ht="16.5" customHeight="1">
      <c t="s" r="A251" s="18">
        <v>228</v>
      </c>
      <c r="B251" s="13">
        <v>0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0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0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0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idden="1" ht="16.5" customHeight="1">
      <c t="s" r="A253" s="18">
        <v>230</v>
      </c>
      <c r="B253" s="13">
        <v>0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0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0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t="16.5" customHeight="1">
      <c t="s" r="A254" s="18">
        <v>231</v>
      </c>
      <c r="B254" s="13">
        <v>662.15999999999997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314.22000000000003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1403.77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1490.2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idden="1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0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t="16.5" customHeight="1">
      <c t="s" r="A258" s="18">
        <v>235</v>
      </c>
      <c r="B258" s="13">
        <v>276.32999999999998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0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276.32999999999998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0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idden="1" ht="16.5" customHeight="1">
      <c t="s" r="A260" s="18">
        <v>237</v>
      </c>
      <c r="B260" s="13">
        <v>0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0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idden="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0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2091.6700000000001</v>
      </c>
      <c r="C266" s="14">
        <f>IFERROR(B266/B446, "NA")</f>
      </c>
      <c r="D266" s="15"/>
      <c r="E266" s="13">
        <v>2699.3699999999999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2437.9499999999998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4563.7799999999997</v>
      </c>
      <c r="R266" s="14">
        <f>IFERROR(Q266/Q446, "NA")</f>
      </c>
      <c r="S266" s="15"/>
      <c r="T266" s="13">
        <v>5321.4499999999998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4975.0500000000002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idden="1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0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0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0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166.66999999999999</v>
      </c>
      <c r="C271" s="14">
        <f>IFERROR(B271/B446, "NA")</f>
      </c>
      <c r="D271" s="15"/>
      <c r="E271" s="13">
        <v>111.38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223.41999999999999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256.38999999999999</v>
      </c>
      <c r="R271" s="14">
        <f>IFERROR(Q271/Q446, "NA")</f>
      </c>
      <c r="S271" s="15"/>
      <c r="T271" s="13">
        <v>222.75999999999999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438.38999999999999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1106.9200000000001</v>
      </c>
      <c r="C272" s="14">
        <f>IFERROR(B272/B446, "NA")</f>
      </c>
      <c r="D272" s="15"/>
      <c r="E272" s="13">
        <v>1183.75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1039.0799999999999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2290.6399999999999</v>
      </c>
      <c r="R272" s="14">
        <f>IFERROR(Q272/Q446, "NA")</f>
      </c>
      <c r="S272" s="15"/>
      <c r="T272" s="13">
        <v>2367.5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1845.6199999999999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idden="1" ht="16.5" customHeight="1">
      <c t="s" r="A273" s="12">
        <v>248</v>
      </c>
      <c r="B273" s="13">
        <v>0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0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idden="1" ht="16.5" customHeight="1">
      <c t="s" r="A288" s="12">
        <v>261</v>
      </c>
      <c r="B288" s="13">
        <v>0</v>
      </c>
      <c r="C288" s="14">
        <f>IFERROR(B288/B446, "NA")</f>
      </c>
      <c r="D288" s="15"/>
      <c r="E288" s="13">
        <v>0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0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0</v>
      </c>
      <c r="R288" s="14">
        <f>IFERROR(Q288/Q446, "NA")</f>
      </c>
      <c r="S288" s="15"/>
      <c r="T288" s="13">
        <v>0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0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158.34999999999999</v>
      </c>
      <c r="C289" s="14">
        <f>IFERROR(B289/B446, "NA")</f>
      </c>
      <c r="D289" s="15"/>
      <c r="E289" s="13">
        <v>158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158.34999999999999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316.69999999999999</v>
      </c>
      <c r="R289" s="14">
        <f>IFERROR(Q289/Q446, "NA")</f>
      </c>
      <c r="S289" s="15"/>
      <c r="T289" s="13">
        <v>316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316.68000000000001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247.30000000000001</v>
      </c>
      <c r="C290" s="14">
        <f>IFERROR(B290/B446, "NA")</f>
      </c>
      <c r="D290" s="15"/>
      <c r="E290" s="13">
        <v>233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208.47999999999999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494.60000000000002</v>
      </c>
      <c r="R290" s="14">
        <f>IFERROR(Q290/Q446, "NA")</f>
      </c>
      <c r="S290" s="15"/>
      <c r="T290" s="13">
        <v>466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414.20999999999998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549.79999999999995</v>
      </c>
      <c r="C291" s="14">
        <f>IFERROR(B291/B446, "NA")</f>
      </c>
      <c r="D291" s="15"/>
      <c r="E291" s="13">
        <v>299.93000000000001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0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1296.75</v>
      </c>
      <c r="R291" s="14">
        <f>IFERROR(Q291/Q446, "NA")</f>
      </c>
      <c r="S291" s="15"/>
      <c r="T291" s="13">
        <v>591.26999999999998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0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0</v>
      </c>
      <c r="C292" s="14">
        <f>IFERROR(B292/B446, "NA")</f>
      </c>
      <c r="D292" s="15"/>
      <c r="E292" s="13">
        <v>399.91000000000003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115.89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1271.3299999999999</v>
      </c>
      <c r="R292" s="14">
        <f>IFERROR(Q292/Q446, "NA")</f>
      </c>
      <c r="S292" s="15"/>
      <c r="T292" s="13">
        <v>788.37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115.89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0</v>
      </c>
      <c r="C293" s="14">
        <f>IFERROR(B293/B446, "NA")</f>
      </c>
      <c r="D293" s="15"/>
      <c r="E293" s="13">
        <v>99.980000000000004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0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0</v>
      </c>
      <c r="R293" s="14">
        <f>IFERROR(Q293/Q446, "NA")</f>
      </c>
      <c r="S293" s="15"/>
      <c r="T293" s="13">
        <v>197.09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0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0</v>
      </c>
      <c r="C294" s="14">
        <f>IFERROR(B294/B446, "NA")</f>
      </c>
      <c r="D294" s="15"/>
      <c r="E294" s="13">
        <v>99.980000000000004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0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0</v>
      </c>
      <c r="R294" s="14">
        <f>IFERROR(Q294/Q446, "NA")</f>
      </c>
      <c r="S294" s="15"/>
      <c r="T294" s="13">
        <v>197.09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0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300</v>
      </c>
      <c r="C295" s="14">
        <f>IFERROR(B295/B446, "NA")</f>
      </c>
      <c r="D295" s="15"/>
      <c r="E295" s="13">
        <v>412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325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599.99000000000001</v>
      </c>
      <c r="R295" s="14">
        <f>IFERROR(Q295/Q446, "NA")</f>
      </c>
      <c r="S295" s="15"/>
      <c r="T295" s="13">
        <v>824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649.99000000000001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476.52999999999997</v>
      </c>
      <c r="C300" s="14">
        <f>IFERROR(B300/B446, "NA")</f>
      </c>
      <c r="D300" s="15"/>
      <c r="E300" s="13">
        <v>469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469.19999999999999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953.05999999999995</v>
      </c>
      <c r="R300" s="14">
        <f>IFERROR(Q300/Q446, "NA")</f>
      </c>
      <c r="S300" s="15"/>
      <c r="T300" s="13">
        <v>938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938.39999999999998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t="16.5" customHeight="1">
      <c t="s" r="A305" s="12">
        <v>277</v>
      </c>
      <c r="B305" s="13">
        <v>186.68000000000001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186.68000000000001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0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t="16.5" customHeight="1">
      <c t="s" r="A306" s="12">
        <v>278</v>
      </c>
      <c r="B306" s="13">
        <v>36.899999999999999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0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60.969999999999999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0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0</v>
      </c>
      <c r="C311" s="14">
        <f>IFERROR(B311/B446, "NA")</f>
      </c>
      <c r="D311" s="15"/>
      <c r="E311" s="13">
        <v>55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0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100</v>
      </c>
      <c r="R311" s="14">
        <f>IFERROR(Q311/Q446, "NA")</f>
      </c>
      <c r="S311" s="15"/>
      <c r="T311" s="13">
        <v>110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0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26.699999999999999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26.699999999999999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167.25</v>
      </c>
      <c r="C313" s="14">
        <f>IFERROR(B313/B446, "NA")</f>
      </c>
      <c r="D313" s="15"/>
      <c r="E313" s="13">
        <v>35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314.56999999999999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360.13999999999999</v>
      </c>
      <c r="R313" s="14">
        <f>IFERROR(Q313/Q446, "NA")</f>
      </c>
      <c r="S313" s="15"/>
      <c r="T313" s="13">
        <v>70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491.22000000000003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0</v>
      </c>
      <c r="C314" s="14">
        <f>IFERROR(B314/B446, "NA")</f>
      </c>
      <c r="D314" s="15"/>
      <c r="E314" s="13">
        <v>10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0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10</v>
      </c>
      <c r="R314" s="14">
        <f>IFERROR(Q314/Q446, "NA")</f>
      </c>
      <c r="S314" s="15"/>
      <c r="T314" s="13">
        <v>20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14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t="16.5" customHeight="1">
      <c t="s" r="A316" s="12">
        <v>288</v>
      </c>
      <c r="B316" s="13">
        <v>533.33000000000004</v>
      </c>
      <c r="C316" s="14">
        <f>IFERROR(B316/B446, "NA")</f>
      </c>
      <c r="D316" s="15"/>
      <c r="E316" s="13">
        <v>399.91000000000003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0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1066.6600000000001</v>
      </c>
      <c r="R316" s="14">
        <f>IFERROR(Q316/Q446, "NA")</f>
      </c>
      <c r="S316" s="15"/>
      <c r="T316" s="13">
        <v>788.37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0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idden="1" ht="16.5" customHeight="1">
      <c t="s" r="A317" s="12">
        <v>289</v>
      </c>
      <c r="B317" s="13">
        <v>0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0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idden="1" ht="16.5" customHeight="1">
      <c t="s" r="A319" s="12">
        <v>291</v>
      </c>
      <c r="B319" s="13">
        <v>0</v>
      </c>
      <c r="C319" s="14">
        <f>IFERROR(B319/B446, "NA")</f>
      </c>
      <c r="D319" s="15"/>
      <c r="E319" s="13">
        <v>0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0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0</v>
      </c>
      <c r="R319" s="14">
        <f>IFERROR(Q319/Q446, "NA")</f>
      </c>
      <c r="S319" s="15"/>
      <c r="T319" s="13">
        <v>0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0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317.26999999999998</v>
      </c>
      <c r="C320" s="14">
        <f>IFERROR(B320/B446, "NA")</f>
      </c>
      <c r="D320" s="15"/>
      <c r="E320" s="13">
        <v>308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245.88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634.60000000000002</v>
      </c>
      <c r="R320" s="14">
        <f>IFERROR(Q320/Q446, "NA")</f>
      </c>
      <c r="S320" s="15"/>
      <c r="T320" s="13">
        <v>616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491.69999999999999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1205.9300000000001</v>
      </c>
      <c r="C321" s="14">
        <f>IFERROR(B321/B446, "NA")</f>
      </c>
      <c r="D321" s="15"/>
      <c r="E321" s="13">
        <v>1186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1081.0699999999999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2391.5700000000002</v>
      </c>
      <c r="R321" s="14">
        <f>IFERROR(Q321/Q446, "NA")</f>
      </c>
      <c r="S321" s="15"/>
      <c r="T321" s="13">
        <v>2372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2162.1399999999999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833.70000000000005</v>
      </c>
      <c r="C322" s="14">
        <f>IFERROR(B322/B446, "NA")</f>
      </c>
      <c r="D322" s="15"/>
      <c r="E322" s="13">
        <v>1499.6500000000001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2681.3200000000002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2053.6799999999998</v>
      </c>
      <c r="R322" s="14">
        <f>IFERROR(Q322/Q446, "NA")</f>
      </c>
      <c r="S322" s="15"/>
      <c r="T322" s="13">
        <v>2859.25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6595.7399999999998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468.00999999999999</v>
      </c>
      <c r="C323" s="14">
        <f>IFERROR(B323/B446, "NA")</f>
      </c>
      <c r="D323" s="15"/>
      <c r="E323" s="13">
        <v>252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269.19999999999999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836.01999999999998</v>
      </c>
      <c r="R323" s="14">
        <f>IFERROR(Q323/Q446, "NA")</f>
      </c>
      <c r="S323" s="15"/>
      <c r="T323" s="13">
        <v>504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538.39999999999998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idden="1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0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20059.040000000001</v>
      </c>
      <c r="C330" s="14">
        <f>IFERROR(B330/B446, "NA")</f>
      </c>
      <c r="D330" s="15"/>
      <c r="E330" s="13">
        <v>20059.040000000001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19569.790000000001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40118.080000000002</v>
      </c>
      <c r="R330" s="14">
        <f>IFERROR(Q330/Q446, "NA")</f>
      </c>
      <c r="S330" s="15"/>
      <c r="T330" s="13">
        <v>40118.080000000002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39139.580000000002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658.50999999999999</v>
      </c>
      <c r="C331" s="14">
        <f>IFERROR(B331/B446, "NA")</f>
      </c>
      <c r="D331" s="15"/>
      <c r="E331" s="13">
        <v>658.50999999999999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658.50999999999999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1317.02</v>
      </c>
      <c r="R331" s="14">
        <f>IFERROR(Q331/Q446, "NA")</f>
      </c>
      <c r="S331" s="15"/>
      <c r="T331" s="13">
        <v>1317.02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1317.02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idden="1" ht="16.5" customHeight="1">
      <c t="s" r="A333" s="12">
        <v>304</v>
      </c>
      <c r="B333" s="13">
        <v>0</v>
      </c>
      <c r="C333" s="14">
        <f>IFERROR(B333/B446, "NA")</f>
      </c>
      <c r="D333" s="15"/>
      <c r="E333" s="13">
        <v>0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0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0</v>
      </c>
      <c r="R333" s="14">
        <f>IFERROR(Q333/Q446, "NA")</f>
      </c>
      <c r="S333" s="15"/>
      <c r="T333" s="13">
        <v>0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0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855.92999999999995</v>
      </c>
      <c r="C334" s="14">
        <f>IFERROR(B334/B446, "NA")</f>
      </c>
      <c r="D334" s="15"/>
      <c r="E334" s="13">
        <v>856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855.92999999999995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1711.8599999999999</v>
      </c>
      <c r="R334" s="14">
        <f>IFERROR(Q334/Q446, "NA")</f>
      </c>
      <c r="S334" s="15"/>
      <c r="T334" s="13">
        <v>1712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1616.5699999999999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-1544.55</v>
      </c>
      <c r="C335" s="14">
        <f>IFERROR(B335/B446, "NA")</f>
      </c>
      <c r="D335" s="15"/>
      <c r="E335" s="13">
        <v>-1544.55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-1506.8699999999999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-3089.0999999999999</v>
      </c>
      <c r="R335" s="14">
        <f>IFERROR(Q335/Q446, "NA")</f>
      </c>
      <c r="S335" s="15"/>
      <c r="T335" s="13">
        <v>-3089.0999999999999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-3013.7399999999998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idden="1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0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0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0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1778.03</v>
      </c>
      <c r="C339" s="14">
        <f>IFERROR(B339/B446, "NA")</f>
      </c>
      <c r="D339" s="15"/>
      <c r="E339" s="13">
        <v>2099.5100000000002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1725.98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3711.1399999999999</v>
      </c>
      <c r="R339" s="14">
        <f>IFERROR(Q339/Q446, "NA")</f>
      </c>
      <c r="S339" s="15"/>
      <c r="T339" s="13">
        <v>4138.8999999999996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3527.3499999999999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1172.9100000000001</v>
      </c>
      <c r="C340" s="14">
        <f>IFERROR(B340/B446, "NA")</f>
      </c>
      <c r="D340" s="15"/>
      <c r="E340" s="13">
        <v>699.84000000000003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1453.4100000000001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2237.2399999999998</v>
      </c>
      <c r="R340" s="14">
        <f>IFERROR(Q340/Q446, "NA")</f>
      </c>
      <c r="S340" s="15"/>
      <c r="T340" s="13">
        <v>1379.6400000000001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2520.9000000000001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924.25</v>
      </c>
      <c r="C341" s="14">
        <f>IFERROR(B341/B446, "NA")</f>
      </c>
      <c r="D341" s="15"/>
      <c r="E341" s="13">
        <v>699.84000000000003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820.63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1744.1900000000001</v>
      </c>
      <c r="R341" s="14">
        <f>IFERROR(Q341/Q446, "NA")</f>
      </c>
      <c r="S341" s="15"/>
      <c r="T341" s="13">
        <v>1379.6400000000001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1801.2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t="16.5" customHeight="1">
      <c t="s" r="A342" s="18">
        <v>312</v>
      </c>
      <c r="B342" s="13">
        <v>1031.99</v>
      </c>
      <c r="C342" s="14">
        <f>IFERROR(B342/B446, "NA")</f>
      </c>
      <c r="D342" s="15"/>
      <c r="E342" s="13">
        <v>899.78999999999996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1012.86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2063.98</v>
      </c>
      <c r="R342" s="14">
        <f>IFERROR(Q342/Q446, "NA")</f>
      </c>
      <c r="S342" s="15"/>
      <c r="T342" s="13">
        <v>1773.8199999999999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2064.5599999999999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idden="1" ht="16.5" customHeight="1">
      <c t="s" r="A351" s="12">
        <v>320</v>
      </c>
      <c r="B351" s="13">
        <v>0</v>
      </c>
      <c r="C351" s="14">
        <f>IFERROR(B351/B446, "NA")</f>
      </c>
      <c r="D351" s="15"/>
      <c r="E351" s="13">
        <v>0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0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0</v>
      </c>
      <c r="R351" s="14">
        <f>IFERROR(Q351/Q446, "NA")</f>
      </c>
      <c r="S351" s="15"/>
      <c r="T351" s="13">
        <v>0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0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idden="1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0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idden="1" ht="16.5" customHeight="1">
      <c t="s" r="A355" s="12">
        <v>324</v>
      </c>
      <c r="B355" s="13">
        <v>0</v>
      </c>
      <c r="C355" s="14">
        <f>IFERROR(B355/B446, "NA")</f>
      </c>
      <c r="D355" s="15"/>
      <c r="E355" s="13">
        <v>0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0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0</v>
      </c>
      <c r="R355" s="14">
        <f>IFERROR(Q355/Q446, "NA")</f>
      </c>
      <c r="S355" s="15"/>
      <c r="T355" s="13">
        <v>0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0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idden="1" ht="16.5" customHeight="1">
      <c t="s" r="A356" s="12">
        <v>325</v>
      </c>
      <c r="B356" s="13">
        <v>0</v>
      </c>
      <c r="C356" s="14">
        <f>IFERROR(B356/B446, "NA")</f>
      </c>
      <c r="D356" s="15"/>
      <c r="E356" s="13">
        <v>0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0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0</v>
      </c>
      <c r="R356" s="14">
        <f>IFERROR(Q356/Q446, "NA")</f>
      </c>
      <c r="S356" s="15"/>
      <c r="T356" s="13">
        <v>0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0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idden="1" ht="16.5" customHeight="1">
      <c t="s" r="A357" s="12">
        <v>326</v>
      </c>
      <c r="B357" s="13">
        <v>0</v>
      </c>
      <c r="C357" s="14">
        <f>IFERROR(B357/B446, "NA")</f>
      </c>
      <c r="D357" s="15"/>
      <c r="E357" s="13">
        <v>0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0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0</v>
      </c>
      <c r="R357" s="14">
        <f>IFERROR(Q357/Q446, "NA")</f>
      </c>
      <c r="S357" s="15"/>
      <c r="T357" s="13">
        <v>0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0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idden="1" ht="16.5" customHeight="1">
      <c t="s" r="A358" s="12">
        <v>327</v>
      </c>
      <c r="B358" s="13">
        <v>0</v>
      </c>
      <c r="C358" s="14">
        <f>IFERROR(B358/B446, "NA")</f>
      </c>
      <c r="D358" s="15"/>
      <c r="E358" s="13">
        <v>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0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0</v>
      </c>
      <c r="R358" s="14">
        <f>IFERROR(Q358/Q446, "NA")</f>
      </c>
      <c r="S358" s="15"/>
      <c r="T358" s="13">
        <v>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0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idden="1" ht="16.5" customHeight="1">
      <c t="s" r="A363" s="12">
        <v>331</v>
      </c>
      <c r="B363" s="13">
        <v>0</v>
      </c>
      <c r="C363" s="14">
        <f>IFERROR(B363/B446, "NA")</f>
      </c>
      <c r="D363" s="15"/>
      <c r="E363" s="13">
        <v>0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0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0</v>
      </c>
      <c r="R363" s="14">
        <f>IFERROR(Q363/Q446, "NA")</f>
      </c>
      <c r="S363" s="15"/>
      <c r="T363" s="13">
        <v>0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0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idden="1" ht="16.5" customHeight="1">
      <c t="s" r="A364" s="12">
        <v>332</v>
      </c>
      <c r="B364" s="13">
        <v>0</v>
      </c>
      <c r="C364" s="14">
        <f>IFERROR(B364/B446, "NA")</f>
      </c>
      <c r="D364" s="15"/>
      <c r="E364" s="13">
        <v>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0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0</v>
      </c>
      <c r="R364" s="14">
        <f>IFERROR(Q364/Q446, "NA")</f>
      </c>
      <c r="S364" s="15"/>
      <c r="T364" s="13">
        <v>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0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idden="1" ht="16.5" customHeight="1">
      <c t="s" r="A365" s="12">
        <v>333</v>
      </c>
      <c r="B365" s="13">
        <v>0</v>
      </c>
      <c r="C365" s="14">
        <f>IFERROR(B365/B446, "NA")</f>
      </c>
      <c r="D365" s="15"/>
      <c r="E365" s="13">
        <v>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0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0</v>
      </c>
      <c r="R365" s="14">
        <f>IFERROR(Q365/Q446, "NA")</f>
      </c>
      <c r="S365" s="15"/>
      <c r="T365" s="13">
        <v>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0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idden="1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0</v>
      </c>
      <c r="R366" s="14">
        <f>IFERROR(Q366/Q446, "NA")</f>
      </c>
      <c r="S366" s="15"/>
      <c r="T366" s="13">
        <v>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0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idden="1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0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0</v>
      </c>
      <c r="R367" s="14">
        <f>IFERROR(Q367/Q446, "NA")</f>
      </c>
      <c r="S367" s="15"/>
      <c r="T367" s="13">
        <v>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0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idden="1" ht="16.5" customHeight="1">
      <c t="s" r="A368" s="12">
        <v>336</v>
      </c>
      <c r="B368" s="13">
        <v>0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0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0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idden="1" ht="16.5" customHeight="1">
      <c t="s" r="A371" s="26">
        <v>339</v>
      </c>
      <c r="B371" s="13">
        <v>0</v>
      </c>
      <c r="C371" s="14">
        <f>IFERROR(B371/B446, "NA")</f>
      </c>
      <c r="D371" s="15"/>
      <c r="E371" s="13">
        <v>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0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0</v>
      </c>
      <c r="R371" s="14">
        <f>IFERROR(Q371/Q446, "NA")</f>
      </c>
      <c r="S371" s="15"/>
      <c r="T371" s="13">
        <v>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0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idden="1" ht="16.5" customHeight="1">
      <c t="s" r="A372" s="26">
        <v>340</v>
      </c>
      <c r="B372" s="13">
        <v>0</v>
      </c>
      <c r="C372" s="14">
        <f>IFERROR(B372/B446, "NA")</f>
      </c>
      <c r="D372" s="15"/>
      <c r="E372" s="13">
        <v>0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0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0</v>
      </c>
      <c r="R372" s="14">
        <f>IFERROR(Q372/Q446, "NA")</f>
      </c>
      <c r="S372" s="15"/>
      <c r="T372" s="13">
        <v>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0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idden="1" ht="16.5" customHeight="1">
      <c t="s" r="A373" s="26">
        <v>341</v>
      </c>
      <c r="B373" s="13">
        <v>0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0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0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0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idden="1" ht="16.5" customHeight="1">
      <c t="s" r="A374" s="26">
        <v>342</v>
      </c>
      <c r="B374" s="13">
        <v>0</v>
      </c>
      <c r="C374" s="14">
        <f>IFERROR(B374/B446, "NA")</f>
      </c>
      <c r="D374" s="15"/>
      <c r="E374" s="13">
        <v>0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0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0</v>
      </c>
      <c r="R374" s="14">
        <f>IFERROR(Q374/Q446, "NA")</f>
      </c>
      <c r="S374" s="15"/>
      <c r="T374" s="13">
        <v>0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0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idden="1" ht="16.5" customHeight="1">
      <c t="s" r="A375" s="26">
        <v>343</v>
      </c>
      <c r="B375" s="13">
        <v>0</v>
      </c>
      <c r="C375" s="14">
        <f>IFERROR(B375/B446, "NA")</f>
      </c>
      <c r="D375" s="15"/>
      <c r="E375" s="13">
        <v>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0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0</v>
      </c>
      <c r="R375" s="14">
        <f>IFERROR(Q375/Q446, "NA")</f>
      </c>
      <c r="S375" s="15"/>
      <c r="T375" s="13">
        <v>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0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idden="1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0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idden="1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0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0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idden="1" ht="16.5" customHeight="1">
      <c t="s" r="A379" s="26">
        <v>347</v>
      </c>
      <c r="B379" s="13">
        <v>0</v>
      </c>
      <c r="C379" s="14">
        <f>IFERROR(B379/B446, "NA")</f>
      </c>
      <c r="D379" s="15"/>
      <c r="E379" s="13">
        <v>0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0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0</v>
      </c>
      <c r="R379" s="14">
        <f>IFERROR(Q379/Q446, "NA")</f>
      </c>
      <c r="S379" s="15"/>
      <c r="T379" s="13">
        <v>0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0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idden="1" ht="16.5" customHeight="1">
      <c t="s" r="A380" s="26">
        <v>348</v>
      </c>
      <c r="B380" s="13">
        <v>0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0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0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0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idden="1" ht="16.5" customHeight="1">
      <c t="s" r="A381" s="26">
        <v>349</v>
      </c>
      <c r="B381" s="13">
        <v>0</v>
      </c>
      <c r="C381" s="14">
        <f>IFERROR(B381/B446, "NA")</f>
      </c>
      <c r="D381" s="15"/>
      <c r="E381" s="13">
        <v>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0</v>
      </c>
      <c r="R381" s="14">
        <f>IFERROR(Q381/Q446, "NA")</f>
      </c>
      <c r="S381" s="15"/>
      <c r="T381" s="13">
        <v>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idden="1" ht="16.5" customHeight="1">
      <c t="s" r="A382" s="26">
        <v>350</v>
      </c>
      <c r="B382" s="13">
        <v>0</v>
      </c>
      <c r="C382" s="14">
        <f>IFERROR(B382/B446, "NA")</f>
      </c>
      <c r="D382" s="15"/>
      <c r="E382" s="13">
        <v>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0</v>
      </c>
      <c r="R382" s="14">
        <f>IFERROR(Q382/Q446, "NA")</f>
      </c>
      <c r="S382" s="15"/>
      <c r="T382" s="13">
        <v>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0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idden="1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0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0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0</v>
      </c>
      <c r="R383" s="14">
        <f>IFERROR(Q383/Q446, "NA")</f>
      </c>
      <c r="S383" s="15"/>
      <c r="T383" s="13">
        <v>0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0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idden="1" ht="16.5" customHeight="1">
      <c t="s" r="A386" s="12">
        <v>353</v>
      </c>
      <c r="B386" s="13">
        <v>0</v>
      </c>
      <c r="C386" s="14">
        <f>IFERROR(B386/B446, "NA")</f>
      </c>
      <c r="D386" s="15"/>
      <c r="E386" s="13">
        <v>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0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0</v>
      </c>
      <c r="R386" s="14">
        <f>IFERROR(Q386/Q446, "NA")</f>
      </c>
      <c r="S386" s="15"/>
      <c r="T386" s="13">
        <v>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0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idden="1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0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idden="1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0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0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idden="1" ht="16.5" customHeight="1">
      <c t="s" r="A390" s="18">
        <v>356</v>
      </c>
      <c r="B390" s="13">
        <v>0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0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0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0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idden="1" ht="16.5" customHeight="1">
      <c t="s" r="A391" s="18">
        <v>357</v>
      </c>
      <c r="B391" s="13">
        <v>0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0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0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0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idden="1" ht="16.5" customHeight="1">
      <c t="s" r="A393" s="18">
        <v>359</v>
      </c>
      <c r="B393" s="13">
        <v>0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0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0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0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idden="1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0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0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0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idden="1" ht="16.5" customHeight="1">
      <c t="s" r="A396" s="12">
        <v>362</v>
      </c>
      <c r="B396" s="13">
        <v>0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0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idden="1" ht="16.5" customHeight="1">
      <c t="s" r="A398" s="26">
        <v>364</v>
      </c>
      <c r="B398" s="13">
        <v>0</v>
      </c>
      <c r="C398" s="14">
        <f>IFERROR(B398/B446, "NA")</f>
      </c>
      <c r="D398" s="15"/>
      <c r="E398" s="13">
        <v>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0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0</v>
      </c>
      <c r="R398" s="14">
        <f>IFERROR(Q398/Q446, "NA")</f>
      </c>
      <c r="S398" s="15"/>
      <c r="T398" s="13">
        <v>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0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idden="1" ht="16.5" customHeight="1">
      <c t="s" r="A399" s="26">
        <v>365</v>
      </c>
      <c r="B399" s="13">
        <v>0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0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0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0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idden="1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0</v>
      </c>
      <c r="R400" s="14">
        <f>IFERROR(Q400/Q446, "NA")</f>
      </c>
      <c r="S400" s="15"/>
      <c r="T400" s="13">
        <v>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10267.719999999999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20240.759999999998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10648.870000000001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9780.8999999999996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21297.75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19561.799999999999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idden="1" ht="16.5" customHeight="1">
      <c t="s" r="A412" s="12">
        <v>377</v>
      </c>
      <c r="B412" s="13">
        <v>0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0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0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0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t="16.5" customHeight="1">
      <c t="s" r="A417" s="12">
        <v>382</v>
      </c>
      <c r="B417" s="13">
        <v>-48.899999999999999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-51.049999999999997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-97.340000000000003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-102.8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-22.210000000000001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-43.32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-28.460000000000001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33.859999999999999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idden="1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0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idden="1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0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idden="1" ht="16.5" customHeight="1">
      <c t="s" r="A423" s="12">
        <v>388</v>
      </c>
      <c r="B423" s="13">
        <v>0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0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idden="1" ht="16.5" customHeight="1">
      <c t="s" r="A424" s="12">
        <v>389</v>
      </c>
      <c r="B424" s="13">
        <v>0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0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0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idden="1" ht="16.5" customHeight="1">
      <c t="s" r="A426" s="12">
        <v>391</v>
      </c>
      <c r="B426" s="13">
        <v>0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0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0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0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idden="1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0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idden="1" ht="16.5" customHeight="1">
      <c t="s" r="A428" s="12">
        <v>393</v>
      </c>
      <c r="B428" s="13">
        <v>0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0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0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0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79722.75</v>
      </c>
      <c r="C446" s="33"/>
      <c r="D446" s="15"/>
      <c r="E446" s="13">
        <v>99976.580000000002</v>
      </c>
      <c r="F446" s="33"/>
      <c r="G446" s="15"/>
      <c r="H446" s="16">
        <f>IFERROR(B446-E446, "NA")</f>
      </c>
      <c r="I446" s="33"/>
      <c r="J446" s="15"/>
      <c r="K446" s="13">
        <v>94317.520000000004</v>
      </c>
      <c r="L446" s="33"/>
      <c r="M446" s="15"/>
      <c r="N446" s="16">
        <f>IFERROR(B446-K446, "NA")</f>
      </c>
      <c r="O446" s="33"/>
      <c r="P446" s="15"/>
      <c r="Q446" s="13">
        <v>170682.23999999999</v>
      </c>
      <c r="R446" s="33"/>
      <c r="S446" s="15"/>
      <c r="T446" s="13">
        <v>197090.56</v>
      </c>
      <c r="U446" s="33"/>
      <c r="V446" s="15"/>
      <c r="W446" s="16">
        <f>IFERROR(Q446-T446, "NA")</f>
      </c>
      <c r="X446" s="33"/>
      <c r="Y446" s="15"/>
      <c r="Z446" s="13">
        <v>189808.16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2026-07-23T15:29:11Z</dcterms:created>
  <dcterms:modified xsi:type="dcterms:W3CDTF">2026-07-23T15:29:11Z</dcterms:modified>
</cp:coreProperties>
</file>