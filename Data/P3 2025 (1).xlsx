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B189C81A-F664-40E1-8215-C1B4620AA706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Z442" i="7"/>
  <c r="AA442" i="7" s="1"/>
  <c r="T442" i="7"/>
  <c r="U442" i="7" s="1"/>
  <c r="Q442" i="7"/>
  <c r="R442" i="7" s="1"/>
  <c r="K442" i="7"/>
  <c r="L442" i="7" s="1"/>
  <c r="I442" i="7"/>
  <c r="H442" i="7"/>
  <c r="E442" i="7"/>
  <c r="F442" i="7" s="1"/>
  <c r="B442" i="7"/>
  <c r="C442" i="7" s="1"/>
  <c r="Z441" i="7"/>
  <c r="AA441" i="7" s="1"/>
  <c r="T441" i="7"/>
  <c r="W441" i="7" s="1"/>
  <c r="X441" i="7" s="1"/>
  <c r="Q441" i="7"/>
  <c r="R441" i="7" s="1"/>
  <c r="K441" i="7"/>
  <c r="L441" i="7" s="1"/>
  <c r="E441" i="7"/>
  <c r="F441" i="7" s="1"/>
  <c r="B441" i="7"/>
  <c r="H441" i="7" s="1"/>
  <c r="I441" i="7" s="1"/>
  <c r="AC440" i="7"/>
  <c r="AD440" i="7" s="1"/>
  <c r="AA440" i="7"/>
  <c r="X440" i="7"/>
  <c r="W440" i="7"/>
  <c r="U440" i="7"/>
  <c r="R440" i="7"/>
  <c r="O440" i="7"/>
  <c r="N440" i="7"/>
  <c r="L440" i="7"/>
  <c r="H440" i="7"/>
  <c r="I440" i="7" s="1"/>
  <c r="F440" i="7"/>
  <c r="C440" i="7"/>
  <c r="AD439" i="7"/>
  <c r="AC439" i="7"/>
  <c r="AA439" i="7"/>
  <c r="X439" i="7"/>
  <c r="W439" i="7"/>
  <c r="U439" i="7"/>
  <c r="R439" i="7"/>
  <c r="N439" i="7"/>
  <c r="O439" i="7" s="1"/>
  <c r="L439" i="7"/>
  <c r="H439" i="7"/>
  <c r="I439" i="7" s="1"/>
  <c r="F439" i="7"/>
  <c r="C439" i="7"/>
  <c r="AD438" i="7"/>
  <c r="AC438" i="7"/>
  <c r="AA438" i="7"/>
  <c r="X438" i="7"/>
  <c r="W438" i="7"/>
  <c r="U438" i="7"/>
  <c r="R438" i="7"/>
  <c r="O438" i="7"/>
  <c r="N438" i="7"/>
  <c r="L438" i="7"/>
  <c r="I438" i="7"/>
  <c r="H438" i="7"/>
  <c r="F438" i="7"/>
  <c r="C438" i="7"/>
  <c r="AC437" i="7"/>
  <c r="AD437" i="7" s="1"/>
  <c r="AA437" i="7"/>
  <c r="W437" i="7"/>
  <c r="X437" i="7" s="1"/>
  <c r="U437" i="7"/>
  <c r="R437" i="7"/>
  <c r="O437" i="7"/>
  <c r="N437" i="7"/>
  <c r="L437" i="7"/>
  <c r="I437" i="7"/>
  <c r="H437" i="7"/>
  <c r="F437" i="7"/>
  <c r="C437" i="7"/>
  <c r="AC436" i="7"/>
  <c r="AD436" i="7" s="1"/>
  <c r="AA436" i="7"/>
  <c r="X436" i="7"/>
  <c r="W436" i="7"/>
  <c r="U436" i="7"/>
  <c r="R436" i="7"/>
  <c r="O436" i="7"/>
  <c r="N436" i="7"/>
  <c r="L436" i="7"/>
  <c r="H436" i="7"/>
  <c r="I436" i="7" s="1"/>
  <c r="F436" i="7"/>
  <c r="C436" i="7"/>
  <c r="AC435" i="7"/>
  <c r="AD435" i="7" s="1"/>
  <c r="AA435" i="7"/>
  <c r="X435" i="7"/>
  <c r="W435" i="7"/>
  <c r="U435" i="7"/>
  <c r="R435" i="7"/>
  <c r="N435" i="7"/>
  <c r="O435" i="7" s="1"/>
  <c r="L435" i="7"/>
  <c r="H435" i="7"/>
  <c r="I435" i="7" s="1"/>
  <c r="F435" i="7"/>
  <c r="C435" i="7"/>
  <c r="AD434" i="7"/>
  <c r="AC434" i="7"/>
  <c r="AA434" i="7"/>
  <c r="X434" i="7"/>
  <c r="W434" i="7"/>
  <c r="U434" i="7"/>
  <c r="R434" i="7"/>
  <c r="N434" i="7"/>
  <c r="O434" i="7" s="1"/>
  <c r="L434" i="7"/>
  <c r="H434" i="7"/>
  <c r="I434" i="7" s="1"/>
  <c r="F434" i="7"/>
  <c r="C434" i="7"/>
  <c r="AC433" i="7"/>
  <c r="AD433" i="7" s="1"/>
  <c r="AA433" i="7"/>
  <c r="W433" i="7"/>
  <c r="X433" i="7" s="1"/>
  <c r="U433" i="7"/>
  <c r="R433" i="7"/>
  <c r="O433" i="7"/>
  <c r="N433" i="7"/>
  <c r="L433" i="7"/>
  <c r="I433" i="7"/>
  <c r="H433" i="7"/>
  <c r="F433" i="7"/>
  <c r="C433" i="7"/>
  <c r="AC432" i="7"/>
  <c r="AD432" i="7" s="1"/>
  <c r="AA432" i="7"/>
  <c r="W432" i="7"/>
  <c r="X432" i="7" s="1"/>
  <c r="U432" i="7"/>
  <c r="R432" i="7"/>
  <c r="O432" i="7"/>
  <c r="N432" i="7"/>
  <c r="L432" i="7"/>
  <c r="H432" i="7"/>
  <c r="I432" i="7" s="1"/>
  <c r="F432" i="7"/>
  <c r="C432" i="7"/>
  <c r="Z429" i="7"/>
  <c r="AA429" i="7" s="1"/>
  <c r="U429" i="7"/>
  <c r="T429" i="7"/>
  <c r="Q429" i="7"/>
  <c r="W429" i="7" s="1"/>
  <c r="X429" i="7" s="1"/>
  <c r="K429" i="7"/>
  <c r="L429" i="7" s="1"/>
  <c r="E429" i="7"/>
  <c r="F429" i="7" s="1"/>
  <c r="B429" i="7"/>
  <c r="C429" i="7" s="1"/>
  <c r="AA428" i="7"/>
  <c r="Z428" i="7"/>
  <c r="W428" i="7"/>
  <c r="X428" i="7" s="1"/>
  <c r="T428" i="7"/>
  <c r="U428" i="7" s="1"/>
  <c r="Q428" i="7"/>
  <c r="R428" i="7" s="1"/>
  <c r="L428" i="7"/>
  <c r="K428" i="7"/>
  <c r="H428" i="7"/>
  <c r="I428" i="7" s="1"/>
  <c r="E428" i="7"/>
  <c r="F428" i="7" s="1"/>
  <c r="C428" i="7"/>
  <c r="B428" i="7"/>
  <c r="N428" i="7" s="1"/>
  <c r="O428" i="7" s="1"/>
  <c r="AC427" i="7"/>
  <c r="AD427" i="7" s="1"/>
  <c r="AA427" i="7"/>
  <c r="X427" i="7"/>
  <c r="W427" i="7"/>
  <c r="U427" i="7"/>
  <c r="R427" i="7"/>
  <c r="N427" i="7"/>
  <c r="O427" i="7" s="1"/>
  <c r="L427" i="7"/>
  <c r="H427" i="7"/>
  <c r="I427" i="7" s="1"/>
  <c r="F427" i="7"/>
  <c r="C427" i="7"/>
  <c r="AD426" i="7"/>
  <c r="AC426" i="7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C425" i="7"/>
  <c r="AD425" i="7" s="1"/>
  <c r="AA425" i="7"/>
  <c r="W425" i="7"/>
  <c r="X425" i="7" s="1"/>
  <c r="U425" i="7"/>
  <c r="R425" i="7"/>
  <c r="O425" i="7"/>
  <c r="N425" i="7"/>
  <c r="L425" i="7"/>
  <c r="I425" i="7"/>
  <c r="H425" i="7"/>
  <c r="F425" i="7"/>
  <c r="C425" i="7"/>
  <c r="AC424" i="7"/>
  <c r="AD424" i="7" s="1"/>
  <c r="AA424" i="7"/>
  <c r="X424" i="7"/>
  <c r="W424" i="7"/>
  <c r="U424" i="7"/>
  <c r="R424" i="7"/>
  <c r="O424" i="7"/>
  <c r="N424" i="7"/>
  <c r="L424" i="7"/>
  <c r="H424" i="7"/>
  <c r="I424" i="7" s="1"/>
  <c r="F424" i="7"/>
  <c r="C424" i="7"/>
  <c r="AD423" i="7"/>
  <c r="AC423" i="7"/>
  <c r="AA423" i="7"/>
  <c r="X423" i="7"/>
  <c r="W423" i="7"/>
  <c r="U423" i="7"/>
  <c r="R423" i="7"/>
  <c r="N423" i="7"/>
  <c r="O423" i="7" s="1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W421" i="7"/>
  <c r="X421" i="7" s="1"/>
  <c r="U421" i="7"/>
  <c r="R421" i="7"/>
  <c r="O421" i="7"/>
  <c r="N421" i="7"/>
  <c r="L421" i="7"/>
  <c r="I421" i="7"/>
  <c r="H421" i="7"/>
  <c r="F421" i="7"/>
  <c r="C421" i="7"/>
  <c r="AC420" i="7"/>
  <c r="AD420" i="7" s="1"/>
  <c r="AA420" i="7"/>
  <c r="W420" i="7"/>
  <c r="X420" i="7" s="1"/>
  <c r="U420" i="7"/>
  <c r="R420" i="7"/>
  <c r="O420" i="7"/>
  <c r="N420" i="7"/>
  <c r="L420" i="7"/>
  <c r="H420" i="7"/>
  <c r="I420" i="7" s="1"/>
  <c r="F420" i="7"/>
  <c r="C420" i="7"/>
  <c r="AD419" i="7"/>
  <c r="AC419" i="7"/>
  <c r="AA419" i="7"/>
  <c r="X419" i="7"/>
  <c r="W419" i="7"/>
  <c r="U419" i="7"/>
  <c r="R419" i="7"/>
  <c r="N419" i="7"/>
  <c r="O419" i="7" s="1"/>
  <c r="L419" i="7"/>
  <c r="H419" i="7"/>
  <c r="I419" i="7" s="1"/>
  <c r="F419" i="7"/>
  <c r="C419" i="7"/>
  <c r="AD418" i="7"/>
  <c r="AC418" i="7"/>
  <c r="AA418" i="7"/>
  <c r="X418" i="7"/>
  <c r="W418" i="7"/>
  <c r="U418" i="7"/>
  <c r="R418" i="7"/>
  <c r="N418" i="7"/>
  <c r="O418" i="7" s="1"/>
  <c r="L418" i="7"/>
  <c r="H418" i="7"/>
  <c r="I418" i="7" s="1"/>
  <c r="F418" i="7"/>
  <c r="C418" i="7"/>
  <c r="AC417" i="7"/>
  <c r="AD417" i="7" s="1"/>
  <c r="AA417" i="7"/>
  <c r="W417" i="7"/>
  <c r="X417" i="7" s="1"/>
  <c r="U417" i="7"/>
  <c r="R417" i="7"/>
  <c r="O417" i="7"/>
  <c r="N417" i="7"/>
  <c r="L417" i="7"/>
  <c r="I417" i="7"/>
  <c r="H417" i="7"/>
  <c r="F417" i="7"/>
  <c r="C417" i="7"/>
  <c r="AC416" i="7"/>
  <c r="AD416" i="7" s="1"/>
  <c r="AA416" i="7"/>
  <c r="W416" i="7"/>
  <c r="X416" i="7" s="1"/>
  <c r="U416" i="7"/>
  <c r="R416" i="7"/>
  <c r="O416" i="7"/>
  <c r="N416" i="7"/>
  <c r="L416" i="7"/>
  <c r="H416" i="7"/>
  <c r="I416" i="7" s="1"/>
  <c r="F416" i="7"/>
  <c r="C416" i="7"/>
  <c r="AD415" i="7"/>
  <c r="AC415" i="7"/>
  <c r="AA415" i="7"/>
  <c r="X415" i="7"/>
  <c r="W415" i="7"/>
  <c r="U415" i="7"/>
  <c r="R415" i="7"/>
  <c r="N415" i="7"/>
  <c r="O415" i="7" s="1"/>
  <c r="L415" i="7"/>
  <c r="H415" i="7"/>
  <c r="I415" i="7" s="1"/>
  <c r="F415" i="7"/>
  <c r="C415" i="7"/>
  <c r="AD414" i="7"/>
  <c r="AC414" i="7"/>
  <c r="AA414" i="7"/>
  <c r="X414" i="7"/>
  <c r="W414" i="7"/>
  <c r="U414" i="7"/>
  <c r="R414" i="7"/>
  <c r="N414" i="7"/>
  <c r="O414" i="7" s="1"/>
  <c r="L414" i="7"/>
  <c r="H414" i="7"/>
  <c r="I414" i="7" s="1"/>
  <c r="F414" i="7"/>
  <c r="C414" i="7"/>
  <c r="AC413" i="7"/>
  <c r="AD413" i="7" s="1"/>
  <c r="AA413" i="7"/>
  <c r="W413" i="7"/>
  <c r="X413" i="7" s="1"/>
  <c r="U413" i="7"/>
  <c r="R413" i="7"/>
  <c r="O413" i="7"/>
  <c r="N413" i="7"/>
  <c r="L413" i="7"/>
  <c r="I413" i="7"/>
  <c r="H413" i="7"/>
  <c r="F413" i="7"/>
  <c r="C413" i="7"/>
  <c r="AC412" i="7"/>
  <c r="AD412" i="7" s="1"/>
  <c r="AA412" i="7"/>
  <c r="W412" i="7"/>
  <c r="X412" i="7" s="1"/>
  <c r="U412" i="7"/>
  <c r="R412" i="7"/>
  <c r="O412" i="7"/>
  <c r="N412" i="7"/>
  <c r="L412" i="7"/>
  <c r="H412" i="7"/>
  <c r="I412" i="7" s="1"/>
  <c r="F412" i="7"/>
  <c r="C412" i="7"/>
  <c r="AD411" i="7"/>
  <c r="AC411" i="7"/>
  <c r="AA411" i="7"/>
  <c r="X411" i="7"/>
  <c r="W411" i="7"/>
  <c r="U411" i="7"/>
  <c r="R411" i="7"/>
  <c r="N411" i="7"/>
  <c r="O411" i="7" s="1"/>
  <c r="L411" i="7"/>
  <c r="H411" i="7"/>
  <c r="I411" i="7" s="1"/>
  <c r="F411" i="7"/>
  <c r="C411" i="7"/>
  <c r="AD410" i="7"/>
  <c r="AC410" i="7"/>
  <c r="AA410" i="7"/>
  <c r="X410" i="7"/>
  <c r="W410" i="7"/>
  <c r="U410" i="7"/>
  <c r="R410" i="7"/>
  <c r="N410" i="7"/>
  <c r="O410" i="7" s="1"/>
  <c r="L410" i="7"/>
  <c r="H410" i="7"/>
  <c r="I410" i="7" s="1"/>
  <c r="F410" i="7"/>
  <c r="C410" i="7"/>
  <c r="AC409" i="7"/>
  <c r="AD409" i="7" s="1"/>
  <c r="AA409" i="7"/>
  <c r="W409" i="7"/>
  <c r="X409" i="7" s="1"/>
  <c r="U409" i="7"/>
  <c r="R409" i="7"/>
  <c r="O409" i="7"/>
  <c r="N409" i="7"/>
  <c r="L409" i="7"/>
  <c r="I409" i="7"/>
  <c r="H409" i="7"/>
  <c r="F409" i="7"/>
  <c r="C409" i="7"/>
  <c r="AC408" i="7"/>
  <c r="AD408" i="7" s="1"/>
  <c r="AA408" i="7"/>
  <c r="W408" i="7"/>
  <c r="X408" i="7" s="1"/>
  <c r="U408" i="7"/>
  <c r="R408" i="7"/>
  <c r="O408" i="7"/>
  <c r="N408" i="7"/>
  <c r="L408" i="7"/>
  <c r="H408" i="7"/>
  <c r="I408" i="7" s="1"/>
  <c r="F408" i="7"/>
  <c r="C408" i="7"/>
  <c r="AD407" i="7"/>
  <c r="AC407" i="7"/>
  <c r="AA407" i="7"/>
  <c r="X407" i="7"/>
  <c r="W407" i="7"/>
  <c r="U407" i="7"/>
  <c r="R407" i="7"/>
  <c r="N407" i="7"/>
  <c r="O407" i="7" s="1"/>
  <c r="L407" i="7"/>
  <c r="H407" i="7"/>
  <c r="I407" i="7" s="1"/>
  <c r="F407" i="7"/>
  <c r="C407" i="7"/>
  <c r="Z403" i="7"/>
  <c r="AA403" i="7" s="1"/>
  <c r="T403" i="7"/>
  <c r="U403" i="7" s="1"/>
  <c r="Q403" i="7"/>
  <c r="R403" i="7" s="1"/>
  <c r="L403" i="7"/>
  <c r="K403" i="7"/>
  <c r="I403" i="7"/>
  <c r="H403" i="7"/>
  <c r="E403" i="7"/>
  <c r="F403" i="7" s="1"/>
  <c r="B403" i="7"/>
  <c r="C403" i="7" s="1"/>
  <c r="AD402" i="7"/>
  <c r="AC402" i="7"/>
  <c r="AA402" i="7"/>
  <c r="X402" i="7"/>
  <c r="W402" i="7"/>
  <c r="U402" i="7"/>
  <c r="R402" i="7"/>
  <c r="O402" i="7"/>
  <c r="N402" i="7"/>
  <c r="L402" i="7"/>
  <c r="H402" i="7"/>
  <c r="I402" i="7" s="1"/>
  <c r="F402" i="7"/>
  <c r="C402" i="7"/>
  <c r="AC401" i="7"/>
  <c r="AD401" i="7" s="1"/>
  <c r="AA401" i="7"/>
  <c r="W401" i="7"/>
  <c r="X401" i="7" s="1"/>
  <c r="U401" i="7"/>
  <c r="R401" i="7"/>
  <c r="O401" i="7"/>
  <c r="N401" i="7"/>
  <c r="L401" i="7"/>
  <c r="I401" i="7"/>
  <c r="H401" i="7"/>
  <c r="F401" i="7"/>
  <c r="C401" i="7"/>
  <c r="AC400" i="7"/>
  <c r="AD400" i="7" s="1"/>
  <c r="AA400" i="7"/>
  <c r="X400" i="7"/>
  <c r="W400" i="7"/>
  <c r="U400" i="7"/>
  <c r="R400" i="7"/>
  <c r="O400" i="7"/>
  <c r="N400" i="7"/>
  <c r="L400" i="7"/>
  <c r="H400" i="7"/>
  <c r="I400" i="7" s="1"/>
  <c r="F400" i="7"/>
  <c r="C400" i="7"/>
  <c r="AD399" i="7"/>
  <c r="AC399" i="7"/>
  <c r="AA399" i="7"/>
  <c r="X399" i="7"/>
  <c r="W399" i="7"/>
  <c r="U399" i="7"/>
  <c r="R399" i="7"/>
  <c r="N399" i="7"/>
  <c r="O399" i="7" s="1"/>
  <c r="L399" i="7"/>
  <c r="H399" i="7"/>
  <c r="I399" i="7" s="1"/>
  <c r="F399" i="7"/>
  <c r="C399" i="7"/>
  <c r="AD398" i="7"/>
  <c r="AC398" i="7"/>
  <c r="AA398" i="7"/>
  <c r="X398" i="7"/>
  <c r="W398" i="7"/>
  <c r="U398" i="7"/>
  <c r="R398" i="7"/>
  <c r="O398" i="7"/>
  <c r="N398" i="7"/>
  <c r="L398" i="7"/>
  <c r="I398" i="7"/>
  <c r="H398" i="7"/>
  <c r="F398" i="7"/>
  <c r="C398" i="7"/>
  <c r="AC397" i="7"/>
  <c r="AD397" i="7" s="1"/>
  <c r="AA397" i="7"/>
  <c r="W397" i="7"/>
  <c r="X397" i="7" s="1"/>
  <c r="U397" i="7"/>
  <c r="R397" i="7"/>
  <c r="O397" i="7"/>
  <c r="N397" i="7"/>
  <c r="L397" i="7"/>
  <c r="I397" i="7"/>
  <c r="H397" i="7"/>
  <c r="F397" i="7"/>
  <c r="C397" i="7"/>
  <c r="Z396" i="7"/>
  <c r="AA396" i="7" s="1"/>
  <c r="T396" i="7"/>
  <c r="U396" i="7" s="1"/>
  <c r="Q396" i="7"/>
  <c r="R396" i="7" s="1"/>
  <c r="L396" i="7"/>
  <c r="K396" i="7"/>
  <c r="H396" i="7"/>
  <c r="I396" i="7" s="1"/>
  <c r="E396" i="7"/>
  <c r="F396" i="7" s="1"/>
  <c r="B396" i="7"/>
  <c r="C396" i="7" s="1"/>
  <c r="AD395" i="7"/>
  <c r="AC395" i="7"/>
  <c r="AA395" i="7"/>
  <c r="X395" i="7"/>
  <c r="W395" i="7"/>
  <c r="U395" i="7"/>
  <c r="R395" i="7"/>
  <c r="O395" i="7"/>
  <c r="N395" i="7"/>
  <c r="L395" i="7"/>
  <c r="I395" i="7"/>
  <c r="H395" i="7"/>
  <c r="F395" i="7"/>
  <c r="C395" i="7"/>
  <c r="AC394" i="7"/>
  <c r="AD394" i="7" s="1"/>
  <c r="AA394" i="7"/>
  <c r="W394" i="7"/>
  <c r="X394" i="7" s="1"/>
  <c r="U394" i="7"/>
  <c r="R394" i="7"/>
  <c r="O394" i="7"/>
  <c r="N394" i="7"/>
  <c r="L394" i="7"/>
  <c r="I394" i="7"/>
  <c r="H394" i="7"/>
  <c r="F394" i="7"/>
  <c r="C394" i="7"/>
  <c r="Z393" i="7"/>
  <c r="AA393" i="7" s="1"/>
  <c r="T393" i="7"/>
  <c r="U393" i="7" s="1"/>
  <c r="Q393" i="7"/>
  <c r="R393" i="7" s="1"/>
  <c r="L393" i="7"/>
  <c r="K393" i="7"/>
  <c r="I393" i="7"/>
  <c r="H393" i="7"/>
  <c r="E393" i="7"/>
  <c r="F393" i="7" s="1"/>
  <c r="B393" i="7"/>
  <c r="C393" i="7" s="1"/>
  <c r="AD392" i="7"/>
  <c r="AC392" i="7"/>
  <c r="AA392" i="7"/>
  <c r="X392" i="7"/>
  <c r="W392" i="7"/>
  <c r="U392" i="7"/>
  <c r="R392" i="7"/>
  <c r="O392" i="7"/>
  <c r="N392" i="7"/>
  <c r="L392" i="7"/>
  <c r="I392" i="7"/>
  <c r="H392" i="7"/>
  <c r="F392" i="7"/>
  <c r="C392" i="7"/>
  <c r="AC391" i="7"/>
  <c r="AD391" i="7" s="1"/>
  <c r="AA391" i="7"/>
  <c r="W391" i="7"/>
  <c r="X391" i="7" s="1"/>
  <c r="U391" i="7"/>
  <c r="R391" i="7"/>
  <c r="O391" i="7"/>
  <c r="N391" i="7"/>
  <c r="L391" i="7"/>
  <c r="I391" i="7"/>
  <c r="H391" i="7"/>
  <c r="F391" i="7"/>
  <c r="C391" i="7"/>
  <c r="AC390" i="7"/>
  <c r="AD390" i="7" s="1"/>
  <c r="AA390" i="7"/>
  <c r="X390" i="7"/>
  <c r="W390" i="7"/>
  <c r="U390" i="7"/>
  <c r="R390" i="7"/>
  <c r="O390" i="7"/>
  <c r="N390" i="7"/>
  <c r="L390" i="7"/>
  <c r="H390" i="7"/>
  <c r="I390" i="7" s="1"/>
  <c r="F390" i="7"/>
  <c r="C390" i="7"/>
  <c r="AD389" i="7"/>
  <c r="AC389" i="7"/>
  <c r="AA389" i="7"/>
  <c r="X389" i="7"/>
  <c r="W389" i="7"/>
  <c r="U389" i="7"/>
  <c r="R389" i="7"/>
  <c r="N389" i="7"/>
  <c r="O389" i="7" s="1"/>
  <c r="L389" i="7"/>
  <c r="H389" i="7"/>
  <c r="I389" i="7" s="1"/>
  <c r="F389" i="7"/>
  <c r="C389" i="7"/>
  <c r="AD388" i="7"/>
  <c r="AC388" i="7"/>
  <c r="AA388" i="7"/>
  <c r="X388" i="7"/>
  <c r="W388" i="7"/>
  <c r="U388" i="7"/>
  <c r="R388" i="7"/>
  <c r="O388" i="7"/>
  <c r="N388" i="7"/>
  <c r="L388" i="7"/>
  <c r="I388" i="7"/>
  <c r="H388" i="7"/>
  <c r="F388" i="7"/>
  <c r="C388" i="7"/>
  <c r="AC386" i="7"/>
  <c r="AD386" i="7" s="1"/>
  <c r="AA386" i="7"/>
  <c r="W386" i="7"/>
  <c r="X386" i="7" s="1"/>
  <c r="U386" i="7"/>
  <c r="R386" i="7"/>
  <c r="O386" i="7"/>
  <c r="N386" i="7"/>
  <c r="L386" i="7"/>
  <c r="I386" i="7"/>
  <c r="H386" i="7"/>
  <c r="F386" i="7"/>
  <c r="C386" i="7"/>
  <c r="AC385" i="7"/>
  <c r="AD385" i="7" s="1"/>
  <c r="AA385" i="7"/>
  <c r="X385" i="7"/>
  <c r="W385" i="7"/>
  <c r="U385" i="7"/>
  <c r="R385" i="7"/>
  <c r="O385" i="7"/>
  <c r="N385" i="7"/>
  <c r="L385" i="7"/>
  <c r="H385" i="7"/>
  <c r="I385" i="7" s="1"/>
  <c r="F385" i="7"/>
  <c r="C385" i="7"/>
  <c r="AC383" i="7"/>
  <c r="AD383" i="7" s="1"/>
  <c r="AA383" i="7"/>
  <c r="X383" i="7"/>
  <c r="W383" i="7"/>
  <c r="U383" i="7"/>
  <c r="R383" i="7"/>
  <c r="N383" i="7"/>
  <c r="O383" i="7" s="1"/>
  <c r="L383" i="7"/>
  <c r="H383" i="7"/>
  <c r="I383" i="7" s="1"/>
  <c r="F383" i="7"/>
  <c r="C383" i="7"/>
  <c r="AD382" i="7"/>
  <c r="AC382" i="7"/>
  <c r="AA382" i="7"/>
  <c r="X382" i="7"/>
  <c r="W382" i="7"/>
  <c r="U382" i="7"/>
  <c r="R382" i="7"/>
  <c r="O382" i="7"/>
  <c r="N382" i="7"/>
  <c r="L382" i="7"/>
  <c r="I382" i="7"/>
  <c r="H382" i="7"/>
  <c r="F382" i="7"/>
  <c r="C382" i="7"/>
  <c r="AC381" i="7"/>
  <c r="AD381" i="7" s="1"/>
  <c r="AA381" i="7"/>
  <c r="W381" i="7"/>
  <c r="X381" i="7" s="1"/>
  <c r="U381" i="7"/>
  <c r="R381" i="7"/>
  <c r="O381" i="7"/>
  <c r="N381" i="7"/>
  <c r="L381" i="7"/>
  <c r="I381" i="7"/>
  <c r="H381" i="7"/>
  <c r="F381" i="7"/>
  <c r="C381" i="7"/>
  <c r="AC380" i="7"/>
  <c r="AD380" i="7" s="1"/>
  <c r="AA380" i="7"/>
  <c r="X380" i="7"/>
  <c r="W380" i="7"/>
  <c r="U380" i="7"/>
  <c r="R380" i="7"/>
  <c r="O380" i="7"/>
  <c r="N380" i="7"/>
  <c r="L380" i="7"/>
  <c r="H380" i="7"/>
  <c r="I380" i="7" s="1"/>
  <c r="F380" i="7"/>
  <c r="C380" i="7"/>
  <c r="AD379" i="7"/>
  <c r="AC379" i="7"/>
  <c r="AA379" i="7"/>
  <c r="X379" i="7"/>
  <c r="W379" i="7"/>
  <c r="U379" i="7"/>
  <c r="R379" i="7"/>
  <c r="N379" i="7"/>
  <c r="O379" i="7" s="1"/>
  <c r="L379" i="7"/>
  <c r="H379" i="7"/>
  <c r="I379" i="7" s="1"/>
  <c r="F379" i="7"/>
  <c r="C379" i="7"/>
  <c r="AD378" i="7"/>
  <c r="AC378" i="7"/>
  <c r="AA378" i="7"/>
  <c r="X378" i="7"/>
  <c r="W378" i="7"/>
  <c r="U378" i="7"/>
  <c r="R378" i="7"/>
  <c r="N378" i="7"/>
  <c r="O378" i="7" s="1"/>
  <c r="L378" i="7"/>
  <c r="H378" i="7"/>
  <c r="I378" i="7" s="1"/>
  <c r="F378" i="7"/>
  <c r="C378" i="7"/>
  <c r="AC377" i="7"/>
  <c r="AD377" i="7" s="1"/>
  <c r="AA377" i="7"/>
  <c r="W377" i="7"/>
  <c r="X377" i="7" s="1"/>
  <c r="U377" i="7"/>
  <c r="R377" i="7"/>
  <c r="O377" i="7"/>
  <c r="N377" i="7"/>
  <c r="L377" i="7"/>
  <c r="I377" i="7"/>
  <c r="H377" i="7"/>
  <c r="F377" i="7"/>
  <c r="C377" i="7"/>
  <c r="AC376" i="7"/>
  <c r="AD376" i="7" s="1"/>
  <c r="AA376" i="7"/>
  <c r="X376" i="7"/>
  <c r="W376" i="7"/>
  <c r="U376" i="7"/>
  <c r="R376" i="7"/>
  <c r="O376" i="7"/>
  <c r="N376" i="7"/>
  <c r="L376" i="7"/>
  <c r="H376" i="7"/>
  <c r="I376" i="7" s="1"/>
  <c r="F376" i="7"/>
  <c r="C376" i="7"/>
  <c r="AD375" i="7"/>
  <c r="AC375" i="7"/>
  <c r="AA375" i="7"/>
  <c r="X375" i="7"/>
  <c r="W375" i="7"/>
  <c r="U375" i="7"/>
  <c r="R375" i="7"/>
  <c r="N375" i="7"/>
  <c r="O375" i="7" s="1"/>
  <c r="L375" i="7"/>
  <c r="H375" i="7"/>
  <c r="I375" i="7" s="1"/>
  <c r="F375" i="7"/>
  <c r="C375" i="7"/>
  <c r="AD374" i="7"/>
  <c r="AC374" i="7"/>
  <c r="AA374" i="7"/>
  <c r="X374" i="7"/>
  <c r="W374" i="7"/>
  <c r="U374" i="7"/>
  <c r="R374" i="7"/>
  <c r="N374" i="7"/>
  <c r="O374" i="7" s="1"/>
  <c r="L374" i="7"/>
  <c r="I374" i="7"/>
  <c r="H374" i="7"/>
  <c r="F374" i="7"/>
  <c r="C374" i="7"/>
  <c r="AD373" i="7"/>
  <c r="AC373" i="7"/>
  <c r="AA373" i="7"/>
  <c r="W373" i="7"/>
  <c r="X373" i="7" s="1"/>
  <c r="U373" i="7"/>
  <c r="R373" i="7"/>
  <c r="O373" i="7"/>
  <c r="N373" i="7"/>
  <c r="L373" i="7"/>
  <c r="I373" i="7"/>
  <c r="H373" i="7"/>
  <c r="F373" i="7"/>
  <c r="C373" i="7"/>
  <c r="AC372" i="7"/>
  <c r="AD372" i="7" s="1"/>
  <c r="AA372" i="7"/>
  <c r="W372" i="7"/>
  <c r="X372" i="7" s="1"/>
  <c r="U372" i="7"/>
  <c r="R372" i="7"/>
  <c r="O372" i="7"/>
  <c r="N372" i="7"/>
  <c r="L372" i="7"/>
  <c r="I372" i="7"/>
  <c r="H372" i="7"/>
  <c r="F372" i="7"/>
  <c r="C372" i="7"/>
  <c r="AD371" i="7"/>
  <c r="AC371" i="7"/>
  <c r="AA371" i="7"/>
  <c r="W371" i="7"/>
  <c r="X371" i="7" s="1"/>
  <c r="U371" i="7"/>
  <c r="R371" i="7"/>
  <c r="N371" i="7"/>
  <c r="O371" i="7" s="1"/>
  <c r="L371" i="7"/>
  <c r="H371" i="7"/>
  <c r="I371" i="7" s="1"/>
  <c r="F371" i="7"/>
  <c r="C371" i="7"/>
  <c r="AD370" i="7"/>
  <c r="AC370" i="7"/>
  <c r="AA370" i="7"/>
  <c r="X370" i="7"/>
  <c r="W370" i="7"/>
  <c r="U370" i="7"/>
  <c r="R370" i="7"/>
  <c r="N370" i="7"/>
  <c r="O370" i="7" s="1"/>
  <c r="L370" i="7"/>
  <c r="I370" i="7"/>
  <c r="H370" i="7"/>
  <c r="F370" i="7"/>
  <c r="C370" i="7"/>
  <c r="AD369" i="7"/>
  <c r="AC369" i="7"/>
  <c r="AA369" i="7"/>
  <c r="W369" i="7"/>
  <c r="X369" i="7" s="1"/>
  <c r="U369" i="7"/>
  <c r="R369" i="7"/>
  <c r="N369" i="7"/>
  <c r="O369" i="7" s="1"/>
  <c r="L369" i="7"/>
  <c r="I369" i="7"/>
  <c r="H369" i="7"/>
  <c r="F369" i="7"/>
  <c r="C369" i="7"/>
  <c r="Z368" i="7"/>
  <c r="AA368" i="7" s="1"/>
  <c r="T368" i="7"/>
  <c r="U368" i="7" s="1"/>
  <c r="Q368" i="7"/>
  <c r="AC368" i="7" s="1"/>
  <c r="AD368" i="7" s="1"/>
  <c r="L368" i="7"/>
  <c r="K368" i="7"/>
  <c r="E368" i="7"/>
  <c r="F368" i="7" s="1"/>
  <c r="B368" i="7"/>
  <c r="C368" i="7" s="1"/>
  <c r="AD367" i="7"/>
  <c r="AC367" i="7"/>
  <c r="AA367" i="7"/>
  <c r="X367" i="7"/>
  <c r="W367" i="7"/>
  <c r="U367" i="7"/>
  <c r="R367" i="7"/>
  <c r="O367" i="7"/>
  <c r="N367" i="7"/>
  <c r="L367" i="7"/>
  <c r="I367" i="7"/>
  <c r="H367" i="7"/>
  <c r="F367" i="7"/>
  <c r="C367" i="7"/>
  <c r="AC366" i="7"/>
  <c r="AD366" i="7" s="1"/>
  <c r="AA366" i="7"/>
  <c r="W366" i="7"/>
  <c r="X366" i="7" s="1"/>
  <c r="U366" i="7"/>
  <c r="R366" i="7"/>
  <c r="N366" i="7"/>
  <c r="O366" i="7" s="1"/>
  <c r="L366" i="7"/>
  <c r="I366" i="7"/>
  <c r="H366" i="7"/>
  <c r="F366" i="7"/>
  <c r="C366" i="7"/>
  <c r="AC365" i="7"/>
  <c r="AD365" i="7" s="1"/>
  <c r="AA365" i="7"/>
  <c r="X365" i="7"/>
  <c r="W365" i="7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X364" i="7"/>
  <c r="W364" i="7"/>
  <c r="U364" i="7"/>
  <c r="R364" i="7"/>
  <c r="N364" i="7"/>
  <c r="O364" i="7" s="1"/>
  <c r="L364" i="7"/>
  <c r="H364" i="7"/>
  <c r="I364" i="7" s="1"/>
  <c r="F364" i="7"/>
  <c r="C364" i="7"/>
  <c r="AD363" i="7"/>
  <c r="AC363" i="7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D362" i="7"/>
  <c r="AC362" i="7"/>
  <c r="AA362" i="7"/>
  <c r="W362" i="7"/>
  <c r="X362" i="7" s="1"/>
  <c r="U362" i="7"/>
  <c r="R362" i="7"/>
  <c r="N362" i="7"/>
  <c r="O362" i="7" s="1"/>
  <c r="L362" i="7"/>
  <c r="I362" i="7"/>
  <c r="H362" i="7"/>
  <c r="F362" i="7"/>
  <c r="C362" i="7"/>
  <c r="AC361" i="7"/>
  <c r="AD361" i="7" s="1"/>
  <c r="AA361" i="7"/>
  <c r="W361" i="7"/>
  <c r="X361" i="7" s="1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X360" i="7"/>
  <c r="W360" i="7"/>
  <c r="U360" i="7"/>
  <c r="R360" i="7"/>
  <c r="N360" i="7"/>
  <c r="O360" i="7" s="1"/>
  <c r="L360" i="7"/>
  <c r="H360" i="7"/>
  <c r="I360" i="7" s="1"/>
  <c r="F360" i="7"/>
  <c r="C360" i="7"/>
  <c r="Z358" i="7"/>
  <c r="AA358" i="7" s="1"/>
  <c r="T358" i="7"/>
  <c r="R358" i="7"/>
  <c r="Q358" i="7"/>
  <c r="K358" i="7"/>
  <c r="L358" i="7" s="1"/>
  <c r="I358" i="7"/>
  <c r="H358" i="7"/>
  <c r="F358" i="7"/>
  <c r="E358" i="7"/>
  <c r="C358" i="7"/>
  <c r="B358" i="7"/>
  <c r="AC357" i="7"/>
  <c r="AD357" i="7" s="1"/>
  <c r="AA357" i="7"/>
  <c r="X357" i="7"/>
  <c r="W357" i="7"/>
  <c r="U357" i="7"/>
  <c r="R357" i="7"/>
  <c r="O357" i="7"/>
  <c r="N357" i="7"/>
  <c r="L357" i="7"/>
  <c r="I357" i="7"/>
  <c r="H357" i="7"/>
  <c r="F357" i="7"/>
  <c r="C357" i="7"/>
  <c r="AC356" i="7"/>
  <c r="AD356" i="7" s="1"/>
  <c r="AA356" i="7"/>
  <c r="W356" i="7"/>
  <c r="X356" i="7" s="1"/>
  <c r="U356" i="7"/>
  <c r="R356" i="7"/>
  <c r="N356" i="7"/>
  <c r="O356" i="7" s="1"/>
  <c r="L356" i="7"/>
  <c r="H356" i="7"/>
  <c r="I356" i="7" s="1"/>
  <c r="F356" i="7"/>
  <c r="C356" i="7"/>
  <c r="AD355" i="7"/>
  <c r="AC355" i="7"/>
  <c r="AA355" i="7"/>
  <c r="X355" i="7"/>
  <c r="W355" i="7"/>
  <c r="U355" i="7"/>
  <c r="R355" i="7"/>
  <c r="N355" i="7"/>
  <c r="O355" i="7" s="1"/>
  <c r="L355" i="7"/>
  <c r="H355" i="7"/>
  <c r="I355" i="7" s="1"/>
  <c r="F355" i="7"/>
  <c r="C355" i="7"/>
  <c r="AC354" i="7"/>
  <c r="AD354" i="7" s="1"/>
  <c r="AA354" i="7"/>
  <c r="W354" i="7"/>
  <c r="X354" i="7" s="1"/>
  <c r="U354" i="7"/>
  <c r="R354" i="7"/>
  <c r="N354" i="7"/>
  <c r="O354" i="7" s="1"/>
  <c r="L354" i="7"/>
  <c r="I354" i="7"/>
  <c r="H354" i="7"/>
  <c r="F354" i="7"/>
  <c r="C354" i="7"/>
  <c r="AC353" i="7"/>
  <c r="AD353" i="7" s="1"/>
  <c r="AA353" i="7"/>
  <c r="X353" i="7"/>
  <c r="W353" i="7"/>
  <c r="U353" i="7"/>
  <c r="R353" i="7"/>
  <c r="O353" i="7"/>
  <c r="N353" i="7"/>
  <c r="L353" i="7"/>
  <c r="H353" i="7"/>
  <c r="I353" i="7" s="1"/>
  <c r="F353" i="7"/>
  <c r="C353" i="7"/>
  <c r="AD352" i="7"/>
  <c r="AC352" i="7"/>
  <c r="AA352" i="7"/>
  <c r="X352" i="7"/>
  <c r="W352" i="7"/>
  <c r="U352" i="7"/>
  <c r="R352" i="7"/>
  <c r="N352" i="7"/>
  <c r="O352" i="7" s="1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O351" i="7"/>
  <c r="N351" i="7"/>
  <c r="L351" i="7"/>
  <c r="H351" i="7"/>
  <c r="I351" i="7" s="1"/>
  <c r="F351" i="7"/>
  <c r="C351" i="7"/>
  <c r="AC350" i="7"/>
  <c r="AD350" i="7" s="1"/>
  <c r="AA350" i="7"/>
  <c r="W350" i="7"/>
  <c r="X350" i="7" s="1"/>
  <c r="U350" i="7"/>
  <c r="R350" i="7"/>
  <c r="O350" i="7"/>
  <c r="N350" i="7"/>
  <c r="L350" i="7"/>
  <c r="I350" i="7"/>
  <c r="H350" i="7"/>
  <c r="F350" i="7"/>
  <c r="C350" i="7"/>
  <c r="AC349" i="7"/>
  <c r="AD349" i="7" s="1"/>
  <c r="AA349" i="7"/>
  <c r="X349" i="7"/>
  <c r="W349" i="7"/>
  <c r="U349" i="7"/>
  <c r="R349" i="7"/>
  <c r="O349" i="7"/>
  <c r="N349" i="7"/>
  <c r="L349" i="7"/>
  <c r="I349" i="7"/>
  <c r="H349" i="7"/>
  <c r="F349" i="7"/>
  <c r="C349" i="7"/>
  <c r="AC347" i="7"/>
  <c r="AD347" i="7" s="1"/>
  <c r="AA347" i="7"/>
  <c r="W347" i="7"/>
  <c r="X347" i="7" s="1"/>
  <c r="U347" i="7"/>
  <c r="R347" i="7"/>
  <c r="N347" i="7"/>
  <c r="O347" i="7" s="1"/>
  <c r="L347" i="7"/>
  <c r="H347" i="7"/>
  <c r="I347" i="7" s="1"/>
  <c r="F347" i="7"/>
  <c r="C347" i="7"/>
  <c r="AA344" i="7"/>
  <c r="Z344" i="7"/>
  <c r="U344" i="7"/>
  <c r="T344" i="7"/>
  <c r="Q344" i="7"/>
  <c r="AC344" i="7" s="1"/>
  <c r="AD344" i="7" s="1"/>
  <c r="N344" i="7"/>
  <c r="O344" i="7" s="1"/>
  <c r="L344" i="7"/>
  <c r="K344" i="7"/>
  <c r="H344" i="7"/>
  <c r="I344" i="7" s="1"/>
  <c r="E344" i="7"/>
  <c r="F344" i="7" s="1"/>
  <c r="C344" i="7"/>
  <c r="B344" i="7"/>
  <c r="AA343" i="7"/>
  <c r="Z343" i="7"/>
  <c r="W343" i="7"/>
  <c r="X343" i="7" s="1"/>
  <c r="U343" i="7"/>
  <c r="T343" i="7"/>
  <c r="R343" i="7"/>
  <c r="Q343" i="7"/>
  <c r="N343" i="7"/>
  <c r="O343" i="7" s="1"/>
  <c r="K343" i="7"/>
  <c r="L343" i="7" s="1"/>
  <c r="H343" i="7"/>
  <c r="I343" i="7" s="1"/>
  <c r="F343" i="7"/>
  <c r="E343" i="7"/>
  <c r="B343" i="7"/>
  <c r="C343" i="7" s="1"/>
  <c r="AC342" i="7"/>
  <c r="AD342" i="7" s="1"/>
  <c r="AA342" i="7"/>
  <c r="Z342" i="7"/>
  <c r="T342" i="7"/>
  <c r="U342" i="7" s="1"/>
  <c r="Q342" i="7"/>
  <c r="N342" i="7"/>
  <c r="O342" i="7" s="1"/>
  <c r="L342" i="7"/>
  <c r="K342" i="7"/>
  <c r="E342" i="7"/>
  <c r="F342" i="7" s="1"/>
  <c r="B342" i="7"/>
  <c r="AD341" i="7"/>
  <c r="AC341" i="7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C340" i="7"/>
  <c r="AD340" i="7" s="1"/>
  <c r="AA340" i="7"/>
  <c r="X340" i="7"/>
  <c r="W340" i="7"/>
  <c r="U340" i="7"/>
  <c r="R340" i="7"/>
  <c r="O340" i="7"/>
  <c r="N340" i="7"/>
  <c r="L340" i="7"/>
  <c r="I340" i="7"/>
  <c r="H340" i="7"/>
  <c r="F340" i="7"/>
  <c r="C340" i="7"/>
  <c r="AC339" i="7"/>
  <c r="AD339" i="7" s="1"/>
  <c r="AA339" i="7"/>
  <c r="W339" i="7"/>
  <c r="X339" i="7" s="1"/>
  <c r="U339" i="7"/>
  <c r="R339" i="7"/>
  <c r="O339" i="7"/>
  <c r="N339" i="7"/>
  <c r="L339" i="7"/>
  <c r="I339" i="7"/>
  <c r="H339" i="7"/>
  <c r="F339" i="7"/>
  <c r="C339" i="7"/>
  <c r="AD338" i="7"/>
  <c r="AC338" i="7"/>
  <c r="AA338" i="7"/>
  <c r="W338" i="7"/>
  <c r="X338" i="7" s="1"/>
  <c r="U338" i="7"/>
  <c r="R338" i="7"/>
  <c r="O338" i="7"/>
  <c r="N338" i="7"/>
  <c r="L338" i="7"/>
  <c r="H338" i="7"/>
  <c r="I338" i="7" s="1"/>
  <c r="F338" i="7"/>
  <c r="C338" i="7"/>
  <c r="AC337" i="7"/>
  <c r="AD337" i="7" s="1"/>
  <c r="AA337" i="7"/>
  <c r="X337" i="7"/>
  <c r="W337" i="7"/>
  <c r="U337" i="7"/>
  <c r="R337" i="7"/>
  <c r="O337" i="7"/>
  <c r="N337" i="7"/>
  <c r="L337" i="7"/>
  <c r="I337" i="7"/>
  <c r="H337" i="7"/>
  <c r="F337" i="7"/>
  <c r="C337" i="7"/>
  <c r="AC335" i="7"/>
  <c r="AD335" i="7" s="1"/>
  <c r="AA335" i="7"/>
  <c r="W335" i="7"/>
  <c r="X335" i="7" s="1"/>
  <c r="U335" i="7"/>
  <c r="R335" i="7"/>
  <c r="O335" i="7"/>
  <c r="N335" i="7"/>
  <c r="L335" i="7"/>
  <c r="H335" i="7"/>
  <c r="I335" i="7" s="1"/>
  <c r="F335" i="7"/>
  <c r="C335" i="7"/>
  <c r="AC334" i="7"/>
  <c r="AD334" i="7" s="1"/>
  <c r="AA334" i="7"/>
  <c r="W334" i="7"/>
  <c r="X334" i="7" s="1"/>
  <c r="U334" i="7"/>
  <c r="R334" i="7"/>
  <c r="O334" i="7"/>
  <c r="N334" i="7"/>
  <c r="L334" i="7"/>
  <c r="I334" i="7"/>
  <c r="H334" i="7"/>
  <c r="F334" i="7"/>
  <c r="C334" i="7"/>
  <c r="AC333" i="7"/>
  <c r="AD333" i="7" s="1"/>
  <c r="AA333" i="7"/>
  <c r="W333" i="7"/>
  <c r="X333" i="7" s="1"/>
  <c r="U333" i="7"/>
  <c r="R333" i="7"/>
  <c r="N333" i="7"/>
  <c r="O333" i="7" s="1"/>
  <c r="L333" i="7"/>
  <c r="H333" i="7"/>
  <c r="I333" i="7" s="1"/>
  <c r="F333" i="7"/>
  <c r="C333" i="7"/>
  <c r="AC332" i="7"/>
  <c r="AD332" i="7" s="1"/>
  <c r="AA332" i="7"/>
  <c r="X332" i="7"/>
  <c r="W332" i="7"/>
  <c r="U332" i="7"/>
  <c r="R332" i="7"/>
  <c r="O332" i="7"/>
  <c r="N332" i="7"/>
  <c r="L332" i="7"/>
  <c r="H332" i="7"/>
  <c r="I332" i="7" s="1"/>
  <c r="F332" i="7"/>
  <c r="C332" i="7"/>
  <c r="AC331" i="7"/>
  <c r="AD331" i="7" s="1"/>
  <c r="AA331" i="7"/>
  <c r="X331" i="7"/>
  <c r="W331" i="7"/>
  <c r="U331" i="7"/>
  <c r="R331" i="7"/>
  <c r="O331" i="7"/>
  <c r="N331" i="7"/>
  <c r="L331" i="7"/>
  <c r="H331" i="7"/>
  <c r="I331" i="7" s="1"/>
  <c r="F331" i="7"/>
  <c r="C331" i="7"/>
  <c r="AC330" i="7"/>
  <c r="AD330" i="7" s="1"/>
  <c r="AA330" i="7"/>
  <c r="W330" i="7"/>
  <c r="X330" i="7" s="1"/>
  <c r="U330" i="7"/>
  <c r="R330" i="7"/>
  <c r="O330" i="7"/>
  <c r="N330" i="7"/>
  <c r="L330" i="7"/>
  <c r="I330" i="7"/>
  <c r="H330" i="7"/>
  <c r="F330" i="7"/>
  <c r="C330" i="7"/>
  <c r="AD329" i="7"/>
  <c r="AC329" i="7"/>
  <c r="AA329" i="7"/>
  <c r="X329" i="7"/>
  <c r="W329" i="7"/>
  <c r="U329" i="7"/>
  <c r="R329" i="7"/>
  <c r="N329" i="7"/>
  <c r="O329" i="7" s="1"/>
  <c r="L329" i="7"/>
  <c r="H329" i="7"/>
  <c r="I329" i="7" s="1"/>
  <c r="F329" i="7"/>
  <c r="C329" i="7"/>
  <c r="AC328" i="7"/>
  <c r="AD328" i="7" s="1"/>
  <c r="AA328" i="7"/>
  <c r="X328" i="7"/>
  <c r="W328" i="7"/>
  <c r="U328" i="7"/>
  <c r="R328" i="7"/>
  <c r="O328" i="7"/>
  <c r="N328" i="7"/>
  <c r="L328" i="7"/>
  <c r="H328" i="7"/>
  <c r="I328" i="7" s="1"/>
  <c r="F328" i="7"/>
  <c r="C328" i="7"/>
  <c r="Z325" i="7"/>
  <c r="AA325" i="7" s="1"/>
  <c r="T325" i="7"/>
  <c r="U325" i="7" s="1"/>
  <c r="Q325" i="7"/>
  <c r="AC325" i="7" s="1"/>
  <c r="AD325" i="7" s="1"/>
  <c r="L325" i="7"/>
  <c r="K325" i="7"/>
  <c r="H325" i="7"/>
  <c r="I325" i="7" s="1"/>
  <c r="E325" i="7"/>
  <c r="F325" i="7" s="1"/>
  <c r="C325" i="7"/>
  <c r="B325" i="7"/>
  <c r="N325" i="7" s="1"/>
  <c r="O325" i="7" s="1"/>
  <c r="AC324" i="7"/>
  <c r="AD324" i="7" s="1"/>
  <c r="Z324" i="7"/>
  <c r="AA324" i="7" s="1"/>
  <c r="T324" i="7"/>
  <c r="W324" i="7" s="1"/>
  <c r="X324" i="7" s="1"/>
  <c r="R324" i="7"/>
  <c r="Q324" i="7"/>
  <c r="L324" i="7"/>
  <c r="K324" i="7"/>
  <c r="H324" i="7"/>
  <c r="I324" i="7" s="1"/>
  <c r="F324" i="7"/>
  <c r="E324" i="7"/>
  <c r="C324" i="7"/>
  <c r="B324" i="7"/>
  <c r="N324" i="7" s="1"/>
  <c r="O324" i="7" s="1"/>
  <c r="AD323" i="7"/>
  <c r="AC323" i="7"/>
  <c r="AA323" i="7"/>
  <c r="W323" i="7"/>
  <c r="X323" i="7" s="1"/>
  <c r="U323" i="7"/>
  <c r="R323" i="7"/>
  <c r="N323" i="7"/>
  <c r="O323" i="7" s="1"/>
  <c r="L323" i="7"/>
  <c r="I323" i="7"/>
  <c r="H323" i="7"/>
  <c r="F323" i="7"/>
  <c r="C323" i="7"/>
  <c r="AD322" i="7"/>
  <c r="AC322" i="7"/>
  <c r="AA322" i="7"/>
  <c r="W322" i="7"/>
  <c r="X322" i="7" s="1"/>
  <c r="U322" i="7"/>
  <c r="R322" i="7"/>
  <c r="N322" i="7"/>
  <c r="O322" i="7" s="1"/>
  <c r="L322" i="7"/>
  <c r="I322" i="7"/>
  <c r="H322" i="7"/>
  <c r="F322" i="7"/>
  <c r="C322" i="7"/>
  <c r="AD321" i="7"/>
  <c r="AC321" i="7"/>
  <c r="AA321" i="7"/>
  <c r="W321" i="7"/>
  <c r="X321" i="7" s="1"/>
  <c r="U321" i="7"/>
  <c r="R321" i="7"/>
  <c r="O321" i="7"/>
  <c r="N321" i="7"/>
  <c r="L321" i="7"/>
  <c r="I321" i="7"/>
  <c r="H321" i="7"/>
  <c r="F321" i="7"/>
  <c r="C321" i="7"/>
  <c r="AC320" i="7"/>
  <c r="AD320" i="7" s="1"/>
  <c r="AA320" i="7"/>
  <c r="W320" i="7"/>
  <c r="X320" i="7" s="1"/>
  <c r="U320" i="7"/>
  <c r="R320" i="7"/>
  <c r="N320" i="7"/>
  <c r="O320" i="7" s="1"/>
  <c r="L320" i="7"/>
  <c r="I320" i="7"/>
  <c r="H320" i="7"/>
  <c r="F320" i="7"/>
  <c r="C320" i="7"/>
  <c r="AD319" i="7"/>
  <c r="AC319" i="7"/>
  <c r="AA319" i="7"/>
  <c r="X319" i="7"/>
  <c r="W319" i="7"/>
  <c r="U319" i="7"/>
  <c r="R319" i="7"/>
  <c r="N319" i="7"/>
  <c r="O319" i="7" s="1"/>
  <c r="L319" i="7"/>
  <c r="H319" i="7"/>
  <c r="I319" i="7" s="1"/>
  <c r="F319" i="7"/>
  <c r="C319" i="7"/>
  <c r="AD318" i="7"/>
  <c r="AC318" i="7"/>
  <c r="AA318" i="7"/>
  <c r="W318" i="7"/>
  <c r="X318" i="7" s="1"/>
  <c r="U318" i="7"/>
  <c r="R318" i="7"/>
  <c r="N318" i="7"/>
  <c r="O318" i="7" s="1"/>
  <c r="L318" i="7"/>
  <c r="I318" i="7"/>
  <c r="H318" i="7"/>
  <c r="F318" i="7"/>
  <c r="C318" i="7"/>
  <c r="AD317" i="7"/>
  <c r="AC317" i="7"/>
  <c r="AA317" i="7"/>
  <c r="W317" i="7"/>
  <c r="X317" i="7" s="1"/>
  <c r="U317" i="7"/>
  <c r="R317" i="7"/>
  <c r="O317" i="7"/>
  <c r="N317" i="7"/>
  <c r="L317" i="7"/>
  <c r="I317" i="7"/>
  <c r="H317" i="7"/>
  <c r="F317" i="7"/>
  <c r="C317" i="7"/>
  <c r="AC316" i="7"/>
  <c r="AD316" i="7" s="1"/>
  <c r="AA316" i="7"/>
  <c r="W316" i="7"/>
  <c r="X316" i="7" s="1"/>
  <c r="U316" i="7"/>
  <c r="R316" i="7"/>
  <c r="N316" i="7"/>
  <c r="O316" i="7" s="1"/>
  <c r="L316" i="7"/>
  <c r="I316" i="7"/>
  <c r="H316" i="7"/>
  <c r="F316" i="7"/>
  <c r="C316" i="7"/>
  <c r="AD315" i="7"/>
  <c r="AC315" i="7"/>
  <c r="AA315" i="7"/>
  <c r="X315" i="7"/>
  <c r="W315" i="7"/>
  <c r="U315" i="7"/>
  <c r="R315" i="7"/>
  <c r="N315" i="7"/>
  <c r="O315" i="7" s="1"/>
  <c r="L315" i="7"/>
  <c r="I315" i="7"/>
  <c r="H315" i="7"/>
  <c r="F315" i="7"/>
  <c r="C315" i="7"/>
  <c r="AD314" i="7"/>
  <c r="AC314" i="7"/>
  <c r="AA314" i="7"/>
  <c r="W314" i="7"/>
  <c r="X314" i="7" s="1"/>
  <c r="U314" i="7"/>
  <c r="R314" i="7"/>
  <c r="N314" i="7"/>
  <c r="O314" i="7" s="1"/>
  <c r="L314" i="7"/>
  <c r="I314" i="7"/>
  <c r="H314" i="7"/>
  <c r="F314" i="7"/>
  <c r="C314" i="7"/>
  <c r="AD313" i="7"/>
  <c r="AC313" i="7"/>
  <c r="AA313" i="7"/>
  <c r="W313" i="7"/>
  <c r="X313" i="7" s="1"/>
  <c r="U313" i="7"/>
  <c r="R313" i="7"/>
  <c r="N313" i="7"/>
  <c r="O313" i="7" s="1"/>
  <c r="L313" i="7"/>
  <c r="I313" i="7"/>
  <c r="H313" i="7"/>
  <c r="F313" i="7"/>
  <c r="C313" i="7"/>
  <c r="AC312" i="7"/>
  <c r="AD312" i="7" s="1"/>
  <c r="AA312" i="7"/>
  <c r="W312" i="7"/>
  <c r="X312" i="7" s="1"/>
  <c r="U312" i="7"/>
  <c r="R312" i="7"/>
  <c r="N312" i="7"/>
  <c r="O312" i="7" s="1"/>
  <c r="L312" i="7"/>
  <c r="I312" i="7"/>
  <c r="H312" i="7"/>
  <c r="F312" i="7"/>
  <c r="C312" i="7"/>
  <c r="AD311" i="7"/>
  <c r="AC311" i="7"/>
  <c r="AA311" i="7"/>
  <c r="X311" i="7"/>
  <c r="W311" i="7"/>
  <c r="U311" i="7"/>
  <c r="R311" i="7"/>
  <c r="N311" i="7"/>
  <c r="O311" i="7" s="1"/>
  <c r="L311" i="7"/>
  <c r="I311" i="7"/>
  <c r="H311" i="7"/>
  <c r="F311" i="7"/>
  <c r="C311" i="7"/>
  <c r="AD310" i="7"/>
  <c r="AC310" i="7"/>
  <c r="AA310" i="7"/>
  <c r="W310" i="7"/>
  <c r="X310" i="7" s="1"/>
  <c r="U310" i="7"/>
  <c r="R310" i="7"/>
  <c r="N310" i="7"/>
  <c r="O310" i="7" s="1"/>
  <c r="L310" i="7"/>
  <c r="I310" i="7"/>
  <c r="H310" i="7"/>
  <c r="F310" i="7"/>
  <c r="C310" i="7"/>
  <c r="AD309" i="7"/>
  <c r="AC309" i="7"/>
  <c r="AA309" i="7"/>
  <c r="W309" i="7"/>
  <c r="X309" i="7" s="1"/>
  <c r="U309" i="7"/>
  <c r="R309" i="7"/>
  <c r="O309" i="7"/>
  <c r="N309" i="7"/>
  <c r="L309" i="7"/>
  <c r="I309" i="7"/>
  <c r="H309" i="7"/>
  <c r="F309" i="7"/>
  <c r="C309" i="7"/>
  <c r="AD308" i="7"/>
  <c r="AC308" i="7"/>
  <c r="AA308" i="7"/>
  <c r="W308" i="7"/>
  <c r="X308" i="7" s="1"/>
  <c r="U308" i="7"/>
  <c r="R308" i="7"/>
  <c r="N308" i="7"/>
  <c r="O308" i="7" s="1"/>
  <c r="L308" i="7"/>
  <c r="I308" i="7"/>
  <c r="H308" i="7"/>
  <c r="F308" i="7"/>
  <c r="C308" i="7"/>
  <c r="AD307" i="7"/>
  <c r="AC307" i="7"/>
  <c r="AA307" i="7"/>
  <c r="W307" i="7"/>
  <c r="X307" i="7" s="1"/>
  <c r="U307" i="7"/>
  <c r="R307" i="7"/>
  <c r="N307" i="7"/>
  <c r="O307" i="7" s="1"/>
  <c r="L307" i="7"/>
  <c r="I307" i="7"/>
  <c r="H307" i="7"/>
  <c r="F307" i="7"/>
  <c r="C307" i="7"/>
  <c r="AD306" i="7"/>
  <c r="AC306" i="7"/>
  <c r="AA306" i="7"/>
  <c r="W306" i="7"/>
  <c r="X306" i="7" s="1"/>
  <c r="U306" i="7"/>
  <c r="R306" i="7"/>
  <c r="N306" i="7"/>
  <c r="O306" i="7" s="1"/>
  <c r="L306" i="7"/>
  <c r="I306" i="7"/>
  <c r="H306" i="7"/>
  <c r="F306" i="7"/>
  <c r="C306" i="7"/>
  <c r="AD305" i="7"/>
  <c r="AC305" i="7"/>
  <c r="AA305" i="7"/>
  <c r="W305" i="7"/>
  <c r="X305" i="7" s="1"/>
  <c r="U305" i="7"/>
  <c r="R305" i="7"/>
  <c r="O305" i="7"/>
  <c r="N305" i="7"/>
  <c r="L305" i="7"/>
  <c r="I305" i="7"/>
  <c r="H305" i="7"/>
  <c r="F305" i="7"/>
  <c r="C305" i="7"/>
  <c r="AC304" i="7"/>
  <c r="AD304" i="7" s="1"/>
  <c r="AA304" i="7"/>
  <c r="W304" i="7"/>
  <c r="X304" i="7" s="1"/>
  <c r="U304" i="7"/>
  <c r="R304" i="7"/>
  <c r="N304" i="7"/>
  <c r="O304" i="7" s="1"/>
  <c r="L304" i="7"/>
  <c r="I304" i="7"/>
  <c r="H304" i="7"/>
  <c r="F304" i="7"/>
  <c r="C304" i="7"/>
  <c r="AD303" i="7"/>
  <c r="AC303" i="7"/>
  <c r="AA303" i="7"/>
  <c r="X303" i="7"/>
  <c r="W303" i="7"/>
  <c r="U303" i="7"/>
  <c r="R303" i="7"/>
  <c r="N303" i="7"/>
  <c r="O303" i="7" s="1"/>
  <c r="L303" i="7"/>
  <c r="H303" i="7"/>
  <c r="I303" i="7" s="1"/>
  <c r="F303" i="7"/>
  <c r="C303" i="7"/>
  <c r="AD302" i="7"/>
  <c r="AC302" i="7"/>
  <c r="AA302" i="7"/>
  <c r="W302" i="7"/>
  <c r="X302" i="7" s="1"/>
  <c r="U302" i="7"/>
  <c r="R302" i="7"/>
  <c r="N302" i="7"/>
  <c r="O302" i="7" s="1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O301" i="7"/>
  <c r="N301" i="7"/>
  <c r="L301" i="7"/>
  <c r="I301" i="7"/>
  <c r="H301" i="7"/>
  <c r="F301" i="7"/>
  <c r="C301" i="7"/>
  <c r="AC300" i="7"/>
  <c r="AD300" i="7" s="1"/>
  <c r="AA300" i="7"/>
  <c r="W300" i="7"/>
  <c r="X300" i="7" s="1"/>
  <c r="U300" i="7"/>
  <c r="R300" i="7"/>
  <c r="N300" i="7"/>
  <c r="O300" i="7" s="1"/>
  <c r="L300" i="7"/>
  <c r="I300" i="7"/>
  <c r="H300" i="7"/>
  <c r="F300" i="7"/>
  <c r="C300" i="7"/>
  <c r="AD299" i="7"/>
  <c r="AC299" i="7"/>
  <c r="AA299" i="7"/>
  <c r="X299" i="7"/>
  <c r="W299" i="7"/>
  <c r="U299" i="7"/>
  <c r="R299" i="7"/>
  <c r="N299" i="7"/>
  <c r="O299" i="7" s="1"/>
  <c r="L299" i="7"/>
  <c r="I299" i="7"/>
  <c r="H299" i="7"/>
  <c r="F299" i="7"/>
  <c r="C299" i="7"/>
  <c r="AD298" i="7"/>
  <c r="AC298" i="7"/>
  <c r="AA298" i="7"/>
  <c r="W298" i="7"/>
  <c r="X298" i="7" s="1"/>
  <c r="U298" i="7"/>
  <c r="R298" i="7"/>
  <c r="N298" i="7"/>
  <c r="O298" i="7" s="1"/>
  <c r="L298" i="7"/>
  <c r="I298" i="7"/>
  <c r="H298" i="7"/>
  <c r="F298" i="7"/>
  <c r="C298" i="7"/>
  <c r="AD297" i="7"/>
  <c r="AC297" i="7"/>
  <c r="AA297" i="7"/>
  <c r="W297" i="7"/>
  <c r="X297" i="7" s="1"/>
  <c r="U297" i="7"/>
  <c r="R297" i="7"/>
  <c r="N297" i="7"/>
  <c r="O297" i="7" s="1"/>
  <c r="L297" i="7"/>
  <c r="I297" i="7"/>
  <c r="H297" i="7"/>
  <c r="F297" i="7"/>
  <c r="C297" i="7"/>
  <c r="AC295" i="7"/>
  <c r="AD295" i="7" s="1"/>
  <c r="AA295" i="7"/>
  <c r="Z295" i="7"/>
  <c r="X295" i="7"/>
  <c r="U295" i="7"/>
  <c r="T295" i="7"/>
  <c r="R295" i="7"/>
  <c r="Q295" i="7"/>
  <c r="W295" i="7" s="1"/>
  <c r="L295" i="7"/>
  <c r="K295" i="7"/>
  <c r="F295" i="7"/>
  <c r="E295" i="7"/>
  <c r="C295" i="7"/>
  <c r="B295" i="7"/>
  <c r="AD294" i="7"/>
  <c r="AC294" i="7"/>
  <c r="AA294" i="7"/>
  <c r="W294" i="7"/>
  <c r="X294" i="7" s="1"/>
  <c r="U294" i="7"/>
  <c r="R294" i="7"/>
  <c r="N294" i="7"/>
  <c r="O294" i="7" s="1"/>
  <c r="L294" i="7"/>
  <c r="I294" i="7"/>
  <c r="H294" i="7"/>
  <c r="F294" i="7"/>
  <c r="C294" i="7"/>
  <c r="AD293" i="7"/>
  <c r="AC293" i="7"/>
  <c r="AA293" i="7"/>
  <c r="W293" i="7"/>
  <c r="X293" i="7" s="1"/>
  <c r="U293" i="7"/>
  <c r="R293" i="7"/>
  <c r="O293" i="7"/>
  <c r="N293" i="7"/>
  <c r="L293" i="7"/>
  <c r="I293" i="7"/>
  <c r="H293" i="7"/>
  <c r="F293" i="7"/>
  <c r="C293" i="7"/>
  <c r="AD292" i="7"/>
  <c r="AC292" i="7"/>
  <c r="AA292" i="7"/>
  <c r="W292" i="7"/>
  <c r="X292" i="7" s="1"/>
  <c r="U292" i="7"/>
  <c r="R292" i="7"/>
  <c r="N292" i="7"/>
  <c r="O292" i="7" s="1"/>
  <c r="L292" i="7"/>
  <c r="I292" i="7"/>
  <c r="H292" i="7"/>
  <c r="F292" i="7"/>
  <c r="C292" i="7"/>
  <c r="AD291" i="7"/>
  <c r="AC291" i="7"/>
  <c r="AA291" i="7"/>
  <c r="W291" i="7"/>
  <c r="X291" i="7" s="1"/>
  <c r="U291" i="7"/>
  <c r="R291" i="7"/>
  <c r="N291" i="7"/>
  <c r="O291" i="7" s="1"/>
  <c r="L291" i="7"/>
  <c r="I291" i="7"/>
  <c r="H291" i="7"/>
  <c r="F291" i="7"/>
  <c r="C291" i="7"/>
  <c r="AD290" i="7"/>
  <c r="AC290" i="7"/>
  <c r="AA290" i="7"/>
  <c r="W290" i="7"/>
  <c r="X290" i="7" s="1"/>
  <c r="U290" i="7"/>
  <c r="R290" i="7"/>
  <c r="N290" i="7"/>
  <c r="O290" i="7" s="1"/>
  <c r="L290" i="7"/>
  <c r="I290" i="7"/>
  <c r="H290" i="7"/>
  <c r="F290" i="7"/>
  <c r="C290" i="7"/>
  <c r="AD289" i="7"/>
  <c r="AC289" i="7"/>
  <c r="AA289" i="7"/>
  <c r="W289" i="7"/>
  <c r="X289" i="7" s="1"/>
  <c r="U289" i="7"/>
  <c r="R289" i="7"/>
  <c r="O289" i="7"/>
  <c r="N289" i="7"/>
  <c r="L289" i="7"/>
  <c r="I289" i="7"/>
  <c r="H289" i="7"/>
  <c r="F289" i="7"/>
  <c r="C289" i="7"/>
  <c r="AC288" i="7"/>
  <c r="AD288" i="7" s="1"/>
  <c r="AA288" i="7"/>
  <c r="W288" i="7"/>
  <c r="X288" i="7" s="1"/>
  <c r="U288" i="7"/>
  <c r="R288" i="7"/>
  <c r="N288" i="7"/>
  <c r="O288" i="7" s="1"/>
  <c r="L288" i="7"/>
  <c r="I288" i="7"/>
  <c r="H288" i="7"/>
  <c r="F288" i="7"/>
  <c r="C288" i="7"/>
  <c r="AD287" i="7"/>
  <c r="AC287" i="7"/>
  <c r="AA287" i="7"/>
  <c r="X287" i="7"/>
  <c r="W287" i="7"/>
  <c r="U287" i="7"/>
  <c r="R287" i="7"/>
  <c r="N287" i="7"/>
  <c r="O287" i="7" s="1"/>
  <c r="L287" i="7"/>
  <c r="H287" i="7"/>
  <c r="I287" i="7" s="1"/>
  <c r="F287" i="7"/>
  <c r="C287" i="7"/>
  <c r="AD286" i="7"/>
  <c r="AC286" i="7"/>
  <c r="AA286" i="7"/>
  <c r="W286" i="7"/>
  <c r="X286" i="7" s="1"/>
  <c r="U286" i="7"/>
  <c r="R286" i="7"/>
  <c r="N286" i="7"/>
  <c r="O286" i="7" s="1"/>
  <c r="L286" i="7"/>
  <c r="I286" i="7"/>
  <c r="H286" i="7"/>
  <c r="F286" i="7"/>
  <c r="C286" i="7"/>
  <c r="AA284" i="7"/>
  <c r="Z284" i="7"/>
  <c r="U284" i="7"/>
  <c r="T284" i="7"/>
  <c r="R284" i="7"/>
  <c r="Q284" i="7"/>
  <c r="L284" i="7"/>
  <c r="K284" i="7"/>
  <c r="H284" i="7"/>
  <c r="I284" i="7" s="1"/>
  <c r="F284" i="7"/>
  <c r="E284" i="7"/>
  <c r="C284" i="7"/>
  <c r="B284" i="7"/>
  <c r="N284" i="7" s="1"/>
  <c r="O284" i="7" s="1"/>
  <c r="AD283" i="7"/>
  <c r="AC283" i="7"/>
  <c r="AA283" i="7"/>
  <c r="X283" i="7"/>
  <c r="W283" i="7"/>
  <c r="U283" i="7"/>
  <c r="R283" i="7"/>
  <c r="N283" i="7"/>
  <c r="O283" i="7" s="1"/>
  <c r="L283" i="7"/>
  <c r="I283" i="7"/>
  <c r="H283" i="7"/>
  <c r="F283" i="7"/>
  <c r="C283" i="7"/>
  <c r="AD282" i="7"/>
  <c r="AC282" i="7"/>
  <c r="AA282" i="7"/>
  <c r="W282" i="7"/>
  <c r="X282" i="7" s="1"/>
  <c r="U282" i="7"/>
  <c r="R282" i="7"/>
  <c r="N282" i="7"/>
  <c r="O282" i="7" s="1"/>
  <c r="L282" i="7"/>
  <c r="I282" i="7"/>
  <c r="H282" i="7"/>
  <c r="F282" i="7"/>
  <c r="C282" i="7"/>
  <c r="AD281" i="7"/>
  <c r="AC281" i="7"/>
  <c r="AA281" i="7"/>
  <c r="W281" i="7"/>
  <c r="X281" i="7" s="1"/>
  <c r="U281" i="7"/>
  <c r="R281" i="7"/>
  <c r="N281" i="7"/>
  <c r="O281" i="7" s="1"/>
  <c r="L281" i="7"/>
  <c r="I281" i="7"/>
  <c r="H281" i="7"/>
  <c r="F281" i="7"/>
  <c r="C281" i="7"/>
  <c r="AC280" i="7"/>
  <c r="AD280" i="7" s="1"/>
  <c r="AA280" i="7"/>
  <c r="W280" i="7"/>
  <c r="X280" i="7" s="1"/>
  <c r="U280" i="7"/>
  <c r="R280" i="7"/>
  <c r="N280" i="7"/>
  <c r="O280" i="7" s="1"/>
  <c r="L280" i="7"/>
  <c r="I280" i="7"/>
  <c r="H280" i="7"/>
  <c r="F280" i="7"/>
  <c r="C280" i="7"/>
  <c r="AD279" i="7"/>
  <c r="AC279" i="7"/>
  <c r="AA279" i="7"/>
  <c r="X279" i="7"/>
  <c r="W279" i="7"/>
  <c r="U279" i="7"/>
  <c r="R279" i="7"/>
  <c r="N279" i="7"/>
  <c r="O279" i="7" s="1"/>
  <c r="L279" i="7"/>
  <c r="I279" i="7"/>
  <c r="H279" i="7"/>
  <c r="F279" i="7"/>
  <c r="C279" i="7"/>
  <c r="AD278" i="7"/>
  <c r="AC278" i="7"/>
  <c r="AA278" i="7"/>
  <c r="W278" i="7"/>
  <c r="X278" i="7" s="1"/>
  <c r="U278" i="7"/>
  <c r="R278" i="7"/>
  <c r="N278" i="7"/>
  <c r="O278" i="7" s="1"/>
  <c r="L278" i="7"/>
  <c r="I278" i="7"/>
  <c r="H278" i="7"/>
  <c r="F278" i="7"/>
  <c r="C278" i="7"/>
  <c r="AD277" i="7"/>
  <c r="AC277" i="7"/>
  <c r="AA277" i="7"/>
  <c r="W277" i="7"/>
  <c r="X277" i="7" s="1"/>
  <c r="U277" i="7"/>
  <c r="R277" i="7"/>
  <c r="O277" i="7"/>
  <c r="N277" i="7"/>
  <c r="L277" i="7"/>
  <c r="I277" i="7"/>
  <c r="H277" i="7"/>
  <c r="F277" i="7"/>
  <c r="C277" i="7"/>
  <c r="AD276" i="7"/>
  <c r="AC276" i="7"/>
  <c r="AA276" i="7"/>
  <c r="W276" i="7"/>
  <c r="X276" i="7" s="1"/>
  <c r="U276" i="7"/>
  <c r="R276" i="7"/>
  <c r="N276" i="7"/>
  <c r="O276" i="7" s="1"/>
  <c r="L276" i="7"/>
  <c r="I276" i="7"/>
  <c r="H276" i="7"/>
  <c r="F276" i="7"/>
  <c r="C276" i="7"/>
  <c r="AD275" i="7"/>
  <c r="AC275" i="7"/>
  <c r="AA275" i="7"/>
  <c r="W275" i="7"/>
  <c r="X275" i="7" s="1"/>
  <c r="U275" i="7"/>
  <c r="R275" i="7"/>
  <c r="N275" i="7"/>
  <c r="O275" i="7" s="1"/>
  <c r="L275" i="7"/>
  <c r="I275" i="7"/>
  <c r="H275" i="7"/>
  <c r="F275" i="7"/>
  <c r="C275" i="7"/>
  <c r="AA273" i="7"/>
  <c r="Z273" i="7"/>
  <c r="W273" i="7"/>
  <c r="X273" i="7" s="1"/>
  <c r="U273" i="7"/>
  <c r="T273" i="7"/>
  <c r="R273" i="7"/>
  <c r="Q273" i="7"/>
  <c r="AC273" i="7" s="1"/>
  <c r="AD273" i="7" s="1"/>
  <c r="L273" i="7"/>
  <c r="K273" i="7"/>
  <c r="I273" i="7"/>
  <c r="H273" i="7"/>
  <c r="F273" i="7"/>
  <c r="E273" i="7"/>
  <c r="C273" i="7"/>
  <c r="B273" i="7"/>
  <c r="N273" i="7" s="1"/>
  <c r="O273" i="7" s="1"/>
  <c r="AD272" i="7"/>
  <c r="AC272" i="7"/>
  <c r="AA272" i="7"/>
  <c r="W272" i="7"/>
  <c r="X272" i="7" s="1"/>
  <c r="U272" i="7"/>
  <c r="R272" i="7"/>
  <c r="N272" i="7"/>
  <c r="O272" i="7" s="1"/>
  <c r="L272" i="7"/>
  <c r="I272" i="7"/>
  <c r="H272" i="7"/>
  <c r="F272" i="7"/>
  <c r="C272" i="7"/>
  <c r="AD271" i="7"/>
  <c r="AC271" i="7"/>
  <c r="AA271" i="7"/>
  <c r="W271" i="7"/>
  <c r="X271" i="7" s="1"/>
  <c r="U271" i="7"/>
  <c r="R271" i="7"/>
  <c r="N271" i="7"/>
  <c r="O271" i="7" s="1"/>
  <c r="L271" i="7"/>
  <c r="I271" i="7"/>
  <c r="H271" i="7"/>
  <c r="F271" i="7"/>
  <c r="C271" i="7"/>
  <c r="AD270" i="7"/>
  <c r="AC270" i="7"/>
  <c r="AA270" i="7"/>
  <c r="W270" i="7"/>
  <c r="X270" i="7" s="1"/>
  <c r="U270" i="7"/>
  <c r="R270" i="7"/>
  <c r="N270" i="7"/>
  <c r="O270" i="7" s="1"/>
  <c r="L270" i="7"/>
  <c r="I270" i="7"/>
  <c r="H270" i="7"/>
  <c r="F270" i="7"/>
  <c r="C270" i="7"/>
  <c r="AD269" i="7"/>
  <c r="AC269" i="7"/>
  <c r="AA269" i="7"/>
  <c r="W269" i="7"/>
  <c r="X269" i="7" s="1"/>
  <c r="U269" i="7"/>
  <c r="R269" i="7"/>
  <c r="N269" i="7"/>
  <c r="O269" i="7" s="1"/>
  <c r="L269" i="7"/>
  <c r="I269" i="7"/>
  <c r="H269" i="7"/>
  <c r="F269" i="7"/>
  <c r="C269" i="7"/>
  <c r="AA267" i="7"/>
  <c r="Z267" i="7"/>
  <c r="U267" i="7"/>
  <c r="T267" i="7"/>
  <c r="Q267" i="7"/>
  <c r="W267" i="7" s="1"/>
  <c r="X267" i="7" s="1"/>
  <c r="L267" i="7"/>
  <c r="K267" i="7"/>
  <c r="E267" i="7"/>
  <c r="F267" i="7" s="1"/>
  <c r="C267" i="7"/>
  <c r="B267" i="7"/>
  <c r="AD266" i="7"/>
  <c r="AC266" i="7"/>
  <c r="AA266" i="7"/>
  <c r="W266" i="7"/>
  <c r="X266" i="7" s="1"/>
  <c r="U266" i="7"/>
  <c r="R266" i="7"/>
  <c r="N266" i="7"/>
  <c r="O266" i="7" s="1"/>
  <c r="L266" i="7"/>
  <c r="I266" i="7"/>
  <c r="H266" i="7"/>
  <c r="F266" i="7"/>
  <c r="C266" i="7"/>
  <c r="AD265" i="7"/>
  <c r="AC265" i="7"/>
  <c r="AA265" i="7"/>
  <c r="W265" i="7"/>
  <c r="X265" i="7" s="1"/>
  <c r="U265" i="7"/>
  <c r="R265" i="7"/>
  <c r="O265" i="7"/>
  <c r="N265" i="7"/>
  <c r="L265" i="7"/>
  <c r="I265" i="7"/>
  <c r="H265" i="7"/>
  <c r="F265" i="7"/>
  <c r="C265" i="7"/>
  <c r="AA263" i="7"/>
  <c r="Z263" i="7"/>
  <c r="X263" i="7"/>
  <c r="U263" i="7"/>
  <c r="T263" i="7"/>
  <c r="Q263" i="7"/>
  <c r="W263" i="7" s="1"/>
  <c r="L263" i="7"/>
  <c r="K263" i="7"/>
  <c r="I263" i="7"/>
  <c r="E263" i="7"/>
  <c r="F263" i="7" s="1"/>
  <c r="C263" i="7"/>
  <c r="B263" i="7"/>
  <c r="H263" i="7" s="1"/>
  <c r="AA262" i="7"/>
  <c r="Z262" i="7"/>
  <c r="X262" i="7"/>
  <c r="W262" i="7"/>
  <c r="U262" i="7"/>
  <c r="T262" i="7"/>
  <c r="R262" i="7"/>
  <c r="Q262" i="7"/>
  <c r="AC262" i="7" s="1"/>
  <c r="AD262" i="7" s="1"/>
  <c r="K262" i="7"/>
  <c r="L262" i="7" s="1"/>
  <c r="I262" i="7"/>
  <c r="H262" i="7"/>
  <c r="F262" i="7"/>
  <c r="E262" i="7"/>
  <c r="C262" i="7"/>
  <c r="B262" i="7"/>
  <c r="AC261" i="7"/>
  <c r="AD261" i="7" s="1"/>
  <c r="AA261" i="7"/>
  <c r="W261" i="7"/>
  <c r="X261" i="7" s="1"/>
  <c r="U261" i="7"/>
  <c r="R261" i="7"/>
  <c r="N261" i="7"/>
  <c r="O261" i="7" s="1"/>
  <c r="L261" i="7"/>
  <c r="I261" i="7"/>
  <c r="H261" i="7"/>
  <c r="F261" i="7"/>
  <c r="C261" i="7"/>
  <c r="AD260" i="7"/>
  <c r="AC260" i="7"/>
  <c r="AA260" i="7"/>
  <c r="X260" i="7"/>
  <c r="W260" i="7"/>
  <c r="U260" i="7"/>
  <c r="R260" i="7"/>
  <c r="N260" i="7"/>
  <c r="O260" i="7" s="1"/>
  <c r="L260" i="7"/>
  <c r="I260" i="7"/>
  <c r="H260" i="7"/>
  <c r="F260" i="7"/>
  <c r="C260" i="7"/>
  <c r="AD259" i="7"/>
  <c r="AC259" i="7"/>
  <c r="AA259" i="7"/>
  <c r="W259" i="7"/>
  <c r="X259" i="7" s="1"/>
  <c r="U259" i="7"/>
  <c r="R259" i="7"/>
  <c r="N259" i="7"/>
  <c r="O259" i="7" s="1"/>
  <c r="L259" i="7"/>
  <c r="I259" i="7"/>
  <c r="H259" i="7"/>
  <c r="F259" i="7"/>
  <c r="C259" i="7"/>
  <c r="AD258" i="7"/>
  <c r="AC258" i="7"/>
  <c r="AA258" i="7"/>
  <c r="W258" i="7"/>
  <c r="X258" i="7" s="1"/>
  <c r="U258" i="7"/>
  <c r="R258" i="7"/>
  <c r="O258" i="7"/>
  <c r="N258" i="7"/>
  <c r="L258" i="7"/>
  <c r="I258" i="7"/>
  <c r="H258" i="7"/>
  <c r="F258" i="7"/>
  <c r="C258" i="7"/>
  <c r="AC257" i="7"/>
  <c r="AD257" i="7" s="1"/>
  <c r="AA257" i="7"/>
  <c r="W257" i="7"/>
  <c r="X257" i="7" s="1"/>
  <c r="U257" i="7"/>
  <c r="R257" i="7"/>
  <c r="N257" i="7"/>
  <c r="O257" i="7" s="1"/>
  <c r="L257" i="7"/>
  <c r="I257" i="7"/>
  <c r="H257" i="7"/>
  <c r="F257" i="7"/>
  <c r="C257" i="7"/>
  <c r="AD256" i="7"/>
  <c r="AC256" i="7"/>
  <c r="AA256" i="7"/>
  <c r="X256" i="7"/>
  <c r="W256" i="7"/>
  <c r="U256" i="7"/>
  <c r="R256" i="7"/>
  <c r="N256" i="7"/>
  <c r="O256" i="7" s="1"/>
  <c r="L256" i="7"/>
  <c r="I256" i="7"/>
  <c r="H256" i="7"/>
  <c r="F256" i="7"/>
  <c r="C256" i="7"/>
  <c r="AD255" i="7"/>
  <c r="AC255" i="7"/>
  <c r="AA255" i="7"/>
  <c r="W255" i="7"/>
  <c r="X255" i="7" s="1"/>
  <c r="U255" i="7"/>
  <c r="R255" i="7"/>
  <c r="N255" i="7"/>
  <c r="O255" i="7" s="1"/>
  <c r="L255" i="7"/>
  <c r="I255" i="7"/>
  <c r="H255" i="7"/>
  <c r="F255" i="7"/>
  <c r="C255" i="7"/>
  <c r="AD254" i="7"/>
  <c r="AC254" i="7"/>
  <c r="AA254" i="7"/>
  <c r="W254" i="7"/>
  <c r="X254" i="7" s="1"/>
  <c r="U254" i="7"/>
  <c r="R254" i="7"/>
  <c r="O254" i="7"/>
  <c r="N254" i="7"/>
  <c r="L254" i="7"/>
  <c r="I254" i="7"/>
  <c r="H254" i="7"/>
  <c r="F254" i="7"/>
  <c r="C254" i="7"/>
  <c r="AC253" i="7"/>
  <c r="AD253" i="7" s="1"/>
  <c r="AA253" i="7"/>
  <c r="W253" i="7"/>
  <c r="X253" i="7" s="1"/>
  <c r="U253" i="7"/>
  <c r="R253" i="7"/>
  <c r="N253" i="7"/>
  <c r="O253" i="7" s="1"/>
  <c r="L253" i="7"/>
  <c r="I253" i="7"/>
  <c r="H253" i="7"/>
  <c r="F253" i="7"/>
  <c r="C253" i="7"/>
  <c r="AD252" i="7"/>
  <c r="AC252" i="7"/>
  <c r="AA252" i="7"/>
  <c r="X252" i="7"/>
  <c r="W252" i="7"/>
  <c r="U252" i="7"/>
  <c r="R252" i="7"/>
  <c r="N252" i="7"/>
  <c r="O252" i="7" s="1"/>
  <c r="L252" i="7"/>
  <c r="I252" i="7"/>
  <c r="H252" i="7"/>
  <c r="F252" i="7"/>
  <c r="C252" i="7"/>
  <c r="AD251" i="7"/>
  <c r="AC251" i="7"/>
  <c r="AA251" i="7"/>
  <c r="W251" i="7"/>
  <c r="X251" i="7" s="1"/>
  <c r="U251" i="7"/>
  <c r="R251" i="7"/>
  <c r="N251" i="7"/>
  <c r="O251" i="7" s="1"/>
  <c r="L251" i="7"/>
  <c r="I251" i="7"/>
  <c r="H251" i="7"/>
  <c r="F251" i="7"/>
  <c r="C251" i="7"/>
  <c r="AD250" i="7"/>
  <c r="AC250" i="7"/>
  <c r="AA250" i="7"/>
  <c r="W250" i="7"/>
  <c r="X250" i="7" s="1"/>
  <c r="U250" i="7"/>
  <c r="R250" i="7"/>
  <c r="O250" i="7"/>
  <c r="N250" i="7"/>
  <c r="L250" i="7"/>
  <c r="I250" i="7"/>
  <c r="H250" i="7"/>
  <c r="F250" i="7"/>
  <c r="C250" i="7"/>
  <c r="AD249" i="7"/>
  <c r="AC249" i="7"/>
  <c r="AA249" i="7"/>
  <c r="W249" i="7"/>
  <c r="X249" i="7" s="1"/>
  <c r="U249" i="7"/>
  <c r="R249" i="7"/>
  <c r="N249" i="7"/>
  <c r="O249" i="7" s="1"/>
  <c r="L249" i="7"/>
  <c r="I249" i="7"/>
  <c r="H249" i="7"/>
  <c r="F249" i="7"/>
  <c r="C249" i="7"/>
  <c r="AD248" i="7"/>
  <c r="AC248" i="7"/>
  <c r="AA248" i="7"/>
  <c r="W248" i="7"/>
  <c r="X248" i="7" s="1"/>
  <c r="U248" i="7"/>
  <c r="R248" i="7"/>
  <c r="N248" i="7"/>
  <c r="O248" i="7" s="1"/>
  <c r="L248" i="7"/>
  <c r="I248" i="7"/>
  <c r="H248" i="7"/>
  <c r="F248" i="7"/>
  <c r="C248" i="7"/>
  <c r="AD247" i="7"/>
  <c r="AC247" i="7"/>
  <c r="AA247" i="7"/>
  <c r="W247" i="7"/>
  <c r="X247" i="7" s="1"/>
  <c r="U247" i="7"/>
  <c r="R247" i="7"/>
  <c r="N247" i="7"/>
  <c r="O247" i="7" s="1"/>
  <c r="L247" i="7"/>
  <c r="I247" i="7"/>
  <c r="H247" i="7"/>
  <c r="F247" i="7"/>
  <c r="C247" i="7"/>
  <c r="AD246" i="7"/>
  <c r="AC246" i="7"/>
  <c r="AA246" i="7"/>
  <c r="W246" i="7"/>
  <c r="X246" i="7" s="1"/>
  <c r="U246" i="7"/>
  <c r="R246" i="7"/>
  <c r="O246" i="7"/>
  <c r="N246" i="7"/>
  <c r="L246" i="7"/>
  <c r="I246" i="7"/>
  <c r="H246" i="7"/>
  <c r="F246" i="7"/>
  <c r="C246" i="7"/>
  <c r="AC245" i="7"/>
  <c r="AD245" i="7" s="1"/>
  <c r="AA245" i="7"/>
  <c r="W245" i="7"/>
  <c r="X245" i="7" s="1"/>
  <c r="U245" i="7"/>
  <c r="R245" i="7"/>
  <c r="N245" i="7"/>
  <c r="O245" i="7" s="1"/>
  <c r="L245" i="7"/>
  <c r="I245" i="7"/>
  <c r="H245" i="7"/>
  <c r="F245" i="7"/>
  <c r="C245" i="7"/>
  <c r="AD244" i="7"/>
  <c r="AC244" i="7"/>
  <c r="AA244" i="7"/>
  <c r="X244" i="7"/>
  <c r="W244" i="7"/>
  <c r="U244" i="7"/>
  <c r="R244" i="7"/>
  <c r="N244" i="7"/>
  <c r="O244" i="7" s="1"/>
  <c r="L244" i="7"/>
  <c r="I244" i="7"/>
  <c r="H244" i="7"/>
  <c r="F244" i="7"/>
  <c r="C244" i="7"/>
  <c r="AD243" i="7"/>
  <c r="AC243" i="7"/>
  <c r="AA243" i="7"/>
  <c r="W243" i="7"/>
  <c r="X243" i="7" s="1"/>
  <c r="U243" i="7"/>
  <c r="R243" i="7"/>
  <c r="N243" i="7"/>
  <c r="O243" i="7" s="1"/>
  <c r="L243" i="7"/>
  <c r="I243" i="7"/>
  <c r="H243" i="7"/>
  <c r="F243" i="7"/>
  <c r="C243" i="7"/>
  <c r="AD242" i="7"/>
  <c r="AC242" i="7"/>
  <c r="AA242" i="7"/>
  <c r="W242" i="7"/>
  <c r="X242" i="7" s="1"/>
  <c r="U242" i="7"/>
  <c r="R242" i="7"/>
  <c r="O242" i="7"/>
  <c r="N242" i="7"/>
  <c r="L242" i="7"/>
  <c r="I242" i="7"/>
  <c r="H242" i="7"/>
  <c r="F242" i="7"/>
  <c r="C242" i="7"/>
  <c r="AC241" i="7"/>
  <c r="AD241" i="7" s="1"/>
  <c r="AA241" i="7"/>
  <c r="W241" i="7"/>
  <c r="X241" i="7" s="1"/>
  <c r="U241" i="7"/>
  <c r="R241" i="7"/>
  <c r="N241" i="7"/>
  <c r="O241" i="7" s="1"/>
  <c r="L241" i="7"/>
  <c r="I241" i="7"/>
  <c r="H241" i="7"/>
  <c r="F241" i="7"/>
  <c r="C241" i="7"/>
  <c r="AD240" i="7"/>
  <c r="AC240" i="7"/>
  <c r="AA240" i="7"/>
  <c r="X240" i="7"/>
  <c r="W240" i="7"/>
  <c r="U240" i="7"/>
  <c r="R240" i="7"/>
  <c r="N240" i="7"/>
  <c r="O240" i="7" s="1"/>
  <c r="L240" i="7"/>
  <c r="I240" i="7"/>
  <c r="H240" i="7"/>
  <c r="F240" i="7"/>
  <c r="C240" i="7"/>
  <c r="AD238" i="7"/>
  <c r="AC238" i="7"/>
  <c r="AA238" i="7"/>
  <c r="W238" i="7"/>
  <c r="X238" i="7" s="1"/>
  <c r="U238" i="7"/>
  <c r="R238" i="7"/>
  <c r="N238" i="7"/>
  <c r="O238" i="7" s="1"/>
  <c r="L238" i="7"/>
  <c r="I238" i="7"/>
  <c r="H238" i="7"/>
  <c r="F238" i="7"/>
  <c r="C238" i="7"/>
  <c r="AA236" i="7"/>
  <c r="Z236" i="7"/>
  <c r="U236" i="7"/>
  <c r="T236" i="7"/>
  <c r="R236" i="7"/>
  <c r="Q236" i="7"/>
  <c r="W236" i="7" s="1"/>
  <c r="X236" i="7" s="1"/>
  <c r="O236" i="7"/>
  <c r="L236" i="7"/>
  <c r="K236" i="7"/>
  <c r="H236" i="7"/>
  <c r="I236" i="7" s="1"/>
  <c r="F236" i="7"/>
  <c r="E236" i="7"/>
  <c r="C236" i="7"/>
  <c r="B236" i="7"/>
  <c r="N236" i="7" s="1"/>
  <c r="AD235" i="7"/>
  <c r="AC235" i="7"/>
  <c r="AA235" i="7"/>
  <c r="X235" i="7"/>
  <c r="W235" i="7"/>
  <c r="U235" i="7"/>
  <c r="R235" i="7"/>
  <c r="N235" i="7"/>
  <c r="O235" i="7" s="1"/>
  <c r="L235" i="7"/>
  <c r="I235" i="7"/>
  <c r="H235" i="7"/>
  <c r="F235" i="7"/>
  <c r="C235" i="7"/>
  <c r="AD234" i="7"/>
  <c r="AC234" i="7"/>
  <c r="AA234" i="7"/>
  <c r="W234" i="7"/>
  <c r="X234" i="7" s="1"/>
  <c r="U234" i="7"/>
  <c r="R234" i="7"/>
  <c r="N234" i="7"/>
  <c r="O234" i="7" s="1"/>
  <c r="L234" i="7"/>
  <c r="I234" i="7"/>
  <c r="H234" i="7"/>
  <c r="F234" i="7"/>
  <c r="C234" i="7"/>
  <c r="AD233" i="7"/>
  <c r="AC233" i="7"/>
  <c r="AA233" i="7"/>
  <c r="W233" i="7"/>
  <c r="X233" i="7" s="1"/>
  <c r="U233" i="7"/>
  <c r="R233" i="7"/>
  <c r="O233" i="7"/>
  <c r="N233" i="7"/>
  <c r="L233" i="7"/>
  <c r="I233" i="7"/>
  <c r="H233" i="7"/>
  <c r="F233" i="7"/>
  <c r="C233" i="7"/>
  <c r="AC232" i="7"/>
  <c r="AD232" i="7" s="1"/>
  <c r="AA232" i="7"/>
  <c r="W232" i="7"/>
  <c r="X232" i="7" s="1"/>
  <c r="U232" i="7"/>
  <c r="R232" i="7"/>
  <c r="N232" i="7"/>
  <c r="O232" i="7" s="1"/>
  <c r="L232" i="7"/>
  <c r="I232" i="7"/>
  <c r="H232" i="7"/>
  <c r="F232" i="7"/>
  <c r="C232" i="7"/>
  <c r="AD231" i="7"/>
  <c r="AC231" i="7"/>
  <c r="AA231" i="7"/>
  <c r="W231" i="7"/>
  <c r="X231" i="7" s="1"/>
  <c r="U231" i="7"/>
  <c r="R231" i="7"/>
  <c r="N231" i="7"/>
  <c r="O231" i="7" s="1"/>
  <c r="L231" i="7"/>
  <c r="I231" i="7"/>
  <c r="H231" i="7"/>
  <c r="F231" i="7"/>
  <c r="C231" i="7"/>
  <c r="AD230" i="7"/>
  <c r="AC230" i="7"/>
  <c r="AA230" i="7"/>
  <c r="W230" i="7"/>
  <c r="X230" i="7" s="1"/>
  <c r="U230" i="7"/>
  <c r="R230" i="7"/>
  <c r="N230" i="7"/>
  <c r="O230" i="7" s="1"/>
  <c r="L230" i="7"/>
  <c r="I230" i="7"/>
  <c r="H230" i="7"/>
  <c r="F230" i="7"/>
  <c r="C230" i="7"/>
  <c r="AD229" i="7"/>
  <c r="AC229" i="7"/>
  <c r="AA229" i="7"/>
  <c r="W229" i="7"/>
  <c r="X229" i="7" s="1"/>
  <c r="U229" i="7"/>
  <c r="R229" i="7"/>
  <c r="O229" i="7"/>
  <c r="N229" i="7"/>
  <c r="L229" i="7"/>
  <c r="I229" i="7"/>
  <c r="H229" i="7"/>
  <c r="F229" i="7"/>
  <c r="C229" i="7"/>
  <c r="AC227" i="7"/>
  <c r="AD227" i="7" s="1"/>
  <c r="Z227" i="7"/>
  <c r="AA227" i="7" s="1"/>
  <c r="X227" i="7"/>
  <c r="U227" i="7"/>
  <c r="T227" i="7"/>
  <c r="R227" i="7"/>
  <c r="Q227" i="7"/>
  <c r="W227" i="7" s="1"/>
  <c r="L227" i="7"/>
  <c r="K227" i="7"/>
  <c r="E227" i="7"/>
  <c r="F227" i="7" s="1"/>
  <c r="B227" i="7"/>
  <c r="AC226" i="7"/>
  <c r="AD226" i="7" s="1"/>
  <c r="AA226" i="7"/>
  <c r="W226" i="7"/>
  <c r="X226" i="7" s="1"/>
  <c r="U226" i="7"/>
  <c r="R226" i="7"/>
  <c r="N226" i="7"/>
  <c r="O226" i="7" s="1"/>
  <c r="L226" i="7"/>
  <c r="I226" i="7"/>
  <c r="H226" i="7"/>
  <c r="F226" i="7"/>
  <c r="C226" i="7"/>
  <c r="AD225" i="7"/>
  <c r="AC225" i="7"/>
  <c r="AA225" i="7"/>
  <c r="W225" i="7"/>
  <c r="X225" i="7" s="1"/>
  <c r="U225" i="7"/>
  <c r="R225" i="7"/>
  <c r="N225" i="7"/>
  <c r="O225" i="7" s="1"/>
  <c r="L225" i="7"/>
  <c r="I225" i="7"/>
  <c r="H225" i="7"/>
  <c r="F225" i="7"/>
  <c r="C225" i="7"/>
  <c r="AC224" i="7"/>
  <c r="AD224" i="7" s="1"/>
  <c r="AA224" i="7"/>
  <c r="W224" i="7"/>
  <c r="X224" i="7" s="1"/>
  <c r="U224" i="7"/>
  <c r="R224" i="7"/>
  <c r="N224" i="7"/>
  <c r="O224" i="7" s="1"/>
  <c r="L224" i="7"/>
  <c r="H224" i="7"/>
  <c r="I224" i="7" s="1"/>
  <c r="F224" i="7"/>
  <c r="C224" i="7"/>
  <c r="AD223" i="7"/>
  <c r="AC223" i="7"/>
  <c r="AA223" i="7"/>
  <c r="W223" i="7"/>
  <c r="X223" i="7" s="1"/>
  <c r="U223" i="7"/>
  <c r="R223" i="7"/>
  <c r="O223" i="7"/>
  <c r="N223" i="7"/>
  <c r="L223" i="7"/>
  <c r="H223" i="7"/>
  <c r="I223" i="7" s="1"/>
  <c r="F223" i="7"/>
  <c r="C223" i="7"/>
  <c r="AC222" i="7"/>
  <c r="AD222" i="7" s="1"/>
  <c r="AA222" i="7"/>
  <c r="W222" i="7"/>
  <c r="X222" i="7" s="1"/>
  <c r="U222" i="7"/>
  <c r="R222" i="7"/>
  <c r="O222" i="7"/>
  <c r="N222" i="7"/>
  <c r="L222" i="7"/>
  <c r="I222" i="7"/>
  <c r="H222" i="7"/>
  <c r="F222" i="7"/>
  <c r="C222" i="7"/>
  <c r="AC221" i="7"/>
  <c r="AD221" i="7" s="1"/>
  <c r="AA221" i="7"/>
  <c r="W221" i="7"/>
  <c r="X221" i="7" s="1"/>
  <c r="U221" i="7"/>
  <c r="R221" i="7"/>
  <c r="N221" i="7"/>
  <c r="O221" i="7" s="1"/>
  <c r="L221" i="7"/>
  <c r="I221" i="7"/>
  <c r="H221" i="7"/>
  <c r="F221" i="7"/>
  <c r="C221" i="7"/>
  <c r="AD220" i="7"/>
  <c r="AC220" i="7"/>
  <c r="AA220" i="7"/>
  <c r="X220" i="7"/>
  <c r="W220" i="7"/>
  <c r="U220" i="7"/>
  <c r="R220" i="7"/>
  <c r="N220" i="7"/>
  <c r="O220" i="7" s="1"/>
  <c r="L220" i="7"/>
  <c r="H220" i="7"/>
  <c r="I220" i="7" s="1"/>
  <c r="F220" i="7"/>
  <c r="C220" i="7"/>
  <c r="AD219" i="7"/>
  <c r="AC219" i="7"/>
  <c r="AA219" i="7"/>
  <c r="X219" i="7"/>
  <c r="W219" i="7"/>
  <c r="U219" i="7"/>
  <c r="R219" i="7"/>
  <c r="O219" i="7"/>
  <c r="N219" i="7"/>
  <c r="L219" i="7"/>
  <c r="H219" i="7"/>
  <c r="I219" i="7" s="1"/>
  <c r="F219" i="7"/>
  <c r="C219" i="7"/>
  <c r="AA218" i="7"/>
  <c r="Z218" i="7"/>
  <c r="T218" i="7"/>
  <c r="U218" i="7" s="1"/>
  <c r="Q218" i="7"/>
  <c r="W218" i="7" s="1"/>
  <c r="X218" i="7" s="1"/>
  <c r="L218" i="7"/>
  <c r="K218" i="7"/>
  <c r="I218" i="7"/>
  <c r="E218" i="7"/>
  <c r="H218" i="7" s="1"/>
  <c r="C218" i="7"/>
  <c r="B218" i="7"/>
  <c r="N218" i="7" s="1"/>
  <c r="O218" i="7" s="1"/>
  <c r="AD217" i="7"/>
  <c r="AC217" i="7"/>
  <c r="AA217" i="7"/>
  <c r="W217" i="7"/>
  <c r="X217" i="7" s="1"/>
  <c r="U217" i="7"/>
  <c r="R217" i="7"/>
  <c r="N217" i="7"/>
  <c r="O217" i="7" s="1"/>
  <c r="L217" i="7"/>
  <c r="H217" i="7"/>
  <c r="I217" i="7" s="1"/>
  <c r="F217" i="7"/>
  <c r="C217" i="7"/>
  <c r="AD216" i="7"/>
  <c r="AC216" i="7"/>
  <c r="AA216" i="7"/>
  <c r="X216" i="7"/>
  <c r="W216" i="7"/>
  <c r="U216" i="7"/>
  <c r="R216" i="7"/>
  <c r="N216" i="7"/>
  <c r="O216" i="7" s="1"/>
  <c r="L216" i="7"/>
  <c r="H216" i="7"/>
  <c r="I216" i="7" s="1"/>
  <c r="F216" i="7"/>
  <c r="C216" i="7"/>
  <c r="AC215" i="7"/>
  <c r="AD215" i="7" s="1"/>
  <c r="AA215" i="7"/>
  <c r="X215" i="7"/>
  <c r="W215" i="7"/>
  <c r="U215" i="7"/>
  <c r="R215" i="7"/>
  <c r="O215" i="7"/>
  <c r="N215" i="7"/>
  <c r="L215" i="7"/>
  <c r="I215" i="7"/>
  <c r="H215" i="7"/>
  <c r="F215" i="7"/>
  <c r="C215" i="7"/>
  <c r="AC214" i="7"/>
  <c r="AD214" i="7" s="1"/>
  <c r="AA214" i="7"/>
  <c r="W214" i="7"/>
  <c r="X214" i="7" s="1"/>
  <c r="U214" i="7"/>
  <c r="R214" i="7"/>
  <c r="O214" i="7"/>
  <c r="N214" i="7"/>
  <c r="L214" i="7"/>
  <c r="H214" i="7"/>
  <c r="I214" i="7" s="1"/>
  <c r="F214" i="7"/>
  <c r="C214" i="7"/>
  <c r="AC213" i="7"/>
  <c r="AD213" i="7" s="1"/>
  <c r="AA213" i="7"/>
  <c r="X213" i="7"/>
  <c r="W213" i="7"/>
  <c r="U213" i="7"/>
  <c r="R213" i="7"/>
  <c r="O213" i="7"/>
  <c r="N213" i="7"/>
  <c r="L213" i="7"/>
  <c r="H213" i="7"/>
  <c r="I213" i="7" s="1"/>
  <c r="F213" i="7"/>
  <c r="C213" i="7"/>
  <c r="AD211" i="7"/>
  <c r="AC211" i="7"/>
  <c r="AA211" i="7"/>
  <c r="X211" i="7"/>
  <c r="W211" i="7"/>
  <c r="U211" i="7"/>
  <c r="R211" i="7"/>
  <c r="N211" i="7"/>
  <c r="O211" i="7" s="1"/>
  <c r="L211" i="7"/>
  <c r="H211" i="7"/>
  <c r="I211" i="7" s="1"/>
  <c r="F211" i="7"/>
  <c r="C211" i="7"/>
  <c r="AA209" i="7"/>
  <c r="Z209" i="7"/>
  <c r="T209" i="7"/>
  <c r="U209" i="7" s="1"/>
  <c r="Q209" i="7"/>
  <c r="R209" i="7" s="1"/>
  <c r="N209" i="7"/>
  <c r="O209" i="7" s="1"/>
  <c r="K209" i="7"/>
  <c r="L209" i="7" s="1"/>
  <c r="H209" i="7"/>
  <c r="I209" i="7" s="1"/>
  <c r="E209" i="7"/>
  <c r="F209" i="7" s="1"/>
  <c r="C209" i="7"/>
  <c r="B209" i="7"/>
  <c r="AC208" i="7"/>
  <c r="AD208" i="7" s="1"/>
  <c r="AA208" i="7"/>
  <c r="X208" i="7"/>
  <c r="W208" i="7"/>
  <c r="U208" i="7"/>
  <c r="R208" i="7"/>
  <c r="O208" i="7"/>
  <c r="N208" i="7"/>
  <c r="L208" i="7"/>
  <c r="H208" i="7"/>
  <c r="I208" i="7" s="1"/>
  <c r="F208" i="7"/>
  <c r="C208" i="7"/>
  <c r="AD207" i="7"/>
  <c r="AC207" i="7"/>
  <c r="AA207" i="7"/>
  <c r="X207" i="7"/>
  <c r="W207" i="7"/>
  <c r="U207" i="7"/>
  <c r="R207" i="7"/>
  <c r="N207" i="7"/>
  <c r="O207" i="7" s="1"/>
  <c r="L207" i="7"/>
  <c r="H207" i="7"/>
  <c r="I207" i="7" s="1"/>
  <c r="F207" i="7"/>
  <c r="C207" i="7"/>
  <c r="AC206" i="7"/>
  <c r="AD206" i="7" s="1"/>
  <c r="AA206" i="7"/>
  <c r="X206" i="7"/>
  <c r="W206" i="7"/>
  <c r="U206" i="7"/>
  <c r="R206" i="7"/>
  <c r="O206" i="7"/>
  <c r="N206" i="7"/>
  <c r="L206" i="7"/>
  <c r="I206" i="7"/>
  <c r="H206" i="7"/>
  <c r="F206" i="7"/>
  <c r="C206" i="7"/>
  <c r="AC205" i="7"/>
  <c r="AD205" i="7" s="1"/>
  <c r="AA205" i="7"/>
  <c r="W205" i="7"/>
  <c r="X205" i="7" s="1"/>
  <c r="U205" i="7"/>
  <c r="R205" i="7"/>
  <c r="O205" i="7"/>
  <c r="N205" i="7"/>
  <c r="L205" i="7"/>
  <c r="H205" i="7"/>
  <c r="I205" i="7" s="1"/>
  <c r="F205" i="7"/>
  <c r="C205" i="7"/>
  <c r="AC204" i="7"/>
  <c r="AD204" i="7" s="1"/>
  <c r="AA204" i="7"/>
  <c r="X204" i="7"/>
  <c r="W204" i="7"/>
  <c r="U204" i="7"/>
  <c r="R204" i="7"/>
  <c r="O204" i="7"/>
  <c r="N204" i="7"/>
  <c r="L204" i="7"/>
  <c r="H204" i="7"/>
  <c r="I204" i="7" s="1"/>
  <c r="F204" i="7"/>
  <c r="C204" i="7"/>
  <c r="AD203" i="7"/>
  <c r="AC203" i="7"/>
  <c r="AA203" i="7"/>
  <c r="X203" i="7"/>
  <c r="W203" i="7"/>
  <c r="U203" i="7"/>
  <c r="R203" i="7"/>
  <c r="N203" i="7"/>
  <c r="O203" i="7" s="1"/>
  <c r="L203" i="7"/>
  <c r="H203" i="7"/>
  <c r="I203" i="7" s="1"/>
  <c r="F203" i="7"/>
  <c r="C203" i="7"/>
  <c r="AC202" i="7"/>
  <c r="AD202" i="7" s="1"/>
  <c r="AA202" i="7"/>
  <c r="X202" i="7"/>
  <c r="W202" i="7"/>
  <c r="U202" i="7"/>
  <c r="R202" i="7"/>
  <c r="O202" i="7"/>
  <c r="N202" i="7"/>
  <c r="L202" i="7"/>
  <c r="I202" i="7"/>
  <c r="H202" i="7"/>
  <c r="F202" i="7"/>
  <c r="C202" i="7"/>
  <c r="AC201" i="7"/>
  <c r="AD201" i="7" s="1"/>
  <c r="AA201" i="7"/>
  <c r="X201" i="7"/>
  <c r="W201" i="7"/>
  <c r="U201" i="7"/>
  <c r="R201" i="7"/>
  <c r="O201" i="7"/>
  <c r="N201" i="7"/>
  <c r="L201" i="7"/>
  <c r="H201" i="7"/>
  <c r="I201" i="7" s="1"/>
  <c r="F201" i="7"/>
  <c r="C201" i="7"/>
  <c r="AA197" i="7"/>
  <c r="Z197" i="7"/>
  <c r="AC197" i="7" s="1"/>
  <c r="AD197" i="7" s="1"/>
  <c r="T197" i="7"/>
  <c r="Q197" i="7"/>
  <c r="R197" i="7" s="1"/>
  <c r="K197" i="7"/>
  <c r="L197" i="7" s="1"/>
  <c r="E197" i="7"/>
  <c r="F197" i="7" s="1"/>
  <c r="B197" i="7"/>
  <c r="Z196" i="7"/>
  <c r="AA196" i="7" s="1"/>
  <c r="T196" i="7"/>
  <c r="U196" i="7" s="1"/>
  <c r="Q196" i="7"/>
  <c r="R196" i="7" s="1"/>
  <c r="K196" i="7"/>
  <c r="L196" i="7" s="1"/>
  <c r="E196" i="7"/>
  <c r="F196" i="7" s="1"/>
  <c r="B196" i="7"/>
  <c r="C196" i="7" s="1"/>
  <c r="AC195" i="7"/>
  <c r="AD195" i="7" s="1"/>
  <c r="AA195" i="7"/>
  <c r="X195" i="7"/>
  <c r="W195" i="7"/>
  <c r="U195" i="7"/>
  <c r="R195" i="7"/>
  <c r="O195" i="7"/>
  <c r="N195" i="7"/>
  <c r="L195" i="7"/>
  <c r="I195" i="7"/>
  <c r="H195" i="7"/>
  <c r="F195" i="7"/>
  <c r="C195" i="7"/>
  <c r="AC194" i="7"/>
  <c r="AD194" i="7" s="1"/>
  <c r="AA194" i="7"/>
  <c r="W194" i="7"/>
  <c r="X194" i="7" s="1"/>
  <c r="U194" i="7"/>
  <c r="R194" i="7"/>
  <c r="O194" i="7"/>
  <c r="N194" i="7"/>
  <c r="L194" i="7"/>
  <c r="H194" i="7"/>
  <c r="I194" i="7" s="1"/>
  <c r="F194" i="7"/>
  <c r="C194" i="7"/>
  <c r="AC193" i="7"/>
  <c r="AD193" i="7" s="1"/>
  <c r="Z193" i="7"/>
  <c r="AA193" i="7" s="1"/>
  <c r="W193" i="7"/>
  <c r="X193" i="7" s="1"/>
  <c r="T193" i="7"/>
  <c r="U193" i="7" s="1"/>
  <c r="Q193" i="7"/>
  <c r="R193" i="7" s="1"/>
  <c r="K193" i="7"/>
  <c r="L193" i="7" s="1"/>
  <c r="E193" i="7"/>
  <c r="B193" i="7"/>
  <c r="C193" i="7" s="1"/>
  <c r="AC192" i="7"/>
  <c r="AD192" i="7" s="1"/>
  <c r="AA192" i="7"/>
  <c r="X192" i="7"/>
  <c r="W192" i="7"/>
  <c r="U192" i="7"/>
  <c r="R192" i="7"/>
  <c r="O192" i="7"/>
  <c r="N192" i="7"/>
  <c r="L192" i="7"/>
  <c r="H192" i="7"/>
  <c r="I192" i="7" s="1"/>
  <c r="F192" i="7"/>
  <c r="C192" i="7"/>
  <c r="AC191" i="7"/>
  <c r="AD191" i="7" s="1"/>
  <c r="AA191" i="7"/>
  <c r="W191" i="7"/>
  <c r="X191" i="7" s="1"/>
  <c r="U191" i="7"/>
  <c r="R191" i="7"/>
  <c r="O191" i="7"/>
  <c r="N191" i="7"/>
  <c r="L191" i="7"/>
  <c r="H191" i="7"/>
  <c r="I191" i="7" s="1"/>
  <c r="F191" i="7"/>
  <c r="C191" i="7"/>
  <c r="AC190" i="7"/>
  <c r="AD190" i="7" s="1"/>
  <c r="AA190" i="7"/>
  <c r="X190" i="7"/>
  <c r="W190" i="7"/>
  <c r="U190" i="7"/>
  <c r="R190" i="7"/>
  <c r="O190" i="7"/>
  <c r="N190" i="7"/>
  <c r="L190" i="7"/>
  <c r="H190" i="7"/>
  <c r="I190" i="7" s="1"/>
  <c r="F190" i="7"/>
  <c r="C190" i="7"/>
  <c r="AC189" i="7"/>
  <c r="AD189" i="7" s="1"/>
  <c r="AA189" i="7"/>
  <c r="X189" i="7"/>
  <c r="W189" i="7"/>
  <c r="U189" i="7"/>
  <c r="R189" i="7"/>
  <c r="O189" i="7"/>
  <c r="N189" i="7"/>
  <c r="L189" i="7"/>
  <c r="H189" i="7"/>
  <c r="I189" i="7" s="1"/>
  <c r="F189" i="7"/>
  <c r="C189" i="7"/>
  <c r="AC188" i="7"/>
  <c r="AD188" i="7" s="1"/>
  <c r="AA188" i="7"/>
  <c r="X188" i="7"/>
  <c r="W188" i="7"/>
  <c r="U188" i="7"/>
  <c r="R188" i="7"/>
  <c r="O188" i="7"/>
  <c r="N188" i="7"/>
  <c r="L188" i="7"/>
  <c r="H188" i="7"/>
  <c r="I188" i="7" s="1"/>
  <c r="F188" i="7"/>
  <c r="C188" i="7"/>
  <c r="AC187" i="7"/>
  <c r="AD187" i="7" s="1"/>
  <c r="AA187" i="7"/>
  <c r="W187" i="7"/>
  <c r="X187" i="7" s="1"/>
  <c r="U187" i="7"/>
  <c r="R187" i="7"/>
  <c r="O187" i="7"/>
  <c r="N187" i="7"/>
  <c r="L187" i="7"/>
  <c r="H187" i="7"/>
  <c r="I187" i="7" s="1"/>
  <c r="F187" i="7"/>
  <c r="C187" i="7"/>
  <c r="AC186" i="7"/>
  <c r="AD186" i="7" s="1"/>
  <c r="AA186" i="7"/>
  <c r="X186" i="7"/>
  <c r="W186" i="7"/>
  <c r="U186" i="7"/>
  <c r="R186" i="7"/>
  <c r="O186" i="7"/>
  <c r="N186" i="7"/>
  <c r="L186" i="7"/>
  <c r="H186" i="7"/>
  <c r="I186" i="7" s="1"/>
  <c r="F186" i="7"/>
  <c r="C186" i="7"/>
  <c r="AC184" i="7"/>
  <c r="AD184" i="7" s="1"/>
  <c r="AA184" i="7"/>
  <c r="X184" i="7"/>
  <c r="W184" i="7"/>
  <c r="U184" i="7"/>
  <c r="R184" i="7"/>
  <c r="O184" i="7"/>
  <c r="N184" i="7"/>
  <c r="L184" i="7"/>
  <c r="H184" i="7"/>
  <c r="I184" i="7" s="1"/>
  <c r="F184" i="7"/>
  <c r="C184" i="7"/>
  <c r="AC183" i="7"/>
  <c r="AD183" i="7" s="1"/>
  <c r="AA183" i="7"/>
  <c r="X183" i="7"/>
  <c r="W183" i="7"/>
  <c r="U183" i="7"/>
  <c r="R183" i="7"/>
  <c r="O183" i="7"/>
  <c r="N183" i="7"/>
  <c r="L183" i="7"/>
  <c r="H183" i="7"/>
  <c r="I183" i="7" s="1"/>
  <c r="F183" i="7"/>
  <c r="C183" i="7"/>
  <c r="Z182" i="7"/>
  <c r="AA182" i="7" s="1"/>
  <c r="T182" i="7"/>
  <c r="U182" i="7" s="1"/>
  <c r="Q182" i="7"/>
  <c r="L182" i="7"/>
  <c r="K182" i="7"/>
  <c r="E182" i="7"/>
  <c r="F182" i="7" s="1"/>
  <c r="B182" i="7"/>
  <c r="C182" i="7" s="1"/>
  <c r="AC181" i="7"/>
  <c r="AD181" i="7" s="1"/>
  <c r="AA181" i="7"/>
  <c r="X181" i="7"/>
  <c r="W181" i="7"/>
  <c r="U181" i="7"/>
  <c r="R181" i="7"/>
  <c r="O181" i="7"/>
  <c r="N181" i="7"/>
  <c r="L181" i="7"/>
  <c r="H181" i="7"/>
  <c r="I181" i="7" s="1"/>
  <c r="F181" i="7"/>
  <c r="C181" i="7"/>
  <c r="AC180" i="7"/>
  <c r="AD180" i="7" s="1"/>
  <c r="AA180" i="7"/>
  <c r="X180" i="7"/>
  <c r="W180" i="7"/>
  <c r="U180" i="7"/>
  <c r="R180" i="7"/>
  <c r="O180" i="7"/>
  <c r="N180" i="7"/>
  <c r="L180" i="7"/>
  <c r="H180" i="7"/>
  <c r="I180" i="7" s="1"/>
  <c r="F180" i="7"/>
  <c r="C180" i="7"/>
  <c r="AC179" i="7"/>
  <c r="AD179" i="7" s="1"/>
  <c r="AA179" i="7"/>
  <c r="W179" i="7"/>
  <c r="X179" i="7" s="1"/>
  <c r="U179" i="7"/>
  <c r="R179" i="7"/>
  <c r="O179" i="7"/>
  <c r="N179" i="7"/>
  <c r="L179" i="7"/>
  <c r="H179" i="7"/>
  <c r="I179" i="7" s="1"/>
  <c r="F179" i="7"/>
  <c r="C179" i="7"/>
  <c r="AC178" i="7"/>
  <c r="AD178" i="7" s="1"/>
  <c r="AA178" i="7"/>
  <c r="X178" i="7"/>
  <c r="W178" i="7"/>
  <c r="U178" i="7"/>
  <c r="R178" i="7"/>
  <c r="O178" i="7"/>
  <c r="N178" i="7"/>
  <c r="L178" i="7"/>
  <c r="H178" i="7"/>
  <c r="I178" i="7" s="1"/>
  <c r="F178" i="7"/>
  <c r="C178" i="7"/>
  <c r="AC177" i="7"/>
  <c r="AD177" i="7" s="1"/>
  <c r="AA177" i="7"/>
  <c r="X177" i="7"/>
  <c r="W177" i="7"/>
  <c r="U177" i="7"/>
  <c r="R177" i="7"/>
  <c r="O177" i="7"/>
  <c r="N177" i="7"/>
  <c r="L177" i="7"/>
  <c r="H177" i="7"/>
  <c r="I177" i="7" s="1"/>
  <c r="F177" i="7"/>
  <c r="C177" i="7"/>
  <c r="AC175" i="7"/>
  <c r="AD175" i="7" s="1"/>
  <c r="AA175" i="7"/>
  <c r="X175" i="7"/>
  <c r="W175" i="7"/>
  <c r="U175" i="7"/>
  <c r="R175" i="7"/>
  <c r="O175" i="7"/>
  <c r="N175" i="7"/>
  <c r="L175" i="7"/>
  <c r="H175" i="7"/>
  <c r="I175" i="7" s="1"/>
  <c r="F175" i="7"/>
  <c r="C175" i="7"/>
  <c r="Q172" i="7"/>
  <c r="B172" i="7"/>
  <c r="C172" i="7" s="1"/>
  <c r="AC171" i="7"/>
  <c r="AD171" i="7" s="1"/>
  <c r="Z171" i="7"/>
  <c r="AA171" i="7" s="1"/>
  <c r="T171" i="7"/>
  <c r="U171" i="7" s="1"/>
  <c r="Q171" i="7"/>
  <c r="W171" i="7" s="1"/>
  <c r="X171" i="7" s="1"/>
  <c r="N171" i="7"/>
  <c r="O171" i="7" s="1"/>
  <c r="K171" i="7"/>
  <c r="L171" i="7" s="1"/>
  <c r="H171" i="7"/>
  <c r="I171" i="7" s="1"/>
  <c r="E171" i="7"/>
  <c r="F171" i="7" s="1"/>
  <c r="B171" i="7"/>
  <c r="C171" i="7" s="1"/>
  <c r="Z170" i="7"/>
  <c r="AA170" i="7" s="1"/>
  <c r="T170" i="7"/>
  <c r="Q170" i="7"/>
  <c r="R170" i="7" s="1"/>
  <c r="N170" i="7"/>
  <c r="O170" i="7" s="1"/>
  <c r="K170" i="7"/>
  <c r="L170" i="7" s="1"/>
  <c r="E170" i="7"/>
  <c r="F170" i="7" s="1"/>
  <c r="B170" i="7"/>
  <c r="C170" i="7" s="1"/>
  <c r="AD169" i="7"/>
  <c r="AC169" i="7"/>
  <c r="AA169" i="7"/>
  <c r="X169" i="7"/>
  <c r="W169" i="7"/>
  <c r="U169" i="7"/>
  <c r="R169" i="7"/>
  <c r="N169" i="7"/>
  <c r="O169" i="7" s="1"/>
  <c r="L169" i="7"/>
  <c r="H169" i="7"/>
  <c r="I169" i="7" s="1"/>
  <c r="F169" i="7"/>
  <c r="C169" i="7"/>
  <c r="AC168" i="7"/>
  <c r="AD168" i="7" s="1"/>
  <c r="AA168" i="7"/>
  <c r="X168" i="7"/>
  <c r="W168" i="7"/>
  <c r="U168" i="7"/>
  <c r="R168" i="7"/>
  <c r="O168" i="7"/>
  <c r="N168" i="7"/>
  <c r="L168" i="7"/>
  <c r="I168" i="7"/>
  <c r="H168" i="7"/>
  <c r="F168" i="7"/>
  <c r="C168" i="7"/>
  <c r="AC167" i="7"/>
  <c r="AD167" i="7" s="1"/>
  <c r="AA167" i="7"/>
  <c r="W167" i="7"/>
  <c r="X167" i="7" s="1"/>
  <c r="U167" i="7"/>
  <c r="R167" i="7"/>
  <c r="O167" i="7"/>
  <c r="N167" i="7"/>
  <c r="L167" i="7"/>
  <c r="H167" i="7"/>
  <c r="I167" i="7" s="1"/>
  <c r="F167" i="7"/>
  <c r="C167" i="7"/>
  <c r="AC166" i="7"/>
  <c r="AD166" i="7" s="1"/>
  <c r="Z166" i="7"/>
  <c r="AA166" i="7" s="1"/>
  <c r="W166" i="7"/>
  <c r="X166" i="7" s="1"/>
  <c r="T166" i="7"/>
  <c r="U166" i="7" s="1"/>
  <c r="Q166" i="7"/>
  <c r="R166" i="7" s="1"/>
  <c r="K166" i="7"/>
  <c r="L166" i="7" s="1"/>
  <c r="E166" i="7"/>
  <c r="B166" i="7"/>
  <c r="C166" i="7" s="1"/>
  <c r="AC165" i="7"/>
  <c r="AD165" i="7" s="1"/>
  <c r="AA165" i="7"/>
  <c r="X165" i="7"/>
  <c r="W165" i="7"/>
  <c r="U165" i="7"/>
  <c r="R165" i="7"/>
  <c r="O165" i="7"/>
  <c r="N165" i="7"/>
  <c r="L165" i="7"/>
  <c r="H165" i="7"/>
  <c r="I165" i="7" s="1"/>
  <c r="F165" i="7"/>
  <c r="C165" i="7"/>
  <c r="AC164" i="7"/>
  <c r="AD164" i="7" s="1"/>
  <c r="AA164" i="7"/>
  <c r="W164" i="7"/>
  <c r="X164" i="7" s="1"/>
  <c r="U164" i="7"/>
  <c r="R164" i="7"/>
  <c r="O164" i="7"/>
  <c r="N164" i="7"/>
  <c r="L164" i="7"/>
  <c r="H164" i="7"/>
  <c r="I164" i="7" s="1"/>
  <c r="F164" i="7"/>
  <c r="C164" i="7"/>
  <c r="AC163" i="7"/>
  <c r="AD163" i="7" s="1"/>
  <c r="AA163" i="7"/>
  <c r="X163" i="7"/>
  <c r="W163" i="7"/>
  <c r="U163" i="7"/>
  <c r="R163" i="7"/>
  <c r="O163" i="7"/>
  <c r="N163" i="7"/>
  <c r="L163" i="7"/>
  <c r="H163" i="7"/>
  <c r="I163" i="7" s="1"/>
  <c r="F163" i="7"/>
  <c r="C163" i="7"/>
  <c r="AC162" i="7"/>
  <c r="AD162" i="7" s="1"/>
  <c r="AA162" i="7"/>
  <c r="X162" i="7"/>
  <c r="W162" i="7"/>
  <c r="U162" i="7"/>
  <c r="R162" i="7"/>
  <c r="O162" i="7"/>
  <c r="N162" i="7"/>
  <c r="L162" i="7"/>
  <c r="H162" i="7"/>
  <c r="I162" i="7" s="1"/>
  <c r="F162" i="7"/>
  <c r="C162" i="7"/>
  <c r="AC161" i="7"/>
  <c r="AD161" i="7" s="1"/>
  <c r="AA161" i="7"/>
  <c r="X161" i="7"/>
  <c r="W161" i="7"/>
  <c r="U161" i="7"/>
  <c r="R161" i="7"/>
  <c r="O161" i="7"/>
  <c r="N161" i="7"/>
  <c r="L161" i="7"/>
  <c r="H161" i="7"/>
  <c r="I161" i="7" s="1"/>
  <c r="F161" i="7"/>
  <c r="C161" i="7"/>
  <c r="AC160" i="7"/>
  <c r="AD160" i="7" s="1"/>
  <c r="AA160" i="7"/>
  <c r="W160" i="7"/>
  <c r="X160" i="7" s="1"/>
  <c r="U160" i="7"/>
  <c r="R160" i="7"/>
  <c r="O160" i="7"/>
  <c r="N160" i="7"/>
  <c r="L160" i="7"/>
  <c r="H160" i="7"/>
  <c r="I160" i="7" s="1"/>
  <c r="F160" i="7"/>
  <c r="C160" i="7"/>
  <c r="Z158" i="7"/>
  <c r="AA158" i="7" s="1"/>
  <c r="U158" i="7"/>
  <c r="T158" i="7"/>
  <c r="Q158" i="7"/>
  <c r="R158" i="7" s="1"/>
  <c r="K158" i="7"/>
  <c r="L158" i="7" s="1"/>
  <c r="E158" i="7"/>
  <c r="F158" i="7" s="1"/>
  <c r="B158" i="7"/>
  <c r="AC157" i="7"/>
  <c r="AD157" i="7" s="1"/>
  <c r="AA157" i="7"/>
  <c r="X157" i="7"/>
  <c r="W157" i="7"/>
  <c r="U157" i="7"/>
  <c r="R157" i="7"/>
  <c r="O157" i="7"/>
  <c r="N157" i="7"/>
  <c r="L157" i="7"/>
  <c r="I157" i="7"/>
  <c r="H157" i="7"/>
  <c r="F157" i="7"/>
  <c r="C157" i="7"/>
  <c r="AC156" i="7"/>
  <c r="AD156" i="7" s="1"/>
  <c r="AA156" i="7"/>
  <c r="X156" i="7"/>
  <c r="W156" i="7"/>
  <c r="U156" i="7"/>
  <c r="R156" i="7"/>
  <c r="O156" i="7"/>
  <c r="N156" i="7"/>
  <c r="L156" i="7"/>
  <c r="H156" i="7"/>
  <c r="I156" i="7" s="1"/>
  <c r="F156" i="7"/>
  <c r="C156" i="7"/>
  <c r="AC155" i="7"/>
  <c r="AD155" i="7" s="1"/>
  <c r="AA155" i="7"/>
  <c r="X155" i="7"/>
  <c r="W155" i="7"/>
  <c r="U155" i="7"/>
  <c r="R155" i="7"/>
  <c r="O155" i="7"/>
  <c r="N155" i="7"/>
  <c r="L155" i="7"/>
  <c r="H155" i="7"/>
  <c r="I155" i="7" s="1"/>
  <c r="F155" i="7"/>
  <c r="C155" i="7"/>
  <c r="AD154" i="7"/>
  <c r="AC154" i="7"/>
  <c r="AA154" i="7"/>
  <c r="X154" i="7"/>
  <c r="W154" i="7"/>
  <c r="U154" i="7"/>
  <c r="R154" i="7"/>
  <c r="N154" i="7"/>
  <c r="O154" i="7" s="1"/>
  <c r="L154" i="7"/>
  <c r="H154" i="7"/>
  <c r="I154" i="7" s="1"/>
  <c r="F154" i="7"/>
  <c r="C154" i="7"/>
  <c r="AC153" i="7"/>
  <c r="AD153" i="7" s="1"/>
  <c r="AA153" i="7"/>
  <c r="X153" i="7"/>
  <c r="W153" i="7"/>
  <c r="U153" i="7"/>
  <c r="R153" i="7"/>
  <c r="O153" i="7"/>
  <c r="N153" i="7"/>
  <c r="L153" i="7"/>
  <c r="I153" i="7"/>
  <c r="H153" i="7"/>
  <c r="F153" i="7"/>
  <c r="C153" i="7"/>
  <c r="AC151" i="7"/>
  <c r="AD151" i="7" s="1"/>
  <c r="AA151" i="7"/>
  <c r="X151" i="7"/>
  <c r="W151" i="7"/>
  <c r="U151" i="7"/>
  <c r="R151" i="7"/>
  <c r="O151" i="7"/>
  <c r="N151" i="7"/>
  <c r="L151" i="7"/>
  <c r="H151" i="7"/>
  <c r="I151" i="7" s="1"/>
  <c r="F151" i="7"/>
  <c r="C151" i="7"/>
  <c r="Z149" i="7"/>
  <c r="AA149" i="7" s="1"/>
  <c r="T149" i="7"/>
  <c r="Q149" i="7"/>
  <c r="R149" i="7" s="1"/>
  <c r="N149" i="7"/>
  <c r="O149" i="7" s="1"/>
  <c r="K149" i="7"/>
  <c r="L149" i="7" s="1"/>
  <c r="H149" i="7"/>
  <c r="I149" i="7" s="1"/>
  <c r="E149" i="7"/>
  <c r="F149" i="7" s="1"/>
  <c r="B149" i="7"/>
  <c r="C149" i="7" s="1"/>
  <c r="AC148" i="7"/>
  <c r="AD148" i="7" s="1"/>
  <c r="Z148" i="7"/>
  <c r="AA148" i="7" s="1"/>
  <c r="T148" i="7"/>
  <c r="U148" i="7" s="1"/>
  <c r="Q148" i="7"/>
  <c r="R148" i="7" s="1"/>
  <c r="K148" i="7"/>
  <c r="L148" i="7" s="1"/>
  <c r="E148" i="7"/>
  <c r="F148" i="7" s="1"/>
  <c r="B148" i="7"/>
  <c r="H148" i="7" s="1"/>
  <c r="I148" i="7" s="1"/>
  <c r="AC147" i="7"/>
  <c r="AD147" i="7" s="1"/>
  <c r="AA147" i="7"/>
  <c r="X147" i="7"/>
  <c r="W147" i="7"/>
  <c r="U147" i="7"/>
  <c r="R147" i="7"/>
  <c r="O147" i="7"/>
  <c r="N147" i="7"/>
  <c r="L147" i="7"/>
  <c r="H147" i="7"/>
  <c r="I147" i="7" s="1"/>
  <c r="F147" i="7"/>
  <c r="C147" i="7"/>
  <c r="AC146" i="7"/>
  <c r="AD146" i="7" s="1"/>
  <c r="AA146" i="7"/>
  <c r="X146" i="7"/>
  <c r="W146" i="7"/>
  <c r="U146" i="7"/>
  <c r="R146" i="7"/>
  <c r="O146" i="7"/>
  <c r="N146" i="7"/>
  <c r="L146" i="7"/>
  <c r="H146" i="7"/>
  <c r="I146" i="7" s="1"/>
  <c r="F146" i="7"/>
  <c r="C146" i="7"/>
  <c r="AC145" i="7"/>
  <c r="AD145" i="7" s="1"/>
  <c r="AA145" i="7"/>
  <c r="X145" i="7"/>
  <c r="W145" i="7"/>
  <c r="U145" i="7"/>
  <c r="R145" i="7"/>
  <c r="O145" i="7"/>
  <c r="N145" i="7"/>
  <c r="L145" i="7"/>
  <c r="H145" i="7"/>
  <c r="I145" i="7" s="1"/>
  <c r="F145" i="7"/>
  <c r="C145" i="7"/>
  <c r="AC144" i="7"/>
  <c r="AD144" i="7" s="1"/>
  <c r="AA144" i="7"/>
  <c r="W144" i="7"/>
  <c r="X144" i="7" s="1"/>
  <c r="U144" i="7"/>
  <c r="R144" i="7"/>
  <c r="O144" i="7"/>
  <c r="N144" i="7"/>
  <c r="L144" i="7"/>
  <c r="H144" i="7"/>
  <c r="I144" i="7" s="1"/>
  <c r="F144" i="7"/>
  <c r="C144" i="7"/>
  <c r="AC143" i="7"/>
  <c r="AD143" i="7" s="1"/>
  <c r="AA143" i="7"/>
  <c r="X143" i="7"/>
  <c r="W143" i="7"/>
  <c r="U143" i="7"/>
  <c r="R143" i="7"/>
  <c r="O143" i="7"/>
  <c r="N143" i="7"/>
  <c r="L143" i="7"/>
  <c r="H143" i="7"/>
  <c r="I143" i="7" s="1"/>
  <c r="F143" i="7"/>
  <c r="C143" i="7"/>
  <c r="Z141" i="7"/>
  <c r="AA141" i="7" s="1"/>
  <c r="W141" i="7"/>
  <c r="X141" i="7" s="1"/>
  <c r="T141" i="7"/>
  <c r="U141" i="7" s="1"/>
  <c r="R141" i="7"/>
  <c r="Q141" i="7"/>
  <c r="N141" i="7"/>
  <c r="O141" i="7" s="1"/>
  <c r="K141" i="7"/>
  <c r="L141" i="7" s="1"/>
  <c r="E141" i="7"/>
  <c r="H141" i="7" s="1"/>
  <c r="I141" i="7" s="1"/>
  <c r="B141" i="7"/>
  <c r="C141" i="7" s="1"/>
  <c r="AC140" i="7"/>
  <c r="AD140" i="7" s="1"/>
  <c r="AA140" i="7"/>
  <c r="X140" i="7"/>
  <c r="W140" i="7"/>
  <c r="U140" i="7"/>
  <c r="R140" i="7"/>
  <c r="O140" i="7"/>
  <c r="N140" i="7"/>
  <c r="L140" i="7"/>
  <c r="H140" i="7"/>
  <c r="I140" i="7" s="1"/>
  <c r="F140" i="7"/>
  <c r="C140" i="7"/>
  <c r="AC139" i="7"/>
  <c r="AD139" i="7" s="1"/>
  <c r="AA139" i="7"/>
  <c r="X139" i="7"/>
  <c r="W139" i="7"/>
  <c r="U139" i="7"/>
  <c r="R139" i="7"/>
  <c r="O139" i="7"/>
  <c r="N139" i="7"/>
  <c r="L139" i="7"/>
  <c r="H139" i="7"/>
  <c r="I139" i="7" s="1"/>
  <c r="F139" i="7"/>
  <c r="C139" i="7"/>
  <c r="AD138" i="7"/>
  <c r="AC138" i="7"/>
  <c r="AA138" i="7"/>
  <c r="X138" i="7"/>
  <c r="W138" i="7"/>
  <c r="U138" i="7"/>
  <c r="R138" i="7"/>
  <c r="N138" i="7"/>
  <c r="O138" i="7" s="1"/>
  <c r="L138" i="7"/>
  <c r="H138" i="7"/>
  <c r="I138" i="7" s="1"/>
  <c r="F138" i="7"/>
  <c r="C138" i="7"/>
  <c r="AC137" i="7"/>
  <c r="AD137" i="7" s="1"/>
  <c r="AA137" i="7"/>
  <c r="X137" i="7"/>
  <c r="W137" i="7"/>
  <c r="U137" i="7"/>
  <c r="R137" i="7"/>
  <c r="O137" i="7"/>
  <c r="N137" i="7"/>
  <c r="L137" i="7"/>
  <c r="I137" i="7"/>
  <c r="H137" i="7"/>
  <c r="F137" i="7"/>
  <c r="C137" i="7"/>
  <c r="AC136" i="7"/>
  <c r="AD136" i="7" s="1"/>
  <c r="AA136" i="7"/>
  <c r="W136" i="7"/>
  <c r="X136" i="7" s="1"/>
  <c r="U136" i="7"/>
  <c r="R136" i="7"/>
  <c r="O136" i="7"/>
  <c r="N136" i="7"/>
  <c r="L136" i="7"/>
  <c r="H136" i="7"/>
  <c r="I136" i="7" s="1"/>
  <c r="F136" i="7"/>
  <c r="C136" i="7"/>
  <c r="AC135" i="7"/>
  <c r="AD135" i="7" s="1"/>
  <c r="AA135" i="7"/>
  <c r="X135" i="7"/>
  <c r="W135" i="7"/>
  <c r="U135" i="7"/>
  <c r="R135" i="7"/>
  <c r="O135" i="7"/>
  <c r="N135" i="7"/>
  <c r="L135" i="7"/>
  <c r="H135" i="7"/>
  <c r="I135" i="7" s="1"/>
  <c r="F135" i="7"/>
  <c r="C135" i="7"/>
  <c r="AD134" i="7"/>
  <c r="AC134" i="7"/>
  <c r="AA134" i="7"/>
  <c r="X134" i="7"/>
  <c r="W134" i="7"/>
  <c r="U134" i="7"/>
  <c r="R134" i="7"/>
  <c r="N134" i="7"/>
  <c r="O134" i="7" s="1"/>
  <c r="L134" i="7"/>
  <c r="H134" i="7"/>
  <c r="I134" i="7" s="1"/>
  <c r="F134" i="7"/>
  <c r="C134" i="7"/>
  <c r="AC133" i="7"/>
  <c r="AD133" i="7" s="1"/>
  <c r="AA133" i="7"/>
  <c r="X133" i="7"/>
  <c r="W133" i="7"/>
  <c r="U133" i="7"/>
  <c r="R133" i="7"/>
  <c r="O133" i="7"/>
  <c r="N133" i="7"/>
  <c r="L133" i="7"/>
  <c r="I133" i="7"/>
  <c r="H133" i="7"/>
  <c r="F133" i="7"/>
  <c r="C133" i="7"/>
  <c r="AC132" i="7"/>
  <c r="AD132" i="7" s="1"/>
  <c r="AA132" i="7"/>
  <c r="X132" i="7"/>
  <c r="W132" i="7"/>
  <c r="U132" i="7"/>
  <c r="R132" i="7"/>
  <c r="O132" i="7"/>
  <c r="N132" i="7"/>
  <c r="L132" i="7"/>
  <c r="H132" i="7"/>
  <c r="I132" i="7" s="1"/>
  <c r="F132" i="7"/>
  <c r="C132" i="7"/>
  <c r="AC131" i="7"/>
  <c r="AD131" i="7" s="1"/>
  <c r="AA131" i="7"/>
  <c r="X131" i="7"/>
  <c r="W131" i="7"/>
  <c r="U131" i="7"/>
  <c r="R131" i="7"/>
  <c r="O131" i="7"/>
  <c r="N131" i="7"/>
  <c r="L131" i="7"/>
  <c r="H131" i="7"/>
  <c r="I131" i="7" s="1"/>
  <c r="F131" i="7"/>
  <c r="C131" i="7"/>
  <c r="AC130" i="7"/>
  <c r="AD130" i="7" s="1"/>
  <c r="AA130" i="7"/>
  <c r="X130" i="7"/>
  <c r="W130" i="7"/>
  <c r="U130" i="7"/>
  <c r="R130" i="7"/>
  <c r="N130" i="7"/>
  <c r="O130" i="7" s="1"/>
  <c r="L130" i="7"/>
  <c r="H130" i="7"/>
  <c r="I130" i="7" s="1"/>
  <c r="F130" i="7"/>
  <c r="C130" i="7"/>
  <c r="AC129" i="7"/>
  <c r="AD129" i="7" s="1"/>
  <c r="AA129" i="7"/>
  <c r="W129" i="7"/>
  <c r="X129" i="7" s="1"/>
  <c r="U129" i="7"/>
  <c r="R129" i="7"/>
  <c r="O129" i="7"/>
  <c r="N129" i="7"/>
  <c r="L129" i="7"/>
  <c r="I129" i="7"/>
  <c r="H129" i="7"/>
  <c r="F129" i="7"/>
  <c r="C129" i="7"/>
  <c r="AC127" i="7"/>
  <c r="AD127" i="7" s="1"/>
  <c r="AA127" i="7"/>
  <c r="X127" i="7"/>
  <c r="W127" i="7"/>
  <c r="U127" i="7"/>
  <c r="R127" i="7"/>
  <c r="O127" i="7"/>
  <c r="N127" i="7"/>
  <c r="L127" i="7"/>
  <c r="H127" i="7"/>
  <c r="I127" i="7" s="1"/>
  <c r="F127" i="7"/>
  <c r="C127" i="7"/>
  <c r="Z124" i="7"/>
  <c r="AA124" i="7" s="1"/>
  <c r="X124" i="7"/>
  <c r="W124" i="7"/>
  <c r="U124" i="7"/>
  <c r="T124" i="7"/>
  <c r="T172" i="7" s="1"/>
  <c r="R124" i="7"/>
  <c r="Q124" i="7"/>
  <c r="L124" i="7"/>
  <c r="K124" i="7"/>
  <c r="K172" i="7" s="1"/>
  <c r="H124" i="7"/>
  <c r="I124" i="7" s="1"/>
  <c r="E124" i="7"/>
  <c r="F124" i="7" s="1"/>
  <c r="B124" i="7"/>
  <c r="C124" i="7" s="1"/>
  <c r="AC123" i="7"/>
  <c r="AD123" i="7" s="1"/>
  <c r="AA123" i="7"/>
  <c r="W123" i="7"/>
  <c r="X123" i="7" s="1"/>
  <c r="U123" i="7"/>
  <c r="R123" i="7"/>
  <c r="N123" i="7"/>
  <c r="O123" i="7" s="1"/>
  <c r="L123" i="7"/>
  <c r="I123" i="7"/>
  <c r="H123" i="7"/>
  <c r="F123" i="7"/>
  <c r="C123" i="7"/>
  <c r="AC122" i="7"/>
  <c r="AD122" i="7" s="1"/>
  <c r="Z122" i="7"/>
  <c r="AA122" i="7" s="1"/>
  <c r="T122" i="7"/>
  <c r="Q122" i="7"/>
  <c r="R122" i="7" s="1"/>
  <c r="K122" i="7"/>
  <c r="L122" i="7" s="1"/>
  <c r="E122" i="7"/>
  <c r="F122" i="7" s="1"/>
  <c r="B122" i="7"/>
  <c r="C122" i="7" s="1"/>
  <c r="AC121" i="7"/>
  <c r="AD121" i="7" s="1"/>
  <c r="AA121" i="7"/>
  <c r="X121" i="7"/>
  <c r="W121" i="7"/>
  <c r="U121" i="7"/>
  <c r="R121" i="7"/>
  <c r="O121" i="7"/>
  <c r="N121" i="7"/>
  <c r="L121" i="7"/>
  <c r="I121" i="7"/>
  <c r="H121" i="7"/>
  <c r="F121" i="7"/>
  <c r="C121" i="7"/>
  <c r="AC120" i="7"/>
  <c r="AD120" i="7" s="1"/>
  <c r="AA120" i="7"/>
  <c r="W120" i="7"/>
  <c r="X120" i="7" s="1"/>
  <c r="U120" i="7"/>
  <c r="R120" i="7"/>
  <c r="O120" i="7"/>
  <c r="N120" i="7"/>
  <c r="L120" i="7"/>
  <c r="H120" i="7"/>
  <c r="I120" i="7" s="1"/>
  <c r="F120" i="7"/>
  <c r="C120" i="7"/>
  <c r="AC119" i="7"/>
  <c r="AD119" i="7" s="1"/>
  <c r="AA119" i="7"/>
  <c r="X119" i="7"/>
  <c r="W119" i="7"/>
  <c r="U119" i="7"/>
  <c r="R119" i="7"/>
  <c r="O119" i="7"/>
  <c r="N119" i="7"/>
  <c r="L119" i="7"/>
  <c r="H119" i="7"/>
  <c r="I119" i="7" s="1"/>
  <c r="F119" i="7"/>
  <c r="C119" i="7"/>
  <c r="Z118" i="7"/>
  <c r="AA118" i="7" s="1"/>
  <c r="W118" i="7"/>
  <c r="X118" i="7" s="1"/>
  <c r="T118" i="7"/>
  <c r="U118" i="7" s="1"/>
  <c r="R118" i="7"/>
  <c r="Q118" i="7"/>
  <c r="AC118" i="7" s="1"/>
  <c r="AD118" i="7" s="1"/>
  <c r="N118" i="7"/>
  <c r="O118" i="7" s="1"/>
  <c r="K118" i="7"/>
  <c r="L118" i="7" s="1"/>
  <c r="F118" i="7"/>
  <c r="E118" i="7"/>
  <c r="B118" i="7"/>
  <c r="AC117" i="7"/>
  <c r="AD117" i="7" s="1"/>
  <c r="AA117" i="7"/>
  <c r="W117" i="7"/>
  <c r="X117" i="7" s="1"/>
  <c r="U117" i="7"/>
  <c r="R117" i="7"/>
  <c r="O117" i="7"/>
  <c r="N117" i="7"/>
  <c r="L117" i="7"/>
  <c r="H117" i="7"/>
  <c r="I117" i="7" s="1"/>
  <c r="F117" i="7"/>
  <c r="C117" i="7"/>
  <c r="AC116" i="7"/>
  <c r="AD116" i="7" s="1"/>
  <c r="AA116" i="7"/>
  <c r="X116" i="7"/>
  <c r="W116" i="7"/>
  <c r="U116" i="7"/>
  <c r="R116" i="7"/>
  <c r="O116" i="7"/>
  <c r="N116" i="7"/>
  <c r="L116" i="7"/>
  <c r="H116" i="7"/>
  <c r="I116" i="7" s="1"/>
  <c r="F116" i="7"/>
  <c r="C116" i="7"/>
  <c r="AD115" i="7"/>
  <c r="AC115" i="7"/>
  <c r="AA115" i="7"/>
  <c r="X115" i="7"/>
  <c r="W115" i="7"/>
  <c r="U115" i="7"/>
  <c r="R115" i="7"/>
  <c r="N115" i="7"/>
  <c r="O115" i="7" s="1"/>
  <c r="L115" i="7"/>
  <c r="H115" i="7"/>
  <c r="I115" i="7" s="1"/>
  <c r="F115" i="7"/>
  <c r="C115" i="7"/>
  <c r="AC114" i="7"/>
  <c r="AD114" i="7" s="1"/>
  <c r="AA114" i="7"/>
  <c r="X114" i="7"/>
  <c r="W114" i="7"/>
  <c r="U114" i="7"/>
  <c r="R114" i="7"/>
  <c r="O114" i="7"/>
  <c r="N114" i="7"/>
  <c r="L114" i="7"/>
  <c r="I114" i="7"/>
  <c r="H114" i="7"/>
  <c r="F114" i="7"/>
  <c r="C114" i="7"/>
  <c r="AC113" i="7"/>
  <c r="AD113" i="7" s="1"/>
  <c r="AA113" i="7"/>
  <c r="W113" i="7"/>
  <c r="X113" i="7" s="1"/>
  <c r="U113" i="7"/>
  <c r="R113" i="7"/>
  <c r="O113" i="7"/>
  <c r="N113" i="7"/>
  <c r="L113" i="7"/>
  <c r="H113" i="7"/>
  <c r="I113" i="7" s="1"/>
  <c r="F113" i="7"/>
  <c r="C113" i="7"/>
  <c r="AC112" i="7"/>
  <c r="AD112" i="7" s="1"/>
  <c r="AA112" i="7"/>
  <c r="X112" i="7"/>
  <c r="W112" i="7"/>
  <c r="U112" i="7"/>
  <c r="R112" i="7"/>
  <c r="O112" i="7"/>
  <c r="N112" i="7"/>
  <c r="L112" i="7"/>
  <c r="H112" i="7"/>
  <c r="I112" i="7" s="1"/>
  <c r="F112" i="7"/>
  <c r="C112" i="7"/>
  <c r="AD111" i="7"/>
  <c r="AC111" i="7"/>
  <c r="AA111" i="7"/>
  <c r="X111" i="7"/>
  <c r="W111" i="7"/>
  <c r="U111" i="7"/>
  <c r="R111" i="7"/>
  <c r="N111" i="7"/>
  <c r="O111" i="7" s="1"/>
  <c r="L111" i="7"/>
  <c r="H111" i="7"/>
  <c r="I111" i="7" s="1"/>
  <c r="F111" i="7"/>
  <c r="C111" i="7"/>
  <c r="AC110" i="7"/>
  <c r="AD110" i="7" s="1"/>
  <c r="AA110" i="7"/>
  <c r="X110" i="7"/>
  <c r="W110" i="7"/>
  <c r="U110" i="7"/>
  <c r="R110" i="7"/>
  <c r="O110" i="7"/>
  <c r="N110" i="7"/>
  <c r="L110" i="7"/>
  <c r="I110" i="7"/>
  <c r="H110" i="7"/>
  <c r="F110" i="7"/>
  <c r="C110" i="7"/>
  <c r="AC109" i="7"/>
  <c r="AD109" i="7" s="1"/>
  <c r="AA109" i="7"/>
  <c r="W109" i="7"/>
  <c r="X109" i="7" s="1"/>
  <c r="U109" i="7"/>
  <c r="R109" i="7"/>
  <c r="O109" i="7"/>
  <c r="N109" i="7"/>
  <c r="L109" i="7"/>
  <c r="H109" i="7"/>
  <c r="I109" i="7" s="1"/>
  <c r="F109" i="7"/>
  <c r="C109" i="7"/>
  <c r="AC108" i="7"/>
  <c r="AD108" i="7" s="1"/>
  <c r="AA108" i="7"/>
  <c r="X108" i="7"/>
  <c r="W108" i="7"/>
  <c r="U108" i="7"/>
  <c r="R108" i="7"/>
  <c r="O108" i="7"/>
  <c r="N108" i="7"/>
  <c r="L108" i="7"/>
  <c r="H108" i="7"/>
  <c r="I108" i="7" s="1"/>
  <c r="F108" i="7"/>
  <c r="C108" i="7"/>
  <c r="AD107" i="7"/>
  <c r="AC107" i="7"/>
  <c r="AA107" i="7"/>
  <c r="X107" i="7"/>
  <c r="W107" i="7"/>
  <c r="U107" i="7"/>
  <c r="R107" i="7"/>
  <c r="N107" i="7"/>
  <c r="O107" i="7" s="1"/>
  <c r="L107" i="7"/>
  <c r="H107" i="7"/>
  <c r="I107" i="7" s="1"/>
  <c r="F107" i="7"/>
  <c r="C107" i="7"/>
  <c r="AC106" i="7"/>
  <c r="AD106" i="7" s="1"/>
  <c r="AA106" i="7"/>
  <c r="X106" i="7"/>
  <c r="W106" i="7"/>
  <c r="U106" i="7"/>
  <c r="R106" i="7"/>
  <c r="O106" i="7"/>
  <c r="N106" i="7"/>
  <c r="L106" i="7"/>
  <c r="I106" i="7"/>
  <c r="H106" i="7"/>
  <c r="F106" i="7"/>
  <c r="C106" i="7"/>
  <c r="AC105" i="7"/>
  <c r="AD105" i="7" s="1"/>
  <c r="AA105" i="7"/>
  <c r="W105" i="7"/>
  <c r="X105" i="7" s="1"/>
  <c r="U105" i="7"/>
  <c r="R105" i="7"/>
  <c r="O105" i="7"/>
  <c r="N105" i="7"/>
  <c r="L105" i="7"/>
  <c r="H105" i="7"/>
  <c r="I105" i="7" s="1"/>
  <c r="F105" i="7"/>
  <c r="C105" i="7"/>
  <c r="AC104" i="7"/>
  <c r="AD104" i="7" s="1"/>
  <c r="AA104" i="7"/>
  <c r="X104" i="7"/>
  <c r="W104" i="7"/>
  <c r="U104" i="7"/>
  <c r="R104" i="7"/>
  <c r="O104" i="7"/>
  <c r="N104" i="7"/>
  <c r="L104" i="7"/>
  <c r="H104" i="7"/>
  <c r="I104" i="7" s="1"/>
  <c r="F104" i="7"/>
  <c r="C104" i="7"/>
  <c r="AC103" i="7"/>
  <c r="AD103" i="7" s="1"/>
  <c r="AA103" i="7"/>
  <c r="X103" i="7"/>
  <c r="W103" i="7"/>
  <c r="U103" i="7"/>
  <c r="R103" i="7"/>
  <c r="N103" i="7"/>
  <c r="O103" i="7" s="1"/>
  <c r="L103" i="7"/>
  <c r="H103" i="7"/>
  <c r="I103" i="7" s="1"/>
  <c r="F103" i="7"/>
  <c r="C103" i="7"/>
  <c r="AC102" i="7"/>
  <c r="AD102" i="7" s="1"/>
  <c r="AA102" i="7"/>
  <c r="X102" i="7"/>
  <c r="W102" i="7"/>
  <c r="U102" i="7"/>
  <c r="R102" i="7"/>
  <c r="O102" i="7"/>
  <c r="N102" i="7"/>
  <c r="L102" i="7"/>
  <c r="I102" i="7"/>
  <c r="H102" i="7"/>
  <c r="F102" i="7"/>
  <c r="C102" i="7"/>
  <c r="AC101" i="7"/>
  <c r="AD101" i="7" s="1"/>
  <c r="AA101" i="7"/>
  <c r="W101" i="7"/>
  <c r="X101" i="7" s="1"/>
  <c r="U101" i="7"/>
  <c r="R101" i="7"/>
  <c r="O101" i="7"/>
  <c r="N101" i="7"/>
  <c r="L101" i="7"/>
  <c r="H101" i="7"/>
  <c r="I101" i="7" s="1"/>
  <c r="F101" i="7"/>
  <c r="C101" i="7"/>
  <c r="AC100" i="7"/>
  <c r="AD100" i="7" s="1"/>
  <c r="AA100" i="7"/>
  <c r="X100" i="7"/>
  <c r="W100" i="7"/>
  <c r="U100" i="7"/>
  <c r="R100" i="7"/>
  <c r="O100" i="7"/>
  <c r="N100" i="7"/>
  <c r="L100" i="7"/>
  <c r="H100" i="7"/>
  <c r="I100" i="7" s="1"/>
  <c r="F100" i="7"/>
  <c r="C100" i="7"/>
  <c r="AD99" i="7"/>
  <c r="AC99" i="7"/>
  <c r="AA99" i="7"/>
  <c r="X99" i="7"/>
  <c r="W99" i="7"/>
  <c r="U99" i="7"/>
  <c r="R99" i="7"/>
  <c r="O99" i="7"/>
  <c r="N99" i="7"/>
  <c r="L99" i="7"/>
  <c r="H99" i="7"/>
  <c r="I99" i="7" s="1"/>
  <c r="F99" i="7"/>
  <c r="C99" i="7"/>
  <c r="AC98" i="7"/>
  <c r="AD98" i="7" s="1"/>
  <c r="AA98" i="7"/>
  <c r="X98" i="7"/>
  <c r="W98" i="7"/>
  <c r="U98" i="7"/>
  <c r="R98" i="7"/>
  <c r="O98" i="7"/>
  <c r="N98" i="7"/>
  <c r="L98" i="7"/>
  <c r="I98" i="7"/>
  <c r="H98" i="7"/>
  <c r="F98" i="7"/>
  <c r="C98" i="7"/>
  <c r="AC97" i="7"/>
  <c r="AD97" i="7" s="1"/>
  <c r="AA97" i="7"/>
  <c r="X97" i="7"/>
  <c r="W97" i="7"/>
  <c r="U97" i="7"/>
  <c r="R97" i="7"/>
  <c r="O97" i="7"/>
  <c r="N97" i="7"/>
  <c r="L97" i="7"/>
  <c r="H97" i="7"/>
  <c r="I97" i="7" s="1"/>
  <c r="F97" i="7"/>
  <c r="C97" i="7"/>
  <c r="AC96" i="7"/>
  <c r="AD96" i="7" s="1"/>
  <c r="AA96" i="7"/>
  <c r="X96" i="7"/>
  <c r="W96" i="7"/>
  <c r="U96" i="7"/>
  <c r="R96" i="7"/>
  <c r="O96" i="7"/>
  <c r="N96" i="7"/>
  <c r="L96" i="7"/>
  <c r="H96" i="7"/>
  <c r="I96" i="7" s="1"/>
  <c r="F96" i="7"/>
  <c r="C96" i="7"/>
  <c r="AC95" i="7"/>
  <c r="AD95" i="7" s="1"/>
  <c r="AA95" i="7"/>
  <c r="X95" i="7"/>
  <c r="W95" i="7"/>
  <c r="U95" i="7"/>
  <c r="R95" i="7"/>
  <c r="O95" i="7"/>
  <c r="N95" i="7"/>
  <c r="L95" i="7"/>
  <c r="H95" i="7"/>
  <c r="I95" i="7" s="1"/>
  <c r="F95" i="7"/>
  <c r="C95" i="7"/>
  <c r="AC94" i="7"/>
  <c r="AD94" i="7" s="1"/>
  <c r="AA94" i="7"/>
  <c r="X94" i="7"/>
  <c r="W94" i="7"/>
  <c r="U94" i="7"/>
  <c r="R94" i="7"/>
  <c r="O94" i="7"/>
  <c r="N94" i="7"/>
  <c r="L94" i="7"/>
  <c r="H94" i="7"/>
  <c r="I94" i="7" s="1"/>
  <c r="F94" i="7"/>
  <c r="C94" i="7"/>
  <c r="AC92" i="7"/>
  <c r="AD92" i="7" s="1"/>
  <c r="AA92" i="7"/>
  <c r="X92" i="7"/>
  <c r="W92" i="7"/>
  <c r="U92" i="7"/>
  <c r="R92" i="7"/>
  <c r="O92" i="7"/>
  <c r="N92" i="7"/>
  <c r="L92" i="7"/>
  <c r="H92" i="7"/>
  <c r="I92" i="7" s="1"/>
  <c r="F92" i="7"/>
  <c r="C92" i="7"/>
  <c r="AC91" i="7"/>
  <c r="AD91" i="7" s="1"/>
  <c r="AA91" i="7"/>
  <c r="X91" i="7"/>
  <c r="W91" i="7"/>
  <c r="U91" i="7"/>
  <c r="R91" i="7"/>
  <c r="O91" i="7"/>
  <c r="N91" i="7"/>
  <c r="L91" i="7"/>
  <c r="H91" i="7"/>
  <c r="I91" i="7" s="1"/>
  <c r="F91" i="7"/>
  <c r="C91" i="7"/>
  <c r="AC90" i="7"/>
  <c r="AD90" i="7" s="1"/>
  <c r="AA90" i="7"/>
  <c r="X90" i="7"/>
  <c r="W90" i="7"/>
  <c r="U90" i="7"/>
  <c r="R90" i="7"/>
  <c r="O90" i="7"/>
  <c r="N90" i="7"/>
  <c r="L90" i="7"/>
  <c r="H90" i="7"/>
  <c r="I90" i="7" s="1"/>
  <c r="F90" i="7"/>
  <c r="C90" i="7"/>
  <c r="AC89" i="7"/>
  <c r="AD89" i="7" s="1"/>
  <c r="AA89" i="7"/>
  <c r="X89" i="7"/>
  <c r="W89" i="7"/>
  <c r="U89" i="7"/>
  <c r="R89" i="7"/>
  <c r="O89" i="7"/>
  <c r="N89" i="7"/>
  <c r="L89" i="7"/>
  <c r="H89" i="7"/>
  <c r="I89" i="7" s="1"/>
  <c r="F89" i="7"/>
  <c r="C89" i="7"/>
  <c r="Z88" i="7"/>
  <c r="AA88" i="7" s="1"/>
  <c r="T88" i="7"/>
  <c r="U88" i="7" s="1"/>
  <c r="Q88" i="7"/>
  <c r="R88" i="7" s="1"/>
  <c r="N88" i="7"/>
  <c r="O88" i="7" s="1"/>
  <c r="L88" i="7"/>
  <c r="K88" i="7"/>
  <c r="E88" i="7"/>
  <c r="B88" i="7"/>
  <c r="C88" i="7" s="1"/>
  <c r="AC87" i="7"/>
  <c r="AD87" i="7" s="1"/>
  <c r="AA87" i="7"/>
  <c r="X87" i="7"/>
  <c r="W87" i="7"/>
  <c r="U87" i="7"/>
  <c r="R87" i="7"/>
  <c r="N87" i="7"/>
  <c r="O87" i="7" s="1"/>
  <c r="L87" i="7"/>
  <c r="H87" i="7"/>
  <c r="I87" i="7" s="1"/>
  <c r="F87" i="7"/>
  <c r="C87" i="7"/>
  <c r="AC86" i="7"/>
  <c r="AD86" i="7" s="1"/>
  <c r="AA86" i="7"/>
  <c r="X86" i="7"/>
  <c r="W86" i="7"/>
  <c r="U86" i="7"/>
  <c r="R86" i="7"/>
  <c r="O86" i="7"/>
  <c r="N86" i="7"/>
  <c r="L86" i="7"/>
  <c r="I86" i="7"/>
  <c r="H86" i="7"/>
  <c r="F86" i="7"/>
  <c r="C86" i="7"/>
  <c r="AC85" i="7"/>
  <c r="AD85" i="7" s="1"/>
  <c r="AA85" i="7"/>
  <c r="W85" i="7"/>
  <c r="X85" i="7" s="1"/>
  <c r="U85" i="7"/>
  <c r="R85" i="7"/>
  <c r="O85" i="7"/>
  <c r="N85" i="7"/>
  <c r="L85" i="7"/>
  <c r="H85" i="7"/>
  <c r="I85" i="7" s="1"/>
  <c r="F85" i="7"/>
  <c r="C85" i="7"/>
  <c r="AC84" i="7"/>
  <c r="AD84" i="7" s="1"/>
  <c r="AA84" i="7"/>
  <c r="X84" i="7"/>
  <c r="W84" i="7"/>
  <c r="U84" i="7"/>
  <c r="R84" i="7"/>
  <c r="O84" i="7"/>
  <c r="N84" i="7"/>
  <c r="L84" i="7"/>
  <c r="H84" i="7"/>
  <c r="I84" i="7" s="1"/>
  <c r="F84" i="7"/>
  <c r="C84" i="7"/>
  <c r="AC83" i="7"/>
  <c r="AD83" i="7" s="1"/>
  <c r="AA83" i="7"/>
  <c r="X83" i="7"/>
  <c r="W83" i="7"/>
  <c r="U83" i="7"/>
  <c r="R83" i="7"/>
  <c r="N83" i="7"/>
  <c r="O83" i="7" s="1"/>
  <c r="L83" i="7"/>
  <c r="H83" i="7"/>
  <c r="I83" i="7" s="1"/>
  <c r="F83" i="7"/>
  <c r="C83" i="7"/>
  <c r="AC82" i="7"/>
  <c r="AD82" i="7" s="1"/>
  <c r="AA82" i="7"/>
  <c r="X82" i="7"/>
  <c r="W82" i="7"/>
  <c r="U82" i="7"/>
  <c r="R82" i="7"/>
  <c r="O82" i="7"/>
  <c r="N82" i="7"/>
  <c r="L82" i="7"/>
  <c r="H82" i="7"/>
  <c r="I82" i="7" s="1"/>
  <c r="F82" i="7"/>
  <c r="C82" i="7"/>
  <c r="AC81" i="7"/>
  <c r="AD81" i="7" s="1"/>
  <c r="AA81" i="7"/>
  <c r="X81" i="7"/>
  <c r="W81" i="7"/>
  <c r="U81" i="7"/>
  <c r="R81" i="7"/>
  <c r="O81" i="7"/>
  <c r="N81" i="7"/>
  <c r="L81" i="7"/>
  <c r="H81" i="7"/>
  <c r="I81" i="7" s="1"/>
  <c r="F81" i="7"/>
  <c r="C81" i="7"/>
  <c r="AC80" i="7"/>
  <c r="AD80" i="7" s="1"/>
  <c r="AA80" i="7"/>
  <c r="X80" i="7"/>
  <c r="W80" i="7"/>
  <c r="U80" i="7"/>
  <c r="R80" i="7"/>
  <c r="O80" i="7"/>
  <c r="N80" i="7"/>
  <c r="L80" i="7"/>
  <c r="H80" i="7"/>
  <c r="I80" i="7" s="1"/>
  <c r="F80" i="7"/>
  <c r="C80" i="7"/>
  <c r="AC79" i="7"/>
  <c r="AD79" i="7" s="1"/>
  <c r="AA79" i="7"/>
  <c r="X79" i="7"/>
  <c r="W79" i="7"/>
  <c r="U79" i="7"/>
  <c r="R79" i="7"/>
  <c r="O79" i="7"/>
  <c r="N79" i="7"/>
  <c r="L79" i="7"/>
  <c r="H79" i="7"/>
  <c r="I79" i="7" s="1"/>
  <c r="F79" i="7"/>
  <c r="C79" i="7"/>
  <c r="AC78" i="7"/>
  <c r="AD78" i="7" s="1"/>
  <c r="AA78" i="7"/>
  <c r="X78" i="7"/>
  <c r="W78" i="7"/>
  <c r="U78" i="7"/>
  <c r="R78" i="7"/>
  <c r="O78" i="7"/>
  <c r="N78" i="7"/>
  <c r="L78" i="7"/>
  <c r="H78" i="7"/>
  <c r="I78" i="7" s="1"/>
  <c r="F78" i="7"/>
  <c r="C78" i="7"/>
  <c r="AC77" i="7"/>
  <c r="AD77" i="7" s="1"/>
  <c r="AA77" i="7"/>
  <c r="W77" i="7"/>
  <c r="X77" i="7" s="1"/>
  <c r="U77" i="7"/>
  <c r="R77" i="7"/>
  <c r="O77" i="7"/>
  <c r="N77" i="7"/>
  <c r="L77" i="7"/>
  <c r="H77" i="7"/>
  <c r="I77" i="7" s="1"/>
  <c r="F77" i="7"/>
  <c r="C77" i="7"/>
  <c r="AC76" i="7"/>
  <c r="AD76" i="7" s="1"/>
  <c r="AA76" i="7"/>
  <c r="X76" i="7"/>
  <c r="W76" i="7"/>
  <c r="U76" i="7"/>
  <c r="R76" i="7"/>
  <c r="O76" i="7"/>
  <c r="N76" i="7"/>
  <c r="L76" i="7"/>
  <c r="H76" i="7"/>
  <c r="I76" i="7" s="1"/>
  <c r="F76" i="7"/>
  <c r="C76" i="7"/>
  <c r="AD75" i="7"/>
  <c r="AC75" i="7"/>
  <c r="AA75" i="7"/>
  <c r="X75" i="7"/>
  <c r="W75" i="7"/>
  <c r="U75" i="7"/>
  <c r="R75" i="7"/>
  <c r="N75" i="7"/>
  <c r="O75" i="7" s="1"/>
  <c r="L75" i="7"/>
  <c r="H75" i="7"/>
  <c r="I75" i="7" s="1"/>
  <c r="F75" i="7"/>
  <c r="C75" i="7"/>
  <c r="Z73" i="7"/>
  <c r="AC73" i="7" s="1"/>
  <c r="AD73" i="7" s="1"/>
  <c r="W73" i="7"/>
  <c r="X73" i="7" s="1"/>
  <c r="T73" i="7"/>
  <c r="U73" i="7" s="1"/>
  <c r="Q73" i="7"/>
  <c r="R73" i="7" s="1"/>
  <c r="K73" i="7"/>
  <c r="L73" i="7" s="1"/>
  <c r="E73" i="7"/>
  <c r="F73" i="7" s="1"/>
  <c r="C73" i="7"/>
  <c r="B73" i="7"/>
  <c r="H73" i="7" s="1"/>
  <c r="I73" i="7" s="1"/>
  <c r="AC72" i="7"/>
  <c r="AD72" i="7" s="1"/>
  <c r="AA72" i="7"/>
  <c r="X72" i="7"/>
  <c r="W72" i="7"/>
  <c r="U72" i="7"/>
  <c r="R72" i="7"/>
  <c r="O72" i="7"/>
  <c r="N72" i="7"/>
  <c r="L72" i="7"/>
  <c r="H72" i="7"/>
  <c r="I72" i="7" s="1"/>
  <c r="F72" i="7"/>
  <c r="C72" i="7"/>
  <c r="AC71" i="7"/>
  <c r="AD71" i="7" s="1"/>
  <c r="AA71" i="7"/>
  <c r="X71" i="7"/>
  <c r="W71" i="7"/>
  <c r="U71" i="7"/>
  <c r="R71" i="7"/>
  <c r="O71" i="7"/>
  <c r="N71" i="7"/>
  <c r="L71" i="7"/>
  <c r="H71" i="7"/>
  <c r="I71" i="7" s="1"/>
  <c r="F71" i="7"/>
  <c r="C71" i="7"/>
  <c r="AC70" i="7"/>
  <c r="AD70" i="7" s="1"/>
  <c r="AA70" i="7"/>
  <c r="X70" i="7"/>
  <c r="W70" i="7"/>
  <c r="U70" i="7"/>
  <c r="R70" i="7"/>
  <c r="O70" i="7"/>
  <c r="N70" i="7"/>
  <c r="L70" i="7"/>
  <c r="H70" i="7"/>
  <c r="I70" i="7" s="1"/>
  <c r="F70" i="7"/>
  <c r="C70" i="7"/>
  <c r="AC69" i="7"/>
  <c r="AD69" i="7" s="1"/>
  <c r="AA69" i="7"/>
  <c r="W69" i="7"/>
  <c r="X69" i="7" s="1"/>
  <c r="U69" i="7"/>
  <c r="R69" i="7"/>
  <c r="O69" i="7"/>
  <c r="N69" i="7"/>
  <c r="L69" i="7"/>
  <c r="H69" i="7"/>
  <c r="I69" i="7" s="1"/>
  <c r="F69" i="7"/>
  <c r="C69" i="7"/>
  <c r="AC68" i="7"/>
  <c r="AD68" i="7" s="1"/>
  <c r="AA68" i="7"/>
  <c r="X68" i="7"/>
  <c r="W68" i="7"/>
  <c r="U68" i="7"/>
  <c r="R68" i="7"/>
  <c r="O68" i="7"/>
  <c r="N68" i="7"/>
  <c r="L68" i="7"/>
  <c r="H68" i="7"/>
  <c r="I68" i="7" s="1"/>
  <c r="F68" i="7"/>
  <c r="C68" i="7"/>
  <c r="AD67" i="7"/>
  <c r="AC67" i="7"/>
  <c r="AA67" i="7"/>
  <c r="X67" i="7"/>
  <c r="W67" i="7"/>
  <c r="U67" i="7"/>
  <c r="R67" i="7"/>
  <c r="N67" i="7"/>
  <c r="O67" i="7" s="1"/>
  <c r="L67" i="7"/>
  <c r="H67" i="7"/>
  <c r="I67" i="7" s="1"/>
  <c r="F67" i="7"/>
  <c r="C67" i="7"/>
  <c r="AC66" i="7"/>
  <c r="AD66" i="7" s="1"/>
  <c r="AA66" i="7"/>
  <c r="X66" i="7"/>
  <c r="W66" i="7"/>
  <c r="U66" i="7"/>
  <c r="R66" i="7"/>
  <c r="O66" i="7"/>
  <c r="N66" i="7"/>
  <c r="L66" i="7"/>
  <c r="H66" i="7"/>
  <c r="I66" i="7" s="1"/>
  <c r="F66" i="7"/>
  <c r="C66" i="7"/>
  <c r="AC65" i="7"/>
  <c r="AD65" i="7" s="1"/>
  <c r="AA65" i="7"/>
  <c r="W65" i="7"/>
  <c r="X65" i="7" s="1"/>
  <c r="U65" i="7"/>
  <c r="R65" i="7"/>
  <c r="O65" i="7"/>
  <c r="N65" i="7"/>
  <c r="L65" i="7"/>
  <c r="H65" i="7"/>
  <c r="I65" i="7" s="1"/>
  <c r="F65" i="7"/>
  <c r="C65" i="7"/>
  <c r="AC64" i="7"/>
  <c r="AD64" i="7" s="1"/>
  <c r="AA64" i="7"/>
  <c r="X64" i="7"/>
  <c r="W64" i="7"/>
  <c r="U64" i="7"/>
  <c r="R64" i="7"/>
  <c r="O64" i="7"/>
  <c r="N64" i="7"/>
  <c r="L64" i="7"/>
  <c r="H64" i="7"/>
  <c r="I64" i="7" s="1"/>
  <c r="F64" i="7"/>
  <c r="C64" i="7"/>
  <c r="Z62" i="7"/>
  <c r="AA62" i="7" s="1"/>
  <c r="T62" i="7"/>
  <c r="U62" i="7" s="1"/>
  <c r="Q62" i="7"/>
  <c r="K62" i="7"/>
  <c r="L62" i="7" s="1"/>
  <c r="E62" i="7"/>
  <c r="H62" i="7" s="1"/>
  <c r="I62" i="7" s="1"/>
  <c r="B62" i="7"/>
  <c r="C62" i="7" s="1"/>
  <c r="Z61" i="7"/>
  <c r="T61" i="7"/>
  <c r="U61" i="7" s="1"/>
  <c r="Q61" i="7"/>
  <c r="R61" i="7" s="1"/>
  <c r="K61" i="7"/>
  <c r="N61" i="7" s="1"/>
  <c r="O61" i="7" s="1"/>
  <c r="H61" i="7"/>
  <c r="I61" i="7" s="1"/>
  <c r="E61" i="7"/>
  <c r="F61" i="7" s="1"/>
  <c r="B61" i="7"/>
  <c r="C61" i="7" s="1"/>
  <c r="AC60" i="7"/>
  <c r="AD60" i="7" s="1"/>
  <c r="AA60" i="7"/>
  <c r="X60" i="7"/>
  <c r="W60" i="7"/>
  <c r="U60" i="7"/>
  <c r="R60" i="7"/>
  <c r="N60" i="7"/>
  <c r="O60" i="7" s="1"/>
  <c r="L60" i="7"/>
  <c r="H60" i="7"/>
  <c r="I60" i="7" s="1"/>
  <c r="F60" i="7"/>
  <c r="C60" i="7"/>
  <c r="AC59" i="7"/>
  <c r="AD59" i="7" s="1"/>
  <c r="AA59" i="7"/>
  <c r="X59" i="7"/>
  <c r="W59" i="7"/>
  <c r="U59" i="7"/>
  <c r="R59" i="7"/>
  <c r="O59" i="7"/>
  <c r="N59" i="7"/>
  <c r="L59" i="7"/>
  <c r="H59" i="7"/>
  <c r="I59" i="7" s="1"/>
  <c r="F59" i="7"/>
  <c r="C59" i="7"/>
  <c r="AC58" i="7"/>
  <c r="AD58" i="7" s="1"/>
  <c r="AA58" i="7"/>
  <c r="W58" i="7"/>
  <c r="X58" i="7" s="1"/>
  <c r="U58" i="7"/>
  <c r="R58" i="7"/>
  <c r="O58" i="7"/>
  <c r="N58" i="7"/>
  <c r="L58" i="7"/>
  <c r="H58" i="7"/>
  <c r="I58" i="7" s="1"/>
  <c r="F58" i="7"/>
  <c r="C58" i="7"/>
  <c r="AC57" i="7"/>
  <c r="AD57" i="7" s="1"/>
  <c r="AA57" i="7"/>
  <c r="X57" i="7"/>
  <c r="W57" i="7"/>
  <c r="U57" i="7"/>
  <c r="R57" i="7"/>
  <c r="O57" i="7"/>
  <c r="N57" i="7"/>
  <c r="L57" i="7"/>
  <c r="H57" i="7"/>
  <c r="I57" i="7" s="1"/>
  <c r="F57" i="7"/>
  <c r="C57" i="7"/>
  <c r="AD56" i="7"/>
  <c r="AC56" i="7"/>
  <c r="AA56" i="7"/>
  <c r="X56" i="7"/>
  <c r="W56" i="7"/>
  <c r="U56" i="7"/>
  <c r="R56" i="7"/>
  <c r="N56" i="7"/>
  <c r="O56" i="7" s="1"/>
  <c r="L56" i="7"/>
  <c r="H56" i="7"/>
  <c r="I56" i="7" s="1"/>
  <c r="F56" i="7"/>
  <c r="C56" i="7"/>
  <c r="AC55" i="7"/>
  <c r="AD55" i="7" s="1"/>
  <c r="AA55" i="7"/>
  <c r="X55" i="7"/>
  <c r="W55" i="7"/>
  <c r="U55" i="7"/>
  <c r="R55" i="7"/>
  <c r="O55" i="7"/>
  <c r="N55" i="7"/>
  <c r="L55" i="7"/>
  <c r="H55" i="7"/>
  <c r="I55" i="7" s="1"/>
  <c r="F55" i="7"/>
  <c r="C55" i="7"/>
  <c r="AC54" i="7"/>
  <c r="AD54" i="7" s="1"/>
  <c r="AA54" i="7"/>
  <c r="W54" i="7"/>
  <c r="X54" i="7" s="1"/>
  <c r="U54" i="7"/>
  <c r="R54" i="7"/>
  <c r="O54" i="7"/>
  <c r="N54" i="7"/>
  <c r="L54" i="7"/>
  <c r="H54" i="7"/>
  <c r="I54" i="7" s="1"/>
  <c r="F54" i="7"/>
  <c r="C54" i="7"/>
  <c r="AC53" i="7"/>
  <c r="AD53" i="7" s="1"/>
  <c r="AA53" i="7"/>
  <c r="X53" i="7"/>
  <c r="W53" i="7"/>
  <c r="U53" i="7"/>
  <c r="R53" i="7"/>
  <c r="O53" i="7"/>
  <c r="N53" i="7"/>
  <c r="L53" i="7"/>
  <c r="H53" i="7"/>
  <c r="I53" i="7" s="1"/>
  <c r="F53" i="7"/>
  <c r="C53" i="7"/>
  <c r="AC52" i="7"/>
  <c r="AD52" i="7" s="1"/>
  <c r="AA52" i="7"/>
  <c r="X52" i="7"/>
  <c r="W52" i="7"/>
  <c r="U52" i="7"/>
  <c r="R52" i="7"/>
  <c r="N52" i="7"/>
  <c r="O52" i="7" s="1"/>
  <c r="L52" i="7"/>
  <c r="H52" i="7"/>
  <c r="I52" i="7" s="1"/>
  <c r="F52" i="7"/>
  <c r="C52" i="7"/>
  <c r="AC51" i="7"/>
  <c r="AD51" i="7" s="1"/>
  <c r="AA51" i="7"/>
  <c r="X51" i="7"/>
  <c r="W51" i="7"/>
  <c r="U51" i="7"/>
  <c r="R51" i="7"/>
  <c r="O51" i="7"/>
  <c r="N51" i="7"/>
  <c r="L51" i="7"/>
  <c r="I51" i="7"/>
  <c r="H51" i="7"/>
  <c r="F51" i="7"/>
  <c r="C51" i="7"/>
  <c r="AC50" i="7"/>
  <c r="AD50" i="7" s="1"/>
  <c r="AA50" i="7"/>
  <c r="W50" i="7"/>
  <c r="X50" i="7" s="1"/>
  <c r="U50" i="7"/>
  <c r="R50" i="7"/>
  <c r="O50" i="7"/>
  <c r="N50" i="7"/>
  <c r="L50" i="7"/>
  <c r="H50" i="7"/>
  <c r="I50" i="7" s="1"/>
  <c r="F50" i="7"/>
  <c r="C50" i="7"/>
  <c r="AC49" i="7"/>
  <c r="AD49" i="7" s="1"/>
  <c r="AA49" i="7"/>
  <c r="X49" i="7"/>
  <c r="W49" i="7"/>
  <c r="U49" i="7"/>
  <c r="R49" i="7"/>
  <c r="O49" i="7"/>
  <c r="N49" i="7"/>
  <c r="L49" i="7"/>
  <c r="H49" i="7"/>
  <c r="I49" i="7" s="1"/>
  <c r="F49" i="7"/>
  <c r="C49" i="7"/>
  <c r="AC48" i="7"/>
  <c r="AD48" i="7" s="1"/>
  <c r="AA48" i="7"/>
  <c r="X48" i="7"/>
  <c r="W48" i="7"/>
  <c r="U48" i="7"/>
  <c r="R48" i="7"/>
  <c r="O48" i="7"/>
  <c r="N48" i="7"/>
  <c r="L48" i="7"/>
  <c r="H48" i="7"/>
  <c r="I48" i="7" s="1"/>
  <c r="F48" i="7"/>
  <c r="C48" i="7"/>
  <c r="AC47" i="7"/>
  <c r="AD47" i="7" s="1"/>
  <c r="AA47" i="7"/>
  <c r="X47" i="7"/>
  <c r="W47" i="7"/>
  <c r="U47" i="7"/>
  <c r="R47" i="7"/>
  <c r="O47" i="7"/>
  <c r="N47" i="7"/>
  <c r="L47" i="7"/>
  <c r="H47" i="7"/>
  <c r="I47" i="7" s="1"/>
  <c r="F47" i="7"/>
  <c r="C47" i="7"/>
  <c r="AC46" i="7"/>
  <c r="AD46" i="7" s="1"/>
  <c r="AA46" i="7"/>
  <c r="X46" i="7"/>
  <c r="W46" i="7"/>
  <c r="U46" i="7"/>
  <c r="R46" i="7"/>
  <c r="O46" i="7"/>
  <c r="N46" i="7"/>
  <c r="L46" i="7"/>
  <c r="H46" i="7"/>
  <c r="I46" i="7" s="1"/>
  <c r="F46" i="7"/>
  <c r="C46" i="7"/>
  <c r="AC44" i="7"/>
  <c r="AD44" i="7" s="1"/>
  <c r="AA44" i="7"/>
  <c r="X44" i="7"/>
  <c r="W44" i="7"/>
  <c r="U44" i="7"/>
  <c r="R44" i="7"/>
  <c r="O44" i="7"/>
  <c r="N44" i="7"/>
  <c r="L44" i="7"/>
  <c r="H44" i="7"/>
  <c r="I44" i="7" s="1"/>
  <c r="F44" i="7"/>
  <c r="C44" i="7"/>
  <c r="AC43" i="7"/>
  <c r="AD43" i="7" s="1"/>
  <c r="AA43" i="7"/>
  <c r="X43" i="7"/>
  <c r="W43" i="7"/>
  <c r="U43" i="7"/>
  <c r="R43" i="7"/>
  <c r="N43" i="7"/>
  <c r="O43" i="7" s="1"/>
  <c r="L43" i="7"/>
  <c r="H43" i="7"/>
  <c r="I43" i="7" s="1"/>
  <c r="F43" i="7"/>
  <c r="C43" i="7"/>
  <c r="AC42" i="7"/>
  <c r="AD42" i="7" s="1"/>
  <c r="AA42" i="7"/>
  <c r="X42" i="7"/>
  <c r="W42" i="7"/>
  <c r="U42" i="7"/>
  <c r="R42" i="7"/>
  <c r="O42" i="7"/>
  <c r="N42" i="7"/>
  <c r="L42" i="7"/>
  <c r="H42" i="7"/>
  <c r="I42" i="7" s="1"/>
  <c r="F42" i="7"/>
  <c r="C42" i="7"/>
  <c r="AC40" i="7"/>
  <c r="AD40" i="7" s="1"/>
  <c r="Z40" i="7"/>
  <c r="AA40" i="7" s="1"/>
  <c r="W40" i="7"/>
  <c r="X40" i="7" s="1"/>
  <c r="T40" i="7"/>
  <c r="U40" i="7" s="1"/>
  <c r="Q40" i="7"/>
  <c r="R40" i="7" s="1"/>
  <c r="K40" i="7"/>
  <c r="L40" i="7" s="1"/>
  <c r="E40" i="7"/>
  <c r="F40" i="7" s="1"/>
  <c r="B40" i="7"/>
  <c r="AC39" i="7"/>
  <c r="AD39" i="7" s="1"/>
  <c r="AA39" i="7"/>
  <c r="X39" i="7"/>
  <c r="W39" i="7"/>
  <c r="U39" i="7"/>
  <c r="R39" i="7"/>
  <c r="O39" i="7"/>
  <c r="N39" i="7"/>
  <c r="L39" i="7"/>
  <c r="H39" i="7"/>
  <c r="I39" i="7" s="1"/>
  <c r="F39" i="7"/>
  <c r="C39" i="7"/>
  <c r="AC38" i="7"/>
  <c r="AD38" i="7" s="1"/>
  <c r="AA38" i="7"/>
  <c r="X38" i="7"/>
  <c r="W38" i="7"/>
  <c r="U38" i="7"/>
  <c r="R38" i="7"/>
  <c r="O38" i="7"/>
  <c r="N38" i="7"/>
  <c r="L38" i="7"/>
  <c r="H38" i="7"/>
  <c r="I38" i="7" s="1"/>
  <c r="F38" i="7"/>
  <c r="C38" i="7"/>
  <c r="AC37" i="7"/>
  <c r="AD37" i="7" s="1"/>
  <c r="AA37" i="7"/>
  <c r="X37" i="7"/>
  <c r="W37" i="7"/>
  <c r="U37" i="7"/>
  <c r="R37" i="7"/>
  <c r="O37" i="7"/>
  <c r="N37" i="7"/>
  <c r="L37" i="7"/>
  <c r="H37" i="7"/>
  <c r="I37" i="7" s="1"/>
  <c r="F37" i="7"/>
  <c r="C37" i="7"/>
  <c r="AC36" i="7"/>
  <c r="AD36" i="7" s="1"/>
  <c r="AA36" i="7"/>
  <c r="X36" i="7"/>
  <c r="W36" i="7"/>
  <c r="U36" i="7"/>
  <c r="R36" i="7"/>
  <c r="O36" i="7"/>
  <c r="N36" i="7"/>
  <c r="L36" i="7"/>
  <c r="H36" i="7"/>
  <c r="I36" i="7" s="1"/>
  <c r="F36" i="7"/>
  <c r="C36" i="7"/>
  <c r="AC35" i="7"/>
  <c r="AD35" i="7" s="1"/>
  <c r="AA35" i="7"/>
  <c r="X35" i="7"/>
  <c r="W35" i="7"/>
  <c r="U35" i="7"/>
  <c r="R35" i="7"/>
  <c r="N35" i="7"/>
  <c r="O35" i="7" s="1"/>
  <c r="L35" i="7"/>
  <c r="H35" i="7"/>
  <c r="I35" i="7" s="1"/>
  <c r="F35" i="7"/>
  <c r="C35" i="7"/>
  <c r="AC34" i="7"/>
  <c r="AD34" i="7" s="1"/>
  <c r="AA34" i="7"/>
  <c r="X34" i="7"/>
  <c r="W34" i="7"/>
  <c r="U34" i="7"/>
  <c r="R34" i="7"/>
  <c r="O34" i="7"/>
  <c r="N34" i="7"/>
  <c r="L34" i="7"/>
  <c r="H34" i="7"/>
  <c r="I34" i="7" s="1"/>
  <c r="F34" i="7"/>
  <c r="C34" i="7"/>
  <c r="AC33" i="7"/>
  <c r="AD33" i="7" s="1"/>
  <c r="AA33" i="7"/>
  <c r="W33" i="7"/>
  <c r="X33" i="7" s="1"/>
  <c r="U33" i="7"/>
  <c r="R33" i="7"/>
  <c r="O33" i="7"/>
  <c r="N33" i="7"/>
  <c r="L33" i="7"/>
  <c r="H33" i="7"/>
  <c r="I33" i="7" s="1"/>
  <c r="F33" i="7"/>
  <c r="C33" i="7"/>
  <c r="AC32" i="7"/>
  <c r="AD32" i="7" s="1"/>
  <c r="AA32" i="7"/>
  <c r="X32" i="7"/>
  <c r="W32" i="7"/>
  <c r="U32" i="7"/>
  <c r="R32" i="7"/>
  <c r="O32" i="7"/>
  <c r="N32" i="7"/>
  <c r="L32" i="7"/>
  <c r="H32" i="7"/>
  <c r="I32" i="7" s="1"/>
  <c r="F32" i="7"/>
  <c r="C32" i="7"/>
  <c r="AD31" i="7"/>
  <c r="AC31" i="7"/>
  <c r="AA31" i="7"/>
  <c r="X31" i="7"/>
  <c r="W31" i="7"/>
  <c r="U31" i="7"/>
  <c r="R31" i="7"/>
  <c r="N31" i="7"/>
  <c r="O31" i="7" s="1"/>
  <c r="L31" i="7"/>
  <c r="H31" i="7"/>
  <c r="I31" i="7" s="1"/>
  <c r="F31" i="7"/>
  <c r="C31" i="7"/>
  <c r="Z29" i="7"/>
  <c r="AA29" i="7" s="1"/>
  <c r="W29" i="7"/>
  <c r="X29" i="7" s="1"/>
  <c r="T29" i="7"/>
  <c r="U29" i="7" s="1"/>
  <c r="Q29" i="7"/>
  <c r="R29" i="7" s="1"/>
  <c r="K29" i="7"/>
  <c r="L29" i="7" s="1"/>
  <c r="E29" i="7"/>
  <c r="C29" i="7"/>
  <c r="B29" i="7"/>
  <c r="AC28" i="7"/>
  <c r="AD28" i="7" s="1"/>
  <c r="AA28" i="7"/>
  <c r="X28" i="7"/>
  <c r="W28" i="7"/>
  <c r="U28" i="7"/>
  <c r="R28" i="7"/>
  <c r="O28" i="7"/>
  <c r="N28" i="7"/>
  <c r="L28" i="7"/>
  <c r="H28" i="7"/>
  <c r="I28" i="7" s="1"/>
  <c r="F28" i="7"/>
  <c r="C28" i="7"/>
  <c r="AC27" i="7"/>
  <c r="AD27" i="7" s="1"/>
  <c r="AA27" i="7"/>
  <c r="X27" i="7"/>
  <c r="W27" i="7"/>
  <c r="U27" i="7"/>
  <c r="R27" i="7"/>
  <c r="N27" i="7"/>
  <c r="O27" i="7" s="1"/>
  <c r="L27" i="7"/>
  <c r="H27" i="7"/>
  <c r="I27" i="7" s="1"/>
  <c r="F27" i="7"/>
  <c r="C27" i="7"/>
  <c r="AC26" i="7"/>
  <c r="AD26" i="7" s="1"/>
  <c r="AA26" i="7"/>
  <c r="X26" i="7"/>
  <c r="W26" i="7"/>
  <c r="U26" i="7"/>
  <c r="R26" i="7"/>
  <c r="O26" i="7"/>
  <c r="N26" i="7"/>
  <c r="L26" i="7"/>
  <c r="H26" i="7"/>
  <c r="I26" i="7" s="1"/>
  <c r="F26" i="7"/>
  <c r="C26" i="7"/>
  <c r="AC25" i="7"/>
  <c r="AD25" i="7" s="1"/>
  <c r="AA25" i="7"/>
  <c r="W25" i="7"/>
  <c r="X25" i="7" s="1"/>
  <c r="U25" i="7"/>
  <c r="R25" i="7"/>
  <c r="O25" i="7"/>
  <c r="N25" i="7"/>
  <c r="L25" i="7"/>
  <c r="H25" i="7"/>
  <c r="I25" i="7" s="1"/>
  <c r="F25" i="7"/>
  <c r="C25" i="7"/>
  <c r="AC24" i="7"/>
  <c r="AD24" i="7" s="1"/>
  <c r="AA24" i="7"/>
  <c r="X24" i="7"/>
  <c r="W24" i="7"/>
  <c r="U24" i="7"/>
  <c r="R24" i="7"/>
  <c r="O24" i="7"/>
  <c r="N24" i="7"/>
  <c r="L24" i="7"/>
  <c r="H24" i="7"/>
  <c r="I24" i="7" s="1"/>
  <c r="F24" i="7"/>
  <c r="C24" i="7"/>
  <c r="AD23" i="7"/>
  <c r="AC23" i="7"/>
  <c r="AA23" i="7"/>
  <c r="X23" i="7"/>
  <c r="W23" i="7"/>
  <c r="U23" i="7"/>
  <c r="R23" i="7"/>
  <c r="O23" i="7"/>
  <c r="N23" i="7"/>
  <c r="L23" i="7"/>
  <c r="H23" i="7"/>
  <c r="I23" i="7" s="1"/>
  <c r="F23" i="7"/>
  <c r="C23" i="7"/>
  <c r="AC22" i="7"/>
  <c r="AD22" i="7" s="1"/>
  <c r="AA22" i="7"/>
  <c r="X22" i="7"/>
  <c r="W22" i="7"/>
  <c r="U22" i="7"/>
  <c r="R22" i="7"/>
  <c r="O22" i="7"/>
  <c r="N22" i="7"/>
  <c r="L22" i="7"/>
  <c r="H22" i="7"/>
  <c r="I22" i="7" s="1"/>
  <c r="F22" i="7"/>
  <c r="C22" i="7"/>
  <c r="AC21" i="7"/>
  <c r="AD21" i="7" s="1"/>
  <c r="AA21" i="7"/>
  <c r="W21" i="7"/>
  <c r="X21" i="7" s="1"/>
  <c r="U21" i="7"/>
  <c r="R21" i="7"/>
  <c r="O21" i="7"/>
  <c r="N21" i="7"/>
  <c r="L21" i="7"/>
  <c r="H21" i="7"/>
  <c r="I21" i="7" s="1"/>
  <c r="F21" i="7"/>
  <c r="C21" i="7"/>
  <c r="AC19" i="7"/>
  <c r="AD19" i="7" s="1"/>
  <c r="AA19" i="7"/>
  <c r="X19" i="7"/>
  <c r="W19" i="7"/>
  <c r="U19" i="7"/>
  <c r="R19" i="7"/>
  <c r="O19" i="7"/>
  <c r="N19" i="7"/>
  <c r="L19" i="7"/>
  <c r="H19" i="7"/>
  <c r="I19" i="7" s="1"/>
  <c r="F19" i="7"/>
  <c r="C19" i="7"/>
  <c r="AC18" i="7"/>
  <c r="AD18" i="7" s="1"/>
  <c r="Z18" i="7"/>
  <c r="AA18" i="7" s="1"/>
  <c r="T18" i="7"/>
  <c r="U18" i="7" s="1"/>
  <c r="Q18" i="7"/>
  <c r="W18" i="7" s="1"/>
  <c r="X18" i="7" s="1"/>
  <c r="K18" i="7"/>
  <c r="L18" i="7" s="1"/>
  <c r="E18" i="7"/>
  <c r="F18" i="7" s="1"/>
  <c r="B18" i="7"/>
  <c r="AC17" i="7"/>
  <c r="AD17" i="7" s="1"/>
  <c r="AA17" i="7"/>
  <c r="W17" i="7"/>
  <c r="X17" i="7" s="1"/>
  <c r="U17" i="7"/>
  <c r="R17" i="7"/>
  <c r="O17" i="7"/>
  <c r="N17" i="7"/>
  <c r="L17" i="7"/>
  <c r="H17" i="7"/>
  <c r="I17" i="7" s="1"/>
  <c r="F17" i="7"/>
  <c r="C17" i="7"/>
  <c r="AC16" i="7"/>
  <c r="AD16" i="7" s="1"/>
  <c r="AA16" i="7"/>
  <c r="X16" i="7"/>
  <c r="W16" i="7"/>
  <c r="U16" i="7"/>
  <c r="R16" i="7"/>
  <c r="O16" i="7"/>
  <c r="N16" i="7"/>
  <c r="L16" i="7"/>
  <c r="H16" i="7"/>
  <c r="I16" i="7" s="1"/>
  <c r="F16" i="7"/>
  <c r="C16" i="7"/>
  <c r="AD15" i="7"/>
  <c r="AC15" i="7"/>
  <c r="AA15" i="7"/>
  <c r="X15" i="7"/>
  <c r="W15" i="7"/>
  <c r="U15" i="7"/>
  <c r="R15" i="7"/>
  <c r="N15" i="7"/>
  <c r="O15" i="7" s="1"/>
  <c r="L15" i="7"/>
  <c r="H15" i="7"/>
  <c r="I15" i="7" s="1"/>
  <c r="F15" i="7"/>
  <c r="C15" i="7"/>
  <c r="AC14" i="7"/>
  <c r="AD14" i="7" s="1"/>
  <c r="AA14" i="7"/>
  <c r="X14" i="7"/>
  <c r="W14" i="7"/>
  <c r="U14" i="7"/>
  <c r="R14" i="7"/>
  <c r="O14" i="7"/>
  <c r="N14" i="7"/>
  <c r="L14" i="7"/>
  <c r="H14" i="7"/>
  <c r="I14" i="7" s="1"/>
  <c r="F14" i="7"/>
  <c r="C14" i="7"/>
  <c r="AC13" i="7"/>
  <c r="AD13" i="7" s="1"/>
  <c r="AA13" i="7"/>
  <c r="X13" i="7"/>
  <c r="W13" i="7"/>
  <c r="U13" i="7"/>
  <c r="R13" i="7"/>
  <c r="O13" i="7"/>
  <c r="N13" i="7"/>
  <c r="L13" i="7"/>
  <c r="H13" i="7"/>
  <c r="I13" i="7" s="1"/>
  <c r="F13" i="7"/>
  <c r="C13" i="7"/>
  <c r="AC12" i="7"/>
  <c r="AD12" i="7" s="1"/>
  <c r="AA12" i="7"/>
  <c r="X12" i="7"/>
  <c r="W12" i="7"/>
  <c r="U12" i="7"/>
  <c r="R12" i="7"/>
  <c r="O12" i="7"/>
  <c r="N12" i="7"/>
  <c r="L12" i="7"/>
  <c r="H12" i="7"/>
  <c r="I12" i="7" s="1"/>
  <c r="F12" i="7"/>
  <c r="C12" i="7"/>
  <c r="AC11" i="7"/>
  <c r="AD11" i="7" s="1"/>
  <c r="AA11" i="7"/>
  <c r="X11" i="7"/>
  <c r="W11" i="7"/>
  <c r="U11" i="7"/>
  <c r="R11" i="7"/>
  <c r="O11" i="7"/>
  <c r="N11" i="7"/>
  <c r="L11" i="7"/>
  <c r="H11" i="7"/>
  <c r="I11" i="7" s="1"/>
  <c r="F11" i="7"/>
  <c r="C11" i="7"/>
  <c r="AC10" i="7"/>
  <c r="AD10" i="7" s="1"/>
  <c r="AA10" i="7"/>
  <c r="X10" i="7"/>
  <c r="W10" i="7"/>
  <c r="U10" i="7"/>
  <c r="R10" i="7"/>
  <c r="O10" i="7"/>
  <c r="N10" i="7"/>
  <c r="L10" i="7"/>
  <c r="I10" i="7"/>
  <c r="H10" i="7"/>
  <c r="F10" i="7"/>
  <c r="C10" i="7"/>
  <c r="AC8" i="7"/>
  <c r="AD8" i="7" s="1"/>
  <c r="AA8" i="7"/>
  <c r="W8" i="7"/>
  <c r="X8" i="7" s="1"/>
  <c r="U8" i="7"/>
  <c r="R8" i="7"/>
  <c r="O8" i="7"/>
  <c r="N8" i="7"/>
  <c r="L8" i="7"/>
  <c r="H8" i="7"/>
  <c r="I8" i="7" s="1"/>
  <c r="F8" i="7"/>
  <c r="C8" i="7"/>
  <c r="AC444" i="6"/>
  <c r="W444" i="6"/>
  <c r="N444" i="6"/>
  <c r="H444" i="6"/>
  <c r="AC442" i="6"/>
  <c r="AD442" i="6" s="1"/>
  <c r="Z442" i="6"/>
  <c r="AA442" i="6" s="1"/>
  <c r="W442" i="6"/>
  <c r="X442" i="6" s="1"/>
  <c r="U442" i="6"/>
  <c r="T442" i="6"/>
  <c r="Q442" i="6"/>
  <c r="R442" i="6" s="1"/>
  <c r="K442" i="6"/>
  <c r="L442" i="6" s="1"/>
  <c r="E442" i="6"/>
  <c r="F442" i="6" s="1"/>
  <c r="B442" i="6"/>
  <c r="Z441" i="6"/>
  <c r="T441" i="6"/>
  <c r="U441" i="6" s="1"/>
  <c r="Q441" i="6"/>
  <c r="R441" i="6" s="1"/>
  <c r="O441" i="6"/>
  <c r="N441" i="6"/>
  <c r="K441" i="6"/>
  <c r="L441" i="6" s="1"/>
  <c r="E441" i="6"/>
  <c r="F441" i="6" s="1"/>
  <c r="B441" i="6"/>
  <c r="AC440" i="6"/>
  <c r="AD440" i="6" s="1"/>
  <c r="AA440" i="6"/>
  <c r="X440" i="6"/>
  <c r="W440" i="6"/>
  <c r="U440" i="6"/>
  <c r="R440" i="6"/>
  <c r="O440" i="6"/>
  <c r="N440" i="6"/>
  <c r="L440" i="6"/>
  <c r="H440" i="6"/>
  <c r="F440" i="6"/>
  <c r="C440" i="6"/>
  <c r="AC439" i="6"/>
  <c r="AD439" i="6" s="1"/>
  <c r="AA439" i="6"/>
  <c r="X439" i="6"/>
  <c r="W439" i="6"/>
  <c r="U439" i="6"/>
  <c r="R439" i="6"/>
  <c r="N439" i="6"/>
  <c r="O439" i="6" s="1"/>
  <c r="L439" i="6"/>
  <c r="H439" i="6"/>
  <c r="F439" i="6"/>
  <c r="C439" i="6"/>
  <c r="AC438" i="6"/>
  <c r="AD438" i="6" s="1"/>
  <c r="AA438" i="6"/>
  <c r="W438" i="6"/>
  <c r="U438" i="6"/>
  <c r="R438" i="6"/>
  <c r="O438" i="6"/>
  <c r="N438" i="6"/>
  <c r="L438" i="6"/>
  <c r="H438" i="6"/>
  <c r="F438" i="6"/>
  <c r="C438" i="6"/>
  <c r="AC437" i="6"/>
  <c r="AD437" i="6" s="1"/>
  <c r="AA437" i="6"/>
  <c r="W437" i="6"/>
  <c r="X437" i="6" s="1"/>
  <c r="U437" i="6"/>
  <c r="R437" i="6"/>
  <c r="O437" i="6"/>
  <c r="N437" i="6"/>
  <c r="L437" i="6"/>
  <c r="H437" i="6"/>
  <c r="F437" i="6"/>
  <c r="C437" i="6"/>
  <c r="AC436" i="6"/>
  <c r="AD436" i="6" s="1"/>
  <c r="AA436" i="6"/>
  <c r="W436" i="6"/>
  <c r="U436" i="6"/>
  <c r="R436" i="6"/>
  <c r="O436" i="6"/>
  <c r="N436" i="6"/>
  <c r="L436" i="6"/>
  <c r="H436" i="6"/>
  <c r="F436" i="6"/>
  <c r="C436" i="6"/>
  <c r="AC435" i="6"/>
  <c r="AD435" i="6" s="1"/>
  <c r="AA435" i="6"/>
  <c r="W435" i="6"/>
  <c r="U435" i="6"/>
  <c r="R435" i="6"/>
  <c r="O435" i="6"/>
  <c r="N435" i="6"/>
  <c r="L435" i="6"/>
  <c r="H435" i="6"/>
  <c r="F435" i="6"/>
  <c r="C435" i="6"/>
  <c r="AC434" i="6"/>
  <c r="AD434" i="6" s="1"/>
  <c r="AA434" i="6"/>
  <c r="X434" i="6"/>
  <c r="W434" i="6"/>
  <c r="U434" i="6"/>
  <c r="R434" i="6"/>
  <c r="O434" i="6"/>
  <c r="N434" i="6"/>
  <c r="L434" i="6"/>
  <c r="H434" i="6"/>
  <c r="F434" i="6"/>
  <c r="C434" i="6"/>
  <c r="AC433" i="6"/>
  <c r="AD433" i="6" s="1"/>
  <c r="AA433" i="6"/>
  <c r="W433" i="6"/>
  <c r="U433" i="6"/>
  <c r="R433" i="6"/>
  <c r="O433" i="6"/>
  <c r="N433" i="6"/>
  <c r="L433" i="6"/>
  <c r="H433" i="6"/>
  <c r="F433" i="6"/>
  <c r="C433" i="6"/>
  <c r="AC432" i="6"/>
  <c r="AD432" i="6" s="1"/>
  <c r="AA432" i="6"/>
  <c r="X432" i="6"/>
  <c r="W432" i="6"/>
  <c r="U432" i="6"/>
  <c r="R432" i="6"/>
  <c r="O432" i="6"/>
  <c r="N432" i="6"/>
  <c r="L432" i="6"/>
  <c r="H432" i="6"/>
  <c r="F432" i="6"/>
  <c r="C432" i="6"/>
  <c r="Z429" i="6"/>
  <c r="AA429" i="6" s="1"/>
  <c r="T429" i="6"/>
  <c r="U429" i="6" s="1"/>
  <c r="Q429" i="6"/>
  <c r="W429" i="6" s="1"/>
  <c r="X429" i="6" s="1"/>
  <c r="N429" i="6"/>
  <c r="O429" i="6" s="1"/>
  <c r="K429" i="6"/>
  <c r="L429" i="6" s="1"/>
  <c r="H429" i="6"/>
  <c r="F429" i="6"/>
  <c r="E429" i="6"/>
  <c r="B429" i="6"/>
  <c r="C429" i="6" s="1"/>
  <c r="Z428" i="6"/>
  <c r="AA428" i="6" s="1"/>
  <c r="T428" i="6"/>
  <c r="U428" i="6" s="1"/>
  <c r="Q428" i="6"/>
  <c r="K428" i="6"/>
  <c r="H428" i="6"/>
  <c r="I428" i="6" s="1"/>
  <c r="E428" i="6"/>
  <c r="F428" i="6" s="1"/>
  <c r="B428" i="6"/>
  <c r="C428" i="6" s="1"/>
  <c r="AD427" i="6"/>
  <c r="AC427" i="6"/>
  <c r="AA427" i="6"/>
  <c r="W427" i="6"/>
  <c r="U427" i="6"/>
  <c r="R427" i="6"/>
  <c r="N427" i="6"/>
  <c r="O427" i="6" s="1"/>
  <c r="L427" i="6"/>
  <c r="H427" i="6"/>
  <c r="F427" i="6"/>
  <c r="C427" i="6"/>
  <c r="AC426" i="6"/>
  <c r="AD426" i="6" s="1"/>
  <c r="AA426" i="6"/>
  <c r="W426" i="6"/>
  <c r="U426" i="6"/>
  <c r="R426" i="6"/>
  <c r="O426" i="6"/>
  <c r="N426" i="6"/>
  <c r="L426" i="6"/>
  <c r="H426" i="6"/>
  <c r="F426" i="6"/>
  <c r="C426" i="6"/>
  <c r="AC425" i="6"/>
  <c r="AD425" i="6" s="1"/>
  <c r="AA425" i="6"/>
  <c r="W425" i="6"/>
  <c r="X425" i="6" s="1"/>
  <c r="U425" i="6"/>
  <c r="R425" i="6"/>
  <c r="O425" i="6"/>
  <c r="N425" i="6"/>
  <c r="L425" i="6"/>
  <c r="H425" i="6"/>
  <c r="F425" i="6"/>
  <c r="C425" i="6"/>
  <c r="AC424" i="6"/>
  <c r="AD424" i="6" s="1"/>
  <c r="AA424" i="6"/>
  <c r="X424" i="6"/>
  <c r="W424" i="6"/>
  <c r="U424" i="6"/>
  <c r="R424" i="6"/>
  <c r="O424" i="6"/>
  <c r="N424" i="6"/>
  <c r="L424" i="6"/>
  <c r="H424" i="6"/>
  <c r="F424" i="6"/>
  <c r="C424" i="6"/>
  <c r="AC423" i="6"/>
  <c r="AD423" i="6" s="1"/>
  <c r="AA423" i="6"/>
  <c r="X423" i="6"/>
  <c r="W423" i="6"/>
  <c r="U423" i="6"/>
  <c r="R423" i="6"/>
  <c r="O423" i="6"/>
  <c r="N423" i="6"/>
  <c r="L423" i="6"/>
  <c r="H423" i="6"/>
  <c r="F423" i="6"/>
  <c r="C423" i="6"/>
  <c r="AC422" i="6"/>
  <c r="AD422" i="6" s="1"/>
  <c r="AA422" i="6"/>
  <c r="X422" i="6"/>
  <c r="W422" i="6"/>
  <c r="U422" i="6"/>
  <c r="R422" i="6"/>
  <c r="O422" i="6"/>
  <c r="N422" i="6"/>
  <c r="L422" i="6"/>
  <c r="H422" i="6"/>
  <c r="F422" i="6"/>
  <c r="C422" i="6"/>
  <c r="AC421" i="6"/>
  <c r="AD421" i="6" s="1"/>
  <c r="AA421" i="6"/>
  <c r="X421" i="6"/>
  <c r="W421" i="6"/>
  <c r="U421" i="6"/>
  <c r="R421" i="6"/>
  <c r="O421" i="6"/>
  <c r="N421" i="6"/>
  <c r="L421" i="6"/>
  <c r="H421" i="6"/>
  <c r="F421" i="6"/>
  <c r="C421" i="6"/>
  <c r="AC420" i="6"/>
  <c r="AD420" i="6" s="1"/>
  <c r="AA420" i="6"/>
  <c r="W420" i="6"/>
  <c r="U420" i="6"/>
  <c r="R420" i="6"/>
  <c r="O420" i="6"/>
  <c r="N420" i="6"/>
  <c r="L420" i="6"/>
  <c r="H420" i="6"/>
  <c r="F420" i="6"/>
  <c r="C420" i="6"/>
  <c r="AC419" i="6"/>
  <c r="AD419" i="6" s="1"/>
  <c r="AA419" i="6"/>
  <c r="W419" i="6"/>
  <c r="U419" i="6"/>
  <c r="R419" i="6"/>
  <c r="N419" i="6"/>
  <c r="O419" i="6" s="1"/>
  <c r="L419" i="6"/>
  <c r="H419" i="6"/>
  <c r="F419" i="6"/>
  <c r="C419" i="6"/>
  <c r="AC418" i="6"/>
  <c r="AD418" i="6" s="1"/>
  <c r="AA418" i="6"/>
  <c r="W418" i="6"/>
  <c r="U418" i="6"/>
  <c r="R418" i="6"/>
  <c r="O418" i="6"/>
  <c r="N418" i="6"/>
  <c r="L418" i="6"/>
  <c r="H418" i="6"/>
  <c r="F418" i="6"/>
  <c r="C418" i="6"/>
  <c r="AC417" i="6"/>
  <c r="AD417" i="6" s="1"/>
  <c r="AA417" i="6"/>
  <c r="W417" i="6"/>
  <c r="X417" i="6" s="1"/>
  <c r="U417" i="6"/>
  <c r="R417" i="6"/>
  <c r="O417" i="6"/>
  <c r="N417" i="6"/>
  <c r="L417" i="6"/>
  <c r="H417" i="6"/>
  <c r="F417" i="6"/>
  <c r="C417" i="6"/>
  <c r="AC416" i="6"/>
  <c r="AD416" i="6" s="1"/>
  <c r="AA416" i="6"/>
  <c r="X416" i="6"/>
  <c r="W416" i="6"/>
  <c r="U416" i="6"/>
  <c r="R416" i="6"/>
  <c r="O416" i="6"/>
  <c r="N416" i="6"/>
  <c r="L416" i="6"/>
  <c r="H416" i="6"/>
  <c r="F416" i="6"/>
  <c r="C416" i="6"/>
  <c r="AD415" i="6"/>
  <c r="AC415" i="6"/>
  <c r="AA415" i="6"/>
  <c r="X415" i="6"/>
  <c r="W415" i="6"/>
  <c r="U415" i="6"/>
  <c r="R415" i="6"/>
  <c r="O415" i="6"/>
  <c r="N415" i="6"/>
  <c r="L415" i="6"/>
  <c r="H415" i="6"/>
  <c r="F415" i="6"/>
  <c r="C415" i="6"/>
  <c r="AC414" i="6"/>
  <c r="AD414" i="6" s="1"/>
  <c r="AA414" i="6"/>
  <c r="X414" i="6"/>
  <c r="W414" i="6"/>
  <c r="U414" i="6"/>
  <c r="R414" i="6"/>
  <c r="O414" i="6"/>
  <c r="N414" i="6"/>
  <c r="L414" i="6"/>
  <c r="H414" i="6"/>
  <c r="F414" i="6"/>
  <c r="C414" i="6"/>
  <c r="AC413" i="6"/>
  <c r="AD413" i="6" s="1"/>
  <c r="AA413" i="6"/>
  <c r="W413" i="6"/>
  <c r="X413" i="6" s="1"/>
  <c r="U413" i="6"/>
  <c r="R413" i="6"/>
  <c r="O413" i="6"/>
  <c r="N413" i="6"/>
  <c r="L413" i="6"/>
  <c r="H413" i="6"/>
  <c r="F413" i="6"/>
  <c r="C413" i="6"/>
  <c r="AC412" i="6"/>
  <c r="AD412" i="6" s="1"/>
  <c r="AA412" i="6"/>
  <c r="X412" i="6"/>
  <c r="W412" i="6"/>
  <c r="U412" i="6"/>
  <c r="R412" i="6"/>
  <c r="O412" i="6"/>
  <c r="N412" i="6"/>
  <c r="L412" i="6"/>
  <c r="H412" i="6"/>
  <c r="F412" i="6"/>
  <c r="C412" i="6"/>
  <c r="AC411" i="6"/>
  <c r="AD411" i="6" s="1"/>
  <c r="AA411" i="6"/>
  <c r="W411" i="6"/>
  <c r="U411" i="6"/>
  <c r="R411" i="6"/>
  <c r="N411" i="6"/>
  <c r="O411" i="6" s="1"/>
  <c r="L411" i="6"/>
  <c r="H411" i="6"/>
  <c r="F411" i="6"/>
  <c r="C411" i="6"/>
  <c r="AC410" i="6"/>
  <c r="AD410" i="6" s="1"/>
  <c r="AA410" i="6"/>
  <c r="W410" i="6"/>
  <c r="U410" i="6"/>
  <c r="R410" i="6"/>
  <c r="O410" i="6"/>
  <c r="N410" i="6"/>
  <c r="L410" i="6"/>
  <c r="H410" i="6"/>
  <c r="F410" i="6"/>
  <c r="C410" i="6"/>
  <c r="AC409" i="6"/>
  <c r="AD409" i="6" s="1"/>
  <c r="AA409" i="6"/>
  <c r="W409" i="6"/>
  <c r="X409" i="6" s="1"/>
  <c r="U409" i="6"/>
  <c r="R409" i="6"/>
  <c r="O409" i="6"/>
  <c r="N409" i="6"/>
  <c r="L409" i="6"/>
  <c r="H409" i="6"/>
  <c r="F409" i="6"/>
  <c r="C409" i="6"/>
  <c r="AC408" i="6"/>
  <c r="AD408" i="6" s="1"/>
  <c r="AA408" i="6"/>
  <c r="X408" i="6"/>
  <c r="W408" i="6"/>
  <c r="U408" i="6"/>
  <c r="R408" i="6"/>
  <c r="O408" i="6"/>
  <c r="N408" i="6"/>
  <c r="L408" i="6"/>
  <c r="H408" i="6"/>
  <c r="F408" i="6"/>
  <c r="C408" i="6"/>
  <c r="AC407" i="6"/>
  <c r="AD407" i="6" s="1"/>
  <c r="AA407" i="6"/>
  <c r="X407" i="6"/>
  <c r="W407" i="6"/>
  <c r="U407" i="6"/>
  <c r="R407" i="6"/>
  <c r="O407" i="6"/>
  <c r="N407" i="6"/>
  <c r="L407" i="6"/>
  <c r="H407" i="6"/>
  <c r="F407" i="6"/>
  <c r="C407" i="6"/>
  <c r="Z403" i="6"/>
  <c r="AA403" i="6" s="1"/>
  <c r="T403" i="6"/>
  <c r="U403" i="6" s="1"/>
  <c r="Q403" i="6"/>
  <c r="K403" i="6"/>
  <c r="L403" i="6" s="1"/>
  <c r="E403" i="6"/>
  <c r="F403" i="6" s="1"/>
  <c r="B403" i="6"/>
  <c r="C403" i="6" s="1"/>
  <c r="AC402" i="6"/>
  <c r="AD402" i="6" s="1"/>
  <c r="AA402" i="6"/>
  <c r="W402" i="6"/>
  <c r="U402" i="6"/>
  <c r="R402" i="6"/>
  <c r="O402" i="6"/>
  <c r="N402" i="6"/>
  <c r="L402" i="6"/>
  <c r="H402" i="6"/>
  <c r="F402" i="6"/>
  <c r="C402" i="6"/>
  <c r="AC401" i="6"/>
  <c r="AD401" i="6" s="1"/>
  <c r="AA401" i="6"/>
  <c r="W401" i="6"/>
  <c r="X401" i="6" s="1"/>
  <c r="U401" i="6"/>
  <c r="R401" i="6"/>
  <c r="O401" i="6"/>
  <c r="N401" i="6"/>
  <c r="L401" i="6"/>
  <c r="H401" i="6"/>
  <c r="F401" i="6"/>
  <c r="C401" i="6"/>
  <c r="AC400" i="6"/>
  <c r="AD400" i="6" s="1"/>
  <c r="AA400" i="6"/>
  <c r="W400" i="6"/>
  <c r="U400" i="6"/>
  <c r="R400" i="6"/>
  <c r="O400" i="6"/>
  <c r="N400" i="6"/>
  <c r="L400" i="6"/>
  <c r="H400" i="6"/>
  <c r="F400" i="6"/>
  <c r="C400" i="6"/>
  <c r="AD399" i="6"/>
  <c r="AC399" i="6"/>
  <c r="AA399" i="6"/>
  <c r="X399" i="6"/>
  <c r="W399" i="6"/>
  <c r="U399" i="6"/>
  <c r="R399" i="6"/>
  <c r="N399" i="6"/>
  <c r="O399" i="6" s="1"/>
  <c r="L399" i="6"/>
  <c r="H399" i="6"/>
  <c r="F399" i="6"/>
  <c r="C399" i="6"/>
  <c r="AC398" i="6"/>
  <c r="AD398" i="6" s="1"/>
  <c r="AA398" i="6"/>
  <c r="X398" i="6"/>
  <c r="W398" i="6"/>
  <c r="U398" i="6"/>
  <c r="R398" i="6"/>
  <c r="O398" i="6"/>
  <c r="N398" i="6"/>
  <c r="L398" i="6"/>
  <c r="H398" i="6"/>
  <c r="F398" i="6"/>
  <c r="C398" i="6"/>
  <c r="AC397" i="6"/>
  <c r="AD397" i="6" s="1"/>
  <c r="AA397" i="6"/>
  <c r="X397" i="6"/>
  <c r="W397" i="6"/>
  <c r="U397" i="6"/>
  <c r="R397" i="6"/>
  <c r="O397" i="6"/>
  <c r="N397" i="6"/>
  <c r="L397" i="6"/>
  <c r="H397" i="6"/>
  <c r="F397" i="6"/>
  <c r="C397" i="6"/>
  <c r="Z396" i="6"/>
  <c r="AA396" i="6" s="1"/>
  <c r="U396" i="6"/>
  <c r="T396" i="6"/>
  <c r="Q396" i="6"/>
  <c r="K396" i="6"/>
  <c r="L396" i="6" s="1"/>
  <c r="H396" i="6"/>
  <c r="E396" i="6"/>
  <c r="F396" i="6" s="1"/>
  <c r="B396" i="6"/>
  <c r="C396" i="6" s="1"/>
  <c r="AC395" i="6"/>
  <c r="AD395" i="6" s="1"/>
  <c r="AA395" i="6"/>
  <c r="X395" i="6"/>
  <c r="W395" i="6"/>
  <c r="U395" i="6"/>
  <c r="R395" i="6"/>
  <c r="O395" i="6"/>
  <c r="N395" i="6"/>
  <c r="L395" i="6"/>
  <c r="H395" i="6"/>
  <c r="I395" i="6" s="1"/>
  <c r="F395" i="6"/>
  <c r="C395" i="6"/>
  <c r="AC394" i="6"/>
  <c r="AD394" i="6" s="1"/>
  <c r="AA394" i="6"/>
  <c r="X394" i="6"/>
  <c r="W394" i="6"/>
  <c r="U394" i="6"/>
  <c r="R394" i="6"/>
  <c r="O394" i="6"/>
  <c r="N394" i="6"/>
  <c r="L394" i="6"/>
  <c r="H394" i="6"/>
  <c r="F394" i="6"/>
  <c r="C394" i="6"/>
  <c r="Z393" i="6"/>
  <c r="AA393" i="6" s="1"/>
  <c r="T393" i="6"/>
  <c r="U393" i="6" s="1"/>
  <c r="Q393" i="6"/>
  <c r="N393" i="6"/>
  <c r="O393" i="6" s="1"/>
  <c r="K393" i="6"/>
  <c r="L393" i="6" s="1"/>
  <c r="H393" i="6"/>
  <c r="I393" i="6" s="1"/>
  <c r="E393" i="6"/>
  <c r="F393" i="6" s="1"/>
  <c r="B393" i="6"/>
  <c r="C393" i="6" s="1"/>
  <c r="AC392" i="6"/>
  <c r="AD392" i="6" s="1"/>
  <c r="AA392" i="6"/>
  <c r="X392" i="6"/>
  <c r="W392" i="6"/>
  <c r="U392" i="6"/>
  <c r="R392" i="6"/>
  <c r="O392" i="6"/>
  <c r="N392" i="6"/>
  <c r="L392" i="6"/>
  <c r="H392" i="6"/>
  <c r="F392" i="6"/>
  <c r="C392" i="6"/>
  <c r="AC391" i="6"/>
  <c r="AD391" i="6" s="1"/>
  <c r="AA391" i="6"/>
  <c r="X391" i="6"/>
  <c r="W391" i="6"/>
  <c r="U391" i="6"/>
  <c r="R391" i="6"/>
  <c r="O391" i="6"/>
  <c r="N391" i="6"/>
  <c r="L391" i="6"/>
  <c r="H391" i="6"/>
  <c r="F391" i="6"/>
  <c r="C391" i="6"/>
  <c r="AC390" i="6"/>
  <c r="AD390" i="6" s="1"/>
  <c r="AA390" i="6"/>
  <c r="W390" i="6"/>
  <c r="U390" i="6"/>
  <c r="R390" i="6"/>
  <c r="O390" i="6"/>
  <c r="N390" i="6"/>
  <c r="L390" i="6"/>
  <c r="H390" i="6"/>
  <c r="F390" i="6"/>
  <c r="C390" i="6"/>
  <c r="AD389" i="6"/>
  <c r="AC389" i="6"/>
  <c r="AA389" i="6"/>
  <c r="X389" i="6"/>
  <c r="W389" i="6"/>
  <c r="U389" i="6"/>
  <c r="R389" i="6"/>
  <c r="O389" i="6"/>
  <c r="N389" i="6"/>
  <c r="L389" i="6"/>
  <c r="H389" i="6"/>
  <c r="I389" i="6" s="1"/>
  <c r="F389" i="6"/>
  <c r="C389" i="6"/>
  <c r="AC388" i="6"/>
  <c r="AD388" i="6" s="1"/>
  <c r="AA388" i="6"/>
  <c r="X388" i="6"/>
  <c r="W388" i="6"/>
  <c r="U388" i="6"/>
  <c r="R388" i="6"/>
  <c r="O388" i="6"/>
  <c r="N388" i="6"/>
  <c r="L388" i="6"/>
  <c r="H388" i="6"/>
  <c r="F388" i="6"/>
  <c r="C388" i="6"/>
  <c r="AC386" i="6"/>
  <c r="AD386" i="6" s="1"/>
  <c r="AA386" i="6"/>
  <c r="X386" i="6"/>
  <c r="W386" i="6"/>
  <c r="U386" i="6"/>
  <c r="R386" i="6"/>
  <c r="O386" i="6"/>
  <c r="N386" i="6"/>
  <c r="L386" i="6"/>
  <c r="H386" i="6"/>
  <c r="I386" i="6" s="1"/>
  <c r="F386" i="6"/>
  <c r="C386" i="6"/>
  <c r="AC385" i="6"/>
  <c r="AD385" i="6" s="1"/>
  <c r="AA385" i="6"/>
  <c r="X385" i="6"/>
  <c r="W385" i="6"/>
  <c r="U385" i="6"/>
  <c r="R385" i="6"/>
  <c r="O385" i="6"/>
  <c r="N385" i="6"/>
  <c r="L385" i="6"/>
  <c r="H385" i="6"/>
  <c r="F385" i="6"/>
  <c r="C385" i="6"/>
  <c r="AC383" i="6"/>
  <c r="AD383" i="6" s="1"/>
  <c r="AA383" i="6"/>
  <c r="W383" i="6"/>
  <c r="U383" i="6"/>
  <c r="R383" i="6"/>
  <c r="N383" i="6"/>
  <c r="O383" i="6" s="1"/>
  <c r="L383" i="6"/>
  <c r="H383" i="6"/>
  <c r="F383" i="6"/>
  <c r="C383" i="6"/>
  <c r="AC382" i="6"/>
  <c r="AD382" i="6" s="1"/>
  <c r="AA382" i="6"/>
  <c r="W382" i="6"/>
  <c r="U382" i="6"/>
  <c r="R382" i="6"/>
  <c r="O382" i="6"/>
  <c r="N382" i="6"/>
  <c r="L382" i="6"/>
  <c r="H382" i="6"/>
  <c r="F382" i="6"/>
  <c r="C382" i="6"/>
  <c r="AC381" i="6"/>
  <c r="AD381" i="6" s="1"/>
  <c r="AA381" i="6"/>
  <c r="W381" i="6"/>
  <c r="X381" i="6" s="1"/>
  <c r="U381" i="6"/>
  <c r="R381" i="6"/>
  <c r="O381" i="6"/>
  <c r="N381" i="6"/>
  <c r="L381" i="6"/>
  <c r="H381" i="6"/>
  <c r="F381" i="6"/>
  <c r="C381" i="6"/>
  <c r="AC380" i="6"/>
  <c r="AD380" i="6" s="1"/>
  <c r="AA380" i="6"/>
  <c r="X380" i="6"/>
  <c r="W380" i="6"/>
  <c r="U380" i="6"/>
  <c r="R380" i="6"/>
  <c r="O380" i="6"/>
  <c r="N380" i="6"/>
  <c r="L380" i="6"/>
  <c r="H380" i="6"/>
  <c r="F380" i="6"/>
  <c r="C380" i="6"/>
  <c r="AC379" i="6"/>
  <c r="AD379" i="6" s="1"/>
  <c r="AA379" i="6"/>
  <c r="X379" i="6"/>
  <c r="W379" i="6"/>
  <c r="U379" i="6"/>
  <c r="R379" i="6"/>
  <c r="N379" i="6"/>
  <c r="O379" i="6" s="1"/>
  <c r="L379" i="6"/>
  <c r="H379" i="6"/>
  <c r="F379" i="6"/>
  <c r="C379" i="6"/>
  <c r="AC378" i="6"/>
  <c r="AD378" i="6" s="1"/>
  <c r="AA378" i="6"/>
  <c r="X378" i="6"/>
  <c r="W378" i="6"/>
  <c r="U378" i="6"/>
  <c r="R378" i="6"/>
  <c r="O378" i="6"/>
  <c r="N378" i="6"/>
  <c r="L378" i="6"/>
  <c r="H378" i="6"/>
  <c r="F378" i="6"/>
  <c r="C378" i="6"/>
  <c r="AC377" i="6"/>
  <c r="AD377" i="6" s="1"/>
  <c r="AA377" i="6"/>
  <c r="W377" i="6"/>
  <c r="U377" i="6"/>
  <c r="R377" i="6"/>
  <c r="O377" i="6"/>
  <c r="N377" i="6"/>
  <c r="L377" i="6"/>
  <c r="H377" i="6"/>
  <c r="F377" i="6"/>
  <c r="C377" i="6"/>
  <c r="AC376" i="6"/>
  <c r="AD376" i="6" s="1"/>
  <c r="AA376" i="6"/>
  <c r="X376" i="6"/>
  <c r="W376" i="6"/>
  <c r="U376" i="6"/>
  <c r="R376" i="6"/>
  <c r="O376" i="6"/>
  <c r="N376" i="6"/>
  <c r="L376" i="6"/>
  <c r="H376" i="6"/>
  <c r="F376" i="6"/>
  <c r="C376" i="6"/>
  <c r="AC375" i="6"/>
  <c r="AD375" i="6" s="1"/>
  <c r="AA375" i="6"/>
  <c r="W375" i="6"/>
  <c r="U375" i="6"/>
  <c r="R375" i="6"/>
  <c r="O375" i="6"/>
  <c r="N375" i="6"/>
  <c r="L375" i="6"/>
  <c r="H375" i="6"/>
  <c r="F375" i="6"/>
  <c r="C375" i="6"/>
  <c r="AC374" i="6"/>
  <c r="AD374" i="6" s="1"/>
  <c r="AA374" i="6"/>
  <c r="X374" i="6"/>
  <c r="W374" i="6"/>
  <c r="U374" i="6"/>
  <c r="R374" i="6"/>
  <c r="O374" i="6"/>
  <c r="N374" i="6"/>
  <c r="L374" i="6"/>
  <c r="H374" i="6"/>
  <c r="F374" i="6"/>
  <c r="C374" i="6"/>
  <c r="AC373" i="6"/>
  <c r="AD373" i="6" s="1"/>
  <c r="AA373" i="6"/>
  <c r="W373" i="6"/>
  <c r="X373" i="6" s="1"/>
  <c r="U373" i="6"/>
  <c r="R373" i="6"/>
  <c r="O373" i="6"/>
  <c r="N373" i="6"/>
  <c r="L373" i="6"/>
  <c r="H373" i="6"/>
  <c r="F373" i="6"/>
  <c r="C373" i="6"/>
  <c r="AC372" i="6"/>
  <c r="AD372" i="6" s="1"/>
  <c r="AA372" i="6"/>
  <c r="W372" i="6"/>
  <c r="U372" i="6"/>
  <c r="R372" i="6"/>
  <c r="O372" i="6"/>
  <c r="N372" i="6"/>
  <c r="L372" i="6"/>
  <c r="H372" i="6"/>
  <c r="F372" i="6"/>
  <c r="C372" i="6"/>
  <c r="AD371" i="6"/>
  <c r="AC371" i="6"/>
  <c r="AA371" i="6"/>
  <c r="W371" i="6"/>
  <c r="U371" i="6"/>
  <c r="R371" i="6"/>
  <c r="N371" i="6"/>
  <c r="O371" i="6" s="1"/>
  <c r="L371" i="6"/>
  <c r="H371" i="6"/>
  <c r="F371" i="6"/>
  <c r="C371" i="6"/>
  <c r="AC370" i="6"/>
  <c r="AD370" i="6" s="1"/>
  <c r="AA370" i="6"/>
  <c r="X370" i="6"/>
  <c r="W370" i="6"/>
  <c r="U370" i="6"/>
  <c r="R370" i="6"/>
  <c r="O370" i="6"/>
  <c r="N370" i="6"/>
  <c r="L370" i="6"/>
  <c r="H370" i="6"/>
  <c r="F370" i="6"/>
  <c r="C370" i="6"/>
  <c r="AC369" i="6"/>
  <c r="AD369" i="6" s="1"/>
  <c r="AA369" i="6"/>
  <c r="W369" i="6"/>
  <c r="X369" i="6" s="1"/>
  <c r="U369" i="6"/>
  <c r="R369" i="6"/>
  <c r="O369" i="6"/>
  <c r="N369" i="6"/>
  <c r="L369" i="6"/>
  <c r="H369" i="6"/>
  <c r="F369" i="6"/>
  <c r="C369" i="6"/>
  <c r="Z368" i="6"/>
  <c r="AA368" i="6" s="1"/>
  <c r="T368" i="6"/>
  <c r="U368" i="6" s="1"/>
  <c r="Q368" i="6"/>
  <c r="K368" i="6"/>
  <c r="L368" i="6" s="1"/>
  <c r="E368" i="6"/>
  <c r="F368" i="6" s="1"/>
  <c r="B368" i="6"/>
  <c r="C368" i="6" s="1"/>
  <c r="AC367" i="6"/>
  <c r="AD367" i="6" s="1"/>
  <c r="AA367" i="6"/>
  <c r="X367" i="6"/>
  <c r="W367" i="6"/>
  <c r="U367" i="6"/>
  <c r="R367" i="6"/>
  <c r="O367" i="6"/>
  <c r="N367" i="6"/>
  <c r="L367" i="6"/>
  <c r="H367" i="6"/>
  <c r="I367" i="6" s="1"/>
  <c r="F367" i="6"/>
  <c r="C367" i="6"/>
  <c r="AC366" i="6"/>
  <c r="AD366" i="6" s="1"/>
  <c r="AA366" i="6"/>
  <c r="W366" i="6"/>
  <c r="X366" i="6" s="1"/>
  <c r="U366" i="6"/>
  <c r="R366" i="6"/>
  <c r="O366" i="6"/>
  <c r="N366" i="6"/>
  <c r="L366" i="6"/>
  <c r="H366" i="6"/>
  <c r="F366" i="6"/>
  <c r="C366" i="6"/>
  <c r="AC365" i="6"/>
  <c r="AD365" i="6" s="1"/>
  <c r="AA365" i="6"/>
  <c r="X365" i="6"/>
  <c r="W365" i="6"/>
  <c r="U365" i="6"/>
  <c r="R365" i="6"/>
  <c r="O365" i="6"/>
  <c r="N365" i="6"/>
  <c r="L365" i="6"/>
  <c r="H365" i="6"/>
  <c r="F365" i="6"/>
  <c r="C365" i="6"/>
  <c r="AD364" i="6"/>
  <c r="AC364" i="6"/>
  <c r="AA364" i="6"/>
  <c r="X364" i="6"/>
  <c r="W364" i="6"/>
  <c r="U364" i="6"/>
  <c r="R364" i="6"/>
  <c r="N364" i="6"/>
  <c r="O364" i="6" s="1"/>
  <c r="L364" i="6"/>
  <c r="H364" i="6"/>
  <c r="F364" i="6"/>
  <c r="C364" i="6"/>
  <c r="AC363" i="6"/>
  <c r="AD363" i="6" s="1"/>
  <c r="AA363" i="6"/>
  <c r="W363" i="6"/>
  <c r="U363" i="6"/>
  <c r="R363" i="6"/>
  <c r="O363" i="6"/>
  <c r="N363" i="6"/>
  <c r="L363" i="6"/>
  <c r="H363" i="6"/>
  <c r="F363" i="6"/>
  <c r="C363" i="6"/>
  <c r="AC362" i="6"/>
  <c r="AD362" i="6" s="1"/>
  <c r="AA362" i="6"/>
  <c r="W362" i="6"/>
  <c r="X362" i="6" s="1"/>
  <c r="U362" i="6"/>
  <c r="R362" i="6"/>
  <c r="O362" i="6"/>
  <c r="N362" i="6"/>
  <c r="L362" i="6"/>
  <c r="H362" i="6"/>
  <c r="F362" i="6"/>
  <c r="C362" i="6"/>
  <c r="AC361" i="6"/>
  <c r="AD361" i="6" s="1"/>
  <c r="AA361" i="6"/>
  <c r="X361" i="6"/>
  <c r="W361" i="6"/>
  <c r="U361" i="6"/>
  <c r="R361" i="6"/>
  <c r="O361" i="6"/>
  <c r="N361" i="6"/>
  <c r="L361" i="6"/>
  <c r="H361" i="6"/>
  <c r="F361" i="6"/>
  <c r="C361" i="6"/>
  <c r="AC360" i="6"/>
  <c r="AD360" i="6" s="1"/>
  <c r="AA360" i="6"/>
  <c r="X360" i="6"/>
  <c r="W360" i="6"/>
  <c r="U360" i="6"/>
  <c r="R360" i="6"/>
  <c r="O360" i="6"/>
  <c r="N360" i="6"/>
  <c r="L360" i="6"/>
  <c r="H360" i="6"/>
  <c r="F360" i="6"/>
  <c r="C360" i="6"/>
  <c r="AA358" i="6"/>
  <c r="Z358" i="6"/>
  <c r="T358" i="6"/>
  <c r="U358" i="6" s="1"/>
  <c r="Q358" i="6"/>
  <c r="K358" i="6"/>
  <c r="L358" i="6" s="1"/>
  <c r="H358" i="6"/>
  <c r="E358" i="6"/>
  <c r="F358" i="6" s="1"/>
  <c r="B358" i="6"/>
  <c r="C358" i="6" s="1"/>
  <c r="AC357" i="6"/>
  <c r="AD357" i="6" s="1"/>
  <c r="AA357" i="6"/>
  <c r="X357" i="6"/>
  <c r="W357" i="6"/>
  <c r="U357" i="6"/>
  <c r="R357" i="6"/>
  <c r="O357" i="6"/>
  <c r="N357" i="6"/>
  <c r="L357" i="6"/>
  <c r="H357" i="6"/>
  <c r="F357" i="6"/>
  <c r="C357" i="6"/>
  <c r="AC356" i="6"/>
  <c r="AD356" i="6" s="1"/>
  <c r="AA356" i="6"/>
  <c r="X356" i="6"/>
  <c r="W356" i="6"/>
  <c r="U356" i="6"/>
  <c r="R356" i="6"/>
  <c r="N356" i="6"/>
  <c r="O356" i="6" s="1"/>
  <c r="L356" i="6"/>
  <c r="H356" i="6"/>
  <c r="F356" i="6"/>
  <c r="C356" i="6"/>
  <c r="AC355" i="6"/>
  <c r="AD355" i="6" s="1"/>
  <c r="AA355" i="6"/>
  <c r="W355" i="6"/>
  <c r="U355" i="6"/>
  <c r="R355" i="6"/>
  <c r="O355" i="6"/>
  <c r="N355" i="6"/>
  <c r="L355" i="6"/>
  <c r="H355" i="6"/>
  <c r="F355" i="6"/>
  <c r="C355" i="6"/>
  <c r="AC354" i="6"/>
  <c r="AD354" i="6" s="1"/>
  <c r="AA354" i="6"/>
  <c r="W354" i="6"/>
  <c r="X354" i="6" s="1"/>
  <c r="U354" i="6"/>
  <c r="R354" i="6"/>
  <c r="O354" i="6"/>
  <c r="N354" i="6"/>
  <c r="L354" i="6"/>
  <c r="H354" i="6"/>
  <c r="F354" i="6"/>
  <c r="C354" i="6"/>
  <c r="AC353" i="6"/>
  <c r="AD353" i="6" s="1"/>
  <c r="AA353" i="6"/>
  <c r="X353" i="6"/>
  <c r="W353" i="6"/>
  <c r="U353" i="6"/>
  <c r="R353" i="6"/>
  <c r="O353" i="6"/>
  <c r="N353" i="6"/>
  <c r="L353" i="6"/>
  <c r="H353" i="6"/>
  <c r="F353" i="6"/>
  <c r="C353" i="6"/>
  <c r="AC352" i="6"/>
  <c r="AD352" i="6" s="1"/>
  <c r="AA352" i="6"/>
  <c r="X352" i="6"/>
  <c r="W352" i="6"/>
  <c r="U352" i="6"/>
  <c r="R352" i="6"/>
  <c r="N352" i="6"/>
  <c r="O352" i="6" s="1"/>
  <c r="L352" i="6"/>
  <c r="H352" i="6"/>
  <c r="F352" i="6"/>
  <c r="C352" i="6"/>
  <c r="AC351" i="6"/>
  <c r="AD351" i="6" s="1"/>
  <c r="AA351" i="6"/>
  <c r="W351" i="6"/>
  <c r="U351" i="6"/>
  <c r="R351" i="6"/>
  <c r="O351" i="6"/>
  <c r="N351" i="6"/>
  <c r="L351" i="6"/>
  <c r="H351" i="6"/>
  <c r="F351" i="6"/>
  <c r="C351" i="6"/>
  <c r="AC350" i="6"/>
  <c r="AD350" i="6" s="1"/>
  <c r="AA350" i="6"/>
  <c r="X350" i="6"/>
  <c r="W350" i="6"/>
  <c r="U350" i="6"/>
  <c r="R350" i="6"/>
  <c r="O350" i="6"/>
  <c r="N350" i="6"/>
  <c r="L350" i="6"/>
  <c r="H350" i="6"/>
  <c r="F350" i="6"/>
  <c r="C350" i="6"/>
  <c r="AC349" i="6"/>
  <c r="AD349" i="6" s="1"/>
  <c r="AA349" i="6"/>
  <c r="X349" i="6"/>
  <c r="W349" i="6"/>
  <c r="U349" i="6"/>
  <c r="R349" i="6"/>
  <c r="O349" i="6"/>
  <c r="N349" i="6"/>
  <c r="L349" i="6"/>
  <c r="H349" i="6"/>
  <c r="F349" i="6"/>
  <c r="C349" i="6"/>
  <c r="AD347" i="6"/>
  <c r="AC347" i="6"/>
  <c r="AA347" i="6"/>
  <c r="W347" i="6"/>
  <c r="U347" i="6"/>
  <c r="R347" i="6"/>
  <c r="N347" i="6"/>
  <c r="O347" i="6" s="1"/>
  <c r="L347" i="6"/>
  <c r="H347" i="6"/>
  <c r="F347" i="6"/>
  <c r="C347" i="6"/>
  <c r="AC344" i="6"/>
  <c r="AD344" i="6" s="1"/>
  <c r="Z344" i="6"/>
  <c r="AA344" i="6" s="1"/>
  <c r="T344" i="6"/>
  <c r="U344" i="6" s="1"/>
  <c r="Q344" i="6"/>
  <c r="R344" i="6" s="1"/>
  <c r="K344" i="6"/>
  <c r="L344" i="6" s="1"/>
  <c r="F344" i="6"/>
  <c r="E344" i="6"/>
  <c r="B344" i="6"/>
  <c r="N344" i="6" s="1"/>
  <c r="O344" i="6" s="1"/>
  <c r="AC343" i="6"/>
  <c r="AD343" i="6" s="1"/>
  <c r="AA343" i="6"/>
  <c r="Z343" i="6"/>
  <c r="T343" i="6"/>
  <c r="U343" i="6" s="1"/>
  <c r="Q343" i="6"/>
  <c r="R343" i="6" s="1"/>
  <c r="L343" i="6"/>
  <c r="K343" i="6"/>
  <c r="E343" i="6"/>
  <c r="F343" i="6" s="1"/>
  <c r="C343" i="6"/>
  <c r="B343" i="6"/>
  <c r="Z342" i="6"/>
  <c r="AA342" i="6" s="1"/>
  <c r="U342" i="6"/>
  <c r="T342" i="6"/>
  <c r="Q342" i="6"/>
  <c r="K342" i="6"/>
  <c r="L342" i="6" s="1"/>
  <c r="F342" i="6"/>
  <c r="E342" i="6"/>
  <c r="B342" i="6"/>
  <c r="AD341" i="6"/>
  <c r="AC341" i="6"/>
  <c r="AA341" i="6"/>
  <c r="W341" i="6"/>
  <c r="X341" i="6" s="1"/>
  <c r="U341" i="6"/>
  <c r="R341" i="6"/>
  <c r="O341" i="6"/>
  <c r="N341" i="6"/>
  <c r="L341" i="6"/>
  <c r="H341" i="6"/>
  <c r="F341" i="6"/>
  <c r="C341" i="6"/>
  <c r="AC340" i="6"/>
  <c r="AD340" i="6" s="1"/>
  <c r="AA340" i="6"/>
  <c r="X340" i="6"/>
  <c r="W340" i="6"/>
  <c r="U340" i="6"/>
  <c r="R340" i="6"/>
  <c r="O340" i="6"/>
  <c r="N340" i="6"/>
  <c r="L340" i="6"/>
  <c r="H340" i="6"/>
  <c r="I340" i="6" s="1"/>
  <c r="F340" i="6"/>
  <c r="C340" i="6"/>
  <c r="AD339" i="6"/>
  <c r="AC339" i="6"/>
  <c r="AA339" i="6"/>
  <c r="X339" i="6"/>
  <c r="W339" i="6"/>
  <c r="U339" i="6"/>
  <c r="R339" i="6"/>
  <c r="N339" i="6"/>
  <c r="O339" i="6" s="1"/>
  <c r="L339" i="6"/>
  <c r="H339" i="6"/>
  <c r="F339" i="6"/>
  <c r="C339" i="6"/>
  <c r="AD338" i="6"/>
  <c r="AC338" i="6"/>
  <c r="AA338" i="6"/>
  <c r="X338" i="6"/>
  <c r="W338" i="6"/>
  <c r="U338" i="6"/>
  <c r="R338" i="6"/>
  <c r="O338" i="6"/>
  <c r="N338" i="6"/>
  <c r="L338" i="6"/>
  <c r="H338" i="6"/>
  <c r="I338" i="6" s="1"/>
  <c r="F338" i="6"/>
  <c r="C338" i="6"/>
  <c r="AD337" i="6"/>
  <c r="AC337" i="6"/>
  <c r="AA337" i="6"/>
  <c r="W337" i="6"/>
  <c r="X337" i="6" s="1"/>
  <c r="U337" i="6"/>
  <c r="R337" i="6"/>
  <c r="N337" i="6"/>
  <c r="O337" i="6" s="1"/>
  <c r="L337" i="6"/>
  <c r="H337" i="6"/>
  <c r="F337" i="6"/>
  <c r="C337" i="6"/>
  <c r="AC335" i="6"/>
  <c r="AD335" i="6" s="1"/>
  <c r="AA335" i="6"/>
  <c r="W335" i="6"/>
  <c r="X335" i="6" s="1"/>
  <c r="U335" i="6"/>
  <c r="R335" i="6"/>
  <c r="O335" i="6"/>
  <c r="N335" i="6"/>
  <c r="L335" i="6"/>
  <c r="H335" i="6"/>
  <c r="I335" i="6" s="1"/>
  <c r="F335" i="6"/>
  <c r="C335" i="6"/>
  <c r="AC334" i="6"/>
  <c r="AD334" i="6" s="1"/>
  <c r="AA334" i="6"/>
  <c r="W334" i="6"/>
  <c r="X334" i="6" s="1"/>
  <c r="U334" i="6"/>
  <c r="R334" i="6"/>
  <c r="O334" i="6"/>
  <c r="N334" i="6"/>
  <c r="L334" i="6"/>
  <c r="H334" i="6"/>
  <c r="F334" i="6"/>
  <c r="C334" i="6"/>
  <c r="AC333" i="6"/>
  <c r="AD333" i="6" s="1"/>
  <c r="AA333" i="6"/>
  <c r="W333" i="6"/>
  <c r="U333" i="6"/>
  <c r="R333" i="6"/>
  <c r="N333" i="6"/>
  <c r="O333" i="6" s="1"/>
  <c r="L333" i="6"/>
  <c r="H333" i="6"/>
  <c r="F333" i="6"/>
  <c r="C333" i="6"/>
  <c r="AC332" i="6"/>
  <c r="AD332" i="6" s="1"/>
  <c r="AA332" i="6"/>
  <c r="W332" i="6"/>
  <c r="X332" i="6" s="1"/>
  <c r="U332" i="6"/>
  <c r="R332" i="6"/>
  <c r="O332" i="6"/>
  <c r="N332" i="6"/>
  <c r="L332" i="6"/>
  <c r="I332" i="6"/>
  <c r="H332" i="6"/>
  <c r="F332" i="6"/>
  <c r="C332" i="6"/>
  <c r="AC331" i="6"/>
  <c r="AD331" i="6" s="1"/>
  <c r="AA331" i="6"/>
  <c r="W331" i="6"/>
  <c r="X331" i="6" s="1"/>
  <c r="U331" i="6"/>
  <c r="R331" i="6"/>
  <c r="O331" i="6"/>
  <c r="N331" i="6"/>
  <c r="L331" i="6"/>
  <c r="H331" i="6"/>
  <c r="F331" i="6"/>
  <c r="C331" i="6"/>
  <c r="AC330" i="6"/>
  <c r="AD330" i="6" s="1"/>
  <c r="AA330" i="6"/>
  <c r="W330" i="6"/>
  <c r="X330" i="6" s="1"/>
  <c r="U330" i="6"/>
  <c r="R330" i="6"/>
  <c r="N330" i="6"/>
  <c r="O330" i="6" s="1"/>
  <c r="L330" i="6"/>
  <c r="H330" i="6"/>
  <c r="F330" i="6"/>
  <c r="C330" i="6"/>
  <c r="AD329" i="6"/>
  <c r="AC329" i="6"/>
  <c r="AA329" i="6"/>
  <c r="X329" i="6"/>
  <c r="W329" i="6"/>
  <c r="U329" i="6"/>
  <c r="R329" i="6"/>
  <c r="N329" i="6"/>
  <c r="O329" i="6" s="1"/>
  <c r="L329" i="6"/>
  <c r="H329" i="6"/>
  <c r="I329" i="6" s="1"/>
  <c r="F329" i="6"/>
  <c r="C329" i="6"/>
  <c r="AC328" i="6"/>
  <c r="AD328" i="6" s="1"/>
  <c r="AA328" i="6"/>
  <c r="X328" i="6"/>
  <c r="W328" i="6"/>
  <c r="U328" i="6"/>
  <c r="R328" i="6"/>
  <c r="N328" i="6"/>
  <c r="O328" i="6" s="1"/>
  <c r="L328" i="6"/>
  <c r="H328" i="6"/>
  <c r="F328" i="6"/>
  <c r="C328" i="6"/>
  <c r="AC325" i="6"/>
  <c r="AD325" i="6" s="1"/>
  <c r="Z325" i="6"/>
  <c r="AA325" i="6" s="1"/>
  <c r="T325" i="6"/>
  <c r="U325" i="6" s="1"/>
  <c r="Q325" i="6"/>
  <c r="R325" i="6" s="1"/>
  <c r="K325" i="6"/>
  <c r="L325" i="6" s="1"/>
  <c r="E325" i="6"/>
  <c r="F325" i="6" s="1"/>
  <c r="B325" i="6"/>
  <c r="AA324" i="6"/>
  <c r="Z324" i="6"/>
  <c r="AC324" i="6" s="1"/>
  <c r="AD324" i="6" s="1"/>
  <c r="W324" i="6"/>
  <c r="X324" i="6" s="1"/>
  <c r="U324" i="6"/>
  <c r="T324" i="6"/>
  <c r="R324" i="6"/>
  <c r="Q324" i="6"/>
  <c r="K324" i="6"/>
  <c r="L324" i="6" s="1"/>
  <c r="H324" i="6"/>
  <c r="F324" i="6"/>
  <c r="E324" i="6"/>
  <c r="B324" i="6"/>
  <c r="C324" i="6" s="1"/>
  <c r="AC323" i="6"/>
  <c r="AD323" i="6" s="1"/>
  <c r="AA323" i="6"/>
  <c r="X323" i="6"/>
  <c r="W323" i="6"/>
  <c r="U323" i="6"/>
  <c r="R323" i="6"/>
  <c r="O323" i="6"/>
  <c r="N323" i="6"/>
  <c r="L323" i="6"/>
  <c r="H323" i="6"/>
  <c r="I323" i="6" s="1"/>
  <c r="F323" i="6"/>
  <c r="C323" i="6"/>
  <c r="AD322" i="6"/>
  <c r="AC322" i="6"/>
  <c r="AA322" i="6"/>
  <c r="W322" i="6"/>
  <c r="X322" i="6" s="1"/>
  <c r="U322" i="6"/>
  <c r="R322" i="6"/>
  <c r="O322" i="6"/>
  <c r="N322" i="6"/>
  <c r="L322" i="6"/>
  <c r="H322" i="6"/>
  <c r="F322" i="6"/>
  <c r="C322" i="6"/>
  <c r="AD321" i="6"/>
  <c r="AC321" i="6"/>
  <c r="AA321" i="6"/>
  <c r="X321" i="6"/>
  <c r="W321" i="6"/>
  <c r="U321" i="6"/>
  <c r="R321" i="6"/>
  <c r="N321" i="6"/>
  <c r="O321" i="6" s="1"/>
  <c r="L321" i="6"/>
  <c r="H321" i="6"/>
  <c r="I321" i="6" s="1"/>
  <c r="F321" i="6"/>
  <c r="C321" i="6"/>
  <c r="AC320" i="6"/>
  <c r="AD320" i="6" s="1"/>
  <c r="AA320" i="6"/>
  <c r="W320" i="6"/>
  <c r="X320" i="6" s="1"/>
  <c r="U320" i="6"/>
  <c r="R320" i="6"/>
  <c r="N320" i="6"/>
  <c r="O320" i="6" s="1"/>
  <c r="L320" i="6"/>
  <c r="H320" i="6"/>
  <c r="F320" i="6"/>
  <c r="C320" i="6"/>
  <c r="AC319" i="6"/>
  <c r="AD319" i="6" s="1"/>
  <c r="AA319" i="6"/>
  <c r="X319" i="6"/>
  <c r="W319" i="6"/>
  <c r="U319" i="6"/>
  <c r="R319" i="6"/>
  <c r="O319" i="6"/>
  <c r="N319" i="6"/>
  <c r="L319" i="6"/>
  <c r="H319" i="6"/>
  <c r="F319" i="6"/>
  <c r="C319" i="6"/>
  <c r="AC318" i="6"/>
  <c r="AD318" i="6" s="1"/>
  <c r="AA318" i="6"/>
  <c r="W318" i="6"/>
  <c r="X318" i="6" s="1"/>
  <c r="U318" i="6"/>
  <c r="R318" i="6"/>
  <c r="O318" i="6"/>
  <c r="N318" i="6"/>
  <c r="L318" i="6"/>
  <c r="H318" i="6"/>
  <c r="F318" i="6"/>
  <c r="C318" i="6"/>
  <c r="AD317" i="6"/>
  <c r="AC317" i="6"/>
  <c r="AA317" i="6"/>
  <c r="X317" i="6"/>
  <c r="W317" i="6"/>
  <c r="U317" i="6"/>
  <c r="R317" i="6"/>
  <c r="N317" i="6"/>
  <c r="O317" i="6" s="1"/>
  <c r="L317" i="6"/>
  <c r="H317" i="6"/>
  <c r="I317" i="6" s="1"/>
  <c r="F317" i="6"/>
  <c r="C317" i="6"/>
  <c r="AC316" i="6"/>
  <c r="AD316" i="6" s="1"/>
  <c r="AA316" i="6"/>
  <c r="W316" i="6"/>
  <c r="X316" i="6" s="1"/>
  <c r="U316" i="6"/>
  <c r="R316" i="6"/>
  <c r="O316" i="6"/>
  <c r="N316" i="6"/>
  <c r="L316" i="6"/>
  <c r="H316" i="6"/>
  <c r="I316" i="6" s="1"/>
  <c r="F316" i="6"/>
  <c r="C316" i="6"/>
  <c r="AC315" i="6"/>
  <c r="AD315" i="6" s="1"/>
  <c r="AA315" i="6"/>
  <c r="W315" i="6"/>
  <c r="X315" i="6" s="1"/>
  <c r="U315" i="6"/>
  <c r="R315" i="6"/>
  <c r="O315" i="6"/>
  <c r="N315" i="6"/>
  <c r="L315" i="6"/>
  <c r="H315" i="6"/>
  <c r="F315" i="6"/>
  <c r="C315" i="6"/>
  <c r="AC314" i="6"/>
  <c r="AD314" i="6" s="1"/>
  <c r="AA314" i="6"/>
  <c r="W314" i="6"/>
  <c r="X314" i="6" s="1"/>
  <c r="U314" i="6"/>
  <c r="R314" i="6"/>
  <c r="O314" i="6"/>
  <c r="N314" i="6"/>
  <c r="L314" i="6"/>
  <c r="H314" i="6"/>
  <c r="I314" i="6" s="1"/>
  <c r="F314" i="6"/>
  <c r="C314" i="6"/>
  <c r="AC313" i="6"/>
  <c r="AD313" i="6" s="1"/>
  <c r="AA313" i="6"/>
  <c r="X313" i="6"/>
  <c r="W313" i="6"/>
  <c r="U313" i="6"/>
  <c r="R313" i="6"/>
  <c r="O313" i="6"/>
  <c r="N313" i="6"/>
  <c r="L313" i="6"/>
  <c r="H313" i="6"/>
  <c r="I313" i="6" s="1"/>
  <c r="F313" i="6"/>
  <c r="C313" i="6"/>
  <c r="AD312" i="6"/>
  <c r="AC312" i="6"/>
  <c r="AA312" i="6"/>
  <c r="W312" i="6"/>
  <c r="X312" i="6" s="1"/>
  <c r="U312" i="6"/>
  <c r="R312" i="6"/>
  <c r="N312" i="6"/>
  <c r="O312" i="6" s="1"/>
  <c r="L312" i="6"/>
  <c r="H312" i="6"/>
  <c r="F312" i="6"/>
  <c r="C312" i="6"/>
  <c r="AC311" i="6"/>
  <c r="AD311" i="6" s="1"/>
  <c r="AA311" i="6"/>
  <c r="W311" i="6"/>
  <c r="X311" i="6" s="1"/>
  <c r="U311" i="6"/>
  <c r="R311" i="6"/>
  <c r="O311" i="6"/>
  <c r="N311" i="6"/>
  <c r="L311" i="6"/>
  <c r="H311" i="6"/>
  <c r="F311" i="6"/>
  <c r="C311" i="6"/>
  <c r="AC310" i="6"/>
  <c r="AD310" i="6" s="1"/>
  <c r="AA310" i="6"/>
  <c r="W310" i="6"/>
  <c r="X310" i="6" s="1"/>
  <c r="U310" i="6"/>
  <c r="R310" i="6"/>
  <c r="N310" i="6"/>
  <c r="O310" i="6" s="1"/>
  <c r="L310" i="6"/>
  <c r="H310" i="6"/>
  <c r="F310" i="6"/>
  <c r="C310" i="6"/>
  <c r="AC309" i="6"/>
  <c r="AD309" i="6" s="1"/>
  <c r="AA309" i="6"/>
  <c r="X309" i="6"/>
  <c r="W309" i="6"/>
  <c r="U309" i="6"/>
  <c r="R309" i="6"/>
  <c r="N309" i="6"/>
  <c r="O309" i="6" s="1"/>
  <c r="L309" i="6"/>
  <c r="H309" i="6"/>
  <c r="F309" i="6"/>
  <c r="C309" i="6"/>
  <c r="AC308" i="6"/>
  <c r="AD308" i="6" s="1"/>
  <c r="AA308" i="6"/>
  <c r="X308" i="6"/>
  <c r="W308" i="6"/>
  <c r="U308" i="6"/>
  <c r="R308" i="6"/>
  <c r="O308" i="6"/>
  <c r="N308" i="6"/>
  <c r="L308" i="6"/>
  <c r="H308" i="6"/>
  <c r="F308" i="6"/>
  <c r="C308" i="6"/>
  <c r="AC307" i="6"/>
  <c r="AD307" i="6" s="1"/>
  <c r="AA307" i="6"/>
  <c r="W307" i="6"/>
  <c r="X307" i="6" s="1"/>
  <c r="U307" i="6"/>
  <c r="R307" i="6"/>
  <c r="O307" i="6"/>
  <c r="N307" i="6"/>
  <c r="L307" i="6"/>
  <c r="I307" i="6"/>
  <c r="H307" i="6"/>
  <c r="F307" i="6"/>
  <c r="C307" i="6"/>
  <c r="AD306" i="6"/>
  <c r="AC306" i="6"/>
  <c r="AA306" i="6"/>
  <c r="X306" i="6"/>
  <c r="W306" i="6"/>
  <c r="U306" i="6"/>
  <c r="R306" i="6"/>
  <c r="N306" i="6"/>
  <c r="O306" i="6" s="1"/>
  <c r="L306" i="6"/>
  <c r="H306" i="6"/>
  <c r="F306" i="6"/>
  <c r="C306" i="6"/>
  <c r="AC305" i="6"/>
  <c r="AD305" i="6" s="1"/>
  <c r="AA305" i="6"/>
  <c r="X305" i="6"/>
  <c r="W305" i="6"/>
  <c r="U305" i="6"/>
  <c r="R305" i="6"/>
  <c r="O305" i="6"/>
  <c r="N305" i="6"/>
  <c r="L305" i="6"/>
  <c r="H305" i="6"/>
  <c r="I305" i="6" s="1"/>
  <c r="F305" i="6"/>
  <c r="C305" i="6"/>
  <c r="AD304" i="6"/>
  <c r="AC304" i="6"/>
  <c r="AA304" i="6"/>
  <c r="X304" i="6"/>
  <c r="W304" i="6"/>
  <c r="U304" i="6"/>
  <c r="R304" i="6"/>
  <c r="N304" i="6"/>
  <c r="O304" i="6" s="1"/>
  <c r="L304" i="6"/>
  <c r="H304" i="6"/>
  <c r="F304" i="6"/>
  <c r="C304" i="6"/>
  <c r="AC303" i="6"/>
  <c r="AD303" i="6" s="1"/>
  <c r="AA303" i="6"/>
  <c r="W303" i="6"/>
  <c r="X303" i="6" s="1"/>
  <c r="U303" i="6"/>
  <c r="R303" i="6"/>
  <c r="O303" i="6"/>
  <c r="N303" i="6"/>
  <c r="L303" i="6"/>
  <c r="H303" i="6"/>
  <c r="F303" i="6"/>
  <c r="C303" i="6"/>
  <c r="AD302" i="6"/>
  <c r="AC302" i="6"/>
  <c r="AA302" i="6"/>
  <c r="W302" i="6"/>
  <c r="X302" i="6" s="1"/>
  <c r="U302" i="6"/>
  <c r="R302" i="6"/>
  <c r="N302" i="6"/>
  <c r="O302" i="6" s="1"/>
  <c r="L302" i="6"/>
  <c r="H302" i="6"/>
  <c r="F302" i="6"/>
  <c r="C302" i="6"/>
  <c r="AC301" i="6"/>
  <c r="AD301" i="6" s="1"/>
  <c r="AA301" i="6"/>
  <c r="X301" i="6"/>
  <c r="W301" i="6"/>
  <c r="U301" i="6"/>
  <c r="R301" i="6"/>
  <c r="N301" i="6"/>
  <c r="O301" i="6" s="1"/>
  <c r="L301" i="6"/>
  <c r="H301" i="6"/>
  <c r="F301" i="6"/>
  <c r="C301" i="6"/>
  <c r="AC300" i="6"/>
  <c r="AD300" i="6" s="1"/>
  <c r="AA300" i="6"/>
  <c r="W300" i="6"/>
  <c r="X300" i="6" s="1"/>
  <c r="U300" i="6"/>
  <c r="R300" i="6"/>
  <c r="O300" i="6"/>
  <c r="N300" i="6"/>
  <c r="L300" i="6"/>
  <c r="H300" i="6"/>
  <c r="F300" i="6"/>
  <c r="C300" i="6"/>
  <c r="AC299" i="6"/>
  <c r="AD299" i="6" s="1"/>
  <c r="AA299" i="6"/>
  <c r="W299" i="6"/>
  <c r="X299" i="6" s="1"/>
  <c r="U299" i="6"/>
  <c r="R299" i="6"/>
  <c r="O299" i="6"/>
  <c r="N299" i="6"/>
  <c r="L299" i="6"/>
  <c r="H299" i="6"/>
  <c r="F299" i="6"/>
  <c r="C299" i="6"/>
  <c r="AD298" i="6"/>
  <c r="AC298" i="6"/>
  <c r="AA298" i="6"/>
  <c r="X298" i="6"/>
  <c r="W298" i="6"/>
  <c r="U298" i="6"/>
  <c r="R298" i="6"/>
  <c r="N298" i="6"/>
  <c r="O298" i="6" s="1"/>
  <c r="L298" i="6"/>
  <c r="H298" i="6"/>
  <c r="F298" i="6"/>
  <c r="C298" i="6"/>
  <c r="AC297" i="6"/>
  <c r="AD297" i="6" s="1"/>
  <c r="AA297" i="6"/>
  <c r="X297" i="6"/>
  <c r="W297" i="6"/>
  <c r="U297" i="6"/>
  <c r="R297" i="6"/>
  <c r="O297" i="6"/>
  <c r="N297" i="6"/>
  <c r="L297" i="6"/>
  <c r="H297" i="6"/>
  <c r="F297" i="6"/>
  <c r="C297" i="6"/>
  <c r="Z295" i="6"/>
  <c r="AA295" i="6" s="1"/>
  <c r="W295" i="6"/>
  <c r="X295" i="6" s="1"/>
  <c r="T295" i="6"/>
  <c r="U295" i="6" s="1"/>
  <c r="Q295" i="6"/>
  <c r="R295" i="6" s="1"/>
  <c r="K295" i="6"/>
  <c r="L295" i="6" s="1"/>
  <c r="F295" i="6"/>
  <c r="E295" i="6"/>
  <c r="B295" i="6"/>
  <c r="AC294" i="6"/>
  <c r="AD294" i="6" s="1"/>
  <c r="AA294" i="6"/>
  <c r="X294" i="6"/>
  <c r="W294" i="6"/>
  <c r="U294" i="6"/>
  <c r="R294" i="6"/>
  <c r="O294" i="6"/>
  <c r="N294" i="6"/>
  <c r="L294" i="6"/>
  <c r="H294" i="6"/>
  <c r="I294" i="6" s="1"/>
  <c r="F294" i="6"/>
  <c r="C294" i="6"/>
  <c r="AD293" i="6"/>
  <c r="AC293" i="6"/>
  <c r="AA293" i="6"/>
  <c r="W293" i="6"/>
  <c r="X293" i="6" s="1"/>
  <c r="U293" i="6"/>
  <c r="R293" i="6"/>
  <c r="N293" i="6"/>
  <c r="O293" i="6" s="1"/>
  <c r="L293" i="6"/>
  <c r="H293" i="6"/>
  <c r="F293" i="6"/>
  <c r="C293" i="6"/>
  <c r="AC292" i="6"/>
  <c r="AD292" i="6" s="1"/>
  <c r="AA292" i="6"/>
  <c r="X292" i="6"/>
  <c r="W292" i="6"/>
  <c r="U292" i="6"/>
  <c r="R292" i="6"/>
  <c r="O292" i="6"/>
  <c r="N292" i="6"/>
  <c r="L292" i="6"/>
  <c r="H292" i="6"/>
  <c r="I292" i="6" s="1"/>
  <c r="F292" i="6"/>
  <c r="C292" i="6"/>
  <c r="AC291" i="6"/>
  <c r="AD291" i="6" s="1"/>
  <c r="AA291" i="6"/>
  <c r="X291" i="6"/>
  <c r="W291" i="6"/>
  <c r="U291" i="6"/>
  <c r="R291" i="6"/>
  <c r="N291" i="6"/>
  <c r="O291" i="6" s="1"/>
  <c r="L291" i="6"/>
  <c r="H291" i="6"/>
  <c r="F291" i="6"/>
  <c r="C291" i="6"/>
  <c r="AC290" i="6"/>
  <c r="AD290" i="6" s="1"/>
  <c r="AA290" i="6"/>
  <c r="W290" i="6"/>
  <c r="X290" i="6" s="1"/>
  <c r="U290" i="6"/>
  <c r="R290" i="6"/>
  <c r="O290" i="6"/>
  <c r="N290" i="6"/>
  <c r="L290" i="6"/>
  <c r="I290" i="6"/>
  <c r="H290" i="6"/>
  <c r="F290" i="6"/>
  <c r="C290" i="6"/>
  <c r="AC289" i="6"/>
  <c r="AD289" i="6" s="1"/>
  <c r="AA289" i="6"/>
  <c r="W289" i="6"/>
  <c r="X289" i="6" s="1"/>
  <c r="U289" i="6"/>
  <c r="R289" i="6"/>
  <c r="N289" i="6"/>
  <c r="O289" i="6" s="1"/>
  <c r="L289" i="6"/>
  <c r="H289" i="6"/>
  <c r="F289" i="6"/>
  <c r="C289" i="6"/>
  <c r="AD288" i="6"/>
  <c r="AC288" i="6"/>
  <c r="AA288" i="6"/>
  <c r="X288" i="6"/>
  <c r="W288" i="6"/>
  <c r="U288" i="6"/>
  <c r="R288" i="6"/>
  <c r="N288" i="6"/>
  <c r="O288" i="6" s="1"/>
  <c r="L288" i="6"/>
  <c r="H288" i="6"/>
  <c r="I288" i="6" s="1"/>
  <c r="F288" i="6"/>
  <c r="C288" i="6"/>
  <c r="AC287" i="6"/>
  <c r="AD287" i="6" s="1"/>
  <c r="AA287" i="6"/>
  <c r="W287" i="6"/>
  <c r="X287" i="6" s="1"/>
  <c r="U287" i="6"/>
  <c r="R287" i="6"/>
  <c r="N287" i="6"/>
  <c r="O287" i="6" s="1"/>
  <c r="L287" i="6"/>
  <c r="H287" i="6"/>
  <c r="I287" i="6" s="1"/>
  <c r="F287" i="6"/>
  <c r="C287" i="6"/>
  <c r="AC286" i="6"/>
  <c r="AD286" i="6" s="1"/>
  <c r="AA286" i="6"/>
  <c r="X286" i="6"/>
  <c r="W286" i="6"/>
  <c r="U286" i="6"/>
  <c r="R286" i="6"/>
  <c r="O286" i="6"/>
  <c r="N286" i="6"/>
  <c r="L286" i="6"/>
  <c r="H286" i="6"/>
  <c r="I286" i="6" s="1"/>
  <c r="F286" i="6"/>
  <c r="C286" i="6"/>
  <c r="Z284" i="6"/>
  <c r="AA284" i="6" s="1"/>
  <c r="U284" i="6"/>
  <c r="T284" i="6"/>
  <c r="R284" i="6"/>
  <c r="Q284" i="6"/>
  <c r="K284" i="6"/>
  <c r="L284" i="6" s="1"/>
  <c r="H284" i="6"/>
  <c r="F284" i="6"/>
  <c r="E284" i="6"/>
  <c r="B284" i="6"/>
  <c r="C284" i="6" s="1"/>
  <c r="AD283" i="6"/>
  <c r="AC283" i="6"/>
  <c r="AA283" i="6"/>
  <c r="X283" i="6"/>
  <c r="W283" i="6"/>
  <c r="U283" i="6"/>
  <c r="R283" i="6"/>
  <c r="N283" i="6"/>
  <c r="O283" i="6" s="1"/>
  <c r="L283" i="6"/>
  <c r="H283" i="6"/>
  <c r="I283" i="6" s="1"/>
  <c r="F283" i="6"/>
  <c r="C283" i="6"/>
  <c r="AC282" i="6"/>
  <c r="AD282" i="6" s="1"/>
  <c r="AA282" i="6"/>
  <c r="X282" i="6"/>
  <c r="W282" i="6"/>
  <c r="U282" i="6"/>
  <c r="R282" i="6"/>
  <c r="O282" i="6"/>
  <c r="N282" i="6"/>
  <c r="L282" i="6"/>
  <c r="H282" i="6"/>
  <c r="I282" i="6" s="1"/>
  <c r="F282" i="6"/>
  <c r="C282" i="6"/>
  <c r="AC281" i="6"/>
  <c r="AD281" i="6" s="1"/>
  <c r="AA281" i="6"/>
  <c r="W281" i="6"/>
  <c r="X281" i="6" s="1"/>
  <c r="U281" i="6"/>
  <c r="R281" i="6"/>
  <c r="O281" i="6"/>
  <c r="N281" i="6"/>
  <c r="L281" i="6"/>
  <c r="H281" i="6"/>
  <c r="F281" i="6"/>
  <c r="C281" i="6"/>
  <c r="AC280" i="6"/>
  <c r="AD280" i="6" s="1"/>
  <c r="AA280" i="6"/>
  <c r="X280" i="6"/>
  <c r="W280" i="6"/>
  <c r="U280" i="6"/>
  <c r="R280" i="6"/>
  <c r="O280" i="6"/>
  <c r="N280" i="6"/>
  <c r="L280" i="6"/>
  <c r="I280" i="6"/>
  <c r="H280" i="6"/>
  <c r="F280" i="6"/>
  <c r="C280" i="6"/>
  <c r="AC279" i="6"/>
  <c r="AD279" i="6" s="1"/>
  <c r="AA279" i="6"/>
  <c r="W279" i="6"/>
  <c r="X279" i="6" s="1"/>
  <c r="U279" i="6"/>
  <c r="R279" i="6"/>
  <c r="N279" i="6"/>
  <c r="O279" i="6" s="1"/>
  <c r="L279" i="6"/>
  <c r="H279" i="6"/>
  <c r="F279" i="6"/>
  <c r="C279" i="6"/>
  <c r="AC278" i="6"/>
  <c r="AD278" i="6" s="1"/>
  <c r="AA278" i="6"/>
  <c r="X278" i="6"/>
  <c r="W278" i="6"/>
  <c r="U278" i="6"/>
  <c r="R278" i="6"/>
  <c r="O278" i="6"/>
  <c r="N278" i="6"/>
  <c r="L278" i="6"/>
  <c r="H278" i="6"/>
  <c r="I278" i="6" s="1"/>
  <c r="F278" i="6"/>
  <c r="C278" i="6"/>
  <c r="AC277" i="6"/>
  <c r="AD277" i="6" s="1"/>
  <c r="AA277" i="6"/>
  <c r="W277" i="6"/>
  <c r="X277" i="6" s="1"/>
  <c r="U277" i="6"/>
  <c r="R277" i="6"/>
  <c r="N277" i="6"/>
  <c r="O277" i="6" s="1"/>
  <c r="L277" i="6"/>
  <c r="H277" i="6"/>
  <c r="I277" i="6" s="1"/>
  <c r="F277" i="6"/>
  <c r="C277" i="6"/>
  <c r="AC276" i="6"/>
  <c r="AD276" i="6" s="1"/>
  <c r="AA276" i="6"/>
  <c r="X276" i="6"/>
  <c r="W276" i="6"/>
  <c r="U276" i="6"/>
  <c r="R276" i="6"/>
  <c r="N276" i="6"/>
  <c r="O276" i="6" s="1"/>
  <c r="L276" i="6"/>
  <c r="H276" i="6"/>
  <c r="I276" i="6" s="1"/>
  <c r="F276" i="6"/>
  <c r="C276" i="6"/>
  <c r="AD275" i="6"/>
  <c r="AC275" i="6"/>
  <c r="AA275" i="6"/>
  <c r="X275" i="6"/>
  <c r="W275" i="6"/>
  <c r="U275" i="6"/>
  <c r="R275" i="6"/>
  <c r="N275" i="6"/>
  <c r="O275" i="6" s="1"/>
  <c r="L275" i="6"/>
  <c r="H275" i="6"/>
  <c r="I275" i="6" s="1"/>
  <c r="F275" i="6"/>
  <c r="C275" i="6"/>
  <c r="Z273" i="6"/>
  <c r="AA273" i="6" s="1"/>
  <c r="T273" i="6"/>
  <c r="U273" i="6" s="1"/>
  <c r="Q273" i="6"/>
  <c r="R273" i="6" s="1"/>
  <c r="K273" i="6"/>
  <c r="L273" i="6" s="1"/>
  <c r="E273" i="6"/>
  <c r="F273" i="6" s="1"/>
  <c r="C273" i="6"/>
  <c r="B273" i="6"/>
  <c r="H273" i="6" s="1"/>
  <c r="I273" i="6" s="1"/>
  <c r="AC272" i="6"/>
  <c r="AD272" i="6" s="1"/>
  <c r="AA272" i="6"/>
  <c r="X272" i="6"/>
  <c r="W272" i="6"/>
  <c r="U272" i="6"/>
  <c r="R272" i="6"/>
  <c r="O272" i="6"/>
  <c r="N272" i="6"/>
  <c r="L272" i="6"/>
  <c r="I272" i="6"/>
  <c r="H272" i="6"/>
  <c r="F272" i="6"/>
  <c r="C272" i="6"/>
  <c r="AD271" i="6"/>
  <c r="AC271" i="6"/>
  <c r="AA271" i="6"/>
  <c r="X271" i="6"/>
  <c r="W271" i="6"/>
  <c r="U271" i="6"/>
  <c r="R271" i="6"/>
  <c r="O271" i="6"/>
  <c r="N271" i="6"/>
  <c r="L271" i="6"/>
  <c r="H271" i="6"/>
  <c r="I271" i="6" s="1"/>
  <c r="F271" i="6"/>
  <c r="C271" i="6"/>
  <c r="AC270" i="6"/>
  <c r="AD270" i="6" s="1"/>
  <c r="AA270" i="6"/>
  <c r="X270" i="6"/>
  <c r="W270" i="6"/>
  <c r="U270" i="6"/>
  <c r="R270" i="6"/>
  <c r="O270" i="6"/>
  <c r="N270" i="6"/>
  <c r="L270" i="6"/>
  <c r="H270" i="6"/>
  <c r="I270" i="6" s="1"/>
  <c r="F270" i="6"/>
  <c r="C270" i="6"/>
  <c r="AD269" i="6"/>
  <c r="AC269" i="6"/>
  <c r="AA269" i="6"/>
  <c r="W269" i="6"/>
  <c r="X269" i="6" s="1"/>
  <c r="U269" i="6"/>
  <c r="R269" i="6"/>
  <c r="N269" i="6"/>
  <c r="O269" i="6" s="1"/>
  <c r="L269" i="6"/>
  <c r="H269" i="6"/>
  <c r="F269" i="6"/>
  <c r="C269" i="6"/>
  <c r="Z267" i="6"/>
  <c r="AA267" i="6" s="1"/>
  <c r="W267" i="6"/>
  <c r="X267" i="6" s="1"/>
  <c r="T267" i="6"/>
  <c r="U267" i="6" s="1"/>
  <c r="Q267" i="6"/>
  <c r="R267" i="6" s="1"/>
  <c r="K267" i="6"/>
  <c r="L267" i="6" s="1"/>
  <c r="I267" i="6"/>
  <c r="E267" i="6"/>
  <c r="F267" i="6" s="1"/>
  <c r="C267" i="6"/>
  <c r="B267" i="6"/>
  <c r="H267" i="6" s="1"/>
  <c r="AC266" i="6"/>
  <c r="AD266" i="6" s="1"/>
  <c r="AA266" i="6"/>
  <c r="X266" i="6"/>
  <c r="W266" i="6"/>
  <c r="U266" i="6"/>
  <c r="R266" i="6"/>
  <c r="O266" i="6"/>
  <c r="N266" i="6"/>
  <c r="L266" i="6"/>
  <c r="H266" i="6"/>
  <c r="I266" i="6" s="1"/>
  <c r="F266" i="6"/>
  <c r="C266" i="6"/>
  <c r="AC265" i="6"/>
  <c r="AD265" i="6" s="1"/>
  <c r="AA265" i="6"/>
  <c r="W265" i="6"/>
  <c r="X265" i="6" s="1"/>
  <c r="U265" i="6"/>
  <c r="R265" i="6"/>
  <c r="N265" i="6"/>
  <c r="O265" i="6" s="1"/>
  <c r="L265" i="6"/>
  <c r="H265" i="6"/>
  <c r="F265" i="6"/>
  <c r="C265" i="6"/>
  <c r="Z263" i="6"/>
  <c r="AA263" i="6" s="1"/>
  <c r="U263" i="6"/>
  <c r="T263" i="6"/>
  <c r="R263" i="6"/>
  <c r="Q263" i="6"/>
  <c r="K263" i="6"/>
  <c r="L263" i="6" s="1"/>
  <c r="E263" i="6"/>
  <c r="C263" i="6"/>
  <c r="B263" i="6"/>
  <c r="AA262" i="6"/>
  <c r="Z262" i="6"/>
  <c r="AC262" i="6" s="1"/>
  <c r="AD262" i="6" s="1"/>
  <c r="U262" i="6"/>
  <c r="T262" i="6"/>
  <c r="W262" i="6" s="1"/>
  <c r="X262" i="6" s="1"/>
  <c r="Q262" i="6"/>
  <c r="R262" i="6" s="1"/>
  <c r="N262" i="6"/>
  <c r="O262" i="6" s="1"/>
  <c r="L262" i="6"/>
  <c r="K262" i="6"/>
  <c r="E262" i="6"/>
  <c r="B262" i="6"/>
  <c r="C262" i="6" s="1"/>
  <c r="AD261" i="6"/>
  <c r="AC261" i="6"/>
  <c r="AA261" i="6"/>
  <c r="X261" i="6"/>
  <c r="W261" i="6"/>
  <c r="U261" i="6"/>
  <c r="R261" i="6"/>
  <c r="N261" i="6"/>
  <c r="O261" i="6" s="1"/>
  <c r="L261" i="6"/>
  <c r="H261" i="6"/>
  <c r="F261" i="6"/>
  <c r="C261" i="6"/>
  <c r="AC260" i="6"/>
  <c r="AD260" i="6" s="1"/>
  <c r="AA260" i="6"/>
  <c r="X260" i="6"/>
  <c r="W260" i="6"/>
  <c r="U260" i="6"/>
  <c r="R260" i="6"/>
  <c r="O260" i="6"/>
  <c r="N260" i="6"/>
  <c r="L260" i="6"/>
  <c r="H260" i="6"/>
  <c r="F260" i="6"/>
  <c r="C260" i="6"/>
  <c r="AC259" i="6"/>
  <c r="AD259" i="6" s="1"/>
  <c r="AA259" i="6"/>
  <c r="W259" i="6"/>
  <c r="X259" i="6" s="1"/>
  <c r="U259" i="6"/>
  <c r="R259" i="6"/>
  <c r="O259" i="6"/>
  <c r="N259" i="6"/>
  <c r="L259" i="6"/>
  <c r="I259" i="6"/>
  <c r="H259" i="6"/>
  <c r="F259" i="6"/>
  <c r="C259" i="6"/>
  <c r="AD258" i="6"/>
  <c r="AC258" i="6"/>
  <c r="AA258" i="6"/>
  <c r="X258" i="6"/>
  <c r="W258" i="6"/>
  <c r="U258" i="6"/>
  <c r="R258" i="6"/>
  <c r="O258" i="6"/>
  <c r="N258" i="6"/>
  <c r="L258" i="6"/>
  <c r="H258" i="6"/>
  <c r="F258" i="6"/>
  <c r="C258" i="6"/>
  <c r="AC257" i="6"/>
  <c r="AD257" i="6" s="1"/>
  <c r="AA257" i="6"/>
  <c r="X257" i="6"/>
  <c r="W257" i="6"/>
  <c r="U257" i="6"/>
  <c r="R257" i="6"/>
  <c r="O257" i="6"/>
  <c r="N257" i="6"/>
  <c r="L257" i="6"/>
  <c r="H257" i="6"/>
  <c r="F257" i="6"/>
  <c r="C257" i="6"/>
  <c r="AC256" i="6"/>
  <c r="AD256" i="6" s="1"/>
  <c r="AA256" i="6"/>
  <c r="W256" i="6"/>
  <c r="X256" i="6" s="1"/>
  <c r="U256" i="6"/>
  <c r="R256" i="6"/>
  <c r="N256" i="6"/>
  <c r="O256" i="6" s="1"/>
  <c r="L256" i="6"/>
  <c r="H256" i="6"/>
  <c r="I256" i="6" s="1"/>
  <c r="F256" i="6"/>
  <c r="C256" i="6"/>
  <c r="AC255" i="6"/>
  <c r="AD255" i="6" s="1"/>
  <c r="AA255" i="6"/>
  <c r="X255" i="6"/>
  <c r="W255" i="6"/>
  <c r="U255" i="6"/>
  <c r="R255" i="6"/>
  <c r="O255" i="6"/>
  <c r="N255" i="6"/>
  <c r="L255" i="6"/>
  <c r="H255" i="6"/>
  <c r="I255" i="6" s="1"/>
  <c r="F255" i="6"/>
  <c r="C255" i="6"/>
  <c r="AC254" i="6"/>
  <c r="AD254" i="6" s="1"/>
  <c r="AA254" i="6"/>
  <c r="X254" i="6"/>
  <c r="W254" i="6"/>
  <c r="U254" i="6"/>
  <c r="R254" i="6"/>
  <c r="N254" i="6"/>
  <c r="O254" i="6" s="1"/>
  <c r="L254" i="6"/>
  <c r="H254" i="6"/>
  <c r="F254" i="6"/>
  <c r="C254" i="6"/>
  <c r="AD253" i="6"/>
  <c r="AC253" i="6"/>
  <c r="AA253" i="6"/>
  <c r="X253" i="6"/>
  <c r="W253" i="6"/>
  <c r="U253" i="6"/>
  <c r="R253" i="6"/>
  <c r="N253" i="6"/>
  <c r="O253" i="6" s="1"/>
  <c r="L253" i="6"/>
  <c r="H253" i="6"/>
  <c r="I253" i="6" s="1"/>
  <c r="F253" i="6"/>
  <c r="C253" i="6"/>
  <c r="AD252" i="6"/>
  <c r="AC252" i="6"/>
  <c r="AA252" i="6"/>
  <c r="X252" i="6"/>
  <c r="W252" i="6"/>
  <c r="U252" i="6"/>
  <c r="R252" i="6"/>
  <c r="N252" i="6"/>
  <c r="O252" i="6" s="1"/>
  <c r="L252" i="6"/>
  <c r="H252" i="6"/>
  <c r="I252" i="6" s="1"/>
  <c r="F252" i="6"/>
  <c r="C252" i="6"/>
  <c r="AC251" i="6"/>
  <c r="AD251" i="6" s="1"/>
  <c r="AA251" i="6"/>
  <c r="W251" i="6"/>
  <c r="X251" i="6" s="1"/>
  <c r="U251" i="6"/>
  <c r="R251" i="6"/>
  <c r="O251" i="6"/>
  <c r="N251" i="6"/>
  <c r="L251" i="6"/>
  <c r="H251" i="6"/>
  <c r="I251" i="6" s="1"/>
  <c r="F251" i="6"/>
  <c r="C251" i="6"/>
  <c r="AD250" i="6"/>
  <c r="AC250" i="6"/>
  <c r="AA250" i="6"/>
  <c r="X250" i="6"/>
  <c r="W250" i="6"/>
  <c r="U250" i="6"/>
  <c r="R250" i="6"/>
  <c r="O250" i="6"/>
  <c r="N250" i="6"/>
  <c r="L250" i="6"/>
  <c r="H250" i="6"/>
  <c r="F250" i="6"/>
  <c r="C250" i="6"/>
  <c r="AC249" i="6"/>
  <c r="AD249" i="6" s="1"/>
  <c r="AA249" i="6"/>
  <c r="X249" i="6"/>
  <c r="W249" i="6"/>
  <c r="U249" i="6"/>
  <c r="R249" i="6"/>
  <c r="N249" i="6"/>
  <c r="O249" i="6" s="1"/>
  <c r="L249" i="6"/>
  <c r="I249" i="6"/>
  <c r="H249" i="6"/>
  <c r="F249" i="6"/>
  <c r="C249" i="6"/>
  <c r="AD248" i="6"/>
  <c r="AC248" i="6"/>
  <c r="AA248" i="6"/>
  <c r="X248" i="6"/>
  <c r="W248" i="6"/>
  <c r="U248" i="6"/>
  <c r="R248" i="6"/>
  <c r="N248" i="6"/>
  <c r="O248" i="6" s="1"/>
  <c r="L248" i="6"/>
  <c r="H248" i="6"/>
  <c r="I248" i="6" s="1"/>
  <c r="F248" i="6"/>
  <c r="C248" i="6"/>
  <c r="AC247" i="6"/>
  <c r="AD247" i="6" s="1"/>
  <c r="AA247" i="6"/>
  <c r="X247" i="6"/>
  <c r="W247" i="6"/>
  <c r="U247" i="6"/>
  <c r="R247" i="6"/>
  <c r="O247" i="6"/>
  <c r="N247" i="6"/>
  <c r="L247" i="6"/>
  <c r="H247" i="6"/>
  <c r="I247" i="6" s="1"/>
  <c r="F247" i="6"/>
  <c r="C247" i="6"/>
  <c r="AC246" i="6"/>
  <c r="AD246" i="6" s="1"/>
  <c r="AA246" i="6"/>
  <c r="W246" i="6"/>
  <c r="X246" i="6" s="1"/>
  <c r="U246" i="6"/>
  <c r="R246" i="6"/>
  <c r="N246" i="6"/>
  <c r="O246" i="6" s="1"/>
  <c r="L246" i="6"/>
  <c r="H246" i="6"/>
  <c r="I246" i="6" s="1"/>
  <c r="F246" i="6"/>
  <c r="C246" i="6"/>
  <c r="AD245" i="6"/>
  <c r="AC245" i="6"/>
  <c r="AA245" i="6"/>
  <c r="X245" i="6"/>
  <c r="W245" i="6"/>
  <c r="U245" i="6"/>
  <c r="R245" i="6"/>
  <c r="N245" i="6"/>
  <c r="O245" i="6" s="1"/>
  <c r="L245" i="6"/>
  <c r="H245" i="6"/>
  <c r="I245" i="6" s="1"/>
  <c r="F245" i="6"/>
  <c r="C245" i="6"/>
  <c r="AC244" i="6"/>
  <c r="AD244" i="6" s="1"/>
  <c r="AA244" i="6"/>
  <c r="W244" i="6"/>
  <c r="X244" i="6" s="1"/>
  <c r="U244" i="6"/>
  <c r="R244" i="6"/>
  <c r="O244" i="6"/>
  <c r="N244" i="6"/>
  <c r="L244" i="6"/>
  <c r="H244" i="6"/>
  <c r="F244" i="6"/>
  <c r="C244" i="6"/>
  <c r="AC243" i="6"/>
  <c r="AD243" i="6" s="1"/>
  <c r="AA243" i="6"/>
  <c r="W243" i="6"/>
  <c r="X243" i="6" s="1"/>
  <c r="U243" i="6"/>
  <c r="R243" i="6"/>
  <c r="O243" i="6"/>
  <c r="N243" i="6"/>
  <c r="L243" i="6"/>
  <c r="I243" i="6"/>
  <c r="H243" i="6"/>
  <c r="F243" i="6"/>
  <c r="C243" i="6"/>
  <c r="AD242" i="6"/>
  <c r="AC242" i="6"/>
  <c r="AA242" i="6"/>
  <c r="W242" i="6"/>
  <c r="X242" i="6" s="1"/>
  <c r="U242" i="6"/>
  <c r="R242" i="6"/>
  <c r="N242" i="6"/>
  <c r="O242" i="6" s="1"/>
  <c r="L242" i="6"/>
  <c r="H242" i="6"/>
  <c r="I242" i="6" s="1"/>
  <c r="F242" i="6"/>
  <c r="C242" i="6"/>
  <c r="AC241" i="6"/>
  <c r="AD241" i="6" s="1"/>
  <c r="AA241" i="6"/>
  <c r="X241" i="6"/>
  <c r="W241" i="6"/>
  <c r="U241" i="6"/>
  <c r="R241" i="6"/>
  <c r="O241" i="6"/>
  <c r="N241" i="6"/>
  <c r="L241" i="6"/>
  <c r="H241" i="6"/>
  <c r="I241" i="6" s="1"/>
  <c r="F241" i="6"/>
  <c r="C241" i="6"/>
  <c r="AD240" i="6"/>
  <c r="AC240" i="6"/>
  <c r="AA240" i="6"/>
  <c r="W240" i="6"/>
  <c r="X240" i="6" s="1"/>
  <c r="U240" i="6"/>
  <c r="R240" i="6"/>
  <c r="O240" i="6"/>
  <c r="N240" i="6"/>
  <c r="L240" i="6"/>
  <c r="H240" i="6"/>
  <c r="I240" i="6" s="1"/>
  <c r="F240" i="6"/>
  <c r="C240" i="6"/>
  <c r="AC238" i="6"/>
  <c r="AD238" i="6" s="1"/>
  <c r="AA238" i="6"/>
  <c r="X238" i="6"/>
  <c r="W238" i="6"/>
  <c r="U238" i="6"/>
  <c r="R238" i="6"/>
  <c r="O238" i="6"/>
  <c r="N238" i="6"/>
  <c r="L238" i="6"/>
  <c r="I238" i="6"/>
  <c r="H238" i="6"/>
  <c r="F238" i="6"/>
  <c r="C238" i="6"/>
  <c r="Z236" i="6"/>
  <c r="AA236" i="6" s="1"/>
  <c r="T236" i="6"/>
  <c r="Q236" i="6"/>
  <c r="R236" i="6" s="1"/>
  <c r="L236" i="6"/>
  <c r="K236" i="6"/>
  <c r="I236" i="6"/>
  <c r="H236" i="6"/>
  <c r="F236" i="6"/>
  <c r="E236" i="6"/>
  <c r="B236" i="6"/>
  <c r="C236" i="6" s="1"/>
  <c r="AC235" i="6"/>
  <c r="AD235" i="6" s="1"/>
  <c r="AA235" i="6"/>
  <c r="W235" i="6"/>
  <c r="X235" i="6" s="1"/>
  <c r="U235" i="6"/>
  <c r="R235" i="6"/>
  <c r="O235" i="6"/>
  <c r="N235" i="6"/>
  <c r="L235" i="6"/>
  <c r="H235" i="6"/>
  <c r="I235" i="6" s="1"/>
  <c r="F235" i="6"/>
  <c r="C235" i="6"/>
  <c r="AC234" i="6"/>
  <c r="AD234" i="6" s="1"/>
  <c r="AA234" i="6"/>
  <c r="W234" i="6"/>
  <c r="X234" i="6" s="1"/>
  <c r="U234" i="6"/>
  <c r="R234" i="6"/>
  <c r="O234" i="6"/>
  <c r="N234" i="6"/>
  <c r="L234" i="6"/>
  <c r="H234" i="6"/>
  <c r="F234" i="6"/>
  <c r="C234" i="6"/>
  <c r="AD233" i="6"/>
  <c r="AC233" i="6"/>
  <c r="AA233" i="6"/>
  <c r="W233" i="6"/>
  <c r="X233" i="6" s="1"/>
  <c r="U233" i="6"/>
  <c r="R233" i="6"/>
  <c r="N233" i="6"/>
  <c r="O233" i="6" s="1"/>
  <c r="L233" i="6"/>
  <c r="H233" i="6"/>
  <c r="I233" i="6" s="1"/>
  <c r="F233" i="6"/>
  <c r="C233" i="6"/>
  <c r="AC232" i="6"/>
  <c r="AD232" i="6" s="1"/>
  <c r="AA232" i="6"/>
  <c r="X232" i="6"/>
  <c r="W232" i="6"/>
  <c r="U232" i="6"/>
  <c r="R232" i="6"/>
  <c r="O232" i="6"/>
  <c r="N232" i="6"/>
  <c r="L232" i="6"/>
  <c r="H232" i="6"/>
  <c r="I232" i="6" s="1"/>
  <c r="F232" i="6"/>
  <c r="C232" i="6"/>
  <c r="AC231" i="6"/>
  <c r="AD231" i="6" s="1"/>
  <c r="AA231" i="6"/>
  <c r="X231" i="6"/>
  <c r="W231" i="6"/>
  <c r="U231" i="6"/>
  <c r="R231" i="6"/>
  <c r="O231" i="6"/>
  <c r="N231" i="6"/>
  <c r="L231" i="6"/>
  <c r="H231" i="6"/>
  <c r="I231" i="6" s="1"/>
  <c r="F231" i="6"/>
  <c r="C231" i="6"/>
  <c r="AC230" i="6"/>
  <c r="AD230" i="6" s="1"/>
  <c r="AA230" i="6"/>
  <c r="W230" i="6"/>
  <c r="X230" i="6" s="1"/>
  <c r="U230" i="6"/>
  <c r="R230" i="6"/>
  <c r="O230" i="6"/>
  <c r="N230" i="6"/>
  <c r="L230" i="6"/>
  <c r="I230" i="6"/>
  <c r="H230" i="6"/>
  <c r="F230" i="6"/>
  <c r="C230" i="6"/>
  <c r="AD229" i="6"/>
  <c r="AC229" i="6"/>
  <c r="AA229" i="6"/>
  <c r="X229" i="6"/>
  <c r="W229" i="6"/>
  <c r="U229" i="6"/>
  <c r="R229" i="6"/>
  <c r="N229" i="6"/>
  <c r="O229" i="6" s="1"/>
  <c r="L229" i="6"/>
  <c r="H229" i="6"/>
  <c r="I229" i="6" s="1"/>
  <c r="F229" i="6"/>
  <c r="C229" i="6"/>
  <c r="Z227" i="6"/>
  <c r="AC227" i="6" s="1"/>
  <c r="AD227" i="6" s="1"/>
  <c r="U227" i="6"/>
  <c r="T227" i="6"/>
  <c r="W227" i="6" s="1"/>
  <c r="X227" i="6" s="1"/>
  <c r="R227" i="6"/>
  <c r="Q227" i="6"/>
  <c r="K227" i="6"/>
  <c r="L227" i="6" s="1"/>
  <c r="H227" i="6"/>
  <c r="I227" i="6" s="1"/>
  <c r="F227" i="6"/>
  <c r="E227" i="6"/>
  <c r="B227" i="6"/>
  <c r="C227" i="6" s="1"/>
  <c r="AC226" i="6"/>
  <c r="AD226" i="6" s="1"/>
  <c r="AA226" i="6"/>
  <c r="W226" i="6"/>
  <c r="X226" i="6" s="1"/>
  <c r="U226" i="6"/>
  <c r="R226" i="6"/>
  <c r="O226" i="6"/>
  <c r="N226" i="6"/>
  <c r="L226" i="6"/>
  <c r="H226" i="6"/>
  <c r="F226" i="6"/>
  <c r="C226" i="6"/>
  <c r="AD225" i="6"/>
  <c r="AC225" i="6"/>
  <c r="AA225" i="6"/>
  <c r="W225" i="6"/>
  <c r="X225" i="6" s="1"/>
  <c r="U225" i="6"/>
  <c r="R225" i="6"/>
  <c r="N225" i="6"/>
  <c r="O225" i="6" s="1"/>
  <c r="L225" i="6"/>
  <c r="H225" i="6"/>
  <c r="F225" i="6"/>
  <c r="C225" i="6"/>
  <c r="AC224" i="6"/>
  <c r="AD224" i="6" s="1"/>
  <c r="AA224" i="6"/>
  <c r="X224" i="6"/>
  <c r="W224" i="6"/>
  <c r="U224" i="6"/>
  <c r="R224" i="6"/>
  <c r="O224" i="6"/>
  <c r="N224" i="6"/>
  <c r="L224" i="6"/>
  <c r="I224" i="6"/>
  <c r="H224" i="6"/>
  <c r="F224" i="6"/>
  <c r="C224" i="6"/>
  <c r="AC223" i="6"/>
  <c r="AD223" i="6" s="1"/>
  <c r="AA223" i="6"/>
  <c r="W223" i="6"/>
  <c r="X223" i="6" s="1"/>
  <c r="U223" i="6"/>
  <c r="R223" i="6"/>
  <c r="O223" i="6"/>
  <c r="N223" i="6"/>
  <c r="L223" i="6"/>
  <c r="H223" i="6"/>
  <c r="I223" i="6" s="1"/>
  <c r="F223" i="6"/>
  <c r="C223" i="6"/>
  <c r="AC222" i="6"/>
  <c r="AD222" i="6" s="1"/>
  <c r="AA222" i="6"/>
  <c r="W222" i="6"/>
  <c r="X222" i="6" s="1"/>
  <c r="U222" i="6"/>
  <c r="R222" i="6"/>
  <c r="O222" i="6"/>
  <c r="N222" i="6"/>
  <c r="L222" i="6"/>
  <c r="H222" i="6"/>
  <c r="F222" i="6"/>
  <c r="C222" i="6"/>
  <c r="AC221" i="6"/>
  <c r="AD221" i="6" s="1"/>
  <c r="AA221" i="6"/>
  <c r="W221" i="6"/>
  <c r="X221" i="6" s="1"/>
  <c r="U221" i="6"/>
  <c r="R221" i="6"/>
  <c r="N221" i="6"/>
  <c r="O221" i="6" s="1"/>
  <c r="L221" i="6"/>
  <c r="H221" i="6"/>
  <c r="I221" i="6" s="1"/>
  <c r="F221" i="6"/>
  <c r="C221" i="6"/>
  <c r="AC220" i="6"/>
  <c r="AD220" i="6" s="1"/>
  <c r="AA220" i="6"/>
  <c r="X220" i="6"/>
  <c r="W220" i="6"/>
  <c r="U220" i="6"/>
  <c r="R220" i="6"/>
  <c r="O220" i="6"/>
  <c r="N220" i="6"/>
  <c r="L220" i="6"/>
  <c r="H220" i="6"/>
  <c r="I220" i="6" s="1"/>
  <c r="F220" i="6"/>
  <c r="C220" i="6"/>
  <c r="AC219" i="6"/>
  <c r="AD219" i="6" s="1"/>
  <c r="AA219" i="6"/>
  <c r="X219" i="6"/>
  <c r="W219" i="6"/>
  <c r="U219" i="6"/>
  <c r="R219" i="6"/>
  <c r="O219" i="6"/>
  <c r="N219" i="6"/>
  <c r="L219" i="6"/>
  <c r="H219" i="6"/>
  <c r="I219" i="6" s="1"/>
  <c r="F219" i="6"/>
  <c r="C219" i="6"/>
  <c r="AA218" i="6"/>
  <c r="Z218" i="6"/>
  <c r="U218" i="6"/>
  <c r="T218" i="6"/>
  <c r="Q218" i="6"/>
  <c r="O218" i="6"/>
  <c r="N218" i="6"/>
  <c r="K218" i="6"/>
  <c r="L218" i="6" s="1"/>
  <c r="E218" i="6"/>
  <c r="F218" i="6" s="1"/>
  <c r="B218" i="6"/>
  <c r="H218" i="6" s="1"/>
  <c r="I218" i="6" s="1"/>
  <c r="AD217" i="6"/>
  <c r="AC217" i="6"/>
  <c r="AA217" i="6"/>
  <c r="X217" i="6"/>
  <c r="W217" i="6"/>
  <c r="U217" i="6"/>
  <c r="R217" i="6"/>
  <c r="O217" i="6"/>
  <c r="N217" i="6"/>
  <c r="L217" i="6"/>
  <c r="H217" i="6"/>
  <c r="F217" i="6"/>
  <c r="C217" i="6"/>
  <c r="AC216" i="6"/>
  <c r="AD216" i="6" s="1"/>
  <c r="AA216" i="6"/>
  <c r="W216" i="6"/>
  <c r="X216" i="6" s="1"/>
  <c r="U216" i="6"/>
  <c r="R216" i="6"/>
  <c r="N216" i="6"/>
  <c r="O216" i="6" s="1"/>
  <c r="L216" i="6"/>
  <c r="I216" i="6"/>
  <c r="H216" i="6"/>
  <c r="F216" i="6"/>
  <c r="C216" i="6"/>
  <c r="AC215" i="6"/>
  <c r="AD215" i="6" s="1"/>
  <c r="AA215" i="6"/>
  <c r="X215" i="6"/>
  <c r="W215" i="6"/>
  <c r="U215" i="6"/>
  <c r="R215" i="6"/>
  <c r="O215" i="6"/>
  <c r="N215" i="6"/>
  <c r="L215" i="6"/>
  <c r="H215" i="6"/>
  <c r="I215" i="6" s="1"/>
  <c r="F215" i="6"/>
  <c r="C215" i="6"/>
  <c r="AC214" i="6"/>
  <c r="AD214" i="6" s="1"/>
  <c r="AA214" i="6"/>
  <c r="X214" i="6"/>
  <c r="W214" i="6"/>
  <c r="U214" i="6"/>
  <c r="R214" i="6"/>
  <c r="O214" i="6"/>
  <c r="N214" i="6"/>
  <c r="L214" i="6"/>
  <c r="H214" i="6"/>
  <c r="F214" i="6"/>
  <c r="C214" i="6"/>
  <c r="AD213" i="6"/>
  <c r="AC213" i="6"/>
  <c r="AA213" i="6"/>
  <c r="X213" i="6"/>
  <c r="W213" i="6"/>
  <c r="U213" i="6"/>
  <c r="R213" i="6"/>
  <c r="N213" i="6"/>
  <c r="O213" i="6" s="1"/>
  <c r="L213" i="6"/>
  <c r="I213" i="6"/>
  <c r="H213" i="6"/>
  <c r="F213" i="6"/>
  <c r="C213" i="6"/>
  <c r="AC211" i="6"/>
  <c r="AD211" i="6" s="1"/>
  <c r="AA211" i="6"/>
  <c r="W211" i="6"/>
  <c r="X211" i="6" s="1"/>
  <c r="U211" i="6"/>
  <c r="R211" i="6"/>
  <c r="N211" i="6"/>
  <c r="O211" i="6" s="1"/>
  <c r="L211" i="6"/>
  <c r="H211" i="6"/>
  <c r="I211" i="6" s="1"/>
  <c r="F211" i="6"/>
  <c r="C211" i="6"/>
  <c r="Z209" i="6"/>
  <c r="AC209" i="6" s="1"/>
  <c r="AD209" i="6" s="1"/>
  <c r="W209" i="6"/>
  <c r="X209" i="6" s="1"/>
  <c r="T209" i="6"/>
  <c r="U209" i="6" s="1"/>
  <c r="Q209" i="6"/>
  <c r="R209" i="6" s="1"/>
  <c r="L209" i="6"/>
  <c r="K209" i="6"/>
  <c r="I209" i="6"/>
  <c r="H209" i="6"/>
  <c r="E209" i="6"/>
  <c r="F209" i="6" s="1"/>
  <c r="B209" i="6"/>
  <c r="C209" i="6" s="1"/>
  <c r="AC208" i="6"/>
  <c r="AD208" i="6" s="1"/>
  <c r="AA208" i="6"/>
  <c r="X208" i="6"/>
  <c r="W208" i="6"/>
  <c r="U208" i="6"/>
  <c r="R208" i="6"/>
  <c r="N208" i="6"/>
  <c r="O208" i="6" s="1"/>
  <c r="L208" i="6"/>
  <c r="H208" i="6"/>
  <c r="I208" i="6" s="1"/>
  <c r="F208" i="6"/>
  <c r="C208" i="6"/>
  <c r="AC207" i="6"/>
  <c r="AD207" i="6" s="1"/>
  <c r="AA207" i="6"/>
  <c r="X207" i="6"/>
  <c r="W207" i="6"/>
  <c r="U207" i="6"/>
  <c r="R207" i="6"/>
  <c r="O207" i="6"/>
  <c r="N207" i="6"/>
  <c r="L207" i="6"/>
  <c r="H207" i="6"/>
  <c r="I207" i="6" s="1"/>
  <c r="F207" i="6"/>
  <c r="C207" i="6"/>
  <c r="AC206" i="6"/>
  <c r="AD206" i="6" s="1"/>
  <c r="AA206" i="6"/>
  <c r="W206" i="6"/>
  <c r="X206" i="6" s="1"/>
  <c r="U206" i="6"/>
  <c r="R206" i="6"/>
  <c r="O206" i="6"/>
  <c r="N206" i="6"/>
  <c r="L206" i="6"/>
  <c r="I206" i="6"/>
  <c r="H206" i="6"/>
  <c r="F206" i="6"/>
  <c r="C206" i="6"/>
  <c r="AC205" i="6"/>
  <c r="AD205" i="6" s="1"/>
  <c r="AA205" i="6"/>
  <c r="X205" i="6"/>
  <c r="W205" i="6"/>
  <c r="U205" i="6"/>
  <c r="R205" i="6"/>
  <c r="N205" i="6"/>
  <c r="O205" i="6" s="1"/>
  <c r="L205" i="6"/>
  <c r="H205" i="6"/>
  <c r="I205" i="6" s="1"/>
  <c r="F205" i="6"/>
  <c r="C205" i="6"/>
  <c r="AC204" i="6"/>
  <c r="AD204" i="6" s="1"/>
  <c r="AA204" i="6"/>
  <c r="X204" i="6"/>
  <c r="W204" i="6"/>
  <c r="U204" i="6"/>
  <c r="R204" i="6"/>
  <c r="O204" i="6"/>
  <c r="N204" i="6"/>
  <c r="L204" i="6"/>
  <c r="H204" i="6"/>
  <c r="I204" i="6" s="1"/>
  <c r="F204" i="6"/>
  <c r="C204" i="6"/>
  <c r="AC203" i="6"/>
  <c r="AD203" i="6" s="1"/>
  <c r="AA203" i="6"/>
  <c r="X203" i="6"/>
  <c r="W203" i="6"/>
  <c r="U203" i="6"/>
  <c r="R203" i="6"/>
  <c r="N203" i="6"/>
  <c r="O203" i="6" s="1"/>
  <c r="L203" i="6"/>
  <c r="H203" i="6"/>
  <c r="I203" i="6" s="1"/>
  <c r="F203" i="6"/>
  <c r="C203" i="6"/>
  <c r="AC202" i="6"/>
  <c r="AD202" i="6" s="1"/>
  <c r="AA202" i="6"/>
  <c r="W202" i="6"/>
  <c r="X202" i="6" s="1"/>
  <c r="U202" i="6"/>
  <c r="R202" i="6"/>
  <c r="O202" i="6"/>
  <c r="N202" i="6"/>
  <c r="L202" i="6"/>
  <c r="I202" i="6"/>
  <c r="H202" i="6"/>
  <c r="F202" i="6"/>
  <c r="C202" i="6"/>
  <c r="AC201" i="6"/>
  <c r="AD201" i="6" s="1"/>
  <c r="AA201" i="6"/>
  <c r="W201" i="6"/>
  <c r="X201" i="6" s="1"/>
  <c r="U201" i="6"/>
  <c r="R201" i="6"/>
  <c r="N201" i="6"/>
  <c r="O201" i="6" s="1"/>
  <c r="L201" i="6"/>
  <c r="H201" i="6"/>
  <c r="F201" i="6"/>
  <c r="C201" i="6"/>
  <c r="B198" i="6"/>
  <c r="Z197" i="6"/>
  <c r="AA197" i="6" s="1"/>
  <c r="T197" i="6"/>
  <c r="U197" i="6" s="1"/>
  <c r="Q197" i="6"/>
  <c r="K197" i="6"/>
  <c r="N197" i="6" s="1"/>
  <c r="O197" i="6" s="1"/>
  <c r="E197" i="6"/>
  <c r="C197" i="6"/>
  <c r="B197" i="6"/>
  <c r="AA196" i="6"/>
  <c r="Z196" i="6"/>
  <c r="U196" i="6"/>
  <c r="T196" i="6"/>
  <c r="W196" i="6" s="1"/>
  <c r="X196" i="6" s="1"/>
  <c r="Q196" i="6"/>
  <c r="R196" i="6" s="1"/>
  <c r="K196" i="6"/>
  <c r="L196" i="6" s="1"/>
  <c r="I196" i="6"/>
  <c r="H196" i="6"/>
  <c r="F196" i="6"/>
  <c r="E196" i="6"/>
  <c r="B196" i="6"/>
  <c r="C196" i="6" s="1"/>
  <c r="AC195" i="6"/>
  <c r="AD195" i="6" s="1"/>
  <c r="AA195" i="6"/>
  <c r="X195" i="6"/>
  <c r="W195" i="6"/>
  <c r="U195" i="6"/>
  <c r="R195" i="6"/>
  <c r="O195" i="6"/>
  <c r="N195" i="6"/>
  <c r="L195" i="6"/>
  <c r="H195" i="6"/>
  <c r="I195" i="6" s="1"/>
  <c r="F195" i="6"/>
  <c r="C195" i="6"/>
  <c r="AC194" i="6"/>
  <c r="AD194" i="6" s="1"/>
  <c r="AA194" i="6"/>
  <c r="W194" i="6"/>
  <c r="X194" i="6" s="1"/>
  <c r="U194" i="6"/>
  <c r="R194" i="6"/>
  <c r="O194" i="6"/>
  <c r="N194" i="6"/>
  <c r="L194" i="6"/>
  <c r="H194" i="6"/>
  <c r="F194" i="6"/>
  <c r="C194" i="6"/>
  <c r="AD193" i="6"/>
  <c r="AC193" i="6"/>
  <c r="AA193" i="6"/>
  <c r="Z193" i="6"/>
  <c r="T193" i="6"/>
  <c r="U193" i="6" s="1"/>
  <c r="Q193" i="6"/>
  <c r="K193" i="6"/>
  <c r="L193" i="6" s="1"/>
  <c r="E193" i="6"/>
  <c r="F193" i="6" s="1"/>
  <c r="C193" i="6"/>
  <c r="B193" i="6"/>
  <c r="AC192" i="6"/>
  <c r="AD192" i="6" s="1"/>
  <c r="AA192" i="6"/>
  <c r="W192" i="6"/>
  <c r="X192" i="6" s="1"/>
  <c r="U192" i="6"/>
  <c r="R192" i="6"/>
  <c r="O192" i="6"/>
  <c r="N192" i="6"/>
  <c r="L192" i="6"/>
  <c r="H192" i="6"/>
  <c r="I192" i="6" s="1"/>
  <c r="F192" i="6"/>
  <c r="C192" i="6"/>
  <c r="AC191" i="6"/>
  <c r="AD191" i="6" s="1"/>
  <c r="AA191" i="6"/>
  <c r="X191" i="6"/>
  <c r="W191" i="6"/>
  <c r="U191" i="6"/>
  <c r="R191" i="6"/>
  <c r="N191" i="6"/>
  <c r="O191" i="6" s="1"/>
  <c r="L191" i="6"/>
  <c r="H191" i="6"/>
  <c r="I191" i="6" s="1"/>
  <c r="F191" i="6"/>
  <c r="C191" i="6"/>
  <c r="AC190" i="6"/>
  <c r="AD190" i="6" s="1"/>
  <c r="AA190" i="6"/>
  <c r="X190" i="6"/>
  <c r="W190" i="6"/>
  <c r="U190" i="6"/>
  <c r="R190" i="6"/>
  <c r="N190" i="6"/>
  <c r="O190" i="6" s="1"/>
  <c r="L190" i="6"/>
  <c r="H190" i="6"/>
  <c r="I190" i="6" s="1"/>
  <c r="F190" i="6"/>
  <c r="C190" i="6"/>
  <c r="AD189" i="6"/>
  <c r="AC189" i="6"/>
  <c r="AA189" i="6"/>
  <c r="W189" i="6"/>
  <c r="X189" i="6" s="1"/>
  <c r="U189" i="6"/>
  <c r="R189" i="6"/>
  <c r="O189" i="6"/>
  <c r="N189" i="6"/>
  <c r="L189" i="6"/>
  <c r="H189" i="6"/>
  <c r="I189" i="6" s="1"/>
  <c r="F189" i="6"/>
  <c r="C189" i="6"/>
  <c r="AC188" i="6"/>
  <c r="AD188" i="6" s="1"/>
  <c r="AA188" i="6"/>
  <c r="X188" i="6"/>
  <c r="W188" i="6"/>
  <c r="U188" i="6"/>
  <c r="R188" i="6"/>
  <c r="O188" i="6"/>
  <c r="N188" i="6"/>
  <c r="L188" i="6"/>
  <c r="I188" i="6"/>
  <c r="H188" i="6"/>
  <c r="F188" i="6"/>
  <c r="C188" i="6"/>
  <c r="AC187" i="6"/>
  <c r="AD187" i="6" s="1"/>
  <c r="AA187" i="6"/>
  <c r="W187" i="6"/>
  <c r="X187" i="6" s="1"/>
  <c r="U187" i="6"/>
  <c r="R187" i="6"/>
  <c r="N187" i="6"/>
  <c r="O187" i="6" s="1"/>
  <c r="L187" i="6"/>
  <c r="H187" i="6"/>
  <c r="F187" i="6"/>
  <c r="C187" i="6"/>
  <c r="AD186" i="6"/>
  <c r="AC186" i="6"/>
  <c r="AA186" i="6"/>
  <c r="X186" i="6"/>
  <c r="W186" i="6"/>
  <c r="U186" i="6"/>
  <c r="R186" i="6"/>
  <c r="N186" i="6"/>
  <c r="O186" i="6" s="1"/>
  <c r="L186" i="6"/>
  <c r="H186" i="6"/>
  <c r="I186" i="6" s="1"/>
  <c r="F186" i="6"/>
  <c r="C186" i="6"/>
  <c r="AC184" i="6"/>
  <c r="AD184" i="6" s="1"/>
  <c r="AA184" i="6"/>
  <c r="W184" i="6"/>
  <c r="X184" i="6" s="1"/>
  <c r="U184" i="6"/>
  <c r="R184" i="6"/>
  <c r="N184" i="6"/>
  <c r="O184" i="6" s="1"/>
  <c r="L184" i="6"/>
  <c r="I184" i="6"/>
  <c r="H184" i="6"/>
  <c r="F184" i="6"/>
  <c r="C184" i="6"/>
  <c r="AC183" i="6"/>
  <c r="AD183" i="6" s="1"/>
  <c r="AA183" i="6"/>
  <c r="X183" i="6"/>
  <c r="W183" i="6"/>
  <c r="U183" i="6"/>
  <c r="R183" i="6"/>
  <c r="O183" i="6"/>
  <c r="N183" i="6"/>
  <c r="L183" i="6"/>
  <c r="H183" i="6"/>
  <c r="I183" i="6" s="1"/>
  <c r="F183" i="6"/>
  <c r="C183" i="6"/>
  <c r="Z182" i="6"/>
  <c r="AA182" i="6" s="1"/>
  <c r="T182" i="6"/>
  <c r="W182" i="6" s="1"/>
  <c r="X182" i="6" s="1"/>
  <c r="R182" i="6"/>
  <c r="Q182" i="6"/>
  <c r="K182" i="6"/>
  <c r="N182" i="6" s="1"/>
  <c r="O182" i="6" s="1"/>
  <c r="H182" i="6"/>
  <c r="I182" i="6" s="1"/>
  <c r="E182" i="6"/>
  <c r="F182" i="6" s="1"/>
  <c r="B182" i="6"/>
  <c r="C182" i="6" s="1"/>
  <c r="AC181" i="6"/>
  <c r="AD181" i="6" s="1"/>
  <c r="AA181" i="6"/>
  <c r="W181" i="6"/>
  <c r="X181" i="6" s="1"/>
  <c r="U181" i="6"/>
  <c r="R181" i="6"/>
  <c r="N181" i="6"/>
  <c r="O181" i="6" s="1"/>
  <c r="L181" i="6"/>
  <c r="H181" i="6"/>
  <c r="I181" i="6" s="1"/>
  <c r="F181" i="6"/>
  <c r="C181" i="6"/>
  <c r="AC180" i="6"/>
  <c r="AD180" i="6" s="1"/>
  <c r="AA180" i="6"/>
  <c r="W180" i="6"/>
  <c r="X180" i="6" s="1"/>
  <c r="U180" i="6"/>
  <c r="R180" i="6"/>
  <c r="O180" i="6"/>
  <c r="N180" i="6"/>
  <c r="L180" i="6"/>
  <c r="H180" i="6"/>
  <c r="I180" i="6" s="1"/>
  <c r="F180" i="6"/>
  <c r="C180" i="6"/>
  <c r="AC179" i="6"/>
  <c r="AD179" i="6" s="1"/>
  <c r="AA179" i="6"/>
  <c r="X179" i="6"/>
  <c r="W179" i="6"/>
  <c r="U179" i="6"/>
  <c r="R179" i="6"/>
  <c r="N179" i="6"/>
  <c r="O179" i="6" s="1"/>
  <c r="L179" i="6"/>
  <c r="H179" i="6"/>
  <c r="I179" i="6" s="1"/>
  <c r="F179" i="6"/>
  <c r="C179" i="6"/>
  <c r="AC178" i="6"/>
  <c r="AD178" i="6" s="1"/>
  <c r="AA178" i="6"/>
  <c r="X178" i="6"/>
  <c r="W178" i="6"/>
  <c r="U178" i="6"/>
  <c r="R178" i="6"/>
  <c r="N178" i="6"/>
  <c r="O178" i="6" s="1"/>
  <c r="L178" i="6"/>
  <c r="H178" i="6"/>
  <c r="I178" i="6" s="1"/>
  <c r="F178" i="6"/>
  <c r="C178" i="6"/>
  <c r="AD177" i="6"/>
  <c r="AC177" i="6"/>
  <c r="AA177" i="6"/>
  <c r="X177" i="6"/>
  <c r="W177" i="6"/>
  <c r="U177" i="6"/>
  <c r="R177" i="6"/>
  <c r="O177" i="6"/>
  <c r="N177" i="6"/>
  <c r="L177" i="6"/>
  <c r="H177" i="6"/>
  <c r="I177" i="6" s="1"/>
  <c r="F177" i="6"/>
  <c r="C177" i="6"/>
  <c r="AC175" i="6"/>
  <c r="AD175" i="6" s="1"/>
  <c r="AA175" i="6"/>
  <c r="X175" i="6"/>
  <c r="W175" i="6"/>
  <c r="U175" i="6"/>
  <c r="R175" i="6"/>
  <c r="O175" i="6"/>
  <c r="N175" i="6"/>
  <c r="L175" i="6"/>
  <c r="H175" i="6"/>
  <c r="I175" i="6" s="1"/>
  <c r="F175" i="6"/>
  <c r="C175" i="6"/>
  <c r="H172" i="6"/>
  <c r="I172" i="6" s="1"/>
  <c r="AA171" i="6"/>
  <c r="Z171" i="6"/>
  <c r="T171" i="6"/>
  <c r="U171" i="6" s="1"/>
  <c r="Q171" i="6"/>
  <c r="W171" i="6" s="1"/>
  <c r="X171" i="6" s="1"/>
  <c r="K171" i="6"/>
  <c r="F171" i="6"/>
  <c r="E171" i="6"/>
  <c r="B171" i="6"/>
  <c r="H171" i="6" s="1"/>
  <c r="I171" i="6" s="1"/>
  <c r="Z170" i="6"/>
  <c r="AA170" i="6" s="1"/>
  <c r="T170" i="6"/>
  <c r="U170" i="6" s="1"/>
  <c r="Q170" i="6"/>
  <c r="N170" i="6"/>
  <c r="O170" i="6" s="1"/>
  <c r="L170" i="6"/>
  <c r="K170" i="6"/>
  <c r="F170" i="6"/>
  <c r="E170" i="6"/>
  <c r="B170" i="6"/>
  <c r="AC169" i="6"/>
  <c r="AD169" i="6" s="1"/>
  <c r="AA169" i="6"/>
  <c r="X169" i="6"/>
  <c r="W169" i="6"/>
  <c r="U169" i="6"/>
  <c r="R169" i="6"/>
  <c r="O169" i="6"/>
  <c r="N169" i="6"/>
  <c r="L169" i="6"/>
  <c r="H169" i="6"/>
  <c r="I169" i="6" s="1"/>
  <c r="F169" i="6"/>
  <c r="C169" i="6"/>
  <c r="AC168" i="6"/>
  <c r="AD168" i="6" s="1"/>
  <c r="AA168" i="6"/>
  <c r="X168" i="6"/>
  <c r="W168" i="6"/>
  <c r="U168" i="6"/>
  <c r="R168" i="6"/>
  <c r="O168" i="6"/>
  <c r="N168" i="6"/>
  <c r="L168" i="6"/>
  <c r="H168" i="6"/>
  <c r="I168" i="6" s="1"/>
  <c r="F168" i="6"/>
  <c r="C168" i="6"/>
  <c r="AD167" i="6"/>
  <c r="AC167" i="6"/>
  <c r="AA167" i="6"/>
  <c r="W167" i="6"/>
  <c r="X167" i="6" s="1"/>
  <c r="U167" i="6"/>
  <c r="R167" i="6"/>
  <c r="N167" i="6"/>
  <c r="O167" i="6" s="1"/>
  <c r="L167" i="6"/>
  <c r="H167" i="6"/>
  <c r="F167" i="6"/>
  <c r="C167" i="6"/>
  <c r="Z166" i="6"/>
  <c r="AA166" i="6" s="1"/>
  <c r="T166" i="6"/>
  <c r="U166" i="6" s="1"/>
  <c r="R166" i="6"/>
  <c r="Q166" i="6"/>
  <c r="K166" i="6"/>
  <c r="L166" i="6" s="1"/>
  <c r="E166" i="6"/>
  <c r="F166" i="6" s="1"/>
  <c r="B166" i="6"/>
  <c r="AC165" i="6"/>
  <c r="AD165" i="6" s="1"/>
  <c r="AA165" i="6"/>
  <c r="W165" i="6"/>
  <c r="X165" i="6" s="1"/>
  <c r="U165" i="6"/>
  <c r="R165" i="6"/>
  <c r="O165" i="6"/>
  <c r="N165" i="6"/>
  <c r="L165" i="6"/>
  <c r="H165" i="6"/>
  <c r="F165" i="6"/>
  <c r="C165" i="6"/>
  <c r="AD164" i="6"/>
  <c r="AC164" i="6"/>
  <c r="AA164" i="6"/>
  <c r="W164" i="6"/>
  <c r="X164" i="6" s="1"/>
  <c r="U164" i="6"/>
  <c r="R164" i="6"/>
  <c r="N164" i="6"/>
  <c r="O164" i="6" s="1"/>
  <c r="L164" i="6"/>
  <c r="H164" i="6"/>
  <c r="I164" i="6" s="1"/>
  <c r="F164" i="6"/>
  <c r="C164" i="6"/>
  <c r="AC163" i="6"/>
  <c r="AD163" i="6" s="1"/>
  <c r="AA163" i="6"/>
  <c r="X163" i="6"/>
  <c r="W163" i="6"/>
  <c r="U163" i="6"/>
  <c r="R163" i="6"/>
  <c r="O163" i="6"/>
  <c r="N163" i="6"/>
  <c r="L163" i="6"/>
  <c r="H163" i="6"/>
  <c r="I163" i="6" s="1"/>
  <c r="F163" i="6"/>
  <c r="C163" i="6"/>
  <c r="AC162" i="6"/>
  <c r="AD162" i="6" s="1"/>
  <c r="AA162" i="6"/>
  <c r="W162" i="6"/>
  <c r="X162" i="6" s="1"/>
  <c r="U162" i="6"/>
  <c r="R162" i="6"/>
  <c r="O162" i="6"/>
  <c r="N162" i="6"/>
  <c r="L162" i="6"/>
  <c r="H162" i="6"/>
  <c r="I162" i="6" s="1"/>
  <c r="F162" i="6"/>
  <c r="C162" i="6"/>
  <c r="AC161" i="6"/>
  <c r="AD161" i="6" s="1"/>
  <c r="AA161" i="6"/>
  <c r="W161" i="6"/>
  <c r="X161" i="6" s="1"/>
  <c r="U161" i="6"/>
  <c r="R161" i="6"/>
  <c r="O161" i="6"/>
  <c r="N161" i="6"/>
  <c r="L161" i="6"/>
  <c r="I161" i="6"/>
  <c r="H161" i="6"/>
  <c r="F161" i="6"/>
  <c r="C161" i="6"/>
  <c r="AC160" i="6"/>
  <c r="AD160" i="6" s="1"/>
  <c r="AA160" i="6"/>
  <c r="X160" i="6"/>
  <c r="W160" i="6"/>
  <c r="U160" i="6"/>
  <c r="R160" i="6"/>
  <c r="N160" i="6"/>
  <c r="O160" i="6" s="1"/>
  <c r="L160" i="6"/>
  <c r="H160" i="6"/>
  <c r="I160" i="6" s="1"/>
  <c r="F160" i="6"/>
  <c r="C160" i="6"/>
  <c r="AC158" i="6"/>
  <c r="AD158" i="6" s="1"/>
  <c r="Z158" i="6"/>
  <c r="AA158" i="6" s="1"/>
  <c r="T158" i="6"/>
  <c r="W158" i="6" s="1"/>
  <c r="X158" i="6" s="1"/>
  <c r="R158" i="6"/>
  <c r="Q158" i="6"/>
  <c r="K158" i="6"/>
  <c r="L158" i="6" s="1"/>
  <c r="H158" i="6"/>
  <c r="I158" i="6" s="1"/>
  <c r="E158" i="6"/>
  <c r="F158" i="6" s="1"/>
  <c r="B158" i="6"/>
  <c r="C158" i="6" s="1"/>
  <c r="AC157" i="6"/>
  <c r="AD157" i="6" s="1"/>
  <c r="AA157" i="6"/>
  <c r="W157" i="6"/>
  <c r="X157" i="6" s="1"/>
  <c r="U157" i="6"/>
  <c r="R157" i="6"/>
  <c r="O157" i="6"/>
  <c r="N157" i="6"/>
  <c r="L157" i="6"/>
  <c r="H157" i="6"/>
  <c r="F157" i="6"/>
  <c r="C157" i="6"/>
  <c r="AD156" i="6"/>
  <c r="AC156" i="6"/>
  <c r="AA156" i="6"/>
  <c r="W156" i="6"/>
  <c r="X156" i="6" s="1"/>
  <c r="U156" i="6"/>
  <c r="R156" i="6"/>
  <c r="N156" i="6"/>
  <c r="O156" i="6" s="1"/>
  <c r="L156" i="6"/>
  <c r="H156" i="6"/>
  <c r="F156" i="6"/>
  <c r="C156" i="6"/>
  <c r="AC155" i="6"/>
  <c r="AD155" i="6" s="1"/>
  <c r="AA155" i="6"/>
  <c r="X155" i="6"/>
  <c r="W155" i="6"/>
  <c r="U155" i="6"/>
  <c r="R155" i="6"/>
  <c r="O155" i="6"/>
  <c r="N155" i="6"/>
  <c r="L155" i="6"/>
  <c r="I155" i="6"/>
  <c r="H155" i="6"/>
  <c r="F155" i="6"/>
  <c r="C155" i="6"/>
  <c r="AC154" i="6"/>
  <c r="AD154" i="6" s="1"/>
  <c r="AA154" i="6"/>
  <c r="W154" i="6"/>
  <c r="X154" i="6" s="1"/>
  <c r="U154" i="6"/>
  <c r="R154" i="6"/>
  <c r="O154" i="6"/>
  <c r="N154" i="6"/>
  <c r="L154" i="6"/>
  <c r="H154" i="6"/>
  <c r="I154" i="6" s="1"/>
  <c r="F154" i="6"/>
  <c r="C154" i="6"/>
  <c r="AC153" i="6"/>
  <c r="AD153" i="6" s="1"/>
  <c r="AA153" i="6"/>
  <c r="W153" i="6"/>
  <c r="X153" i="6" s="1"/>
  <c r="U153" i="6"/>
  <c r="R153" i="6"/>
  <c r="O153" i="6"/>
  <c r="N153" i="6"/>
  <c r="L153" i="6"/>
  <c r="H153" i="6"/>
  <c r="F153" i="6"/>
  <c r="C153" i="6"/>
  <c r="AD151" i="6"/>
  <c r="AC151" i="6"/>
  <c r="AA151" i="6"/>
  <c r="W151" i="6"/>
  <c r="X151" i="6" s="1"/>
  <c r="U151" i="6"/>
  <c r="R151" i="6"/>
  <c r="N151" i="6"/>
  <c r="O151" i="6" s="1"/>
  <c r="L151" i="6"/>
  <c r="H151" i="6"/>
  <c r="I151" i="6" s="1"/>
  <c r="F151" i="6"/>
  <c r="C151" i="6"/>
  <c r="Z149" i="6"/>
  <c r="W149" i="6"/>
  <c r="X149" i="6" s="1"/>
  <c r="U149" i="6"/>
  <c r="T149" i="6"/>
  <c r="R149" i="6"/>
  <c r="Q149" i="6"/>
  <c r="K149" i="6"/>
  <c r="L149" i="6" s="1"/>
  <c r="H149" i="6"/>
  <c r="I149" i="6" s="1"/>
  <c r="E149" i="6"/>
  <c r="F149" i="6" s="1"/>
  <c r="B149" i="6"/>
  <c r="C149" i="6" s="1"/>
  <c r="Z148" i="6"/>
  <c r="AA148" i="6" s="1"/>
  <c r="U148" i="6"/>
  <c r="T148" i="6"/>
  <c r="Q148" i="6"/>
  <c r="R148" i="6" s="1"/>
  <c r="L148" i="6"/>
  <c r="K148" i="6"/>
  <c r="N148" i="6" s="1"/>
  <c r="O148" i="6" s="1"/>
  <c r="H148" i="6"/>
  <c r="I148" i="6" s="1"/>
  <c r="E148" i="6"/>
  <c r="F148" i="6" s="1"/>
  <c r="C148" i="6"/>
  <c r="B148" i="6"/>
  <c r="AC147" i="6"/>
  <c r="AD147" i="6" s="1"/>
  <c r="AA147" i="6"/>
  <c r="X147" i="6"/>
  <c r="W147" i="6"/>
  <c r="U147" i="6"/>
  <c r="R147" i="6"/>
  <c r="N147" i="6"/>
  <c r="O147" i="6" s="1"/>
  <c r="L147" i="6"/>
  <c r="I147" i="6"/>
  <c r="H147" i="6"/>
  <c r="F147" i="6"/>
  <c r="C147" i="6"/>
  <c r="AD146" i="6"/>
  <c r="AC146" i="6"/>
  <c r="AA146" i="6"/>
  <c r="W146" i="6"/>
  <c r="X146" i="6" s="1"/>
  <c r="U146" i="6"/>
  <c r="R146" i="6"/>
  <c r="N146" i="6"/>
  <c r="O146" i="6" s="1"/>
  <c r="L146" i="6"/>
  <c r="I146" i="6"/>
  <c r="H146" i="6"/>
  <c r="F146" i="6"/>
  <c r="C146" i="6"/>
  <c r="AC145" i="6"/>
  <c r="AD145" i="6" s="1"/>
  <c r="AA145" i="6"/>
  <c r="X145" i="6"/>
  <c r="W145" i="6"/>
  <c r="U145" i="6"/>
  <c r="R145" i="6"/>
  <c r="O145" i="6"/>
  <c r="N145" i="6"/>
  <c r="L145" i="6"/>
  <c r="H145" i="6"/>
  <c r="I145" i="6" s="1"/>
  <c r="F145" i="6"/>
  <c r="C145" i="6"/>
  <c r="AD144" i="6"/>
  <c r="AC144" i="6"/>
  <c r="AA144" i="6"/>
  <c r="W144" i="6"/>
  <c r="X144" i="6" s="1"/>
  <c r="U144" i="6"/>
  <c r="R144" i="6"/>
  <c r="O144" i="6"/>
  <c r="N144" i="6"/>
  <c r="L144" i="6"/>
  <c r="H144" i="6"/>
  <c r="F144" i="6"/>
  <c r="C144" i="6"/>
  <c r="AD143" i="6"/>
  <c r="AC143" i="6"/>
  <c r="AA143" i="6"/>
  <c r="X143" i="6"/>
  <c r="W143" i="6"/>
  <c r="U143" i="6"/>
  <c r="R143" i="6"/>
  <c r="N143" i="6"/>
  <c r="O143" i="6" s="1"/>
  <c r="L143" i="6"/>
  <c r="H143" i="6"/>
  <c r="I143" i="6" s="1"/>
  <c r="F143" i="6"/>
  <c r="C143" i="6"/>
  <c r="AA141" i="6"/>
  <c r="Z141" i="6"/>
  <c r="W141" i="6"/>
  <c r="X141" i="6" s="1"/>
  <c r="T141" i="6"/>
  <c r="U141" i="6" s="1"/>
  <c r="Q141" i="6"/>
  <c r="R141" i="6" s="1"/>
  <c r="K141" i="6"/>
  <c r="L141" i="6" s="1"/>
  <c r="H141" i="6"/>
  <c r="I141" i="6" s="1"/>
  <c r="F141" i="6"/>
  <c r="E141" i="6"/>
  <c r="B141" i="6"/>
  <c r="C141" i="6" s="1"/>
  <c r="AD140" i="6"/>
  <c r="AC140" i="6"/>
  <c r="AA140" i="6"/>
  <c r="X140" i="6"/>
  <c r="W140" i="6"/>
  <c r="U140" i="6"/>
  <c r="R140" i="6"/>
  <c r="N140" i="6"/>
  <c r="O140" i="6" s="1"/>
  <c r="L140" i="6"/>
  <c r="H140" i="6"/>
  <c r="I140" i="6" s="1"/>
  <c r="F140" i="6"/>
  <c r="C140" i="6"/>
  <c r="AC139" i="6"/>
  <c r="AD139" i="6" s="1"/>
  <c r="AA139" i="6"/>
  <c r="X139" i="6"/>
  <c r="W139" i="6"/>
  <c r="U139" i="6"/>
  <c r="R139" i="6"/>
  <c r="O139" i="6"/>
  <c r="N139" i="6"/>
  <c r="L139" i="6"/>
  <c r="H139" i="6"/>
  <c r="I139" i="6" s="1"/>
  <c r="F139" i="6"/>
  <c r="C139" i="6"/>
  <c r="AD138" i="6"/>
  <c r="AC138" i="6"/>
  <c r="AA138" i="6"/>
  <c r="W138" i="6"/>
  <c r="X138" i="6" s="1"/>
  <c r="U138" i="6"/>
  <c r="R138" i="6"/>
  <c r="N138" i="6"/>
  <c r="O138" i="6" s="1"/>
  <c r="L138" i="6"/>
  <c r="H138" i="6"/>
  <c r="I138" i="6" s="1"/>
  <c r="F138" i="6"/>
  <c r="C138" i="6"/>
  <c r="AC137" i="6"/>
  <c r="AD137" i="6" s="1"/>
  <c r="AA137" i="6"/>
  <c r="W137" i="6"/>
  <c r="X137" i="6" s="1"/>
  <c r="U137" i="6"/>
  <c r="R137" i="6"/>
  <c r="O137" i="6"/>
  <c r="N137" i="6"/>
  <c r="L137" i="6"/>
  <c r="H137" i="6"/>
  <c r="I137" i="6" s="1"/>
  <c r="F137" i="6"/>
  <c r="C137" i="6"/>
  <c r="AC136" i="6"/>
  <c r="AD136" i="6" s="1"/>
  <c r="AA136" i="6"/>
  <c r="W136" i="6"/>
  <c r="X136" i="6" s="1"/>
  <c r="U136" i="6"/>
  <c r="R136" i="6"/>
  <c r="N136" i="6"/>
  <c r="O136" i="6" s="1"/>
  <c r="L136" i="6"/>
  <c r="H136" i="6"/>
  <c r="F136" i="6"/>
  <c r="C136" i="6"/>
  <c r="AD135" i="6"/>
  <c r="AC135" i="6"/>
  <c r="AA135" i="6"/>
  <c r="X135" i="6"/>
  <c r="W135" i="6"/>
  <c r="U135" i="6"/>
  <c r="R135" i="6"/>
  <c r="N135" i="6"/>
  <c r="O135" i="6" s="1"/>
  <c r="L135" i="6"/>
  <c r="H135" i="6"/>
  <c r="I135" i="6" s="1"/>
  <c r="F135" i="6"/>
  <c r="C135" i="6"/>
  <c r="AC134" i="6"/>
  <c r="AD134" i="6" s="1"/>
  <c r="AA134" i="6"/>
  <c r="X134" i="6"/>
  <c r="W134" i="6"/>
  <c r="U134" i="6"/>
  <c r="R134" i="6"/>
  <c r="O134" i="6"/>
  <c r="N134" i="6"/>
  <c r="L134" i="6"/>
  <c r="H134" i="6"/>
  <c r="I134" i="6" s="1"/>
  <c r="F134" i="6"/>
  <c r="C134" i="6"/>
  <c r="AC133" i="6"/>
  <c r="AD133" i="6" s="1"/>
  <c r="AA133" i="6"/>
  <c r="W133" i="6"/>
  <c r="X133" i="6" s="1"/>
  <c r="U133" i="6"/>
  <c r="R133" i="6"/>
  <c r="O133" i="6"/>
  <c r="N133" i="6"/>
  <c r="L133" i="6"/>
  <c r="H133" i="6"/>
  <c r="F133" i="6"/>
  <c r="C133" i="6"/>
  <c r="AD132" i="6"/>
  <c r="AC132" i="6"/>
  <c r="AA132" i="6"/>
  <c r="W132" i="6"/>
  <c r="X132" i="6" s="1"/>
  <c r="U132" i="6"/>
  <c r="R132" i="6"/>
  <c r="N132" i="6"/>
  <c r="O132" i="6" s="1"/>
  <c r="L132" i="6"/>
  <c r="H132" i="6"/>
  <c r="F132" i="6"/>
  <c r="C132" i="6"/>
  <c r="AC131" i="6"/>
  <c r="AD131" i="6" s="1"/>
  <c r="AA131" i="6"/>
  <c r="X131" i="6"/>
  <c r="W131" i="6"/>
  <c r="U131" i="6"/>
  <c r="R131" i="6"/>
  <c r="O131" i="6"/>
  <c r="N131" i="6"/>
  <c r="L131" i="6"/>
  <c r="H131" i="6"/>
  <c r="I131" i="6" s="1"/>
  <c r="F131" i="6"/>
  <c r="C131" i="6"/>
  <c r="AC130" i="6"/>
  <c r="AD130" i="6" s="1"/>
  <c r="AA130" i="6"/>
  <c r="X130" i="6"/>
  <c r="W130" i="6"/>
  <c r="U130" i="6"/>
  <c r="R130" i="6"/>
  <c r="O130" i="6"/>
  <c r="N130" i="6"/>
  <c r="L130" i="6"/>
  <c r="H130" i="6"/>
  <c r="I130" i="6" s="1"/>
  <c r="F130" i="6"/>
  <c r="C130" i="6"/>
  <c r="AC129" i="6"/>
  <c r="AD129" i="6" s="1"/>
  <c r="AA129" i="6"/>
  <c r="X129" i="6"/>
  <c r="W129" i="6"/>
  <c r="U129" i="6"/>
  <c r="R129" i="6"/>
  <c r="O129" i="6"/>
  <c r="N129" i="6"/>
  <c r="L129" i="6"/>
  <c r="H129" i="6"/>
  <c r="I129" i="6" s="1"/>
  <c r="F129" i="6"/>
  <c r="C129" i="6"/>
  <c r="AD127" i="6"/>
  <c r="AC127" i="6"/>
  <c r="AA127" i="6"/>
  <c r="W127" i="6"/>
  <c r="X127" i="6" s="1"/>
  <c r="U127" i="6"/>
  <c r="R127" i="6"/>
  <c r="O127" i="6"/>
  <c r="N127" i="6"/>
  <c r="L127" i="6"/>
  <c r="H127" i="6"/>
  <c r="I127" i="6" s="1"/>
  <c r="F127" i="6"/>
  <c r="C127" i="6"/>
  <c r="Z124" i="6"/>
  <c r="Z172" i="6" s="1"/>
  <c r="W124" i="6"/>
  <c r="X124" i="6" s="1"/>
  <c r="T124" i="6"/>
  <c r="T172" i="6" s="1"/>
  <c r="T198" i="6" s="1"/>
  <c r="Q124" i="6"/>
  <c r="Q172" i="6" s="1"/>
  <c r="N124" i="6"/>
  <c r="O124" i="6" s="1"/>
  <c r="K124" i="6"/>
  <c r="F124" i="6"/>
  <c r="E124" i="6"/>
  <c r="E172" i="6" s="1"/>
  <c r="F172" i="6" s="1"/>
  <c r="C124" i="6"/>
  <c r="B124" i="6"/>
  <c r="B172" i="6" s="1"/>
  <c r="AC123" i="6"/>
  <c r="AD123" i="6" s="1"/>
  <c r="AA123" i="6"/>
  <c r="X123" i="6"/>
  <c r="W123" i="6"/>
  <c r="U123" i="6"/>
  <c r="R123" i="6"/>
  <c r="O123" i="6"/>
  <c r="N123" i="6"/>
  <c r="L123" i="6"/>
  <c r="I123" i="6"/>
  <c r="H123" i="6"/>
  <c r="F123" i="6"/>
  <c r="C123" i="6"/>
  <c r="Z122" i="6"/>
  <c r="AA122" i="6" s="1"/>
  <c r="X122" i="6"/>
  <c r="W122" i="6"/>
  <c r="U122" i="6"/>
  <c r="T122" i="6"/>
  <c r="Q122" i="6"/>
  <c r="R122" i="6" s="1"/>
  <c r="K122" i="6"/>
  <c r="L122" i="6" s="1"/>
  <c r="I122" i="6"/>
  <c r="H122" i="6"/>
  <c r="E122" i="6"/>
  <c r="F122" i="6" s="1"/>
  <c r="B122" i="6"/>
  <c r="C122" i="6" s="1"/>
  <c r="AC121" i="6"/>
  <c r="AD121" i="6" s="1"/>
  <c r="AA121" i="6"/>
  <c r="X121" i="6"/>
  <c r="W121" i="6"/>
  <c r="U121" i="6"/>
  <c r="R121" i="6"/>
  <c r="O121" i="6"/>
  <c r="N121" i="6"/>
  <c r="L121" i="6"/>
  <c r="H121" i="6"/>
  <c r="I121" i="6" s="1"/>
  <c r="F121" i="6"/>
  <c r="C121" i="6"/>
  <c r="AC120" i="6"/>
  <c r="AD120" i="6" s="1"/>
  <c r="AA120" i="6"/>
  <c r="W120" i="6"/>
  <c r="X120" i="6" s="1"/>
  <c r="U120" i="6"/>
  <c r="R120" i="6"/>
  <c r="O120" i="6"/>
  <c r="N120" i="6"/>
  <c r="L120" i="6"/>
  <c r="I120" i="6"/>
  <c r="H120" i="6"/>
  <c r="F120" i="6"/>
  <c r="C120" i="6"/>
  <c r="AD119" i="6"/>
  <c r="AC119" i="6"/>
  <c r="AA119" i="6"/>
  <c r="W119" i="6"/>
  <c r="X119" i="6" s="1"/>
  <c r="U119" i="6"/>
  <c r="R119" i="6"/>
  <c r="O119" i="6"/>
  <c r="N119" i="6"/>
  <c r="L119" i="6"/>
  <c r="H119" i="6"/>
  <c r="I119" i="6" s="1"/>
  <c r="F119" i="6"/>
  <c r="C119" i="6"/>
  <c r="Z118" i="6"/>
  <c r="AC118" i="6" s="1"/>
  <c r="AD118" i="6" s="1"/>
  <c r="W118" i="6"/>
  <c r="X118" i="6" s="1"/>
  <c r="T118" i="6"/>
  <c r="U118" i="6" s="1"/>
  <c r="R118" i="6"/>
  <c r="Q118" i="6"/>
  <c r="K118" i="6"/>
  <c r="L118" i="6" s="1"/>
  <c r="E118" i="6"/>
  <c r="F118" i="6" s="1"/>
  <c r="B118" i="6"/>
  <c r="H118" i="6" s="1"/>
  <c r="I118" i="6" s="1"/>
  <c r="AC117" i="6"/>
  <c r="AD117" i="6" s="1"/>
  <c r="AA117" i="6"/>
  <c r="X117" i="6"/>
  <c r="W117" i="6"/>
  <c r="U117" i="6"/>
  <c r="R117" i="6"/>
  <c r="O117" i="6"/>
  <c r="N117" i="6"/>
  <c r="L117" i="6"/>
  <c r="I117" i="6"/>
  <c r="H117" i="6"/>
  <c r="F117" i="6"/>
  <c r="C117" i="6"/>
  <c r="AD116" i="6"/>
  <c r="AC116" i="6"/>
  <c r="AA116" i="6"/>
  <c r="X116" i="6"/>
  <c r="W116" i="6"/>
  <c r="U116" i="6"/>
  <c r="R116" i="6"/>
  <c r="N116" i="6"/>
  <c r="O116" i="6" s="1"/>
  <c r="L116" i="6"/>
  <c r="H116" i="6"/>
  <c r="I116" i="6" s="1"/>
  <c r="F116" i="6"/>
  <c r="C116" i="6"/>
  <c r="AD115" i="6"/>
  <c r="AC115" i="6"/>
  <c r="AA115" i="6"/>
  <c r="X115" i="6"/>
  <c r="W115" i="6"/>
  <c r="U115" i="6"/>
  <c r="R115" i="6"/>
  <c r="O115" i="6"/>
  <c r="N115" i="6"/>
  <c r="L115" i="6"/>
  <c r="H115" i="6"/>
  <c r="I115" i="6" s="1"/>
  <c r="F115" i="6"/>
  <c r="C115" i="6"/>
  <c r="AC114" i="6"/>
  <c r="AD114" i="6" s="1"/>
  <c r="AA114" i="6"/>
  <c r="W114" i="6"/>
  <c r="X114" i="6" s="1"/>
  <c r="U114" i="6"/>
  <c r="R114" i="6"/>
  <c r="N114" i="6"/>
  <c r="O114" i="6" s="1"/>
  <c r="L114" i="6"/>
  <c r="I114" i="6"/>
  <c r="H114" i="6"/>
  <c r="F114" i="6"/>
  <c r="C114" i="6"/>
  <c r="AC113" i="6"/>
  <c r="AD113" i="6" s="1"/>
  <c r="AA113" i="6"/>
  <c r="W113" i="6"/>
  <c r="X113" i="6" s="1"/>
  <c r="U113" i="6"/>
  <c r="R113" i="6"/>
  <c r="O113" i="6"/>
  <c r="N113" i="6"/>
  <c r="L113" i="6"/>
  <c r="H113" i="6"/>
  <c r="I113" i="6" s="1"/>
  <c r="F113" i="6"/>
  <c r="C113" i="6"/>
  <c r="AC112" i="6"/>
  <c r="AD112" i="6" s="1"/>
  <c r="AA112" i="6"/>
  <c r="W112" i="6"/>
  <c r="X112" i="6" s="1"/>
  <c r="U112" i="6"/>
  <c r="R112" i="6"/>
  <c r="O112" i="6"/>
  <c r="N112" i="6"/>
  <c r="L112" i="6"/>
  <c r="H112" i="6"/>
  <c r="I112" i="6" s="1"/>
  <c r="F112" i="6"/>
  <c r="C112" i="6"/>
  <c r="AC111" i="6"/>
  <c r="AD111" i="6" s="1"/>
  <c r="AA111" i="6"/>
  <c r="X111" i="6"/>
  <c r="W111" i="6"/>
  <c r="U111" i="6"/>
  <c r="R111" i="6"/>
  <c r="N111" i="6"/>
  <c r="O111" i="6" s="1"/>
  <c r="L111" i="6"/>
  <c r="I111" i="6"/>
  <c r="H111" i="6"/>
  <c r="F111" i="6"/>
  <c r="C111" i="6"/>
  <c r="AC110" i="6"/>
  <c r="AD110" i="6" s="1"/>
  <c r="AA110" i="6"/>
  <c r="X110" i="6"/>
  <c r="W110" i="6"/>
  <c r="U110" i="6"/>
  <c r="R110" i="6"/>
  <c r="O110" i="6"/>
  <c r="N110" i="6"/>
  <c r="L110" i="6"/>
  <c r="I110" i="6"/>
  <c r="H110" i="6"/>
  <c r="F110" i="6"/>
  <c r="C110" i="6"/>
  <c r="AC109" i="6"/>
  <c r="AD109" i="6" s="1"/>
  <c r="AA109" i="6"/>
  <c r="W109" i="6"/>
  <c r="X109" i="6" s="1"/>
  <c r="U109" i="6"/>
  <c r="R109" i="6"/>
  <c r="O109" i="6"/>
  <c r="N109" i="6"/>
  <c r="L109" i="6"/>
  <c r="I109" i="6"/>
  <c r="H109" i="6"/>
  <c r="F109" i="6"/>
  <c r="C109" i="6"/>
  <c r="AD108" i="6"/>
  <c r="AC108" i="6"/>
  <c r="AA108" i="6"/>
  <c r="W108" i="6"/>
  <c r="X108" i="6" s="1"/>
  <c r="U108" i="6"/>
  <c r="R108" i="6"/>
  <c r="O108" i="6"/>
  <c r="N108" i="6"/>
  <c r="L108" i="6"/>
  <c r="H108" i="6"/>
  <c r="I108" i="6" s="1"/>
  <c r="F108" i="6"/>
  <c r="C108" i="6"/>
  <c r="AC107" i="6"/>
  <c r="AD107" i="6" s="1"/>
  <c r="AA107" i="6"/>
  <c r="X107" i="6"/>
  <c r="W107" i="6"/>
  <c r="U107" i="6"/>
  <c r="R107" i="6"/>
  <c r="O107" i="6"/>
  <c r="N107" i="6"/>
  <c r="L107" i="6"/>
  <c r="H107" i="6"/>
  <c r="I107" i="6" s="1"/>
  <c r="F107" i="6"/>
  <c r="C107" i="6"/>
  <c r="AC106" i="6"/>
  <c r="AD106" i="6" s="1"/>
  <c r="AA106" i="6"/>
  <c r="W106" i="6"/>
  <c r="X106" i="6" s="1"/>
  <c r="U106" i="6"/>
  <c r="R106" i="6"/>
  <c r="N106" i="6"/>
  <c r="O106" i="6" s="1"/>
  <c r="L106" i="6"/>
  <c r="H106" i="6"/>
  <c r="I106" i="6" s="1"/>
  <c r="F106" i="6"/>
  <c r="C106" i="6"/>
  <c r="AC105" i="6"/>
  <c r="AD105" i="6" s="1"/>
  <c r="AA105" i="6"/>
  <c r="W105" i="6"/>
  <c r="X105" i="6" s="1"/>
  <c r="U105" i="6"/>
  <c r="R105" i="6"/>
  <c r="O105" i="6"/>
  <c r="N105" i="6"/>
  <c r="L105" i="6"/>
  <c r="H105" i="6"/>
  <c r="I105" i="6" s="1"/>
  <c r="F105" i="6"/>
  <c r="C105" i="6"/>
  <c r="AC104" i="6"/>
  <c r="AD104" i="6" s="1"/>
  <c r="AA104" i="6"/>
  <c r="X104" i="6"/>
  <c r="W104" i="6"/>
  <c r="U104" i="6"/>
  <c r="R104" i="6"/>
  <c r="N104" i="6"/>
  <c r="O104" i="6" s="1"/>
  <c r="L104" i="6"/>
  <c r="H104" i="6"/>
  <c r="I104" i="6" s="1"/>
  <c r="F104" i="6"/>
  <c r="C104" i="6"/>
  <c r="AC103" i="6"/>
  <c r="AD103" i="6" s="1"/>
  <c r="AA103" i="6"/>
  <c r="X103" i="6"/>
  <c r="W103" i="6"/>
  <c r="U103" i="6"/>
  <c r="R103" i="6"/>
  <c r="N103" i="6"/>
  <c r="O103" i="6" s="1"/>
  <c r="L103" i="6"/>
  <c r="H103" i="6"/>
  <c r="I103" i="6" s="1"/>
  <c r="F103" i="6"/>
  <c r="C103" i="6"/>
  <c r="AD102" i="6"/>
  <c r="AC102" i="6"/>
  <c r="AA102" i="6"/>
  <c r="X102" i="6"/>
  <c r="W102" i="6"/>
  <c r="U102" i="6"/>
  <c r="R102" i="6"/>
  <c r="N102" i="6"/>
  <c r="O102" i="6" s="1"/>
  <c r="L102" i="6"/>
  <c r="H102" i="6"/>
  <c r="I102" i="6" s="1"/>
  <c r="F102" i="6"/>
  <c r="C102" i="6"/>
  <c r="AC101" i="6"/>
  <c r="AD101" i="6" s="1"/>
  <c r="AA101" i="6"/>
  <c r="X101" i="6"/>
  <c r="W101" i="6"/>
  <c r="U101" i="6"/>
  <c r="R101" i="6"/>
  <c r="O101" i="6"/>
  <c r="N101" i="6"/>
  <c r="L101" i="6"/>
  <c r="H101" i="6"/>
  <c r="I101" i="6" s="1"/>
  <c r="F101" i="6"/>
  <c r="C101" i="6"/>
  <c r="AD100" i="6"/>
  <c r="AC100" i="6"/>
  <c r="AA100" i="6"/>
  <c r="X100" i="6"/>
  <c r="W100" i="6"/>
  <c r="U100" i="6"/>
  <c r="R100" i="6"/>
  <c r="N100" i="6"/>
  <c r="O100" i="6" s="1"/>
  <c r="L100" i="6"/>
  <c r="H100" i="6"/>
  <c r="I100" i="6" s="1"/>
  <c r="F100" i="6"/>
  <c r="C100" i="6"/>
  <c r="AD99" i="6"/>
  <c r="AC99" i="6"/>
  <c r="AA99" i="6"/>
  <c r="X99" i="6"/>
  <c r="W99" i="6"/>
  <c r="U99" i="6"/>
  <c r="R99" i="6"/>
  <c r="O99" i="6"/>
  <c r="N99" i="6"/>
  <c r="L99" i="6"/>
  <c r="H99" i="6"/>
  <c r="I99" i="6" s="1"/>
  <c r="F99" i="6"/>
  <c r="C99" i="6"/>
  <c r="AC98" i="6"/>
  <c r="AD98" i="6" s="1"/>
  <c r="AA98" i="6"/>
  <c r="W98" i="6"/>
  <c r="X98" i="6" s="1"/>
  <c r="U98" i="6"/>
  <c r="R98" i="6"/>
  <c r="N98" i="6"/>
  <c r="O98" i="6" s="1"/>
  <c r="L98" i="6"/>
  <c r="I98" i="6"/>
  <c r="H98" i="6"/>
  <c r="F98" i="6"/>
  <c r="C98" i="6"/>
  <c r="AC97" i="6"/>
  <c r="AD97" i="6" s="1"/>
  <c r="AA97" i="6"/>
  <c r="W97" i="6"/>
  <c r="X97" i="6" s="1"/>
  <c r="U97" i="6"/>
  <c r="R97" i="6"/>
  <c r="O97" i="6"/>
  <c r="N97" i="6"/>
  <c r="L97" i="6"/>
  <c r="H97" i="6"/>
  <c r="I97" i="6" s="1"/>
  <c r="F97" i="6"/>
  <c r="C97" i="6"/>
  <c r="AC96" i="6"/>
  <c r="AD96" i="6" s="1"/>
  <c r="AA96" i="6"/>
  <c r="W96" i="6"/>
  <c r="X96" i="6" s="1"/>
  <c r="U96" i="6"/>
  <c r="R96" i="6"/>
  <c r="O96" i="6"/>
  <c r="N96" i="6"/>
  <c r="L96" i="6"/>
  <c r="H96" i="6"/>
  <c r="I96" i="6" s="1"/>
  <c r="F96" i="6"/>
  <c r="C96" i="6"/>
  <c r="AC95" i="6"/>
  <c r="AD95" i="6" s="1"/>
  <c r="AA95" i="6"/>
  <c r="X95" i="6"/>
  <c r="W95" i="6"/>
  <c r="U95" i="6"/>
  <c r="R95" i="6"/>
  <c r="N95" i="6"/>
  <c r="O95" i="6" s="1"/>
  <c r="L95" i="6"/>
  <c r="I95" i="6"/>
  <c r="H95" i="6"/>
  <c r="F95" i="6"/>
  <c r="C95" i="6"/>
  <c r="AC94" i="6"/>
  <c r="AD94" i="6" s="1"/>
  <c r="AA94" i="6"/>
  <c r="X94" i="6"/>
  <c r="W94" i="6"/>
  <c r="U94" i="6"/>
  <c r="R94" i="6"/>
  <c r="O94" i="6"/>
  <c r="N94" i="6"/>
  <c r="L94" i="6"/>
  <c r="H94" i="6"/>
  <c r="I94" i="6" s="1"/>
  <c r="F94" i="6"/>
  <c r="C94" i="6"/>
  <c r="AC92" i="6"/>
  <c r="AD92" i="6" s="1"/>
  <c r="AA92" i="6"/>
  <c r="W92" i="6"/>
  <c r="X92" i="6" s="1"/>
  <c r="U92" i="6"/>
  <c r="R92" i="6"/>
  <c r="O92" i="6"/>
  <c r="N92" i="6"/>
  <c r="L92" i="6"/>
  <c r="I92" i="6"/>
  <c r="H92" i="6"/>
  <c r="F92" i="6"/>
  <c r="C92" i="6"/>
  <c r="AC91" i="6"/>
  <c r="AD91" i="6" s="1"/>
  <c r="AA91" i="6"/>
  <c r="X91" i="6"/>
  <c r="W91" i="6"/>
  <c r="U91" i="6"/>
  <c r="R91" i="6"/>
  <c r="N91" i="6"/>
  <c r="O91" i="6" s="1"/>
  <c r="L91" i="6"/>
  <c r="H91" i="6"/>
  <c r="I91" i="6" s="1"/>
  <c r="F91" i="6"/>
  <c r="C91" i="6"/>
  <c r="AC90" i="6"/>
  <c r="AD90" i="6" s="1"/>
  <c r="AA90" i="6"/>
  <c r="X90" i="6"/>
  <c r="W90" i="6"/>
  <c r="U90" i="6"/>
  <c r="R90" i="6"/>
  <c r="O90" i="6"/>
  <c r="N90" i="6"/>
  <c r="L90" i="6"/>
  <c r="I90" i="6"/>
  <c r="H90" i="6"/>
  <c r="F90" i="6"/>
  <c r="C90" i="6"/>
  <c r="AC89" i="6"/>
  <c r="AD89" i="6" s="1"/>
  <c r="AA89" i="6"/>
  <c r="W89" i="6"/>
  <c r="X89" i="6" s="1"/>
  <c r="U89" i="6"/>
  <c r="R89" i="6"/>
  <c r="N89" i="6"/>
  <c r="O89" i="6" s="1"/>
  <c r="L89" i="6"/>
  <c r="H89" i="6"/>
  <c r="I89" i="6" s="1"/>
  <c r="F89" i="6"/>
  <c r="C89" i="6"/>
  <c r="Z88" i="6"/>
  <c r="AA88" i="6" s="1"/>
  <c r="T88" i="6"/>
  <c r="U88" i="6" s="1"/>
  <c r="Q88" i="6"/>
  <c r="L88" i="6"/>
  <c r="K88" i="6"/>
  <c r="E88" i="6"/>
  <c r="F88" i="6" s="1"/>
  <c r="B88" i="6"/>
  <c r="AC87" i="6"/>
  <c r="AD87" i="6" s="1"/>
  <c r="AA87" i="6"/>
  <c r="X87" i="6"/>
  <c r="W87" i="6"/>
  <c r="U87" i="6"/>
  <c r="R87" i="6"/>
  <c r="O87" i="6"/>
  <c r="N87" i="6"/>
  <c r="L87" i="6"/>
  <c r="I87" i="6"/>
  <c r="H87" i="6"/>
  <c r="F87" i="6"/>
  <c r="C87" i="6"/>
  <c r="AC86" i="6"/>
  <c r="AD86" i="6" s="1"/>
  <c r="AA86" i="6"/>
  <c r="W86" i="6"/>
  <c r="X86" i="6" s="1"/>
  <c r="U86" i="6"/>
  <c r="R86" i="6"/>
  <c r="O86" i="6"/>
  <c r="N86" i="6"/>
  <c r="L86" i="6"/>
  <c r="H86" i="6"/>
  <c r="I86" i="6" s="1"/>
  <c r="F86" i="6"/>
  <c r="C86" i="6"/>
  <c r="AC85" i="6"/>
  <c r="AD85" i="6" s="1"/>
  <c r="AA85" i="6"/>
  <c r="X85" i="6"/>
  <c r="W85" i="6"/>
  <c r="U85" i="6"/>
  <c r="R85" i="6"/>
  <c r="O85" i="6"/>
  <c r="N85" i="6"/>
  <c r="L85" i="6"/>
  <c r="H85" i="6"/>
  <c r="I85" i="6" s="1"/>
  <c r="F85" i="6"/>
  <c r="C85" i="6"/>
  <c r="AD84" i="6"/>
  <c r="AC84" i="6"/>
  <c r="AA84" i="6"/>
  <c r="X84" i="6"/>
  <c r="W84" i="6"/>
  <c r="U84" i="6"/>
  <c r="R84" i="6"/>
  <c r="N84" i="6"/>
  <c r="O84" i="6" s="1"/>
  <c r="L84" i="6"/>
  <c r="H84" i="6"/>
  <c r="I84" i="6" s="1"/>
  <c r="F84" i="6"/>
  <c r="C84" i="6"/>
  <c r="AC83" i="6"/>
  <c r="AD83" i="6" s="1"/>
  <c r="AA83" i="6"/>
  <c r="X83" i="6"/>
  <c r="W83" i="6"/>
  <c r="U83" i="6"/>
  <c r="R83" i="6"/>
  <c r="O83" i="6"/>
  <c r="N83" i="6"/>
  <c r="L83" i="6"/>
  <c r="H83" i="6"/>
  <c r="I83" i="6" s="1"/>
  <c r="F83" i="6"/>
  <c r="C83" i="6"/>
  <c r="AC82" i="6"/>
  <c r="AD82" i="6" s="1"/>
  <c r="AA82" i="6"/>
  <c r="X82" i="6"/>
  <c r="W82" i="6"/>
  <c r="U82" i="6"/>
  <c r="R82" i="6"/>
  <c r="O82" i="6"/>
  <c r="N82" i="6"/>
  <c r="L82" i="6"/>
  <c r="I82" i="6"/>
  <c r="H82" i="6"/>
  <c r="F82" i="6"/>
  <c r="C82" i="6"/>
  <c r="AC81" i="6"/>
  <c r="AD81" i="6" s="1"/>
  <c r="AA81" i="6"/>
  <c r="W81" i="6"/>
  <c r="X81" i="6" s="1"/>
  <c r="U81" i="6"/>
  <c r="R81" i="6"/>
  <c r="O81" i="6"/>
  <c r="N81" i="6"/>
  <c r="L81" i="6"/>
  <c r="I81" i="6"/>
  <c r="H81" i="6"/>
  <c r="F81" i="6"/>
  <c r="C81" i="6"/>
  <c r="AD80" i="6"/>
  <c r="AC80" i="6"/>
  <c r="AA80" i="6"/>
  <c r="X80" i="6"/>
  <c r="W80" i="6"/>
  <c r="U80" i="6"/>
  <c r="R80" i="6"/>
  <c r="O80" i="6"/>
  <c r="N80" i="6"/>
  <c r="L80" i="6"/>
  <c r="H80" i="6"/>
  <c r="I80" i="6" s="1"/>
  <c r="F80" i="6"/>
  <c r="C80" i="6"/>
  <c r="AC79" i="6"/>
  <c r="AD79" i="6" s="1"/>
  <c r="AA79" i="6"/>
  <c r="X79" i="6"/>
  <c r="W79" i="6"/>
  <c r="U79" i="6"/>
  <c r="R79" i="6"/>
  <c r="O79" i="6"/>
  <c r="N79" i="6"/>
  <c r="L79" i="6"/>
  <c r="I79" i="6"/>
  <c r="H79" i="6"/>
  <c r="F79" i="6"/>
  <c r="C79" i="6"/>
  <c r="AD78" i="6"/>
  <c r="AC78" i="6"/>
  <c r="AA78" i="6"/>
  <c r="W78" i="6"/>
  <c r="X78" i="6" s="1"/>
  <c r="U78" i="6"/>
  <c r="R78" i="6"/>
  <c r="N78" i="6"/>
  <c r="O78" i="6" s="1"/>
  <c r="L78" i="6"/>
  <c r="H78" i="6"/>
  <c r="I78" i="6" s="1"/>
  <c r="F78" i="6"/>
  <c r="C78" i="6"/>
  <c r="AC77" i="6"/>
  <c r="AD77" i="6" s="1"/>
  <c r="AA77" i="6"/>
  <c r="W77" i="6"/>
  <c r="X77" i="6" s="1"/>
  <c r="U77" i="6"/>
  <c r="R77" i="6"/>
  <c r="O77" i="6"/>
  <c r="N77" i="6"/>
  <c r="L77" i="6"/>
  <c r="H77" i="6"/>
  <c r="I77" i="6" s="1"/>
  <c r="F77" i="6"/>
  <c r="C77" i="6"/>
  <c r="AC76" i="6"/>
  <c r="AD76" i="6" s="1"/>
  <c r="AA76" i="6"/>
  <c r="W76" i="6"/>
  <c r="X76" i="6" s="1"/>
  <c r="U76" i="6"/>
  <c r="R76" i="6"/>
  <c r="O76" i="6"/>
  <c r="N76" i="6"/>
  <c r="L76" i="6"/>
  <c r="H76" i="6"/>
  <c r="I76" i="6" s="1"/>
  <c r="F76" i="6"/>
  <c r="C76" i="6"/>
  <c r="AC75" i="6"/>
  <c r="AD75" i="6" s="1"/>
  <c r="AA75" i="6"/>
  <c r="X75" i="6"/>
  <c r="W75" i="6"/>
  <c r="U75" i="6"/>
  <c r="R75" i="6"/>
  <c r="O75" i="6"/>
  <c r="N75" i="6"/>
  <c r="L75" i="6"/>
  <c r="I75" i="6"/>
  <c r="H75" i="6"/>
  <c r="F75" i="6"/>
  <c r="C75" i="6"/>
  <c r="AC73" i="6"/>
  <c r="AD73" i="6" s="1"/>
  <c r="AA73" i="6"/>
  <c r="Z73" i="6"/>
  <c r="W73" i="6"/>
  <c r="X73" i="6" s="1"/>
  <c r="T73" i="6"/>
  <c r="U73" i="6" s="1"/>
  <c r="R73" i="6"/>
  <c r="Q73" i="6"/>
  <c r="K73" i="6"/>
  <c r="L73" i="6" s="1"/>
  <c r="H73" i="6"/>
  <c r="I73" i="6" s="1"/>
  <c r="E73" i="6"/>
  <c r="F73" i="6" s="1"/>
  <c r="B73" i="6"/>
  <c r="C73" i="6" s="1"/>
  <c r="AD72" i="6"/>
  <c r="AC72" i="6"/>
  <c r="AA72" i="6"/>
  <c r="W72" i="6"/>
  <c r="X72" i="6" s="1"/>
  <c r="U72" i="6"/>
  <c r="R72" i="6"/>
  <c r="O72" i="6"/>
  <c r="N72" i="6"/>
  <c r="L72" i="6"/>
  <c r="H72" i="6"/>
  <c r="I72" i="6" s="1"/>
  <c r="F72" i="6"/>
  <c r="C72" i="6"/>
  <c r="AD71" i="6"/>
  <c r="AC71" i="6"/>
  <c r="AA71" i="6"/>
  <c r="X71" i="6"/>
  <c r="W71" i="6"/>
  <c r="U71" i="6"/>
  <c r="R71" i="6"/>
  <c r="O71" i="6"/>
  <c r="N71" i="6"/>
  <c r="L71" i="6"/>
  <c r="I71" i="6"/>
  <c r="H71" i="6"/>
  <c r="F71" i="6"/>
  <c r="C71" i="6"/>
  <c r="AC70" i="6"/>
  <c r="AD70" i="6" s="1"/>
  <c r="AA70" i="6"/>
  <c r="W70" i="6"/>
  <c r="X70" i="6" s="1"/>
  <c r="U70" i="6"/>
  <c r="R70" i="6"/>
  <c r="O70" i="6"/>
  <c r="N70" i="6"/>
  <c r="L70" i="6"/>
  <c r="I70" i="6"/>
  <c r="H70" i="6"/>
  <c r="F70" i="6"/>
  <c r="C70" i="6"/>
  <c r="AC69" i="6"/>
  <c r="AD69" i="6" s="1"/>
  <c r="AA69" i="6"/>
  <c r="W69" i="6"/>
  <c r="X69" i="6" s="1"/>
  <c r="U69" i="6"/>
  <c r="R69" i="6"/>
  <c r="O69" i="6"/>
  <c r="N69" i="6"/>
  <c r="L69" i="6"/>
  <c r="I69" i="6"/>
  <c r="H69" i="6"/>
  <c r="F69" i="6"/>
  <c r="C69" i="6"/>
  <c r="AC68" i="6"/>
  <c r="AD68" i="6" s="1"/>
  <c r="AA68" i="6"/>
  <c r="X68" i="6"/>
  <c r="W68" i="6"/>
  <c r="U68" i="6"/>
  <c r="R68" i="6"/>
  <c r="O68" i="6"/>
  <c r="N68" i="6"/>
  <c r="L68" i="6"/>
  <c r="H68" i="6"/>
  <c r="I68" i="6" s="1"/>
  <c r="F68" i="6"/>
  <c r="C68" i="6"/>
  <c r="AD67" i="6"/>
  <c r="AC67" i="6"/>
  <c r="AA67" i="6"/>
  <c r="X67" i="6"/>
  <c r="W67" i="6"/>
  <c r="U67" i="6"/>
  <c r="R67" i="6"/>
  <c r="O67" i="6"/>
  <c r="N67" i="6"/>
  <c r="L67" i="6"/>
  <c r="I67" i="6"/>
  <c r="H67" i="6"/>
  <c r="F67" i="6"/>
  <c r="C67" i="6"/>
  <c r="AD66" i="6"/>
  <c r="AC66" i="6"/>
  <c r="AA66" i="6"/>
  <c r="W66" i="6"/>
  <c r="X66" i="6" s="1"/>
  <c r="U66" i="6"/>
  <c r="R66" i="6"/>
  <c r="N66" i="6"/>
  <c r="O66" i="6" s="1"/>
  <c r="L66" i="6"/>
  <c r="I66" i="6"/>
  <c r="H66" i="6"/>
  <c r="F66" i="6"/>
  <c r="C66" i="6"/>
  <c r="AC65" i="6"/>
  <c r="AD65" i="6" s="1"/>
  <c r="AA65" i="6"/>
  <c r="X65" i="6"/>
  <c r="W65" i="6"/>
  <c r="U65" i="6"/>
  <c r="R65" i="6"/>
  <c r="O65" i="6"/>
  <c r="N65" i="6"/>
  <c r="L65" i="6"/>
  <c r="H65" i="6"/>
  <c r="I65" i="6" s="1"/>
  <c r="F65" i="6"/>
  <c r="C65" i="6"/>
  <c r="AC64" i="6"/>
  <c r="AD64" i="6" s="1"/>
  <c r="AA64" i="6"/>
  <c r="W64" i="6"/>
  <c r="X64" i="6" s="1"/>
  <c r="U64" i="6"/>
  <c r="R64" i="6"/>
  <c r="O64" i="6"/>
  <c r="N64" i="6"/>
  <c r="L64" i="6"/>
  <c r="H64" i="6"/>
  <c r="I64" i="6" s="1"/>
  <c r="F64" i="6"/>
  <c r="C64" i="6"/>
  <c r="AA62" i="6"/>
  <c r="Z62" i="6"/>
  <c r="T62" i="6"/>
  <c r="Q62" i="6"/>
  <c r="R62" i="6" s="1"/>
  <c r="K62" i="6"/>
  <c r="L62" i="6" s="1"/>
  <c r="E62" i="6"/>
  <c r="F62" i="6" s="1"/>
  <c r="B62" i="6"/>
  <c r="N62" i="6" s="1"/>
  <c r="O62" i="6" s="1"/>
  <c r="AC61" i="6"/>
  <c r="AD61" i="6" s="1"/>
  <c r="Z61" i="6"/>
  <c r="AA61" i="6" s="1"/>
  <c r="U61" i="6"/>
  <c r="T61" i="6"/>
  <c r="W61" i="6" s="1"/>
  <c r="X61" i="6" s="1"/>
  <c r="Q61" i="6"/>
  <c r="R61" i="6" s="1"/>
  <c r="N61" i="6"/>
  <c r="O61" i="6" s="1"/>
  <c r="L61" i="6"/>
  <c r="K61" i="6"/>
  <c r="E61" i="6"/>
  <c r="F61" i="6" s="1"/>
  <c r="B61" i="6"/>
  <c r="C61" i="6" s="1"/>
  <c r="AD60" i="6"/>
  <c r="AC60" i="6"/>
  <c r="AA60" i="6"/>
  <c r="X60" i="6"/>
  <c r="W60" i="6"/>
  <c r="U60" i="6"/>
  <c r="R60" i="6"/>
  <c r="N60" i="6"/>
  <c r="O60" i="6" s="1"/>
  <c r="L60" i="6"/>
  <c r="H60" i="6"/>
  <c r="I60" i="6" s="1"/>
  <c r="F60" i="6"/>
  <c r="C60" i="6"/>
  <c r="AD59" i="6"/>
  <c r="AC59" i="6"/>
  <c r="AA59" i="6"/>
  <c r="X59" i="6"/>
  <c r="W59" i="6"/>
  <c r="U59" i="6"/>
  <c r="R59" i="6"/>
  <c r="N59" i="6"/>
  <c r="O59" i="6" s="1"/>
  <c r="L59" i="6"/>
  <c r="H59" i="6"/>
  <c r="I59" i="6" s="1"/>
  <c r="F59" i="6"/>
  <c r="C59" i="6"/>
  <c r="AC58" i="6"/>
  <c r="AD58" i="6" s="1"/>
  <c r="AA58" i="6"/>
  <c r="X58" i="6"/>
  <c r="W58" i="6"/>
  <c r="U58" i="6"/>
  <c r="R58" i="6"/>
  <c r="O58" i="6"/>
  <c r="N58" i="6"/>
  <c r="L58" i="6"/>
  <c r="H58" i="6"/>
  <c r="I58" i="6" s="1"/>
  <c r="F58" i="6"/>
  <c r="C58" i="6"/>
  <c r="AD57" i="6"/>
  <c r="AC57" i="6"/>
  <c r="AA57" i="6"/>
  <c r="W57" i="6"/>
  <c r="X57" i="6" s="1"/>
  <c r="U57" i="6"/>
  <c r="R57" i="6"/>
  <c r="N57" i="6"/>
  <c r="O57" i="6" s="1"/>
  <c r="L57" i="6"/>
  <c r="H57" i="6"/>
  <c r="I57" i="6" s="1"/>
  <c r="F57" i="6"/>
  <c r="C57" i="6"/>
  <c r="AD56" i="6"/>
  <c r="AC56" i="6"/>
  <c r="AA56" i="6"/>
  <c r="X56" i="6"/>
  <c r="W56" i="6"/>
  <c r="U56" i="6"/>
  <c r="R56" i="6"/>
  <c r="O56" i="6"/>
  <c r="N56" i="6"/>
  <c r="L56" i="6"/>
  <c r="H56" i="6"/>
  <c r="I56" i="6" s="1"/>
  <c r="F56" i="6"/>
  <c r="C56" i="6"/>
  <c r="AC55" i="6"/>
  <c r="AD55" i="6" s="1"/>
  <c r="AA55" i="6"/>
  <c r="W55" i="6"/>
  <c r="X55" i="6" s="1"/>
  <c r="U55" i="6"/>
  <c r="R55" i="6"/>
  <c r="O55" i="6"/>
  <c r="N55" i="6"/>
  <c r="L55" i="6"/>
  <c r="I55" i="6"/>
  <c r="H55" i="6"/>
  <c r="F55" i="6"/>
  <c r="C55" i="6"/>
  <c r="AC54" i="6"/>
  <c r="AD54" i="6" s="1"/>
  <c r="AA54" i="6"/>
  <c r="W54" i="6"/>
  <c r="X54" i="6" s="1"/>
  <c r="U54" i="6"/>
  <c r="R54" i="6"/>
  <c r="O54" i="6"/>
  <c r="N54" i="6"/>
  <c r="L54" i="6"/>
  <c r="I54" i="6"/>
  <c r="H54" i="6"/>
  <c r="F54" i="6"/>
  <c r="C54" i="6"/>
  <c r="AC53" i="6"/>
  <c r="AD53" i="6" s="1"/>
  <c r="AA53" i="6"/>
  <c r="W53" i="6"/>
  <c r="X53" i="6" s="1"/>
  <c r="U53" i="6"/>
  <c r="R53" i="6"/>
  <c r="N53" i="6"/>
  <c r="O53" i="6" s="1"/>
  <c r="L53" i="6"/>
  <c r="H53" i="6"/>
  <c r="I53" i="6" s="1"/>
  <c r="F53" i="6"/>
  <c r="C53" i="6"/>
  <c r="AD52" i="6"/>
  <c r="AC52" i="6"/>
  <c r="AA52" i="6"/>
  <c r="X52" i="6"/>
  <c r="W52" i="6"/>
  <c r="U52" i="6"/>
  <c r="R52" i="6"/>
  <c r="N52" i="6"/>
  <c r="O52" i="6" s="1"/>
  <c r="L52" i="6"/>
  <c r="H52" i="6"/>
  <c r="I52" i="6" s="1"/>
  <c r="F52" i="6"/>
  <c r="C52" i="6"/>
  <c r="AC51" i="6"/>
  <c r="AD51" i="6" s="1"/>
  <c r="AA51" i="6"/>
  <c r="X51" i="6"/>
  <c r="W51" i="6"/>
  <c r="U51" i="6"/>
  <c r="R51" i="6"/>
  <c r="O51" i="6"/>
  <c r="N51" i="6"/>
  <c r="L51" i="6"/>
  <c r="H51" i="6"/>
  <c r="I51" i="6" s="1"/>
  <c r="F51" i="6"/>
  <c r="C51" i="6"/>
  <c r="AC50" i="6"/>
  <c r="AD50" i="6" s="1"/>
  <c r="AA50" i="6"/>
  <c r="W50" i="6"/>
  <c r="X50" i="6" s="1"/>
  <c r="U50" i="6"/>
  <c r="R50" i="6"/>
  <c r="O50" i="6"/>
  <c r="N50" i="6"/>
  <c r="L50" i="6"/>
  <c r="I50" i="6"/>
  <c r="H50" i="6"/>
  <c r="F50" i="6"/>
  <c r="C50" i="6"/>
  <c r="AC49" i="6"/>
  <c r="AD49" i="6" s="1"/>
  <c r="AA49" i="6"/>
  <c r="X49" i="6"/>
  <c r="W49" i="6"/>
  <c r="U49" i="6"/>
  <c r="R49" i="6"/>
  <c r="O49" i="6"/>
  <c r="N49" i="6"/>
  <c r="L49" i="6"/>
  <c r="H49" i="6"/>
  <c r="I49" i="6" s="1"/>
  <c r="F49" i="6"/>
  <c r="C49" i="6"/>
  <c r="AC48" i="6"/>
  <c r="AD48" i="6" s="1"/>
  <c r="AA48" i="6"/>
  <c r="X48" i="6"/>
  <c r="W48" i="6"/>
  <c r="U48" i="6"/>
  <c r="R48" i="6"/>
  <c r="O48" i="6"/>
  <c r="N48" i="6"/>
  <c r="L48" i="6"/>
  <c r="H48" i="6"/>
  <c r="I48" i="6" s="1"/>
  <c r="F48" i="6"/>
  <c r="C48" i="6"/>
  <c r="AC47" i="6"/>
  <c r="AD47" i="6" s="1"/>
  <c r="AA47" i="6"/>
  <c r="W47" i="6"/>
  <c r="X47" i="6" s="1"/>
  <c r="U47" i="6"/>
  <c r="R47" i="6"/>
  <c r="O47" i="6"/>
  <c r="N47" i="6"/>
  <c r="L47" i="6"/>
  <c r="H47" i="6"/>
  <c r="I47" i="6" s="1"/>
  <c r="F47" i="6"/>
  <c r="C47" i="6"/>
  <c r="AC46" i="6"/>
  <c r="AD46" i="6" s="1"/>
  <c r="AA46" i="6"/>
  <c r="X46" i="6"/>
  <c r="W46" i="6"/>
  <c r="U46" i="6"/>
  <c r="R46" i="6"/>
  <c r="O46" i="6"/>
  <c r="N46" i="6"/>
  <c r="L46" i="6"/>
  <c r="H46" i="6"/>
  <c r="I46" i="6" s="1"/>
  <c r="F46" i="6"/>
  <c r="C46" i="6"/>
  <c r="AD44" i="6"/>
  <c r="AC44" i="6"/>
  <c r="AA44" i="6"/>
  <c r="X44" i="6"/>
  <c r="W44" i="6"/>
  <c r="U44" i="6"/>
  <c r="R44" i="6"/>
  <c r="N44" i="6"/>
  <c r="O44" i="6" s="1"/>
  <c r="L44" i="6"/>
  <c r="H44" i="6"/>
  <c r="I44" i="6" s="1"/>
  <c r="F44" i="6"/>
  <c r="C44" i="6"/>
  <c r="AC43" i="6"/>
  <c r="AD43" i="6" s="1"/>
  <c r="AA43" i="6"/>
  <c r="X43" i="6"/>
  <c r="W43" i="6"/>
  <c r="U43" i="6"/>
  <c r="R43" i="6"/>
  <c r="O43" i="6"/>
  <c r="N43" i="6"/>
  <c r="L43" i="6"/>
  <c r="H43" i="6"/>
  <c r="I43" i="6" s="1"/>
  <c r="F43" i="6"/>
  <c r="C43" i="6"/>
  <c r="AC42" i="6"/>
  <c r="AD42" i="6" s="1"/>
  <c r="AA42" i="6"/>
  <c r="X42" i="6"/>
  <c r="W42" i="6"/>
  <c r="U42" i="6"/>
  <c r="R42" i="6"/>
  <c r="O42" i="6"/>
  <c r="N42" i="6"/>
  <c r="L42" i="6"/>
  <c r="I42" i="6"/>
  <c r="H42" i="6"/>
  <c r="F42" i="6"/>
  <c r="C42" i="6"/>
  <c r="AC40" i="6"/>
  <c r="AD40" i="6" s="1"/>
  <c r="AA40" i="6"/>
  <c r="Z40" i="6"/>
  <c r="W40" i="6"/>
  <c r="X40" i="6" s="1"/>
  <c r="U40" i="6"/>
  <c r="T40" i="6"/>
  <c r="Q40" i="6"/>
  <c r="R40" i="6" s="1"/>
  <c r="O40" i="6"/>
  <c r="N40" i="6"/>
  <c r="K40" i="6"/>
  <c r="L40" i="6" s="1"/>
  <c r="E40" i="6"/>
  <c r="F40" i="6" s="1"/>
  <c r="B40" i="6"/>
  <c r="AD39" i="6"/>
  <c r="AC39" i="6"/>
  <c r="AA39" i="6"/>
  <c r="X39" i="6"/>
  <c r="W39" i="6"/>
  <c r="U39" i="6"/>
  <c r="R39" i="6"/>
  <c r="N39" i="6"/>
  <c r="O39" i="6" s="1"/>
  <c r="L39" i="6"/>
  <c r="H39" i="6"/>
  <c r="I39" i="6" s="1"/>
  <c r="F39" i="6"/>
  <c r="C39" i="6"/>
  <c r="AC38" i="6"/>
  <c r="AD38" i="6" s="1"/>
  <c r="AA38" i="6"/>
  <c r="W38" i="6"/>
  <c r="X38" i="6" s="1"/>
  <c r="U38" i="6"/>
  <c r="R38" i="6"/>
  <c r="N38" i="6"/>
  <c r="O38" i="6" s="1"/>
  <c r="L38" i="6"/>
  <c r="H38" i="6"/>
  <c r="I38" i="6" s="1"/>
  <c r="F38" i="6"/>
  <c r="C38" i="6"/>
  <c r="AC37" i="6"/>
  <c r="AD37" i="6" s="1"/>
  <c r="AA37" i="6"/>
  <c r="X37" i="6"/>
  <c r="W37" i="6"/>
  <c r="U37" i="6"/>
  <c r="R37" i="6"/>
  <c r="O37" i="6"/>
  <c r="N37" i="6"/>
  <c r="L37" i="6"/>
  <c r="H37" i="6"/>
  <c r="I37" i="6" s="1"/>
  <c r="F37" i="6"/>
  <c r="C37" i="6"/>
  <c r="AC36" i="6"/>
  <c r="AD36" i="6" s="1"/>
  <c r="AA36" i="6"/>
  <c r="X36" i="6"/>
  <c r="W36" i="6"/>
  <c r="U36" i="6"/>
  <c r="R36" i="6"/>
  <c r="N36" i="6"/>
  <c r="O36" i="6" s="1"/>
  <c r="L36" i="6"/>
  <c r="H36" i="6"/>
  <c r="I36" i="6" s="1"/>
  <c r="F36" i="6"/>
  <c r="C36" i="6"/>
  <c r="AC35" i="6"/>
  <c r="AD35" i="6" s="1"/>
  <c r="AA35" i="6"/>
  <c r="X35" i="6"/>
  <c r="W35" i="6"/>
  <c r="U35" i="6"/>
  <c r="R35" i="6"/>
  <c r="N35" i="6"/>
  <c r="O35" i="6" s="1"/>
  <c r="L35" i="6"/>
  <c r="I35" i="6"/>
  <c r="H35" i="6"/>
  <c r="F35" i="6"/>
  <c r="C35" i="6"/>
  <c r="AD34" i="6"/>
  <c r="AC34" i="6"/>
  <c r="AA34" i="6"/>
  <c r="W34" i="6"/>
  <c r="X34" i="6" s="1"/>
  <c r="U34" i="6"/>
  <c r="R34" i="6"/>
  <c r="O34" i="6"/>
  <c r="N34" i="6"/>
  <c r="L34" i="6"/>
  <c r="I34" i="6"/>
  <c r="H34" i="6"/>
  <c r="F34" i="6"/>
  <c r="C34" i="6"/>
  <c r="AC33" i="6"/>
  <c r="AD33" i="6" s="1"/>
  <c r="AA33" i="6"/>
  <c r="X33" i="6"/>
  <c r="W33" i="6"/>
  <c r="U33" i="6"/>
  <c r="R33" i="6"/>
  <c r="O33" i="6"/>
  <c r="N33" i="6"/>
  <c r="L33" i="6"/>
  <c r="I33" i="6"/>
  <c r="H33" i="6"/>
  <c r="F33" i="6"/>
  <c r="C33" i="6"/>
  <c r="AC32" i="6"/>
  <c r="AD32" i="6" s="1"/>
  <c r="AA32" i="6"/>
  <c r="W32" i="6"/>
  <c r="X32" i="6" s="1"/>
  <c r="U32" i="6"/>
  <c r="R32" i="6"/>
  <c r="O32" i="6"/>
  <c r="N32" i="6"/>
  <c r="L32" i="6"/>
  <c r="H32" i="6"/>
  <c r="I32" i="6" s="1"/>
  <c r="F32" i="6"/>
  <c r="C32" i="6"/>
  <c r="AD31" i="6"/>
  <c r="AC31" i="6"/>
  <c r="AA31" i="6"/>
  <c r="X31" i="6"/>
  <c r="W31" i="6"/>
  <c r="U31" i="6"/>
  <c r="R31" i="6"/>
  <c r="O31" i="6"/>
  <c r="N31" i="6"/>
  <c r="L31" i="6"/>
  <c r="I31" i="6"/>
  <c r="H31" i="6"/>
  <c r="F31" i="6"/>
  <c r="C31" i="6"/>
  <c r="AC29" i="6"/>
  <c r="AD29" i="6" s="1"/>
  <c r="AA29" i="6"/>
  <c r="Z29" i="6"/>
  <c r="T29" i="6"/>
  <c r="U29" i="6" s="1"/>
  <c r="Q29" i="6"/>
  <c r="K29" i="6"/>
  <c r="L29" i="6" s="1"/>
  <c r="E29" i="6"/>
  <c r="F29" i="6" s="1"/>
  <c r="B29" i="6"/>
  <c r="AD28" i="6"/>
  <c r="AC28" i="6"/>
  <c r="AA28" i="6"/>
  <c r="X28" i="6"/>
  <c r="W28" i="6"/>
  <c r="U28" i="6"/>
  <c r="R28" i="6"/>
  <c r="N28" i="6"/>
  <c r="O28" i="6" s="1"/>
  <c r="L28" i="6"/>
  <c r="H28" i="6"/>
  <c r="I28" i="6" s="1"/>
  <c r="F28" i="6"/>
  <c r="C28" i="6"/>
  <c r="AD27" i="6"/>
  <c r="AC27" i="6"/>
  <c r="AA27" i="6"/>
  <c r="X27" i="6"/>
  <c r="W27" i="6"/>
  <c r="U27" i="6"/>
  <c r="R27" i="6"/>
  <c r="N27" i="6"/>
  <c r="O27" i="6" s="1"/>
  <c r="L27" i="6"/>
  <c r="H27" i="6"/>
  <c r="I27" i="6" s="1"/>
  <c r="F27" i="6"/>
  <c r="C27" i="6"/>
  <c r="AD26" i="6"/>
  <c r="AC26" i="6"/>
  <c r="AA26" i="6"/>
  <c r="W26" i="6"/>
  <c r="X26" i="6" s="1"/>
  <c r="U26" i="6"/>
  <c r="R26" i="6"/>
  <c r="N26" i="6"/>
  <c r="O26" i="6" s="1"/>
  <c r="L26" i="6"/>
  <c r="I26" i="6"/>
  <c r="H26" i="6"/>
  <c r="F26" i="6"/>
  <c r="C26" i="6"/>
  <c r="AC25" i="6"/>
  <c r="AD25" i="6" s="1"/>
  <c r="AA25" i="6"/>
  <c r="X25" i="6"/>
  <c r="W25" i="6"/>
  <c r="U25" i="6"/>
  <c r="R25" i="6"/>
  <c r="O25" i="6"/>
  <c r="N25" i="6"/>
  <c r="L25" i="6"/>
  <c r="H25" i="6"/>
  <c r="I25" i="6" s="1"/>
  <c r="F25" i="6"/>
  <c r="C25" i="6"/>
  <c r="AC24" i="6"/>
  <c r="AD24" i="6" s="1"/>
  <c r="AA24" i="6"/>
  <c r="W24" i="6"/>
  <c r="X24" i="6" s="1"/>
  <c r="U24" i="6"/>
  <c r="R24" i="6"/>
  <c r="N24" i="6"/>
  <c r="O24" i="6" s="1"/>
  <c r="L24" i="6"/>
  <c r="H24" i="6"/>
  <c r="I24" i="6" s="1"/>
  <c r="F24" i="6"/>
  <c r="C24" i="6"/>
  <c r="AC23" i="6"/>
  <c r="AD23" i="6" s="1"/>
  <c r="AA23" i="6"/>
  <c r="X23" i="6"/>
  <c r="W23" i="6"/>
  <c r="U23" i="6"/>
  <c r="R23" i="6"/>
  <c r="N23" i="6"/>
  <c r="O23" i="6" s="1"/>
  <c r="L23" i="6"/>
  <c r="H23" i="6"/>
  <c r="I23" i="6" s="1"/>
  <c r="F23" i="6"/>
  <c r="C23" i="6"/>
  <c r="AC22" i="6"/>
  <c r="AD22" i="6" s="1"/>
  <c r="AA22" i="6"/>
  <c r="W22" i="6"/>
  <c r="X22" i="6" s="1"/>
  <c r="U22" i="6"/>
  <c r="R22" i="6"/>
  <c r="O22" i="6"/>
  <c r="N22" i="6"/>
  <c r="L22" i="6"/>
  <c r="H22" i="6"/>
  <c r="I22" i="6" s="1"/>
  <c r="F22" i="6"/>
  <c r="C22" i="6"/>
  <c r="AC21" i="6"/>
  <c r="AD21" i="6" s="1"/>
  <c r="AA21" i="6"/>
  <c r="W21" i="6"/>
  <c r="X21" i="6" s="1"/>
  <c r="U21" i="6"/>
  <c r="R21" i="6"/>
  <c r="O21" i="6"/>
  <c r="N21" i="6"/>
  <c r="L21" i="6"/>
  <c r="I21" i="6"/>
  <c r="H21" i="6"/>
  <c r="F21" i="6"/>
  <c r="C21" i="6"/>
  <c r="AC19" i="6"/>
  <c r="AD19" i="6" s="1"/>
  <c r="AA19" i="6"/>
  <c r="W19" i="6"/>
  <c r="X19" i="6" s="1"/>
  <c r="U19" i="6"/>
  <c r="R19" i="6"/>
  <c r="O19" i="6"/>
  <c r="N19" i="6"/>
  <c r="L19" i="6"/>
  <c r="H19" i="6"/>
  <c r="I19" i="6" s="1"/>
  <c r="F19" i="6"/>
  <c r="C19" i="6"/>
  <c r="AA18" i="6"/>
  <c r="Z18" i="6"/>
  <c r="AC18" i="6" s="1"/>
  <c r="AD18" i="6" s="1"/>
  <c r="T18" i="6"/>
  <c r="W18" i="6" s="1"/>
  <c r="X18" i="6" s="1"/>
  <c r="R18" i="6"/>
  <c r="Q18" i="6"/>
  <c r="K18" i="6"/>
  <c r="F18" i="6"/>
  <c r="E18" i="6"/>
  <c r="B18" i="6"/>
  <c r="C18" i="6" s="1"/>
  <c r="AC17" i="6"/>
  <c r="AD17" i="6" s="1"/>
  <c r="AA17" i="6"/>
  <c r="X17" i="6"/>
  <c r="W17" i="6"/>
  <c r="U17" i="6"/>
  <c r="R17" i="6"/>
  <c r="O17" i="6"/>
  <c r="N17" i="6"/>
  <c r="L17" i="6"/>
  <c r="I17" i="6"/>
  <c r="H17" i="6"/>
  <c r="F17" i="6"/>
  <c r="C17" i="6"/>
  <c r="AD16" i="6"/>
  <c r="AC16" i="6"/>
  <c r="AA16" i="6"/>
  <c r="W16" i="6"/>
  <c r="X16" i="6" s="1"/>
  <c r="U16" i="6"/>
  <c r="R16" i="6"/>
  <c r="N16" i="6"/>
  <c r="O16" i="6" s="1"/>
  <c r="L16" i="6"/>
  <c r="H16" i="6"/>
  <c r="I16" i="6" s="1"/>
  <c r="F16" i="6"/>
  <c r="C16" i="6"/>
  <c r="AD15" i="6"/>
  <c r="AC15" i="6"/>
  <c r="AA15" i="6"/>
  <c r="X15" i="6"/>
  <c r="W15" i="6"/>
  <c r="U15" i="6"/>
  <c r="R15" i="6"/>
  <c r="N15" i="6"/>
  <c r="O15" i="6" s="1"/>
  <c r="L15" i="6"/>
  <c r="H15" i="6"/>
  <c r="I15" i="6" s="1"/>
  <c r="F15" i="6"/>
  <c r="C15" i="6"/>
  <c r="AC14" i="6"/>
  <c r="AD14" i="6" s="1"/>
  <c r="AA14" i="6"/>
  <c r="W14" i="6"/>
  <c r="X14" i="6" s="1"/>
  <c r="U14" i="6"/>
  <c r="R14" i="6"/>
  <c r="O14" i="6"/>
  <c r="N14" i="6"/>
  <c r="L14" i="6"/>
  <c r="I14" i="6"/>
  <c r="H14" i="6"/>
  <c r="F14" i="6"/>
  <c r="C14" i="6"/>
  <c r="AC13" i="6"/>
  <c r="AD13" i="6" s="1"/>
  <c r="AA13" i="6"/>
  <c r="W13" i="6"/>
  <c r="X13" i="6" s="1"/>
  <c r="U13" i="6"/>
  <c r="R13" i="6"/>
  <c r="O13" i="6"/>
  <c r="N13" i="6"/>
  <c r="L13" i="6"/>
  <c r="I13" i="6"/>
  <c r="H13" i="6"/>
  <c r="F13" i="6"/>
  <c r="C13" i="6"/>
  <c r="AC12" i="6"/>
  <c r="AD12" i="6" s="1"/>
  <c r="AA12" i="6"/>
  <c r="W12" i="6"/>
  <c r="X12" i="6" s="1"/>
  <c r="U12" i="6"/>
  <c r="R12" i="6"/>
  <c r="N12" i="6"/>
  <c r="O12" i="6" s="1"/>
  <c r="L12" i="6"/>
  <c r="H12" i="6"/>
  <c r="I12" i="6" s="1"/>
  <c r="F12" i="6"/>
  <c r="C12" i="6"/>
  <c r="AD11" i="6"/>
  <c r="AC11" i="6"/>
  <c r="AA11" i="6"/>
  <c r="X11" i="6"/>
  <c r="W11" i="6"/>
  <c r="U11" i="6"/>
  <c r="R11" i="6"/>
  <c r="N11" i="6"/>
  <c r="O11" i="6" s="1"/>
  <c r="L11" i="6"/>
  <c r="I11" i="6"/>
  <c r="H11" i="6"/>
  <c r="F11" i="6"/>
  <c r="C11" i="6"/>
  <c r="AC10" i="6"/>
  <c r="AD10" i="6" s="1"/>
  <c r="AA10" i="6"/>
  <c r="X10" i="6"/>
  <c r="W10" i="6"/>
  <c r="U10" i="6"/>
  <c r="R10" i="6"/>
  <c r="O10" i="6"/>
  <c r="N10" i="6"/>
  <c r="L10" i="6"/>
  <c r="H10" i="6"/>
  <c r="I10" i="6" s="1"/>
  <c r="F10" i="6"/>
  <c r="C10" i="6"/>
  <c r="AC8" i="6"/>
  <c r="AD8" i="6" s="1"/>
  <c r="AA8" i="6"/>
  <c r="W8" i="6"/>
  <c r="X8" i="6" s="1"/>
  <c r="U8" i="6"/>
  <c r="R8" i="6"/>
  <c r="O8" i="6"/>
  <c r="N8" i="6"/>
  <c r="L8" i="6"/>
  <c r="I8" i="6"/>
  <c r="H8" i="6"/>
  <c r="F8" i="6"/>
  <c r="C8" i="6"/>
  <c r="AC444" i="5"/>
  <c r="AD293" i="5" s="1"/>
  <c r="W444" i="5"/>
  <c r="X407" i="5" s="1"/>
  <c r="N444" i="5"/>
  <c r="H444" i="5"/>
  <c r="I427" i="5" s="1"/>
  <c r="AC442" i="5"/>
  <c r="AD442" i="5" s="1"/>
  <c r="Z442" i="5"/>
  <c r="AA442" i="5" s="1"/>
  <c r="T442" i="5"/>
  <c r="W442" i="5" s="1"/>
  <c r="X442" i="5" s="1"/>
  <c r="Q442" i="5"/>
  <c r="R442" i="5" s="1"/>
  <c r="N442" i="5"/>
  <c r="O442" i="5" s="1"/>
  <c r="L442" i="5"/>
  <c r="K442" i="5"/>
  <c r="H442" i="5"/>
  <c r="I442" i="5" s="1"/>
  <c r="F442" i="5"/>
  <c r="E442" i="5"/>
  <c r="B442" i="5"/>
  <c r="C442" i="5" s="1"/>
  <c r="Z441" i="5"/>
  <c r="AA441" i="5" s="1"/>
  <c r="T441" i="5"/>
  <c r="U441" i="5" s="1"/>
  <c r="Q441" i="5"/>
  <c r="K441" i="5"/>
  <c r="L441" i="5" s="1"/>
  <c r="E441" i="5"/>
  <c r="F441" i="5" s="1"/>
  <c r="B441" i="5"/>
  <c r="AD440" i="5"/>
  <c r="AC440" i="5"/>
  <c r="AA440" i="5"/>
  <c r="X440" i="5"/>
  <c r="W440" i="5"/>
  <c r="U440" i="5"/>
  <c r="R440" i="5"/>
  <c r="N440" i="5"/>
  <c r="O440" i="5" s="1"/>
  <c r="L440" i="5"/>
  <c r="H440" i="5"/>
  <c r="F440" i="5"/>
  <c r="C440" i="5"/>
  <c r="AD439" i="5"/>
  <c r="AC439" i="5"/>
  <c r="AA439" i="5"/>
  <c r="X439" i="5"/>
  <c r="W439" i="5"/>
  <c r="U439" i="5"/>
  <c r="R439" i="5"/>
  <c r="N439" i="5"/>
  <c r="O439" i="5" s="1"/>
  <c r="L439" i="5"/>
  <c r="H439" i="5"/>
  <c r="I439" i="5" s="1"/>
  <c r="F439" i="5"/>
  <c r="C439" i="5"/>
  <c r="AD438" i="5"/>
  <c r="AC438" i="5"/>
  <c r="AA438" i="5"/>
  <c r="X438" i="5"/>
  <c r="W438" i="5"/>
  <c r="U438" i="5"/>
  <c r="R438" i="5"/>
  <c r="N438" i="5"/>
  <c r="O438" i="5" s="1"/>
  <c r="L438" i="5"/>
  <c r="H438" i="5"/>
  <c r="I438" i="5" s="1"/>
  <c r="F438" i="5"/>
  <c r="C438" i="5"/>
  <c r="AC437" i="5"/>
  <c r="AD437" i="5" s="1"/>
  <c r="AA437" i="5"/>
  <c r="X437" i="5"/>
  <c r="W437" i="5"/>
  <c r="U437" i="5"/>
  <c r="R437" i="5"/>
  <c r="O437" i="5"/>
  <c r="N437" i="5"/>
  <c r="L437" i="5"/>
  <c r="H437" i="5"/>
  <c r="I437" i="5" s="1"/>
  <c r="F437" i="5"/>
  <c r="C437" i="5"/>
  <c r="AD436" i="5"/>
  <c r="AC436" i="5"/>
  <c r="AA436" i="5"/>
  <c r="X436" i="5"/>
  <c r="W436" i="5"/>
  <c r="U436" i="5"/>
  <c r="R436" i="5"/>
  <c r="N436" i="5"/>
  <c r="O436" i="5" s="1"/>
  <c r="L436" i="5"/>
  <c r="H436" i="5"/>
  <c r="I436" i="5" s="1"/>
  <c r="F436" i="5"/>
  <c r="C436" i="5"/>
  <c r="AD435" i="5"/>
  <c r="AC435" i="5"/>
  <c r="AA435" i="5"/>
  <c r="X435" i="5"/>
  <c r="W435" i="5"/>
  <c r="U435" i="5"/>
  <c r="R435" i="5"/>
  <c r="N435" i="5"/>
  <c r="O435" i="5" s="1"/>
  <c r="L435" i="5"/>
  <c r="H435" i="5"/>
  <c r="I435" i="5" s="1"/>
  <c r="F435" i="5"/>
  <c r="C435" i="5"/>
  <c r="AD434" i="5"/>
  <c r="AC434" i="5"/>
  <c r="AA434" i="5"/>
  <c r="W434" i="5"/>
  <c r="X434" i="5" s="1"/>
  <c r="U434" i="5"/>
  <c r="R434" i="5"/>
  <c r="N434" i="5"/>
  <c r="O434" i="5" s="1"/>
  <c r="L434" i="5"/>
  <c r="H434" i="5"/>
  <c r="F434" i="5"/>
  <c r="C434" i="5"/>
  <c r="AC433" i="5"/>
  <c r="AD433" i="5" s="1"/>
  <c r="AA433" i="5"/>
  <c r="W433" i="5"/>
  <c r="X433" i="5" s="1"/>
  <c r="U433" i="5"/>
  <c r="R433" i="5"/>
  <c r="O433" i="5"/>
  <c r="N433" i="5"/>
  <c r="L433" i="5"/>
  <c r="H433" i="5"/>
  <c r="I433" i="5" s="1"/>
  <c r="F433" i="5"/>
  <c r="C433" i="5"/>
  <c r="AC432" i="5"/>
  <c r="AD432" i="5" s="1"/>
  <c r="AA432" i="5"/>
  <c r="W432" i="5"/>
  <c r="X432" i="5" s="1"/>
  <c r="U432" i="5"/>
  <c r="R432" i="5"/>
  <c r="O432" i="5"/>
  <c r="N432" i="5"/>
  <c r="L432" i="5"/>
  <c r="H432" i="5"/>
  <c r="F432" i="5"/>
  <c r="C432" i="5"/>
  <c r="AC429" i="5"/>
  <c r="AD429" i="5" s="1"/>
  <c r="AA429" i="5"/>
  <c r="Z429" i="5"/>
  <c r="W429" i="5"/>
  <c r="X429" i="5" s="1"/>
  <c r="T429" i="5"/>
  <c r="U429" i="5" s="1"/>
  <c r="R429" i="5"/>
  <c r="Q429" i="5"/>
  <c r="N429" i="5"/>
  <c r="O429" i="5" s="1"/>
  <c r="K429" i="5"/>
  <c r="L429" i="5" s="1"/>
  <c r="E429" i="5"/>
  <c r="F429" i="5" s="1"/>
  <c r="B429" i="5"/>
  <c r="AC428" i="5"/>
  <c r="AD428" i="5" s="1"/>
  <c r="Z428" i="5"/>
  <c r="AA428" i="5" s="1"/>
  <c r="T428" i="5"/>
  <c r="W428" i="5" s="1"/>
  <c r="X428" i="5" s="1"/>
  <c r="Q428" i="5"/>
  <c r="R428" i="5" s="1"/>
  <c r="O428" i="5"/>
  <c r="L428" i="5"/>
  <c r="K428" i="5"/>
  <c r="E428" i="5"/>
  <c r="F428" i="5" s="1"/>
  <c r="C428" i="5"/>
  <c r="B428" i="5"/>
  <c r="N428" i="5" s="1"/>
  <c r="AC427" i="5"/>
  <c r="AD427" i="5" s="1"/>
  <c r="AA427" i="5"/>
  <c r="W427" i="5"/>
  <c r="U427" i="5"/>
  <c r="R427" i="5"/>
  <c r="O427" i="5"/>
  <c r="N427" i="5"/>
  <c r="L427" i="5"/>
  <c r="H427" i="5"/>
  <c r="F427" i="5"/>
  <c r="C427" i="5"/>
  <c r="AC426" i="5"/>
  <c r="AD426" i="5" s="1"/>
  <c r="AA426" i="5"/>
  <c r="W426" i="5"/>
  <c r="X426" i="5" s="1"/>
  <c r="U426" i="5"/>
  <c r="R426" i="5"/>
  <c r="N426" i="5"/>
  <c r="O426" i="5" s="1"/>
  <c r="L426" i="5"/>
  <c r="H426" i="5"/>
  <c r="F426" i="5"/>
  <c r="C426" i="5"/>
  <c r="AC425" i="5"/>
  <c r="AA425" i="5"/>
  <c r="W425" i="5"/>
  <c r="X425" i="5" s="1"/>
  <c r="U425" i="5"/>
  <c r="R425" i="5"/>
  <c r="O425" i="5"/>
  <c r="N425" i="5"/>
  <c r="L425" i="5"/>
  <c r="H425" i="5"/>
  <c r="F425" i="5"/>
  <c r="C425" i="5"/>
  <c r="AC424" i="5"/>
  <c r="AD424" i="5" s="1"/>
  <c r="AA424" i="5"/>
  <c r="W424" i="5"/>
  <c r="X424" i="5" s="1"/>
  <c r="U424" i="5"/>
  <c r="R424" i="5"/>
  <c r="N424" i="5"/>
  <c r="O424" i="5" s="1"/>
  <c r="L424" i="5"/>
  <c r="H424" i="5"/>
  <c r="I424" i="5" s="1"/>
  <c r="F424" i="5"/>
  <c r="C424" i="5"/>
  <c r="AD423" i="5"/>
  <c r="AC423" i="5"/>
  <c r="AA423" i="5"/>
  <c r="X423" i="5"/>
  <c r="W423" i="5"/>
  <c r="U423" i="5"/>
  <c r="R423" i="5"/>
  <c r="N423" i="5"/>
  <c r="O423" i="5" s="1"/>
  <c r="L423" i="5"/>
  <c r="H423" i="5"/>
  <c r="F423" i="5"/>
  <c r="C423" i="5"/>
  <c r="AC422" i="5"/>
  <c r="AD422" i="5" s="1"/>
  <c r="AA422" i="5"/>
  <c r="X422" i="5"/>
  <c r="W422" i="5"/>
  <c r="U422" i="5"/>
  <c r="R422" i="5"/>
  <c r="N422" i="5"/>
  <c r="O422" i="5" s="1"/>
  <c r="L422" i="5"/>
  <c r="H422" i="5"/>
  <c r="I422" i="5" s="1"/>
  <c r="F422" i="5"/>
  <c r="C422" i="5"/>
  <c r="AC421" i="5"/>
  <c r="AD421" i="5" s="1"/>
  <c r="AA421" i="5"/>
  <c r="W421" i="5"/>
  <c r="X421" i="5" s="1"/>
  <c r="U421" i="5"/>
  <c r="R421" i="5"/>
  <c r="O421" i="5"/>
  <c r="N421" i="5"/>
  <c r="L421" i="5"/>
  <c r="H421" i="5"/>
  <c r="I421" i="5" s="1"/>
  <c r="F421" i="5"/>
  <c r="C421" i="5"/>
  <c r="AD420" i="5"/>
  <c r="AC420" i="5"/>
  <c r="AA420" i="5"/>
  <c r="X420" i="5"/>
  <c r="W420" i="5"/>
  <c r="U420" i="5"/>
  <c r="R420" i="5"/>
  <c r="N420" i="5"/>
  <c r="O420" i="5" s="1"/>
  <c r="L420" i="5"/>
  <c r="H420" i="5"/>
  <c r="F420" i="5"/>
  <c r="C420" i="5"/>
  <c r="AD419" i="5"/>
  <c r="AC419" i="5"/>
  <c r="AA419" i="5"/>
  <c r="X419" i="5"/>
  <c r="W419" i="5"/>
  <c r="U419" i="5"/>
  <c r="R419" i="5"/>
  <c r="N419" i="5"/>
  <c r="O419" i="5" s="1"/>
  <c r="L419" i="5"/>
  <c r="H419" i="5"/>
  <c r="I419" i="5" s="1"/>
  <c r="F419" i="5"/>
  <c r="C419" i="5"/>
  <c r="AD418" i="5"/>
  <c r="AC418" i="5"/>
  <c r="AA418" i="5"/>
  <c r="X418" i="5"/>
  <c r="W418" i="5"/>
  <c r="U418" i="5"/>
  <c r="R418" i="5"/>
  <c r="O418" i="5"/>
  <c r="N418" i="5"/>
  <c r="L418" i="5"/>
  <c r="H418" i="5"/>
  <c r="I418" i="5" s="1"/>
  <c r="F418" i="5"/>
  <c r="C418" i="5"/>
  <c r="AC417" i="5"/>
  <c r="AA417" i="5"/>
  <c r="X417" i="5"/>
  <c r="W417" i="5"/>
  <c r="U417" i="5"/>
  <c r="R417" i="5"/>
  <c r="O417" i="5"/>
  <c r="N417" i="5"/>
  <c r="L417" i="5"/>
  <c r="I417" i="5"/>
  <c r="H417" i="5"/>
  <c r="F417" i="5"/>
  <c r="C417" i="5"/>
  <c r="AD416" i="5"/>
  <c r="AC416" i="5"/>
  <c r="AA416" i="5"/>
  <c r="W416" i="5"/>
  <c r="X416" i="5" s="1"/>
  <c r="U416" i="5"/>
  <c r="R416" i="5"/>
  <c r="N416" i="5"/>
  <c r="O416" i="5" s="1"/>
  <c r="L416" i="5"/>
  <c r="H416" i="5"/>
  <c r="F416" i="5"/>
  <c r="C416" i="5"/>
  <c r="AC415" i="5"/>
  <c r="AD415" i="5" s="1"/>
  <c r="AA415" i="5"/>
  <c r="X415" i="5"/>
  <c r="W415" i="5"/>
  <c r="U415" i="5"/>
  <c r="R415" i="5"/>
  <c r="N415" i="5"/>
  <c r="O415" i="5" s="1"/>
  <c r="L415" i="5"/>
  <c r="H415" i="5"/>
  <c r="I415" i="5" s="1"/>
  <c r="F415" i="5"/>
  <c r="C415" i="5"/>
  <c r="AC414" i="5"/>
  <c r="AD414" i="5" s="1"/>
  <c r="AA414" i="5"/>
  <c r="X414" i="5"/>
  <c r="W414" i="5"/>
  <c r="U414" i="5"/>
  <c r="R414" i="5"/>
  <c r="O414" i="5"/>
  <c r="N414" i="5"/>
  <c r="L414" i="5"/>
  <c r="I414" i="5"/>
  <c r="H414" i="5"/>
  <c r="F414" i="5"/>
  <c r="C414" i="5"/>
  <c r="AC413" i="5"/>
  <c r="AD413" i="5" s="1"/>
  <c r="AA413" i="5"/>
  <c r="W413" i="5"/>
  <c r="U413" i="5"/>
  <c r="R413" i="5"/>
  <c r="O413" i="5"/>
  <c r="N413" i="5"/>
  <c r="L413" i="5"/>
  <c r="I413" i="5"/>
  <c r="H413" i="5"/>
  <c r="F413" i="5"/>
  <c r="C413" i="5"/>
  <c r="AD412" i="5"/>
  <c r="AC412" i="5"/>
  <c r="AA412" i="5"/>
  <c r="W412" i="5"/>
  <c r="X412" i="5" s="1"/>
  <c r="U412" i="5"/>
  <c r="R412" i="5"/>
  <c r="N412" i="5"/>
  <c r="O412" i="5" s="1"/>
  <c r="L412" i="5"/>
  <c r="H412" i="5"/>
  <c r="I412" i="5" s="1"/>
  <c r="F412" i="5"/>
  <c r="C412" i="5"/>
  <c r="AC411" i="5"/>
  <c r="AD411" i="5" s="1"/>
  <c r="AA411" i="5"/>
  <c r="X411" i="5"/>
  <c r="W411" i="5"/>
  <c r="U411" i="5"/>
  <c r="R411" i="5"/>
  <c r="O411" i="5"/>
  <c r="N411" i="5"/>
  <c r="L411" i="5"/>
  <c r="H411" i="5"/>
  <c r="F411" i="5"/>
  <c r="C411" i="5"/>
  <c r="AD410" i="5"/>
  <c r="AC410" i="5"/>
  <c r="AA410" i="5"/>
  <c r="X410" i="5"/>
  <c r="W410" i="5"/>
  <c r="U410" i="5"/>
  <c r="R410" i="5"/>
  <c r="N410" i="5"/>
  <c r="O410" i="5" s="1"/>
  <c r="L410" i="5"/>
  <c r="H410" i="5"/>
  <c r="I410" i="5" s="1"/>
  <c r="F410" i="5"/>
  <c r="C410" i="5"/>
  <c r="AC409" i="5"/>
  <c r="AD409" i="5" s="1"/>
  <c r="AA409" i="5"/>
  <c r="W409" i="5"/>
  <c r="X409" i="5" s="1"/>
  <c r="U409" i="5"/>
  <c r="R409" i="5"/>
  <c r="O409" i="5"/>
  <c r="N409" i="5"/>
  <c r="L409" i="5"/>
  <c r="H409" i="5"/>
  <c r="I409" i="5" s="1"/>
  <c r="F409" i="5"/>
  <c r="C409" i="5"/>
  <c r="AC408" i="5"/>
  <c r="AD408" i="5" s="1"/>
  <c r="AA408" i="5"/>
  <c r="W408" i="5"/>
  <c r="X408" i="5" s="1"/>
  <c r="U408" i="5"/>
  <c r="R408" i="5"/>
  <c r="N408" i="5"/>
  <c r="O408" i="5" s="1"/>
  <c r="L408" i="5"/>
  <c r="H408" i="5"/>
  <c r="I408" i="5" s="1"/>
  <c r="F408" i="5"/>
  <c r="C408" i="5"/>
  <c r="AC407" i="5"/>
  <c r="AD407" i="5" s="1"/>
  <c r="AA407" i="5"/>
  <c r="W407" i="5"/>
  <c r="U407" i="5"/>
  <c r="R407" i="5"/>
  <c r="O407" i="5"/>
  <c r="N407" i="5"/>
  <c r="L407" i="5"/>
  <c r="H407" i="5"/>
  <c r="I407" i="5" s="1"/>
  <c r="F407" i="5"/>
  <c r="C407" i="5"/>
  <c r="AD403" i="5"/>
  <c r="Z403" i="5"/>
  <c r="AA403" i="5" s="1"/>
  <c r="X403" i="5"/>
  <c r="W403" i="5"/>
  <c r="U403" i="5"/>
  <c r="T403" i="5"/>
  <c r="R403" i="5"/>
  <c r="Q403" i="5"/>
  <c r="AC403" i="5" s="1"/>
  <c r="K403" i="5"/>
  <c r="L403" i="5" s="1"/>
  <c r="H403" i="5"/>
  <c r="I403" i="5" s="1"/>
  <c r="F403" i="5"/>
  <c r="E403" i="5"/>
  <c r="B403" i="5"/>
  <c r="AD402" i="5"/>
  <c r="AC402" i="5"/>
  <c r="AA402" i="5"/>
  <c r="W402" i="5"/>
  <c r="X402" i="5" s="1"/>
  <c r="U402" i="5"/>
  <c r="R402" i="5"/>
  <c r="N402" i="5"/>
  <c r="O402" i="5" s="1"/>
  <c r="L402" i="5"/>
  <c r="H402" i="5"/>
  <c r="I402" i="5" s="1"/>
  <c r="F402" i="5"/>
  <c r="C402" i="5"/>
  <c r="AC401" i="5"/>
  <c r="AA401" i="5"/>
  <c r="X401" i="5"/>
  <c r="W401" i="5"/>
  <c r="U401" i="5"/>
  <c r="R401" i="5"/>
  <c r="O401" i="5"/>
  <c r="N401" i="5"/>
  <c r="L401" i="5"/>
  <c r="H401" i="5"/>
  <c r="I401" i="5" s="1"/>
  <c r="F401" i="5"/>
  <c r="C401" i="5"/>
  <c r="AC400" i="5"/>
  <c r="AD400" i="5" s="1"/>
  <c r="AA400" i="5"/>
  <c r="W400" i="5"/>
  <c r="X400" i="5" s="1"/>
  <c r="U400" i="5"/>
  <c r="R400" i="5"/>
  <c r="N400" i="5"/>
  <c r="O400" i="5" s="1"/>
  <c r="L400" i="5"/>
  <c r="H400" i="5"/>
  <c r="I400" i="5" s="1"/>
  <c r="F400" i="5"/>
  <c r="C400" i="5"/>
  <c r="AD399" i="5"/>
  <c r="AC399" i="5"/>
  <c r="AA399" i="5"/>
  <c r="X399" i="5"/>
  <c r="W399" i="5"/>
  <c r="U399" i="5"/>
  <c r="R399" i="5"/>
  <c r="N399" i="5"/>
  <c r="O399" i="5" s="1"/>
  <c r="L399" i="5"/>
  <c r="H399" i="5"/>
  <c r="I399" i="5" s="1"/>
  <c r="F399" i="5"/>
  <c r="C399" i="5"/>
  <c r="AC398" i="5"/>
  <c r="AD398" i="5" s="1"/>
  <c r="AA398" i="5"/>
  <c r="W398" i="5"/>
  <c r="U398" i="5"/>
  <c r="R398" i="5"/>
  <c r="N398" i="5"/>
  <c r="O398" i="5" s="1"/>
  <c r="L398" i="5"/>
  <c r="I398" i="5"/>
  <c r="H398" i="5"/>
  <c r="F398" i="5"/>
  <c r="C398" i="5"/>
  <c r="AC397" i="5"/>
  <c r="AD397" i="5" s="1"/>
  <c r="AA397" i="5"/>
  <c r="X397" i="5"/>
  <c r="W397" i="5"/>
  <c r="U397" i="5"/>
  <c r="R397" i="5"/>
  <c r="O397" i="5"/>
  <c r="N397" i="5"/>
  <c r="L397" i="5"/>
  <c r="H397" i="5"/>
  <c r="I397" i="5" s="1"/>
  <c r="F397" i="5"/>
  <c r="C397" i="5"/>
  <c r="AC396" i="5"/>
  <c r="AD396" i="5" s="1"/>
  <c r="Z396" i="5"/>
  <c r="AA396" i="5" s="1"/>
  <c r="T396" i="5"/>
  <c r="R396" i="5"/>
  <c r="Q396" i="5"/>
  <c r="K396" i="5"/>
  <c r="L396" i="5" s="1"/>
  <c r="I396" i="5"/>
  <c r="H396" i="5"/>
  <c r="F396" i="5"/>
  <c r="E396" i="5"/>
  <c r="B396" i="5"/>
  <c r="C396" i="5" s="1"/>
  <c r="AD395" i="5"/>
  <c r="AC395" i="5"/>
  <c r="AA395" i="5"/>
  <c r="X395" i="5"/>
  <c r="W395" i="5"/>
  <c r="U395" i="5"/>
  <c r="R395" i="5"/>
  <c r="N395" i="5"/>
  <c r="O395" i="5" s="1"/>
  <c r="L395" i="5"/>
  <c r="H395" i="5"/>
  <c r="I395" i="5" s="1"/>
  <c r="F395" i="5"/>
  <c r="C395" i="5"/>
  <c r="AC394" i="5"/>
  <c r="AD394" i="5" s="1"/>
  <c r="AA394" i="5"/>
  <c r="W394" i="5"/>
  <c r="X394" i="5" s="1"/>
  <c r="U394" i="5"/>
  <c r="R394" i="5"/>
  <c r="O394" i="5"/>
  <c r="N394" i="5"/>
  <c r="L394" i="5"/>
  <c r="H394" i="5"/>
  <c r="F394" i="5"/>
  <c r="C394" i="5"/>
  <c r="Z393" i="5"/>
  <c r="AA393" i="5" s="1"/>
  <c r="U393" i="5"/>
  <c r="T393" i="5"/>
  <c r="Q393" i="5"/>
  <c r="L393" i="5"/>
  <c r="K393" i="5"/>
  <c r="H393" i="5"/>
  <c r="I393" i="5" s="1"/>
  <c r="F393" i="5"/>
  <c r="E393" i="5"/>
  <c r="B393" i="5"/>
  <c r="AD392" i="5"/>
  <c r="AC392" i="5"/>
  <c r="AA392" i="5"/>
  <c r="W392" i="5"/>
  <c r="X392" i="5" s="1"/>
  <c r="U392" i="5"/>
  <c r="R392" i="5"/>
  <c r="N392" i="5"/>
  <c r="O392" i="5" s="1"/>
  <c r="L392" i="5"/>
  <c r="H392" i="5"/>
  <c r="F392" i="5"/>
  <c r="C392" i="5"/>
  <c r="AC391" i="5"/>
  <c r="AD391" i="5" s="1"/>
  <c r="AA391" i="5"/>
  <c r="W391" i="5"/>
  <c r="X391" i="5" s="1"/>
  <c r="U391" i="5"/>
  <c r="R391" i="5"/>
  <c r="O391" i="5"/>
  <c r="N391" i="5"/>
  <c r="L391" i="5"/>
  <c r="H391" i="5"/>
  <c r="I391" i="5" s="1"/>
  <c r="F391" i="5"/>
  <c r="C391" i="5"/>
  <c r="AC390" i="5"/>
  <c r="AD390" i="5" s="1"/>
  <c r="AA390" i="5"/>
  <c r="W390" i="5"/>
  <c r="X390" i="5" s="1"/>
  <c r="U390" i="5"/>
  <c r="R390" i="5"/>
  <c r="O390" i="5"/>
  <c r="N390" i="5"/>
  <c r="L390" i="5"/>
  <c r="H390" i="5"/>
  <c r="I390" i="5" s="1"/>
  <c r="F390" i="5"/>
  <c r="C390" i="5"/>
  <c r="AC389" i="5"/>
  <c r="AD389" i="5" s="1"/>
  <c r="AA389" i="5"/>
  <c r="W389" i="5"/>
  <c r="U389" i="5"/>
  <c r="R389" i="5"/>
  <c r="N389" i="5"/>
  <c r="O389" i="5" s="1"/>
  <c r="L389" i="5"/>
  <c r="I389" i="5"/>
  <c r="H389" i="5"/>
  <c r="F389" i="5"/>
  <c r="C389" i="5"/>
  <c r="AC388" i="5"/>
  <c r="AD388" i="5" s="1"/>
  <c r="AA388" i="5"/>
  <c r="W388" i="5"/>
  <c r="X388" i="5" s="1"/>
  <c r="U388" i="5"/>
  <c r="R388" i="5"/>
  <c r="N388" i="5"/>
  <c r="O388" i="5" s="1"/>
  <c r="L388" i="5"/>
  <c r="I388" i="5"/>
  <c r="H388" i="5"/>
  <c r="F388" i="5"/>
  <c r="C388" i="5"/>
  <c r="AC386" i="5"/>
  <c r="AA386" i="5"/>
  <c r="X386" i="5"/>
  <c r="W386" i="5"/>
  <c r="U386" i="5"/>
  <c r="R386" i="5"/>
  <c r="O386" i="5"/>
  <c r="N386" i="5"/>
  <c r="L386" i="5"/>
  <c r="H386" i="5"/>
  <c r="I386" i="5" s="1"/>
  <c r="F386" i="5"/>
  <c r="C386" i="5"/>
  <c r="AC385" i="5"/>
  <c r="AD385" i="5" s="1"/>
  <c r="AA385" i="5"/>
  <c r="W385" i="5"/>
  <c r="X385" i="5" s="1"/>
  <c r="U385" i="5"/>
  <c r="R385" i="5"/>
  <c r="O385" i="5"/>
  <c r="N385" i="5"/>
  <c r="L385" i="5"/>
  <c r="H385" i="5"/>
  <c r="F385" i="5"/>
  <c r="C385" i="5"/>
  <c r="AC383" i="5"/>
  <c r="AD383" i="5" s="1"/>
  <c r="AA383" i="5"/>
  <c r="W383" i="5"/>
  <c r="U383" i="5"/>
  <c r="R383" i="5"/>
  <c r="O383" i="5"/>
  <c r="N383" i="5"/>
  <c r="L383" i="5"/>
  <c r="I383" i="5"/>
  <c r="H383" i="5"/>
  <c r="F383" i="5"/>
  <c r="C383" i="5"/>
  <c r="AC382" i="5"/>
  <c r="AD382" i="5" s="1"/>
  <c r="AA382" i="5"/>
  <c r="X382" i="5"/>
  <c r="W382" i="5"/>
  <c r="U382" i="5"/>
  <c r="R382" i="5"/>
  <c r="N382" i="5"/>
  <c r="O382" i="5" s="1"/>
  <c r="L382" i="5"/>
  <c r="I382" i="5"/>
  <c r="H382" i="5"/>
  <c r="F382" i="5"/>
  <c r="C382" i="5"/>
  <c r="AC381" i="5"/>
  <c r="AA381" i="5"/>
  <c r="X381" i="5"/>
  <c r="W381" i="5"/>
  <c r="U381" i="5"/>
  <c r="R381" i="5"/>
  <c r="O381" i="5"/>
  <c r="N381" i="5"/>
  <c r="L381" i="5"/>
  <c r="H381" i="5"/>
  <c r="I381" i="5" s="1"/>
  <c r="F381" i="5"/>
  <c r="C381" i="5"/>
  <c r="AD380" i="5"/>
  <c r="AC380" i="5"/>
  <c r="AA380" i="5"/>
  <c r="X380" i="5"/>
  <c r="W380" i="5"/>
  <c r="U380" i="5"/>
  <c r="R380" i="5"/>
  <c r="N380" i="5"/>
  <c r="O380" i="5" s="1"/>
  <c r="L380" i="5"/>
  <c r="H380" i="5"/>
  <c r="I380" i="5" s="1"/>
  <c r="F380" i="5"/>
  <c r="C380" i="5"/>
  <c r="AC379" i="5"/>
  <c r="AD379" i="5" s="1"/>
  <c r="AA379" i="5"/>
  <c r="X379" i="5"/>
  <c r="W379" i="5"/>
  <c r="U379" i="5"/>
  <c r="R379" i="5"/>
  <c r="N379" i="5"/>
  <c r="O379" i="5" s="1"/>
  <c r="L379" i="5"/>
  <c r="I379" i="5"/>
  <c r="H379" i="5"/>
  <c r="F379" i="5"/>
  <c r="C379" i="5"/>
  <c r="AD378" i="5"/>
  <c r="AC378" i="5"/>
  <c r="AA378" i="5"/>
  <c r="W378" i="5"/>
  <c r="X378" i="5" s="1"/>
  <c r="U378" i="5"/>
  <c r="R378" i="5"/>
  <c r="N378" i="5"/>
  <c r="O378" i="5" s="1"/>
  <c r="L378" i="5"/>
  <c r="H378" i="5"/>
  <c r="I378" i="5" s="1"/>
  <c r="F378" i="5"/>
  <c r="C378" i="5"/>
  <c r="AC377" i="5"/>
  <c r="AD377" i="5" s="1"/>
  <c r="AA377" i="5"/>
  <c r="X377" i="5"/>
  <c r="W377" i="5"/>
  <c r="U377" i="5"/>
  <c r="R377" i="5"/>
  <c r="O377" i="5"/>
  <c r="N377" i="5"/>
  <c r="L377" i="5"/>
  <c r="H377" i="5"/>
  <c r="I377" i="5" s="1"/>
  <c r="F377" i="5"/>
  <c r="C377" i="5"/>
  <c r="AD376" i="5"/>
  <c r="AC376" i="5"/>
  <c r="AA376" i="5"/>
  <c r="W376" i="5"/>
  <c r="X376" i="5" s="1"/>
  <c r="U376" i="5"/>
  <c r="R376" i="5"/>
  <c r="N376" i="5"/>
  <c r="O376" i="5" s="1"/>
  <c r="L376" i="5"/>
  <c r="H376" i="5"/>
  <c r="F376" i="5"/>
  <c r="C376" i="5"/>
  <c r="AD375" i="5"/>
  <c r="AC375" i="5"/>
  <c r="AA375" i="5"/>
  <c r="X375" i="5"/>
  <c r="W375" i="5"/>
  <c r="U375" i="5"/>
  <c r="R375" i="5"/>
  <c r="N375" i="5"/>
  <c r="O375" i="5" s="1"/>
  <c r="L375" i="5"/>
  <c r="H375" i="5"/>
  <c r="I375" i="5" s="1"/>
  <c r="F375" i="5"/>
  <c r="C375" i="5"/>
  <c r="AC374" i="5"/>
  <c r="AD374" i="5" s="1"/>
  <c r="AA374" i="5"/>
  <c r="W374" i="5"/>
  <c r="X374" i="5" s="1"/>
  <c r="U374" i="5"/>
  <c r="R374" i="5"/>
  <c r="O374" i="5"/>
  <c r="N374" i="5"/>
  <c r="L374" i="5"/>
  <c r="I374" i="5"/>
  <c r="H374" i="5"/>
  <c r="F374" i="5"/>
  <c r="C374" i="5"/>
  <c r="AC373" i="5"/>
  <c r="AD373" i="5" s="1"/>
  <c r="AA373" i="5"/>
  <c r="W373" i="5"/>
  <c r="X373" i="5" s="1"/>
  <c r="U373" i="5"/>
  <c r="R373" i="5"/>
  <c r="O373" i="5"/>
  <c r="N373" i="5"/>
  <c r="L373" i="5"/>
  <c r="I373" i="5"/>
  <c r="H373" i="5"/>
  <c r="F373" i="5"/>
  <c r="C373" i="5"/>
  <c r="AC372" i="5"/>
  <c r="AD372" i="5" s="1"/>
  <c r="AA372" i="5"/>
  <c r="W372" i="5"/>
  <c r="X372" i="5" s="1"/>
  <c r="U372" i="5"/>
  <c r="R372" i="5"/>
  <c r="O372" i="5"/>
  <c r="N372" i="5"/>
  <c r="L372" i="5"/>
  <c r="H372" i="5"/>
  <c r="I372" i="5" s="1"/>
  <c r="F372" i="5"/>
  <c r="C372" i="5"/>
  <c r="AD371" i="5"/>
  <c r="AC371" i="5"/>
  <c r="AA371" i="5"/>
  <c r="W371" i="5"/>
  <c r="U371" i="5"/>
  <c r="R371" i="5"/>
  <c r="N371" i="5"/>
  <c r="O371" i="5" s="1"/>
  <c r="L371" i="5"/>
  <c r="H371" i="5"/>
  <c r="F371" i="5"/>
  <c r="C371" i="5"/>
  <c r="AD370" i="5"/>
  <c r="AC370" i="5"/>
  <c r="AA370" i="5"/>
  <c r="X370" i="5"/>
  <c r="W370" i="5"/>
  <c r="U370" i="5"/>
  <c r="R370" i="5"/>
  <c r="O370" i="5"/>
  <c r="N370" i="5"/>
  <c r="L370" i="5"/>
  <c r="I370" i="5"/>
  <c r="H370" i="5"/>
  <c r="F370" i="5"/>
  <c r="C370" i="5"/>
  <c r="AC369" i="5"/>
  <c r="AD369" i="5" s="1"/>
  <c r="AA369" i="5"/>
  <c r="X369" i="5"/>
  <c r="W369" i="5"/>
  <c r="U369" i="5"/>
  <c r="R369" i="5"/>
  <c r="O369" i="5"/>
  <c r="N369" i="5"/>
  <c r="L369" i="5"/>
  <c r="I369" i="5"/>
  <c r="H369" i="5"/>
  <c r="F369" i="5"/>
  <c r="C369" i="5"/>
  <c r="Z368" i="5"/>
  <c r="AA368" i="5" s="1"/>
  <c r="W368" i="5"/>
  <c r="X368" i="5" s="1"/>
  <c r="U368" i="5"/>
  <c r="T368" i="5"/>
  <c r="Q368" i="5"/>
  <c r="AC368" i="5" s="1"/>
  <c r="AD368" i="5" s="1"/>
  <c r="K368" i="5"/>
  <c r="L368" i="5" s="1"/>
  <c r="H368" i="5"/>
  <c r="I368" i="5" s="1"/>
  <c r="F368" i="5"/>
  <c r="E368" i="5"/>
  <c r="B368" i="5"/>
  <c r="AD367" i="5"/>
  <c r="AC367" i="5"/>
  <c r="AA367" i="5"/>
  <c r="W367" i="5"/>
  <c r="X367" i="5" s="1"/>
  <c r="U367" i="5"/>
  <c r="R367" i="5"/>
  <c r="O367" i="5"/>
  <c r="N367" i="5"/>
  <c r="L367" i="5"/>
  <c r="H367" i="5"/>
  <c r="I367" i="5" s="1"/>
  <c r="F367" i="5"/>
  <c r="C367" i="5"/>
  <c r="AC366" i="5"/>
  <c r="AA366" i="5"/>
  <c r="X366" i="5"/>
  <c r="W366" i="5"/>
  <c r="U366" i="5"/>
  <c r="R366" i="5"/>
  <c r="O366" i="5"/>
  <c r="N366" i="5"/>
  <c r="L366" i="5"/>
  <c r="I366" i="5"/>
  <c r="H366" i="5"/>
  <c r="F366" i="5"/>
  <c r="C366" i="5"/>
  <c r="AC365" i="5"/>
  <c r="AD365" i="5" s="1"/>
  <c r="AA365" i="5"/>
  <c r="W365" i="5"/>
  <c r="X365" i="5" s="1"/>
  <c r="U365" i="5"/>
  <c r="R365" i="5"/>
  <c r="O365" i="5"/>
  <c r="N365" i="5"/>
  <c r="L365" i="5"/>
  <c r="H365" i="5"/>
  <c r="I365" i="5" s="1"/>
  <c r="F365" i="5"/>
  <c r="C365" i="5"/>
  <c r="AD364" i="5"/>
  <c r="AC364" i="5"/>
  <c r="AA364" i="5"/>
  <c r="X364" i="5"/>
  <c r="W364" i="5"/>
  <c r="U364" i="5"/>
  <c r="R364" i="5"/>
  <c r="O364" i="5"/>
  <c r="N364" i="5"/>
  <c r="L364" i="5"/>
  <c r="I364" i="5"/>
  <c r="H364" i="5"/>
  <c r="F364" i="5"/>
  <c r="C364" i="5"/>
  <c r="AC363" i="5"/>
  <c r="AD363" i="5" s="1"/>
  <c r="AA363" i="5"/>
  <c r="W363" i="5"/>
  <c r="U363" i="5"/>
  <c r="R363" i="5"/>
  <c r="N363" i="5"/>
  <c r="O363" i="5" s="1"/>
  <c r="L363" i="5"/>
  <c r="I363" i="5"/>
  <c r="H363" i="5"/>
  <c r="F363" i="5"/>
  <c r="C363" i="5"/>
  <c r="AC362" i="5"/>
  <c r="AD362" i="5" s="1"/>
  <c r="AA362" i="5"/>
  <c r="X362" i="5"/>
  <c r="W362" i="5"/>
  <c r="U362" i="5"/>
  <c r="R362" i="5"/>
  <c r="O362" i="5"/>
  <c r="N362" i="5"/>
  <c r="L362" i="5"/>
  <c r="H362" i="5"/>
  <c r="I362" i="5" s="1"/>
  <c r="F362" i="5"/>
  <c r="C362" i="5"/>
  <c r="AC361" i="5"/>
  <c r="AD361" i="5" s="1"/>
  <c r="AA361" i="5"/>
  <c r="W361" i="5"/>
  <c r="X361" i="5" s="1"/>
  <c r="U361" i="5"/>
  <c r="R361" i="5"/>
  <c r="O361" i="5"/>
  <c r="N361" i="5"/>
  <c r="L361" i="5"/>
  <c r="H361" i="5"/>
  <c r="F361" i="5"/>
  <c r="C361" i="5"/>
  <c r="AC360" i="5"/>
  <c r="AD360" i="5" s="1"/>
  <c r="AA360" i="5"/>
  <c r="W360" i="5"/>
  <c r="U360" i="5"/>
  <c r="R360" i="5"/>
  <c r="N360" i="5"/>
  <c r="O360" i="5" s="1"/>
  <c r="L360" i="5"/>
  <c r="I360" i="5"/>
  <c r="H360" i="5"/>
  <c r="F360" i="5"/>
  <c r="C360" i="5"/>
  <c r="Z358" i="5"/>
  <c r="AA358" i="5" s="1"/>
  <c r="T358" i="5"/>
  <c r="U358" i="5" s="1"/>
  <c r="R358" i="5"/>
  <c r="Q358" i="5"/>
  <c r="K358" i="5"/>
  <c r="L358" i="5" s="1"/>
  <c r="F358" i="5"/>
  <c r="E358" i="5"/>
  <c r="B358" i="5"/>
  <c r="AC357" i="5"/>
  <c r="AD357" i="5" s="1"/>
  <c r="AA357" i="5"/>
  <c r="W357" i="5"/>
  <c r="X357" i="5" s="1"/>
  <c r="U357" i="5"/>
  <c r="R357" i="5"/>
  <c r="N357" i="5"/>
  <c r="O357" i="5" s="1"/>
  <c r="L357" i="5"/>
  <c r="H357" i="5"/>
  <c r="I357" i="5" s="1"/>
  <c r="F357" i="5"/>
  <c r="C357" i="5"/>
  <c r="AD356" i="5"/>
  <c r="AC356" i="5"/>
  <c r="AA356" i="5"/>
  <c r="X356" i="5"/>
  <c r="W356" i="5"/>
  <c r="U356" i="5"/>
  <c r="R356" i="5"/>
  <c r="N356" i="5"/>
  <c r="O356" i="5" s="1"/>
  <c r="L356" i="5"/>
  <c r="H356" i="5"/>
  <c r="I356" i="5" s="1"/>
  <c r="F356" i="5"/>
  <c r="C356" i="5"/>
  <c r="AC355" i="5"/>
  <c r="AD355" i="5" s="1"/>
  <c r="AA355" i="5"/>
  <c r="X355" i="5"/>
  <c r="W355" i="5"/>
  <c r="U355" i="5"/>
  <c r="R355" i="5"/>
  <c r="O355" i="5"/>
  <c r="N355" i="5"/>
  <c r="L355" i="5"/>
  <c r="H355" i="5"/>
  <c r="I355" i="5" s="1"/>
  <c r="F355" i="5"/>
  <c r="C355" i="5"/>
  <c r="AC354" i="5"/>
  <c r="AD354" i="5" s="1"/>
  <c r="AA354" i="5"/>
  <c r="W354" i="5"/>
  <c r="X354" i="5" s="1"/>
  <c r="U354" i="5"/>
  <c r="R354" i="5"/>
  <c r="O354" i="5"/>
  <c r="N354" i="5"/>
  <c r="L354" i="5"/>
  <c r="I354" i="5"/>
  <c r="H354" i="5"/>
  <c r="F354" i="5"/>
  <c r="C354" i="5"/>
  <c r="AC353" i="5"/>
  <c r="AD353" i="5" s="1"/>
  <c r="AA353" i="5"/>
  <c r="W353" i="5"/>
  <c r="X353" i="5" s="1"/>
  <c r="U353" i="5"/>
  <c r="R353" i="5"/>
  <c r="O353" i="5"/>
  <c r="N353" i="5"/>
  <c r="L353" i="5"/>
  <c r="H353" i="5"/>
  <c r="F353" i="5"/>
  <c r="C353" i="5"/>
  <c r="AC352" i="5"/>
  <c r="AA352" i="5"/>
  <c r="X352" i="5"/>
  <c r="W352" i="5"/>
  <c r="U352" i="5"/>
  <c r="R352" i="5"/>
  <c r="O352" i="5"/>
  <c r="N352" i="5"/>
  <c r="L352" i="5"/>
  <c r="I352" i="5"/>
  <c r="H352" i="5"/>
  <c r="F352" i="5"/>
  <c r="C352" i="5"/>
  <c r="AC351" i="5"/>
  <c r="AD351" i="5" s="1"/>
  <c r="AA351" i="5"/>
  <c r="W351" i="5"/>
  <c r="X351" i="5" s="1"/>
  <c r="U351" i="5"/>
  <c r="R351" i="5"/>
  <c r="O351" i="5"/>
  <c r="N351" i="5"/>
  <c r="L351" i="5"/>
  <c r="H351" i="5"/>
  <c r="I351" i="5" s="1"/>
  <c r="F351" i="5"/>
  <c r="C351" i="5"/>
  <c r="AC350" i="5"/>
  <c r="AD350" i="5" s="1"/>
  <c r="AA350" i="5"/>
  <c r="X350" i="5"/>
  <c r="W350" i="5"/>
  <c r="U350" i="5"/>
  <c r="R350" i="5"/>
  <c r="O350" i="5"/>
  <c r="N350" i="5"/>
  <c r="L350" i="5"/>
  <c r="I350" i="5"/>
  <c r="H350" i="5"/>
  <c r="F350" i="5"/>
  <c r="C350" i="5"/>
  <c r="AD349" i="5"/>
  <c r="AC349" i="5"/>
  <c r="AA349" i="5"/>
  <c r="W349" i="5"/>
  <c r="X349" i="5" s="1"/>
  <c r="U349" i="5"/>
  <c r="R349" i="5"/>
  <c r="N349" i="5"/>
  <c r="O349" i="5" s="1"/>
  <c r="L349" i="5"/>
  <c r="H349" i="5"/>
  <c r="F349" i="5"/>
  <c r="C349" i="5"/>
  <c r="AD347" i="5"/>
  <c r="AC347" i="5"/>
  <c r="AA347" i="5"/>
  <c r="X347" i="5"/>
  <c r="W347" i="5"/>
  <c r="U347" i="5"/>
  <c r="R347" i="5"/>
  <c r="N347" i="5"/>
  <c r="O347" i="5" s="1"/>
  <c r="L347" i="5"/>
  <c r="H347" i="5"/>
  <c r="F347" i="5"/>
  <c r="C347" i="5"/>
  <c r="AC344" i="5"/>
  <c r="AD344" i="5" s="1"/>
  <c r="Z344" i="5"/>
  <c r="AA344" i="5" s="1"/>
  <c r="W344" i="5"/>
  <c r="X344" i="5" s="1"/>
  <c r="T344" i="5"/>
  <c r="U344" i="5" s="1"/>
  <c r="R344" i="5"/>
  <c r="Q344" i="5"/>
  <c r="N344" i="5"/>
  <c r="O344" i="5" s="1"/>
  <c r="K344" i="5"/>
  <c r="L344" i="5" s="1"/>
  <c r="E344" i="5"/>
  <c r="F344" i="5" s="1"/>
  <c r="B344" i="5"/>
  <c r="C344" i="5" s="1"/>
  <c r="Z343" i="5"/>
  <c r="AA343" i="5" s="1"/>
  <c r="X343" i="5"/>
  <c r="W343" i="5"/>
  <c r="T343" i="5"/>
  <c r="U343" i="5" s="1"/>
  <c r="Q343" i="5"/>
  <c r="K343" i="5"/>
  <c r="N343" i="5" s="1"/>
  <c r="O343" i="5" s="1"/>
  <c r="H343" i="5"/>
  <c r="I343" i="5" s="1"/>
  <c r="F343" i="5"/>
  <c r="E343" i="5"/>
  <c r="C343" i="5"/>
  <c r="B343" i="5"/>
  <c r="Z342" i="5"/>
  <c r="AA342" i="5" s="1"/>
  <c r="T342" i="5"/>
  <c r="U342" i="5" s="1"/>
  <c r="Q342" i="5"/>
  <c r="R342" i="5" s="1"/>
  <c r="K342" i="5"/>
  <c r="L342" i="5" s="1"/>
  <c r="F342" i="5"/>
  <c r="E342" i="5"/>
  <c r="B342" i="5"/>
  <c r="AC341" i="5"/>
  <c r="AD341" i="5" s="1"/>
  <c r="AA341" i="5"/>
  <c r="W341" i="5"/>
  <c r="X341" i="5" s="1"/>
  <c r="U341" i="5"/>
  <c r="R341" i="5"/>
  <c r="O341" i="5"/>
  <c r="N341" i="5"/>
  <c r="L341" i="5"/>
  <c r="H341" i="5"/>
  <c r="I341" i="5" s="1"/>
  <c r="F341" i="5"/>
  <c r="C341" i="5"/>
  <c r="AC340" i="5"/>
  <c r="AA340" i="5"/>
  <c r="W340" i="5"/>
  <c r="X340" i="5" s="1"/>
  <c r="U340" i="5"/>
  <c r="R340" i="5"/>
  <c r="O340" i="5"/>
  <c r="N340" i="5"/>
  <c r="L340" i="5"/>
  <c r="I340" i="5"/>
  <c r="H340" i="5"/>
  <c r="F340" i="5"/>
  <c r="C340" i="5"/>
  <c r="AC339" i="5"/>
  <c r="AD339" i="5" s="1"/>
  <c r="AA339" i="5"/>
  <c r="W339" i="5"/>
  <c r="X339" i="5" s="1"/>
  <c r="U339" i="5"/>
  <c r="R339" i="5"/>
  <c r="O339" i="5"/>
  <c r="N339" i="5"/>
  <c r="L339" i="5"/>
  <c r="H339" i="5"/>
  <c r="I339" i="5" s="1"/>
  <c r="F339" i="5"/>
  <c r="C339" i="5"/>
  <c r="AD338" i="5"/>
  <c r="AC338" i="5"/>
  <c r="AA338" i="5"/>
  <c r="X338" i="5"/>
  <c r="W338" i="5"/>
  <c r="U338" i="5"/>
  <c r="R338" i="5"/>
  <c r="N338" i="5"/>
  <c r="O338" i="5" s="1"/>
  <c r="L338" i="5"/>
  <c r="I338" i="5"/>
  <c r="H338" i="5"/>
  <c r="F338" i="5"/>
  <c r="C338" i="5"/>
  <c r="AC337" i="5"/>
  <c r="AA337" i="5"/>
  <c r="X337" i="5"/>
  <c r="W337" i="5"/>
  <c r="U337" i="5"/>
  <c r="R337" i="5"/>
  <c r="O337" i="5"/>
  <c r="N337" i="5"/>
  <c r="L337" i="5"/>
  <c r="H337" i="5"/>
  <c r="I337" i="5" s="1"/>
  <c r="F337" i="5"/>
  <c r="C337" i="5"/>
  <c r="AC335" i="5"/>
  <c r="AD335" i="5" s="1"/>
  <c r="AA335" i="5"/>
  <c r="W335" i="5"/>
  <c r="X335" i="5" s="1"/>
  <c r="U335" i="5"/>
  <c r="R335" i="5"/>
  <c r="O335" i="5"/>
  <c r="N335" i="5"/>
  <c r="L335" i="5"/>
  <c r="I335" i="5"/>
  <c r="H335" i="5"/>
  <c r="F335" i="5"/>
  <c r="C335" i="5"/>
  <c r="AC334" i="5"/>
  <c r="AD334" i="5" s="1"/>
  <c r="AA334" i="5"/>
  <c r="X334" i="5"/>
  <c r="W334" i="5"/>
  <c r="U334" i="5"/>
  <c r="R334" i="5"/>
  <c r="N334" i="5"/>
  <c r="O334" i="5" s="1"/>
  <c r="L334" i="5"/>
  <c r="H334" i="5"/>
  <c r="F334" i="5"/>
  <c r="C334" i="5"/>
  <c r="AC333" i="5"/>
  <c r="AD333" i="5" s="1"/>
  <c r="AA333" i="5"/>
  <c r="W333" i="5"/>
  <c r="U333" i="5"/>
  <c r="R333" i="5"/>
  <c r="O333" i="5"/>
  <c r="N333" i="5"/>
  <c r="L333" i="5"/>
  <c r="I333" i="5"/>
  <c r="H333" i="5"/>
  <c r="F333" i="5"/>
  <c r="C333" i="5"/>
  <c r="AC332" i="5"/>
  <c r="AD332" i="5" s="1"/>
  <c r="AA332" i="5"/>
  <c r="W332" i="5"/>
  <c r="X332" i="5" s="1"/>
  <c r="U332" i="5"/>
  <c r="R332" i="5"/>
  <c r="O332" i="5"/>
  <c r="N332" i="5"/>
  <c r="L332" i="5"/>
  <c r="H332" i="5"/>
  <c r="I332" i="5" s="1"/>
  <c r="F332" i="5"/>
  <c r="C332" i="5"/>
  <c r="AC331" i="5"/>
  <c r="AA331" i="5"/>
  <c r="X331" i="5"/>
  <c r="W331" i="5"/>
  <c r="U331" i="5"/>
  <c r="R331" i="5"/>
  <c r="O331" i="5"/>
  <c r="N331" i="5"/>
  <c r="L331" i="5"/>
  <c r="H331" i="5"/>
  <c r="I331" i="5" s="1"/>
  <c r="F331" i="5"/>
  <c r="C331" i="5"/>
  <c r="AC330" i="5"/>
  <c r="AD330" i="5" s="1"/>
  <c r="AA330" i="5"/>
  <c r="W330" i="5"/>
  <c r="X330" i="5" s="1"/>
  <c r="U330" i="5"/>
  <c r="R330" i="5"/>
  <c r="N330" i="5"/>
  <c r="O330" i="5" s="1"/>
  <c r="L330" i="5"/>
  <c r="H330" i="5"/>
  <c r="I330" i="5" s="1"/>
  <c r="F330" i="5"/>
  <c r="C330" i="5"/>
  <c r="AD329" i="5"/>
  <c r="AC329" i="5"/>
  <c r="AA329" i="5"/>
  <c r="X329" i="5"/>
  <c r="W329" i="5"/>
  <c r="U329" i="5"/>
  <c r="R329" i="5"/>
  <c r="N329" i="5"/>
  <c r="O329" i="5" s="1"/>
  <c r="L329" i="5"/>
  <c r="H329" i="5"/>
  <c r="F329" i="5"/>
  <c r="C329" i="5"/>
  <c r="AC328" i="5"/>
  <c r="AD328" i="5" s="1"/>
  <c r="AA328" i="5"/>
  <c r="X328" i="5"/>
  <c r="W328" i="5"/>
  <c r="U328" i="5"/>
  <c r="R328" i="5"/>
  <c r="O328" i="5"/>
  <c r="N328" i="5"/>
  <c r="L328" i="5"/>
  <c r="H328" i="5"/>
  <c r="I328" i="5" s="1"/>
  <c r="F328" i="5"/>
  <c r="C328" i="5"/>
  <c r="Z325" i="5"/>
  <c r="AC325" i="5" s="1"/>
  <c r="AD325" i="5" s="1"/>
  <c r="X325" i="5"/>
  <c r="W325" i="5"/>
  <c r="U325" i="5"/>
  <c r="T325" i="5"/>
  <c r="Q325" i="5"/>
  <c r="R325" i="5" s="1"/>
  <c r="L325" i="5"/>
  <c r="K325" i="5"/>
  <c r="E325" i="5"/>
  <c r="F325" i="5" s="1"/>
  <c r="B325" i="5"/>
  <c r="AA324" i="5"/>
  <c r="Z324" i="5"/>
  <c r="T324" i="5"/>
  <c r="U324" i="5" s="1"/>
  <c r="Q324" i="5"/>
  <c r="O324" i="5"/>
  <c r="N324" i="5"/>
  <c r="K324" i="5"/>
  <c r="L324" i="5" s="1"/>
  <c r="E324" i="5"/>
  <c r="F324" i="5" s="1"/>
  <c r="B324" i="5"/>
  <c r="AC323" i="5"/>
  <c r="AD323" i="5" s="1"/>
  <c r="AA323" i="5"/>
  <c r="X323" i="5"/>
  <c r="W323" i="5"/>
  <c r="U323" i="5"/>
  <c r="R323" i="5"/>
  <c r="O323" i="5"/>
  <c r="N323" i="5"/>
  <c r="L323" i="5"/>
  <c r="H323" i="5"/>
  <c r="I323" i="5" s="1"/>
  <c r="F323" i="5"/>
  <c r="C323" i="5"/>
  <c r="AD322" i="5"/>
  <c r="AC322" i="5"/>
  <c r="AA322" i="5"/>
  <c r="W322" i="5"/>
  <c r="X322" i="5" s="1"/>
  <c r="U322" i="5"/>
  <c r="R322" i="5"/>
  <c r="O322" i="5"/>
  <c r="N322" i="5"/>
  <c r="L322" i="5"/>
  <c r="H322" i="5"/>
  <c r="I322" i="5" s="1"/>
  <c r="F322" i="5"/>
  <c r="C322" i="5"/>
  <c r="AD321" i="5"/>
  <c r="AC321" i="5"/>
  <c r="AA321" i="5"/>
  <c r="X321" i="5"/>
  <c r="W321" i="5"/>
  <c r="U321" i="5"/>
  <c r="R321" i="5"/>
  <c r="N321" i="5"/>
  <c r="O321" i="5" s="1"/>
  <c r="L321" i="5"/>
  <c r="I321" i="5"/>
  <c r="H321" i="5"/>
  <c r="F321" i="5"/>
  <c r="C321" i="5"/>
  <c r="AC320" i="5"/>
  <c r="AD320" i="5" s="1"/>
  <c r="AA320" i="5"/>
  <c r="W320" i="5"/>
  <c r="U320" i="5"/>
  <c r="R320" i="5"/>
  <c r="N320" i="5"/>
  <c r="O320" i="5" s="1"/>
  <c r="L320" i="5"/>
  <c r="I320" i="5"/>
  <c r="H320" i="5"/>
  <c r="F320" i="5"/>
  <c r="C320" i="5"/>
  <c r="AC319" i="5"/>
  <c r="AD319" i="5" s="1"/>
  <c r="AA319" i="5"/>
  <c r="X319" i="5"/>
  <c r="W319" i="5"/>
  <c r="U319" i="5"/>
  <c r="R319" i="5"/>
  <c r="O319" i="5"/>
  <c r="N319" i="5"/>
  <c r="L319" i="5"/>
  <c r="H319" i="5"/>
  <c r="I319" i="5" s="1"/>
  <c r="F319" i="5"/>
  <c r="C319" i="5"/>
  <c r="AC318" i="5"/>
  <c r="AD318" i="5" s="1"/>
  <c r="AA318" i="5"/>
  <c r="X318" i="5"/>
  <c r="W318" i="5"/>
  <c r="U318" i="5"/>
  <c r="R318" i="5"/>
  <c r="O318" i="5"/>
  <c r="N318" i="5"/>
  <c r="L318" i="5"/>
  <c r="H318" i="5"/>
  <c r="F318" i="5"/>
  <c r="C318" i="5"/>
  <c r="AC317" i="5"/>
  <c r="AD317" i="5" s="1"/>
  <c r="AA317" i="5"/>
  <c r="W317" i="5"/>
  <c r="U317" i="5"/>
  <c r="R317" i="5"/>
  <c r="O317" i="5"/>
  <c r="N317" i="5"/>
  <c r="L317" i="5"/>
  <c r="I317" i="5"/>
  <c r="H317" i="5"/>
  <c r="F317" i="5"/>
  <c r="C317" i="5"/>
  <c r="AC316" i="5"/>
  <c r="AD316" i="5" s="1"/>
  <c r="AA316" i="5"/>
  <c r="W316" i="5"/>
  <c r="X316" i="5" s="1"/>
  <c r="U316" i="5"/>
  <c r="R316" i="5"/>
  <c r="O316" i="5"/>
  <c r="N316" i="5"/>
  <c r="L316" i="5"/>
  <c r="I316" i="5"/>
  <c r="H316" i="5"/>
  <c r="F316" i="5"/>
  <c r="C316" i="5"/>
  <c r="AC315" i="5"/>
  <c r="AD315" i="5" s="1"/>
  <c r="AA315" i="5"/>
  <c r="W315" i="5"/>
  <c r="X315" i="5" s="1"/>
  <c r="U315" i="5"/>
  <c r="R315" i="5"/>
  <c r="O315" i="5"/>
  <c r="N315" i="5"/>
  <c r="L315" i="5"/>
  <c r="I315" i="5"/>
  <c r="H315" i="5"/>
  <c r="F315" i="5"/>
  <c r="C315" i="5"/>
  <c r="AC314" i="5"/>
  <c r="AD314" i="5" s="1"/>
  <c r="AA314" i="5"/>
  <c r="X314" i="5"/>
  <c r="W314" i="5"/>
  <c r="U314" i="5"/>
  <c r="R314" i="5"/>
  <c r="O314" i="5"/>
  <c r="N314" i="5"/>
  <c r="L314" i="5"/>
  <c r="H314" i="5"/>
  <c r="F314" i="5"/>
  <c r="C314" i="5"/>
  <c r="AC313" i="5"/>
  <c r="AD313" i="5" s="1"/>
  <c r="AA313" i="5"/>
  <c r="W313" i="5"/>
  <c r="U313" i="5"/>
  <c r="R313" i="5"/>
  <c r="O313" i="5"/>
  <c r="N313" i="5"/>
  <c r="L313" i="5"/>
  <c r="I313" i="5"/>
  <c r="H313" i="5"/>
  <c r="F313" i="5"/>
  <c r="C313" i="5"/>
  <c r="AC312" i="5"/>
  <c r="AD312" i="5" s="1"/>
  <c r="AA312" i="5"/>
  <c r="X312" i="5"/>
  <c r="W312" i="5"/>
  <c r="U312" i="5"/>
  <c r="R312" i="5"/>
  <c r="N312" i="5"/>
  <c r="O312" i="5" s="1"/>
  <c r="L312" i="5"/>
  <c r="I312" i="5"/>
  <c r="H312" i="5"/>
  <c r="F312" i="5"/>
  <c r="C312" i="5"/>
  <c r="AC311" i="5"/>
  <c r="AA311" i="5"/>
  <c r="W311" i="5"/>
  <c r="X311" i="5" s="1"/>
  <c r="U311" i="5"/>
  <c r="R311" i="5"/>
  <c r="O311" i="5"/>
  <c r="N311" i="5"/>
  <c r="L311" i="5"/>
  <c r="H311" i="5"/>
  <c r="I311" i="5" s="1"/>
  <c r="F311" i="5"/>
  <c r="C311" i="5"/>
  <c r="AD310" i="5"/>
  <c r="AC310" i="5"/>
  <c r="AA310" i="5"/>
  <c r="X310" i="5"/>
  <c r="W310" i="5"/>
  <c r="U310" i="5"/>
  <c r="R310" i="5"/>
  <c r="N310" i="5"/>
  <c r="O310" i="5" s="1"/>
  <c r="L310" i="5"/>
  <c r="H310" i="5"/>
  <c r="I310" i="5" s="1"/>
  <c r="F310" i="5"/>
  <c r="C310" i="5"/>
  <c r="AD309" i="5"/>
  <c r="AC309" i="5"/>
  <c r="AA309" i="5"/>
  <c r="X309" i="5"/>
  <c r="W309" i="5"/>
  <c r="U309" i="5"/>
  <c r="R309" i="5"/>
  <c r="N309" i="5"/>
  <c r="O309" i="5" s="1"/>
  <c r="L309" i="5"/>
  <c r="H309" i="5"/>
  <c r="I309" i="5" s="1"/>
  <c r="F309" i="5"/>
  <c r="C309" i="5"/>
  <c r="AD308" i="5"/>
  <c r="AC308" i="5"/>
  <c r="AA308" i="5"/>
  <c r="X308" i="5"/>
  <c r="W308" i="5"/>
  <c r="U308" i="5"/>
  <c r="R308" i="5"/>
  <c r="N308" i="5"/>
  <c r="O308" i="5" s="1"/>
  <c r="L308" i="5"/>
  <c r="H308" i="5"/>
  <c r="I308" i="5" s="1"/>
  <c r="F308" i="5"/>
  <c r="C308" i="5"/>
  <c r="AC307" i="5"/>
  <c r="AD307" i="5" s="1"/>
  <c r="AA307" i="5"/>
  <c r="X307" i="5"/>
  <c r="W307" i="5"/>
  <c r="U307" i="5"/>
  <c r="R307" i="5"/>
  <c r="O307" i="5"/>
  <c r="N307" i="5"/>
  <c r="L307" i="5"/>
  <c r="H307" i="5"/>
  <c r="I307" i="5" s="1"/>
  <c r="F307" i="5"/>
  <c r="C307" i="5"/>
  <c r="AD306" i="5"/>
  <c r="AC306" i="5"/>
  <c r="AA306" i="5"/>
  <c r="X306" i="5"/>
  <c r="W306" i="5"/>
  <c r="U306" i="5"/>
  <c r="R306" i="5"/>
  <c r="N306" i="5"/>
  <c r="O306" i="5" s="1"/>
  <c r="L306" i="5"/>
  <c r="H306" i="5"/>
  <c r="I306" i="5" s="1"/>
  <c r="F306" i="5"/>
  <c r="C306" i="5"/>
  <c r="AD305" i="5"/>
  <c r="AC305" i="5"/>
  <c r="AA305" i="5"/>
  <c r="X305" i="5"/>
  <c r="W305" i="5"/>
  <c r="U305" i="5"/>
  <c r="R305" i="5"/>
  <c r="N305" i="5"/>
  <c r="O305" i="5" s="1"/>
  <c r="L305" i="5"/>
  <c r="H305" i="5"/>
  <c r="I305" i="5" s="1"/>
  <c r="F305" i="5"/>
  <c r="C305" i="5"/>
  <c r="AD304" i="5"/>
  <c r="AC304" i="5"/>
  <c r="AA304" i="5"/>
  <c r="W304" i="5"/>
  <c r="X304" i="5" s="1"/>
  <c r="U304" i="5"/>
  <c r="R304" i="5"/>
  <c r="O304" i="5"/>
  <c r="N304" i="5"/>
  <c r="L304" i="5"/>
  <c r="H304" i="5"/>
  <c r="F304" i="5"/>
  <c r="C304" i="5"/>
  <c r="AC303" i="5"/>
  <c r="AD303" i="5" s="1"/>
  <c r="AA303" i="5"/>
  <c r="X303" i="5"/>
  <c r="W303" i="5"/>
  <c r="U303" i="5"/>
  <c r="R303" i="5"/>
  <c r="N303" i="5"/>
  <c r="O303" i="5" s="1"/>
  <c r="L303" i="5"/>
  <c r="H303" i="5"/>
  <c r="I303" i="5" s="1"/>
  <c r="F303" i="5"/>
  <c r="C303" i="5"/>
  <c r="AD302" i="5"/>
  <c r="AC302" i="5"/>
  <c r="AA302" i="5"/>
  <c r="W302" i="5"/>
  <c r="X302" i="5" s="1"/>
  <c r="U302" i="5"/>
  <c r="R302" i="5"/>
  <c r="N302" i="5"/>
  <c r="O302" i="5" s="1"/>
  <c r="L302" i="5"/>
  <c r="H302" i="5"/>
  <c r="I302" i="5" s="1"/>
  <c r="F302" i="5"/>
  <c r="C302" i="5"/>
  <c r="AD301" i="5"/>
  <c r="AC301" i="5"/>
  <c r="AA301" i="5"/>
  <c r="X301" i="5"/>
  <c r="W301" i="5"/>
  <c r="U301" i="5"/>
  <c r="R301" i="5"/>
  <c r="N301" i="5"/>
  <c r="O301" i="5" s="1"/>
  <c r="L301" i="5"/>
  <c r="I301" i="5"/>
  <c r="H301" i="5"/>
  <c r="F301" i="5"/>
  <c r="C301" i="5"/>
  <c r="AD300" i="5"/>
  <c r="AC300" i="5"/>
  <c r="AA300" i="5"/>
  <c r="W300" i="5"/>
  <c r="U300" i="5"/>
  <c r="R300" i="5"/>
  <c r="N300" i="5"/>
  <c r="O300" i="5" s="1"/>
  <c r="L300" i="5"/>
  <c r="I300" i="5"/>
  <c r="H300" i="5"/>
  <c r="F300" i="5"/>
  <c r="C300" i="5"/>
  <c r="AD299" i="5"/>
  <c r="AC299" i="5"/>
  <c r="AA299" i="5"/>
  <c r="W299" i="5"/>
  <c r="X299" i="5" s="1"/>
  <c r="U299" i="5"/>
  <c r="R299" i="5"/>
  <c r="N299" i="5"/>
  <c r="O299" i="5" s="1"/>
  <c r="L299" i="5"/>
  <c r="I299" i="5"/>
  <c r="H299" i="5"/>
  <c r="F299" i="5"/>
  <c r="C299" i="5"/>
  <c r="AC298" i="5"/>
  <c r="AD298" i="5" s="1"/>
  <c r="AA298" i="5"/>
  <c r="W298" i="5"/>
  <c r="X298" i="5" s="1"/>
  <c r="U298" i="5"/>
  <c r="R298" i="5"/>
  <c r="N298" i="5"/>
  <c r="O298" i="5" s="1"/>
  <c r="L298" i="5"/>
  <c r="H298" i="5"/>
  <c r="I298" i="5" s="1"/>
  <c r="F298" i="5"/>
  <c r="C298" i="5"/>
  <c r="AD297" i="5"/>
  <c r="AC297" i="5"/>
  <c r="AA297" i="5"/>
  <c r="W297" i="5"/>
  <c r="X297" i="5" s="1"/>
  <c r="U297" i="5"/>
  <c r="R297" i="5"/>
  <c r="N297" i="5"/>
  <c r="O297" i="5" s="1"/>
  <c r="L297" i="5"/>
  <c r="I297" i="5"/>
  <c r="H297" i="5"/>
  <c r="F297" i="5"/>
  <c r="C297" i="5"/>
  <c r="AC295" i="5"/>
  <c r="AD295" i="5" s="1"/>
  <c r="AA295" i="5"/>
  <c r="Z295" i="5"/>
  <c r="T295" i="5"/>
  <c r="U295" i="5" s="1"/>
  <c r="Q295" i="5"/>
  <c r="K295" i="5"/>
  <c r="L295" i="5" s="1"/>
  <c r="H295" i="5"/>
  <c r="I295" i="5" s="1"/>
  <c r="F295" i="5"/>
  <c r="E295" i="5"/>
  <c r="C295" i="5"/>
  <c r="B295" i="5"/>
  <c r="AC294" i="5"/>
  <c r="AD294" i="5" s="1"/>
  <c r="AA294" i="5"/>
  <c r="X294" i="5"/>
  <c r="W294" i="5"/>
  <c r="U294" i="5"/>
  <c r="R294" i="5"/>
  <c r="N294" i="5"/>
  <c r="O294" i="5" s="1"/>
  <c r="L294" i="5"/>
  <c r="I294" i="5"/>
  <c r="H294" i="5"/>
  <c r="F294" i="5"/>
  <c r="C294" i="5"/>
  <c r="AC293" i="5"/>
  <c r="AA293" i="5"/>
  <c r="X293" i="5"/>
  <c r="W293" i="5"/>
  <c r="U293" i="5"/>
  <c r="R293" i="5"/>
  <c r="O293" i="5"/>
  <c r="N293" i="5"/>
  <c r="L293" i="5"/>
  <c r="H293" i="5"/>
  <c r="I293" i="5" s="1"/>
  <c r="F293" i="5"/>
  <c r="C293" i="5"/>
  <c r="AD292" i="5"/>
  <c r="AC292" i="5"/>
  <c r="AA292" i="5"/>
  <c r="W292" i="5"/>
  <c r="X292" i="5" s="1"/>
  <c r="U292" i="5"/>
  <c r="R292" i="5"/>
  <c r="O292" i="5"/>
  <c r="N292" i="5"/>
  <c r="L292" i="5"/>
  <c r="I292" i="5"/>
  <c r="H292" i="5"/>
  <c r="F292" i="5"/>
  <c r="C292" i="5"/>
  <c r="AD291" i="5"/>
  <c r="AC291" i="5"/>
  <c r="AA291" i="5"/>
  <c r="X291" i="5"/>
  <c r="W291" i="5"/>
  <c r="U291" i="5"/>
  <c r="R291" i="5"/>
  <c r="N291" i="5"/>
  <c r="O291" i="5" s="1"/>
  <c r="L291" i="5"/>
  <c r="H291" i="5"/>
  <c r="I291" i="5" s="1"/>
  <c r="F291" i="5"/>
  <c r="C291" i="5"/>
  <c r="AD290" i="5"/>
  <c r="AC290" i="5"/>
  <c r="AA290" i="5"/>
  <c r="X290" i="5"/>
  <c r="W290" i="5"/>
  <c r="U290" i="5"/>
  <c r="R290" i="5"/>
  <c r="N290" i="5"/>
  <c r="O290" i="5" s="1"/>
  <c r="L290" i="5"/>
  <c r="H290" i="5"/>
  <c r="I290" i="5" s="1"/>
  <c r="F290" i="5"/>
  <c r="C290" i="5"/>
  <c r="AD289" i="5"/>
  <c r="AC289" i="5"/>
  <c r="AA289" i="5"/>
  <c r="X289" i="5"/>
  <c r="W289" i="5"/>
  <c r="U289" i="5"/>
  <c r="R289" i="5"/>
  <c r="N289" i="5"/>
  <c r="O289" i="5" s="1"/>
  <c r="L289" i="5"/>
  <c r="H289" i="5"/>
  <c r="I289" i="5" s="1"/>
  <c r="F289" i="5"/>
  <c r="C289" i="5"/>
  <c r="AD288" i="5"/>
  <c r="AC288" i="5"/>
  <c r="AA288" i="5"/>
  <c r="W288" i="5"/>
  <c r="X288" i="5" s="1"/>
  <c r="U288" i="5"/>
  <c r="R288" i="5"/>
  <c r="O288" i="5"/>
  <c r="N288" i="5"/>
  <c r="L288" i="5"/>
  <c r="H288" i="5"/>
  <c r="F288" i="5"/>
  <c r="C288" i="5"/>
  <c r="AC287" i="5"/>
  <c r="AD287" i="5" s="1"/>
  <c r="AA287" i="5"/>
  <c r="X287" i="5"/>
  <c r="W287" i="5"/>
  <c r="U287" i="5"/>
  <c r="R287" i="5"/>
  <c r="N287" i="5"/>
  <c r="O287" i="5" s="1"/>
  <c r="L287" i="5"/>
  <c r="H287" i="5"/>
  <c r="I287" i="5" s="1"/>
  <c r="F287" i="5"/>
  <c r="C287" i="5"/>
  <c r="AD286" i="5"/>
  <c r="AC286" i="5"/>
  <c r="AA286" i="5"/>
  <c r="W286" i="5"/>
  <c r="X286" i="5" s="1"/>
  <c r="U286" i="5"/>
  <c r="R286" i="5"/>
  <c r="N286" i="5"/>
  <c r="O286" i="5" s="1"/>
  <c r="L286" i="5"/>
  <c r="H286" i="5"/>
  <c r="I286" i="5" s="1"/>
  <c r="F286" i="5"/>
  <c r="C286" i="5"/>
  <c r="Z284" i="5"/>
  <c r="AA284" i="5" s="1"/>
  <c r="X284" i="5"/>
  <c r="T284" i="5"/>
  <c r="W284" i="5" s="1"/>
  <c r="R284" i="5"/>
  <c r="Q284" i="5"/>
  <c r="N284" i="5"/>
  <c r="O284" i="5" s="1"/>
  <c r="L284" i="5"/>
  <c r="K284" i="5"/>
  <c r="I284" i="5"/>
  <c r="H284" i="5"/>
  <c r="F284" i="5"/>
  <c r="E284" i="5"/>
  <c r="B284" i="5"/>
  <c r="C284" i="5" s="1"/>
  <c r="AD283" i="5"/>
  <c r="AC283" i="5"/>
  <c r="AA283" i="5"/>
  <c r="X283" i="5"/>
  <c r="W283" i="5"/>
  <c r="U283" i="5"/>
  <c r="R283" i="5"/>
  <c r="N283" i="5"/>
  <c r="O283" i="5" s="1"/>
  <c r="L283" i="5"/>
  <c r="I283" i="5"/>
  <c r="H283" i="5"/>
  <c r="F283" i="5"/>
  <c r="C283" i="5"/>
  <c r="AC282" i="5"/>
  <c r="AD282" i="5" s="1"/>
  <c r="AA282" i="5"/>
  <c r="W282" i="5"/>
  <c r="X282" i="5" s="1"/>
  <c r="U282" i="5"/>
  <c r="R282" i="5"/>
  <c r="N282" i="5"/>
  <c r="O282" i="5" s="1"/>
  <c r="L282" i="5"/>
  <c r="H282" i="5"/>
  <c r="I282" i="5" s="1"/>
  <c r="F282" i="5"/>
  <c r="C282" i="5"/>
  <c r="AD281" i="5"/>
  <c r="AC281" i="5"/>
  <c r="AA281" i="5"/>
  <c r="W281" i="5"/>
  <c r="X281" i="5" s="1"/>
  <c r="U281" i="5"/>
  <c r="R281" i="5"/>
  <c r="N281" i="5"/>
  <c r="O281" i="5" s="1"/>
  <c r="L281" i="5"/>
  <c r="I281" i="5"/>
  <c r="H281" i="5"/>
  <c r="F281" i="5"/>
  <c r="C281" i="5"/>
  <c r="AC280" i="5"/>
  <c r="AD280" i="5" s="1"/>
  <c r="AA280" i="5"/>
  <c r="W280" i="5"/>
  <c r="X280" i="5" s="1"/>
  <c r="U280" i="5"/>
  <c r="R280" i="5"/>
  <c r="O280" i="5"/>
  <c r="N280" i="5"/>
  <c r="L280" i="5"/>
  <c r="I280" i="5"/>
  <c r="H280" i="5"/>
  <c r="F280" i="5"/>
  <c r="C280" i="5"/>
  <c r="AC279" i="5"/>
  <c r="AD279" i="5" s="1"/>
  <c r="AA279" i="5"/>
  <c r="W279" i="5"/>
  <c r="X279" i="5" s="1"/>
  <c r="U279" i="5"/>
  <c r="R279" i="5"/>
  <c r="O279" i="5"/>
  <c r="N279" i="5"/>
  <c r="L279" i="5"/>
  <c r="I279" i="5"/>
  <c r="H279" i="5"/>
  <c r="F279" i="5"/>
  <c r="C279" i="5"/>
  <c r="AD278" i="5"/>
  <c r="AC278" i="5"/>
  <c r="AA278" i="5"/>
  <c r="X278" i="5"/>
  <c r="W278" i="5"/>
  <c r="U278" i="5"/>
  <c r="R278" i="5"/>
  <c r="N278" i="5"/>
  <c r="O278" i="5" s="1"/>
  <c r="L278" i="5"/>
  <c r="I278" i="5"/>
  <c r="H278" i="5"/>
  <c r="F278" i="5"/>
  <c r="C278" i="5"/>
  <c r="AC277" i="5"/>
  <c r="AA277" i="5"/>
  <c r="W277" i="5"/>
  <c r="X277" i="5" s="1"/>
  <c r="U277" i="5"/>
  <c r="R277" i="5"/>
  <c r="O277" i="5"/>
  <c r="N277" i="5"/>
  <c r="L277" i="5"/>
  <c r="H277" i="5"/>
  <c r="I277" i="5" s="1"/>
  <c r="F277" i="5"/>
  <c r="C277" i="5"/>
  <c r="AC276" i="5"/>
  <c r="AD276" i="5" s="1"/>
  <c r="AA276" i="5"/>
  <c r="W276" i="5"/>
  <c r="X276" i="5" s="1"/>
  <c r="U276" i="5"/>
  <c r="R276" i="5"/>
  <c r="O276" i="5"/>
  <c r="N276" i="5"/>
  <c r="L276" i="5"/>
  <c r="I276" i="5"/>
  <c r="H276" i="5"/>
  <c r="F276" i="5"/>
  <c r="C276" i="5"/>
  <c r="AC275" i="5"/>
  <c r="AD275" i="5" s="1"/>
  <c r="AA275" i="5"/>
  <c r="W275" i="5"/>
  <c r="X275" i="5" s="1"/>
  <c r="U275" i="5"/>
  <c r="R275" i="5"/>
  <c r="N275" i="5"/>
  <c r="O275" i="5" s="1"/>
  <c r="L275" i="5"/>
  <c r="H275" i="5"/>
  <c r="I275" i="5" s="1"/>
  <c r="F275" i="5"/>
  <c r="C275" i="5"/>
  <c r="Z273" i="5"/>
  <c r="AA273" i="5" s="1"/>
  <c r="U273" i="5"/>
  <c r="T273" i="5"/>
  <c r="Q273" i="5"/>
  <c r="K273" i="5"/>
  <c r="L273" i="5" s="1"/>
  <c r="E273" i="5"/>
  <c r="F273" i="5" s="1"/>
  <c r="B273" i="5"/>
  <c r="AD272" i="5"/>
  <c r="AC272" i="5"/>
  <c r="AA272" i="5"/>
  <c r="W272" i="5"/>
  <c r="X272" i="5" s="1"/>
  <c r="U272" i="5"/>
  <c r="R272" i="5"/>
  <c r="N272" i="5"/>
  <c r="O272" i="5" s="1"/>
  <c r="L272" i="5"/>
  <c r="H272" i="5"/>
  <c r="F272" i="5"/>
  <c r="C272" i="5"/>
  <c r="AD271" i="5"/>
  <c r="AC271" i="5"/>
  <c r="AA271" i="5"/>
  <c r="X271" i="5"/>
  <c r="W271" i="5"/>
  <c r="U271" i="5"/>
  <c r="R271" i="5"/>
  <c r="N271" i="5"/>
  <c r="O271" i="5" s="1"/>
  <c r="L271" i="5"/>
  <c r="H271" i="5"/>
  <c r="I271" i="5" s="1"/>
  <c r="F271" i="5"/>
  <c r="C271" i="5"/>
  <c r="AD270" i="5"/>
  <c r="AC270" i="5"/>
  <c r="AA270" i="5"/>
  <c r="X270" i="5"/>
  <c r="W270" i="5"/>
  <c r="U270" i="5"/>
  <c r="R270" i="5"/>
  <c r="N270" i="5"/>
  <c r="O270" i="5" s="1"/>
  <c r="L270" i="5"/>
  <c r="H270" i="5"/>
  <c r="I270" i="5" s="1"/>
  <c r="F270" i="5"/>
  <c r="C270" i="5"/>
  <c r="AD269" i="5"/>
  <c r="AC269" i="5"/>
  <c r="AA269" i="5"/>
  <c r="X269" i="5"/>
  <c r="W269" i="5"/>
  <c r="U269" i="5"/>
  <c r="R269" i="5"/>
  <c r="O269" i="5"/>
  <c r="N269" i="5"/>
  <c r="L269" i="5"/>
  <c r="H269" i="5"/>
  <c r="I269" i="5" s="1"/>
  <c r="F269" i="5"/>
  <c r="C269" i="5"/>
  <c r="AC267" i="5"/>
  <c r="AD267" i="5" s="1"/>
  <c r="AA267" i="5"/>
  <c r="Z267" i="5"/>
  <c r="X267" i="5"/>
  <c r="W267" i="5"/>
  <c r="T267" i="5"/>
  <c r="U267" i="5" s="1"/>
  <c r="Q267" i="5"/>
  <c r="R267" i="5" s="1"/>
  <c r="O267" i="5"/>
  <c r="K267" i="5"/>
  <c r="L267" i="5" s="1"/>
  <c r="E267" i="5"/>
  <c r="H267" i="5" s="1"/>
  <c r="I267" i="5" s="1"/>
  <c r="C267" i="5"/>
  <c r="B267" i="5"/>
  <c r="N267" i="5" s="1"/>
  <c r="AC266" i="5"/>
  <c r="AD266" i="5" s="1"/>
  <c r="AA266" i="5"/>
  <c r="W266" i="5"/>
  <c r="X266" i="5" s="1"/>
  <c r="U266" i="5"/>
  <c r="R266" i="5"/>
  <c r="N266" i="5"/>
  <c r="O266" i="5" s="1"/>
  <c r="L266" i="5"/>
  <c r="H266" i="5"/>
  <c r="I266" i="5" s="1"/>
  <c r="F266" i="5"/>
  <c r="C266" i="5"/>
  <c r="AD265" i="5"/>
  <c r="AC265" i="5"/>
  <c r="AA265" i="5"/>
  <c r="W265" i="5"/>
  <c r="X265" i="5" s="1"/>
  <c r="U265" i="5"/>
  <c r="R265" i="5"/>
  <c r="O265" i="5"/>
  <c r="N265" i="5"/>
  <c r="L265" i="5"/>
  <c r="I265" i="5"/>
  <c r="H265" i="5"/>
  <c r="F265" i="5"/>
  <c r="C265" i="5"/>
  <c r="AA263" i="5"/>
  <c r="Z263" i="5"/>
  <c r="T263" i="5"/>
  <c r="U263" i="5" s="1"/>
  <c r="Q263" i="5"/>
  <c r="AC263" i="5" s="1"/>
  <c r="AD263" i="5" s="1"/>
  <c r="K263" i="5"/>
  <c r="L263" i="5" s="1"/>
  <c r="H263" i="5"/>
  <c r="I263" i="5" s="1"/>
  <c r="F263" i="5"/>
  <c r="E263" i="5"/>
  <c r="C263" i="5"/>
  <c r="B263" i="5"/>
  <c r="N263" i="5" s="1"/>
  <c r="O263" i="5" s="1"/>
  <c r="Z262" i="5"/>
  <c r="AA262" i="5" s="1"/>
  <c r="U262" i="5"/>
  <c r="T262" i="5"/>
  <c r="R262" i="5"/>
  <c r="Q262" i="5"/>
  <c r="W262" i="5" s="1"/>
  <c r="X262" i="5" s="1"/>
  <c r="N262" i="5"/>
  <c r="O262" i="5" s="1"/>
  <c r="L262" i="5"/>
  <c r="K262" i="5"/>
  <c r="E262" i="5"/>
  <c r="F262" i="5" s="1"/>
  <c r="C262" i="5"/>
  <c r="B262" i="5"/>
  <c r="AC261" i="5"/>
  <c r="AD261" i="5" s="1"/>
  <c r="AA261" i="5"/>
  <c r="W261" i="5"/>
  <c r="X261" i="5" s="1"/>
  <c r="U261" i="5"/>
  <c r="R261" i="5"/>
  <c r="O261" i="5"/>
  <c r="N261" i="5"/>
  <c r="L261" i="5"/>
  <c r="I261" i="5"/>
  <c r="H261" i="5"/>
  <c r="F261" i="5"/>
  <c r="C261" i="5"/>
  <c r="AC260" i="5"/>
  <c r="AD260" i="5" s="1"/>
  <c r="AA260" i="5"/>
  <c r="W260" i="5"/>
  <c r="X260" i="5" s="1"/>
  <c r="U260" i="5"/>
  <c r="R260" i="5"/>
  <c r="N260" i="5"/>
  <c r="O260" i="5" s="1"/>
  <c r="L260" i="5"/>
  <c r="H260" i="5"/>
  <c r="I260" i="5" s="1"/>
  <c r="F260" i="5"/>
  <c r="C260" i="5"/>
  <c r="AD259" i="5"/>
  <c r="AC259" i="5"/>
  <c r="AA259" i="5"/>
  <c r="X259" i="5"/>
  <c r="W259" i="5"/>
  <c r="U259" i="5"/>
  <c r="R259" i="5"/>
  <c r="N259" i="5"/>
  <c r="O259" i="5" s="1"/>
  <c r="L259" i="5"/>
  <c r="H259" i="5"/>
  <c r="I259" i="5" s="1"/>
  <c r="F259" i="5"/>
  <c r="C259" i="5"/>
  <c r="AD258" i="5"/>
  <c r="AC258" i="5"/>
  <c r="AA258" i="5"/>
  <c r="X258" i="5"/>
  <c r="W258" i="5"/>
  <c r="U258" i="5"/>
  <c r="R258" i="5"/>
  <c r="N258" i="5"/>
  <c r="O258" i="5" s="1"/>
  <c r="L258" i="5"/>
  <c r="H258" i="5"/>
  <c r="I258" i="5" s="1"/>
  <c r="F258" i="5"/>
  <c r="C258" i="5"/>
  <c r="AD257" i="5"/>
  <c r="AC257" i="5"/>
  <c r="AA257" i="5"/>
  <c r="W257" i="5"/>
  <c r="X257" i="5" s="1"/>
  <c r="U257" i="5"/>
  <c r="R257" i="5"/>
  <c r="N257" i="5"/>
  <c r="O257" i="5" s="1"/>
  <c r="L257" i="5"/>
  <c r="H257" i="5"/>
  <c r="I257" i="5" s="1"/>
  <c r="F257" i="5"/>
  <c r="C257" i="5"/>
  <c r="AD256" i="5"/>
  <c r="AC256" i="5"/>
  <c r="AA256" i="5"/>
  <c r="X256" i="5"/>
  <c r="W256" i="5"/>
  <c r="U256" i="5"/>
  <c r="R256" i="5"/>
  <c r="N256" i="5"/>
  <c r="O256" i="5" s="1"/>
  <c r="L256" i="5"/>
  <c r="I256" i="5"/>
  <c r="H256" i="5"/>
  <c r="F256" i="5"/>
  <c r="C256" i="5"/>
  <c r="AD255" i="5"/>
  <c r="AC255" i="5"/>
  <c r="AA255" i="5"/>
  <c r="X255" i="5"/>
  <c r="W255" i="5"/>
  <c r="U255" i="5"/>
  <c r="R255" i="5"/>
  <c r="N255" i="5"/>
  <c r="O255" i="5" s="1"/>
  <c r="L255" i="5"/>
  <c r="I255" i="5"/>
  <c r="H255" i="5"/>
  <c r="F255" i="5"/>
  <c r="C255" i="5"/>
  <c r="AC254" i="5"/>
  <c r="AD254" i="5" s="1"/>
  <c r="AA254" i="5"/>
  <c r="W254" i="5"/>
  <c r="X254" i="5" s="1"/>
  <c r="U254" i="5"/>
  <c r="R254" i="5"/>
  <c r="O254" i="5"/>
  <c r="N254" i="5"/>
  <c r="L254" i="5"/>
  <c r="I254" i="5"/>
  <c r="H254" i="5"/>
  <c r="F254" i="5"/>
  <c r="C254" i="5"/>
  <c r="AD253" i="5"/>
  <c r="AC253" i="5"/>
  <c r="AA253" i="5"/>
  <c r="W253" i="5"/>
  <c r="X253" i="5" s="1"/>
  <c r="U253" i="5"/>
  <c r="R253" i="5"/>
  <c r="N253" i="5"/>
  <c r="O253" i="5" s="1"/>
  <c r="L253" i="5"/>
  <c r="H253" i="5"/>
  <c r="I253" i="5" s="1"/>
  <c r="F253" i="5"/>
  <c r="C253" i="5"/>
  <c r="AC252" i="5"/>
  <c r="AD252" i="5" s="1"/>
  <c r="AA252" i="5"/>
  <c r="X252" i="5"/>
  <c r="W252" i="5"/>
  <c r="U252" i="5"/>
  <c r="R252" i="5"/>
  <c r="N252" i="5"/>
  <c r="O252" i="5" s="1"/>
  <c r="L252" i="5"/>
  <c r="H252" i="5"/>
  <c r="I252" i="5" s="1"/>
  <c r="F252" i="5"/>
  <c r="C252" i="5"/>
  <c r="AD251" i="5"/>
  <c r="AC251" i="5"/>
  <c r="AA251" i="5"/>
  <c r="W251" i="5"/>
  <c r="X251" i="5" s="1"/>
  <c r="U251" i="5"/>
  <c r="R251" i="5"/>
  <c r="O251" i="5"/>
  <c r="N251" i="5"/>
  <c r="L251" i="5"/>
  <c r="I251" i="5"/>
  <c r="H251" i="5"/>
  <c r="F251" i="5"/>
  <c r="C251" i="5"/>
  <c r="AC250" i="5"/>
  <c r="AD250" i="5" s="1"/>
  <c r="AA250" i="5"/>
  <c r="W250" i="5"/>
  <c r="X250" i="5" s="1"/>
  <c r="U250" i="5"/>
  <c r="R250" i="5"/>
  <c r="O250" i="5"/>
  <c r="N250" i="5"/>
  <c r="L250" i="5"/>
  <c r="I250" i="5"/>
  <c r="H250" i="5"/>
  <c r="F250" i="5"/>
  <c r="C250" i="5"/>
  <c r="AD249" i="5"/>
  <c r="AC249" i="5"/>
  <c r="AA249" i="5"/>
  <c r="W249" i="5"/>
  <c r="X249" i="5" s="1"/>
  <c r="U249" i="5"/>
  <c r="R249" i="5"/>
  <c r="N249" i="5"/>
  <c r="O249" i="5" s="1"/>
  <c r="L249" i="5"/>
  <c r="H249" i="5"/>
  <c r="I249" i="5" s="1"/>
  <c r="F249" i="5"/>
  <c r="C249" i="5"/>
  <c r="AD248" i="5"/>
  <c r="AC248" i="5"/>
  <c r="AA248" i="5"/>
  <c r="X248" i="5"/>
  <c r="W248" i="5"/>
  <c r="U248" i="5"/>
  <c r="R248" i="5"/>
  <c r="N248" i="5"/>
  <c r="O248" i="5" s="1"/>
  <c r="L248" i="5"/>
  <c r="I248" i="5"/>
  <c r="H248" i="5"/>
  <c r="F248" i="5"/>
  <c r="C248" i="5"/>
  <c r="AD247" i="5"/>
  <c r="AC247" i="5"/>
  <c r="AA247" i="5"/>
  <c r="X247" i="5"/>
  <c r="W247" i="5"/>
  <c r="U247" i="5"/>
  <c r="R247" i="5"/>
  <c r="N247" i="5"/>
  <c r="O247" i="5" s="1"/>
  <c r="L247" i="5"/>
  <c r="I247" i="5"/>
  <c r="H247" i="5"/>
  <c r="F247" i="5"/>
  <c r="C247" i="5"/>
  <c r="AC246" i="5"/>
  <c r="AD246" i="5" s="1"/>
  <c r="AA246" i="5"/>
  <c r="W246" i="5"/>
  <c r="X246" i="5" s="1"/>
  <c r="U246" i="5"/>
  <c r="R246" i="5"/>
  <c r="O246" i="5"/>
  <c r="N246" i="5"/>
  <c r="L246" i="5"/>
  <c r="I246" i="5"/>
  <c r="H246" i="5"/>
  <c r="F246" i="5"/>
  <c r="C246" i="5"/>
  <c r="AD245" i="5"/>
  <c r="AC245" i="5"/>
  <c r="AA245" i="5"/>
  <c r="W245" i="5"/>
  <c r="X245" i="5" s="1"/>
  <c r="U245" i="5"/>
  <c r="R245" i="5"/>
  <c r="N245" i="5"/>
  <c r="O245" i="5" s="1"/>
  <c r="L245" i="5"/>
  <c r="H245" i="5"/>
  <c r="I245" i="5" s="1"/>
  <c r="F245" i="5"/>
  <c r="C245" i="5"/>
  <c r="AC244" i="5"/>
  <c r="AD244" i="5" s="1"/>
  <c r="AA244" i="5"/>
  <c r="X244" i="5"/>
  <c r="W244" i="5"/>
  <c r="U244" i="5"/>
  <c r="R244" i="5"/>
  <c r="N244" i="5"/>
  <c r="O244" i="5" s="1"/>
  <c r="L244" i="5"/>
  <c r="H244" i="5"/>
  <c r="I244" i="5" s="1"/>
  <c r="F244" i="5"/>
  <c r="C244" i="5"/>
  <c r="AD243" i="5"/>
  <c r="AC243" i="5"/>
  <c r="AA243" i="5"/>
  <c r="W243" i="5"/>
  <c r="X243" i="5" s="1"/>
  <c r="U243" i="5"/>
  <c r="R243" i="5"/>
  <c r="O243" i="5"/>
  <c r="N243" i="5"/>
  <c r="L243" i="5"/>
  <c r="I243" i="5"/>
  <c r="H243" i="5"/>
  <c r="F243" i="5"/>
  <c r="C243" i="5"/>
  <c r="AC242" i="5"/>
  <c r="AD242" i="5" s="1"/>
  <c r="AA242" i="5"/>
  <c r="W242" i="5"/>
  <c r="X242" i="5" s="1"/>
  <c r="U242" i="5"/>
  <c r="R242" i="5"/>
  <c r="O242" i="5"/>
  <c r="N242" i="5"/>
  <c r="L242" i="5"/>
  <c r="I242" i="5"/>
  <c r="H242" i="5"/>
  <c r="F242" i="5"/>
  <c r="C242" i="5"/>
  <c r="AD241" i="5"/>
  <c r="AC241" i="5"/>
  <c r="AA241" i="5"/>
  <c r="X241" i="5"/>
  <c r="W241" i="5"/>
  <c r="U241" i="5"/>
  <c r="R241" i="5"/>
  <c r="N241" i="5"/>
  <c r="O241" i="5" s="1"/>
  <c r="L241" i="5"/>
  <c r="H241" i="5"/>
  <c r="I241" i="5" s="1"/>
  <c r="F241" i="5"/>
  <c r="C241" i="5"/>
  <c r="AD240" i="5"/>
  <c r="AC240" i="5"/>
  <c r="AA240" i="5"/>
  <c r="X240" i="5"/>
  <c r="W240" i="5"/>
  <c r="U240" i="5"/>
  <c r="R240" i="5"/>
  <c r="N240" i="5"/>
  <c r="O240" i="5" s="1"/>
  <c r="L240" i="5"/>
  <c r="I240" i="5"/>
  <c r="H240" i="5"/>
  <c r="F240" i="5"/>
  <c r="C240" i="5"/>
  <c r="AD238" i="5"/>
  <c r="AC238" i="5"/>
  <c r="AA238" i="5"/>
  <c r="X238" i="5"/>
  <c r="W238" i="5"/>
  <c r="U238" i="5"/>
  <c r="R238" i="5"/>
  <c r="N238" i="5"/>
  <c r="O238" i="5" s="1"/>
  <c r="L238" i="5"/>
  <c r="I238" i="5"/>
  <c r="H238" i="5"/>
  <c r="F238" i="5"/>
  <c r="C238" i="5"/>
  <c r="AC236" i="5"/>
  <c r="AD236" i="5" s="1"/>
  <c r="AA236" i="5"/>
  <c r="Z236" i="5"/>
  <c r="W236" i="5"/>
  <c r="X236" i="5" s="1"/>
  <c r="U236" i="5"/>
  <c r="T236" i="5"/>
  <c r="Q236" i="5"/>
  <c r="R236" i="5" s="1"/>
  <c r="K236" i="5"/>
  <c r="L236" i="5" s="1"/>
  <c r="I236" i="5"/>
  <c r="H236" i="5"/>
  <c r="E236" i="5"/>
  <c r="F236" i="5" s="1"/>
  <c r="C236" i="5"/>
  <c r="B236" i="5"/>
  <c r="AD235" i="5"/>
  <c r="AC235" i="5"/>
  <c r="AA235" i="5"/>
  <c r="X235" i="5"/>
  <c r="W235" i="5"/>
  <c r="U235" i="5"/>
  <c r="R235" i="5"/>
  <c r="N235" i="5"/>
  <c r="O235" i="5" s="1"/>
  <c r="L235" i="5"/>
  <c r="H235" i="5"/>
  <c r="I235" i="5" s="1"/>
  <c r="F235" i="5"/>
  <c r="C235" i="5"/>
  <c r="AD234" i="5"/>
  <c r="AC234" i="5"/>
  <c r="AA234" i="5"/>
  <c r="X234" i="5"/>
  <c r="W234" i="5"/>
  <c r="U234" i="5"/>
  <c r="R234" i="5"/>
  <c r="O234" i="5"/>
  <c r="N234" i="5"/>
  <c r="L234" i="5"/>
  <c r="H234" i="5"/>
  <c r="I234" i="5" s="1"/>
  <c r="F234" i="5"/>
  <c r="C234" i="5"/>
  <c r="AC233" i="5"/>
  <c r="AD233" i="5" s="1"/>
  <c r="AA233" i="5"/>
  <c r="W233" i="5"/>
  <c r="X233" i="5" s="1"/>
  <c r="U233" i="5"/>
  <c r="R233" i="5"/>
  <c r="O233" i="5"/>
  <c r="N233" i="5"/>
  <c r="L233" i="5"/>
  <c r="I233" i="5"/>
  <c r="H233" i="5"/>
  <c r="F233" i="5"/>
  <c r="C233" i="5"/>
  <c r="AC232" i="5"/>
  <c r="AD232" i="5" s="1"/>
  <c r="AA232" i="5"/>
  <c r="W232" i="5"/>
  <c r="X232" i="5" s="1"/>
  <c r="U232" i="5"/>
  <c r="R232" i="5"/>
  <c r="N232" i="5"/>
  <c r="O232" i="5" s="1"/>
  <c r="L232" i="5"/>
  <c r="H232" i="5"/>
  <c r="I232" i="5" s="1"/>
  <c r="F232" i="5"/>
  <c r="C232" i="5"/>
  <c r="AD231" i="5"/>
  <c r="AC231" i="5"/>
  <c r="AA231" i="5"/>
  <c r="X231" i="5"/>
  <c r="W231" i="5"/>
  <c r="U231" i="5"/>
  <c r="R231" i="5"/>
  <c r="N231" i="5"/>
  <c r="O231" i="5" s="1"/>
  <c r="L231" i="5"/>
  <c r="I231" i="5"/>
  <c r="H231" i="5"/>
  <c r="F231" i="5"/>
  <c r="C231" i="5"/>
  <c r="AD230" i="5"/>
  <c r="AC230" i="5"/>
  <c r="AA230" i="5"/>
  <c r="X230" i="5"/>
  <c r="W230" i="5"/>
  <c r="U230" i="5"/>
  <c r="R230" i="5"/>
  <c r="O230" i="5"/>
  <c r="N230" i="5"/>
  <c r="L230" i="5"/>
  <c r="H230" i="5"/>
  <c r="I230" i="5" s="1"/>
  <c r="F230" i="5"/>
  <c r="C230" i="5"/>
  <c r="AC229" i="5"/>
  <c r="AD229" i="5" s="1"/>
  <c r="AA229" i="5"/>
  <c r="W229" i="5"/>
  <c r="X229" i="5" s="1"/>
  <c r="U229" i="5"/>
  <c r="R229" i="5"/>
  <c r="O229" i="5"/>
  <c r="N229" i="5"/>
  <c r="L229" i="5"/>
  <c r="I229" i="5"/>
  <c r="H229" i="5"/>
  <c r="F229" i="5"/>
  <c r="C229" i="5"/>
  <c r="AC227" i="5"/>
  <c r="AD227" i="5" s="1"/>
  <c r="Z227" i="5"/>
  <c r="AA227" i="5" s="1"/>
  <c r="T227" i="5"/>
  <c r="U227" i="5" s="1"/>
  <c r="Q227" i="5"/>
  <c r="N227" i="5"/>
  <c r="O227" i="5" s="1"/>
  <c r="L227" i="5"/>
  <c r="K227" i="5"/>
  <c r="F227" i="5"/>
  <c r="E227" i="5"/>
  <c r="B227" i="5"/>
  <c r="AD226" i="5"/>
  <c r="AC226" i="5"/>
  <c r="AA226" i="5"/>
  <c r="W226" i="5"/>
  <c r="X226" i="5" s="1"/>
  <c r="U226" i="5"/>
  <c r="R226" i="5"/>
  <c r="O226" i="5"/>
  <c r="N226" i="5"/>
  <c r="L226" i="5"/>
  <c r="I226" i="5"/>
  <c r="H226" i="5"/>
  <c r="F226" i="5"/>
  <c r="C226" i="5"/>
  <c r="AC225" i="5"/>
  <c r="AD225" i="5" s="1"/>
  <c r="AA225" i="5"/>
  <c r="W225" i="5"/>
  <c r="X225" i="5" s="1"/>
  <c r="U225" i="5"/>
  <c r="R225" i="5"/>
  <c r="O225" i="5"/>
  <c r="N225" i="5"/>
  <c r="L225" i="5"/>
  <c r="I225" i="5"/>
  <c r="H225" i="5"/>
  <c r="F225" i="5"/>
  <c r="C225" i="5"/>
  <c r="AD224" i="5"/>
  <c r="AC224" i="5"/>
  <c r="AA224" i="5"/>
  <c r="X224" i="5"/>
  <c r="W224" i="5"/>
  <c r="U224" i="5"/>
  <c r="R224" i="5"/>
  <c r="O224" i="5"/>
  <c r="N224" i="5"/>
  <c r="L224" i="5"/>
  <c r="H224" i="5"/>
  <c r="I224" i="5" s="1"/>
  <c r="F224" i="5"/>
  <c r="C224" i="5"/>
  <c r="AD223" i="5"/>
  <c r="AC223" i="5"/>
  <c r="AA223" i="5"/>
  <c r="X223" i="5"/>
  <c r="W223" i="5"/>
  <c r="U223" i="5"/>
  <c r="R223" i="5"/>
  <c r="N223" i="5"/>
  <c r="O223" i="5" s="1"/>
  <c r="L223" i="5"/>
  <c r="H223" i="5"/>
  <c r="I223" i="5" s="1"/>
  <c r="F223" i="5"/>
  <c r="C223" i="5"/>
  <c r="AD222" i="5"/>
  <c r="AC222" i="5"/>
  <c r="AA222" i="5"/>
  <c r="X222" i="5"/>
  <c r="W222" i="5"/>
  <c r="U222" i="5"/>
  <c r="R222" i="5"/>
  <c r="N222" i="5"/>
  <c r="O222" i="5" s="1"/>
  <c r="L222" i="5"/>
  <c r="H222" i="5"/>
  <c r="I222" i="5" s="1"/>
  <c r="F222" i="5"/>
  <c r="C222" i="5"/>
  <c r="AC221" i="5"/>
  <c r="AD221" i="5" s="1"/>
  <c r="AA221" i="5"/>
  <c r="W221" i="5"/>
  <c r="X221" i="5" s="1"/>
  <c r="U221" i="5"/>
  <c r="R221" i="5"/>
  <c r="O221" i="5"/>
  <c r="N221" i="5"/>
  <c r="L221" i="5"/>
  <c r="I221" i="5"/>
  <c r="H221" i="5"/>
  <c r="F221" i="5"/>
  <c r="C221" i="5"/>
  <c r="AC220" i="5"/>
  <c r="AD220" i="5" s="1"/>
  <c r="AA220" i="5"/>
  <c r="X220" i="5"/>
  <c r="W220" i="5"/>
  <c r="U220" i="5"/>
  <c r="R220" i="5"/>
  <c r="O220" i="5"/>
  <c r="N220" i="5"/>
  <c r="L220" i="5"/>
  <c r="H220" i="5"/>
  <c r="I220" i="5" s="1"/>
  <c r="F220" i="5"/>
  <c r="C220" i="5"/>
  <c r="AC219" i="5"/>
  <c r="AD219" i="5" s="1"/>
  <c r="AA219" i="5"/>
  <c r="X219" i="5"/>
  <c r="W219" i="5"/>
  <c r="U219" i="5"/>
  <c r="R219" i="5"/>
  <c r="N219" i="5"/>
  <c r="O219" i="5" s="1"/>
  <c r="L219" i="5"/>
  <c r="H219" i="5"/>
  <c r="I219" i="5" s="1"/>
  <c r="F219" i="5"/>
  <c r="C219" i="5"/>
  <c r="AD218" i="5"/>
  <c r="AA218" i="5"/>
  <c r="Z218" i="5"/>
  <c r="T218" i="5"/>
  <c r="U218" i="5" s="1"/>
  <c r="R218" i="5"/>
  <c r="Q218" i="5"/>
  <c r="AC218" i="5" s="1"/>
  <c r="O218" i="5"/>
  <c r="N218" i="5"/>
  <c r="L218" i="5"/>
  <c r="K218" i="5"/>
  <c r="F218" i="5"/>
  <c r="E218" i="5"/>
  <c r="C218" i="5"/>
  <c r="B218" i="5"/>
  <c r="H218" i="5" s="1"/>
  <c r="I218" i="5" s="1"/>
  <c r="AD217" i="5"/>
  <c r="AC217" i="5"/>
  <c r="AA217" i="5"/>
  <c r="W217" i="5"/>
  <c r="X217" i="5" s="1"/>
  <c r="U217" i="5"/>
  <c r="R217" i="5"/>
  <c r="O217" i="5"/>
  <c r="N217" i="5"/>
  <c r="L217" i="5"/>
  <c r="H217" i="5"/>
  <c r="I217" i="5" s="1"/>
  <c r="F217" i="5"/>
  <c r="C217" i="5"/>
  <c r="AC216" i="5"/>
  <c r="AD216" i="5" s="1"/>
  <c r="AA216" i="5"/>
  <c r="X216" i="5"/>
  <c r="W216" i="5"/>
  <c r="U216" i="5"/>
  <c r="R216" i="5"/>
  <c r="N216" i="5"/>
  <c r="O216" i="5" s="1"/>
  <c r="L216" i="5"/>
  <c r="H216" i="5"/>
  <c r="I216" i="5" s="1"/>
  <c r="F216" i="5"/>
  <c r="C216" i="5"/>
  <c r="AD215" i="5"/>
  <c r="AC215" i="5"/>
  <c r="AA215" i="5"/>
  <c r="W215" i="5"/>
  <c r="X215" i="5" s="1"/>
  <c r="U215" i="5"/>
  <c r="R215" i="5"/>
  <c r="O215" i="5"/>
  <c r="N215" i="5"/>
  <c r="L215" i="5"/>
  <c r="I215" i="5"/>
  <c r="H215" i="5"/>
  <c r="F215" i="5"/>
  <c r="C215" i="5"/>
  <c r="AC214" i="5"/>
  <c r="AD214" i="5" s="1"/>
  <c r="AA214" i="5"/>
  <c r="W214" i="5"/>
  <c r="X214" i="5" s="1"/>
  <c r="U214" i="5"/>
  <c r="R214" i="5"/>
  <c r="O214" i="5"/>
  <c r="N214" i="5"/>
  <c r="L214" i="5"/>
  <c r="I214" i="5"/>
  <c r="H214" i="5"/>
  <c r="F214" i="5"/>
  <c r="C214" i="5"/>
  <c r="AD213" i="5"/>
  <c r="AC213" i="5"/>
  <c r="AA213" i="5"/>
  <c r="W213" i="5"/>
  <c r="X213" i="5" s="1"/>
  <c r="U213" i="5"/>
  <c r="R213" i="5"/>
  <c r="N213" i="5"/>
  <c r="O213" i="5" s="1"/>
  <c r="L213" i="5"/>
  <c r="H213" i="5"/>
  <c r="I213" i="5" s="1"/>
  <c r="F213" i="5"/>
  <c r="C213" i="5"/>
  <c r="AD211" i="5"/>
  <c r="AC211" i="5"/>
  <c r="AA211" i="5"/>
  <c r="X211" i="5"/>
  <c r="W211" i="5"/>
  <c r="U211" i="5"/>
  <c r="R211" i="5"/>
  <c r="N211" i="5"/>
  <c r="O211" i="5" s="1"/>
  <c r="L211" i="5"/>
  <c r="I211" i="5"/>
  <c r="H211" i="5"/>
  <c r="F211" i="5"/>
  <c r="C211" i="5"/>
  <c r="Z209" i="5"/>
  <c r="AA209" i="5" s="1"/>
  <c r="T209" i="5"/>
  <c r="U209" i="5" s="1"/>
  <c r="R209" i="5"/>
  <c r="Q209" i="5"/>
  <c r="L209" i="5"/>
  <c r="K209" i="5"/>
  <c r="F209" i="5"/>
  <c r="E209" i="5"/>
  <c r="B209" i="5"/>
  <c r="AC208" i="5"/>
  <c r="AD208" i="5" s="1"/>
  <c r="AA208" i="5"/>
  <c r="W208" i="5"/>
  <c r="X208" i="5" s="1"/>
  <c r="U208" i="5"/>
  <c r="R208" i="5"/>
  <c r="O208" i="5"/>
  <c r="N208" i="5"/>
  <c r="L208" i="5"/>
  <c r="H208" i="5"/>
  <c r="I208" i="5" s="1"/>
  <c r="F208" i="5"/>
  <c r="C208" i="5"/>
  <c r="AD207" i="5"/>
  <c r="AC207" i="5"/>
  <c r="AA207" i="5"/>
  <c r="X207" i="5"/>
  <c r="W207" i="5"/>
  <c r="U207" i="5"/>
  <c r="R207" i="5"/>
  <c r="N207" i="5"/>
  <c r="O207" i="5" s="1"/>
  <c r="L207" i="5"/>
  <c r="H207" i="5"/>
  <c r="I207" i="5" s="1"/>
  <c r="F207" i="5"/>
  <c r="C207" i="5"/>
  <c r="AD206" i="5"/>
  <c r="AC206" i="5"/>
  <c r="AA206" i="5"/>
  <c r="X206" i="5"/>
  <c r="W206" i="5"/>
  <c r="U206" i="5"/>
  <c r="R206" i="5"/>
  <c r="O206" i="5"/>
  <c r="N206" i="5"/>
  <c r="L206" i="5"/>
  <c r="H206" i="5"/>
  <c r="I206" i="5" s="1"/>
  <c r="F206" i="5"/>
  <c r="C206" i="5"/>
  <c r="AC205" i="5"/>
  <c r="AD205" i="5" s="1"/>
  <c r="AA205" i="5"/>
  <c r="W205" i="5"/>
  <c r="X205" i="5" s="1"/>
  <c r="U205" i="5"/>
  <c r="R205" i="5"/>
  <c r="O205" i="5"/>
  <c r="N205" i="5"/>
  <c r="L205" i="5"/>
  <c r="I205" i="5"/>
  <c r="H205" i="5"/>
  <c r="F205" i="5"/>
  <c r="C205" i="5"/>
  <c r="AC204" i="5"/>
  <c r="AD204" i="5" s="1"/>
  <c r="AA204" i="5"/>
  <c r="X204" i="5"/>
  <c r="W204" i="5"/>
  <c r="U204" i="5"/>
  <c r="R204" i="5"/>
  <c r="N204" i="5"/>
  <c r="O204" i="5" s="1"/>
  <c r="L204" i="5"/>
  <c r="H204" i="5"/>
  <c r="I204" i="5" s="1"/>
  <c r="F204" i="5"/>
  <c r="C204" i="5"/>
  <c r="AD203" i="5"/>
  <c r="AC203" i="5"/>
  <c r="AA203" i="5"/>
  <c r="X203" i="5"/>
  <c r="W203" i="5"/>
  <c r="U203" i="5"/>
  <c r="R203" i="5"/>
  <c r="N203" i="5"/>
  <c r="O203" i="5" s="1"/>
  <c r="L203" i="5"/>
  <c r="I203" i="5"/>
  <c r="H203" i="5"/>
  <c r="F203" i="5"/>
  <c r="C203" i="5"/>
  <c r="AD202" i="5"/>
  <c r="AC202" i="5"/>
  <c r="AA202" i="5"/>
  <c r="X202" i="5"/>
  <c r="W202" i="5"/>
  <c r="U202" i="5"/>
  <c r="R202" i="5"/>
  <c r="O202" i="5"/>
  <c r="N202" i="5"/>
  <c r="L202" i="5"/>
  <c r="I202" i="5"/>
  <c r="H202" i="5"/>
  <c r="F202" i="5"/>
  <c r="C202" i="5"/>
  <c r="AC201" i="5"/>
  <c r="AD201" i="5" s="1"/>
  <c r="AA201" i="5"/>
  <c r="W201" i="5"/>
  <c r="X201" i="5" s="1"/>
  <c r="U201" i="5"/>
  <c r="R201" i="5"/>
  <c r="O201" i="5"/>
  <c r="N201" i="5"/>
  <c r="L201" i="5"/>
  <c r="I201" i="5"/>
  <c r="H201" i="5"/>
  <c r="F201" i="5"/>
  <c r="C201" i="5"/>
  <c r="Q198" i="5"/>
  <c r="AA197" i="5"/>
  <c r="Z197" i="5"/>
  <c r="T197" i="5"/>
  <c r="U197" i="5" s="1"/>
  <c r="R197" i="5"/>
  <c r="Q197" i="5"/>
  <c r="L197" i="5"/>
  <c r="K197" i="5"/>
  <c r="F197" i="5"/>
  <c r="E197" i="5"/>
  <c r="B197" i="5"/>
  <c r="Z196" i="5"/>
  <c r="AA196" i="5" s="1"/>
  <c r="T196" i="5"/>
  <c r="U196" i="5" s="1"/>
  <c r="Q196" i="5"/>
  <c r="N196" i="5"/>
  <c r="O196" i="5" s="1"/>
  <c r="L196" i="5"/>
  <c r="K196" i="5"/>
  <c r="F196" i="5"/>
  <c r="E196" i="5"/>
  <c r="B196" i="5"/>
  <c r="AD195" i="5"/>
  <c r="AC195" i="5"/>
  <c r="AA195" i="5"/>
  <c r="W195" i="5"/>
  <c r="X195" i="5" s="1"/>
  <c r="U195" i="5"/>
  <c r="R195" i="5"/>
  <c r="N195" i="5"/>
  <c r="O195" i="5" s="1"/>
  <c r="L195" i="5"/>
  <c r="I195" i="5"/>
  <c r="H195" i="5"/>
  <c r="F195" i="5"/>
  <c r="C195" i="5"/>
  <c r="AC194" i="5"/>
  <c r="AD194" i="5" s="1"/>
  <c r="AA194" i="5"/>
  <c r="W194" i="5"/>
  <c r="X194" i="5" s="1"/>
  <c r="U194" i="5"/>
  <c r="R194" i="5"/>
  <c r="N194" i="5"/>
  <c r="O194" i="5" s="1"/>
  <c r="L194" i="5"/>
  <c r="I194" i="5"/>
  <c r="H194" i="5"/>
  <c r="F194" i="5"/>
  <c r="C194" i="5"/>
  <c r="AC193" i="5"/>
  <c r="AD193" i="5" s="1"/>
  <c r="AA193" i="5"/>
  <c r="Z193" i="5"/>
  <c r="U193" i="5"/>
  <c r="T193" i="5"/>
  <c r="R193" i="5"/>
  <c r="Q193" i="5"/>
  <c r="L193" i="5"/>
  <c r="K193" i="5"/>
  <c r="H193" i="5"/>
  <c r="I193" i="5" s="1"/>
  <c r="F193" i="5"/>
  <c r="E193" i="5"/>
  <c r="B193" i="5"/>
  <c r="C193" i="5" s="1"/>
  <c r="AD192" i="5"/>
  <c r="AC192" i="5"/>
  <c r="AA192" i="5"/>
  <c r="W192" i="5"/>
  <c r="X192" i="5" s="1"/>
  <c r="U192" i="5"/>
  <c r="R192" i="5"/>
  <c r="O192" i="5"/>
  <c r="N192" i="5"/>
  <c r="L192" i="5"/>
  <c r="H192" i="5"/>
  <c r="I192" i="5" s="1"/>
  <c r="F192" i="5"/>
  <c r="C192" i="5"/>
  <c r="AC191" i="5"/>
  <c r="AD191" i="5" s="1"/>
  <c r="AA191" i="5"/>
  <c r="W191" i="5"/>
  <c r="X191" i="5" s="1"/>
  <c r="U191" i="5"/>
  <c r="R191" i="5"/>
  <c r="O191" i="5"/>
  <c r="N191" i="5"/>
  <c r="L191" i="5"/>
  <c r="I191" i="5"/>
  <c r="H191" i="5"/>
  <c r="F191" i="5"/>
  <c r="C191" i="5"/>
  <c r="AC190" i="5"/>
  <c r="AD190" i="5" s="1"/>
  <c r="AA190" i="5"/>
  <c r="W190" i="5"/>
  <c r="X190" i="5" s="1"/>
  <c r="U190" i="5"/>
  <c r="R190" i="5"/>
  <c r="N190" i="5"/>
  <c r="O190" i="5" s="1"/>
  <c r="L190" i="5"/>
  <c r="H190" i="5"/>
  <c r="I190" i="5" s="1"/>
  <c r="F190" i="5"/>
  <c r="C190" i="5"/>
  <c r="AC189" i="5"/>
  <c r="AD189" i="5" s="1"/>
  <c r="AA189" i="5"/>
  <c r="X189" i="5"/>
  <c r="W189" i="5"/>
  <c r="U189" i="5"/>
  <c r="R189" i="5"/>
  <c r="N189" i="5"/>
  <c r="O189" i="5" s="1"/>
  <c r="L189" i="5"/>
  <c r="H189" i="5"/>
  <c r="I189" i="5" s="1"/>
  <c r="F189" i="5"/>
  <c r="C189" i="5"/>
  <c r="AD188" i="5"/>
  <c r="AC188" i="5"/>
  <c r="AA188" i="5"/>
  <c r="W188" i="5"/>
  <c r="X188" i="5" s="1"/>
  <c r="U188" i="5"/>
  <c r="R188" i="5"/>
  <c r="N188" i="5"/>
  <c r="O188" i="5" s="1"/>
  <c r="L188" i="5"/>
  <c r="H188" i="5"/>
  <c r="I188" i="5" s="1"/>
  <c r="F188" i="5"/>
  <c r="C188" i="5"/>
  <c r="AD187" i="5"/>
  <c r="AC187" i="5"/>
  <c r="AA187" i="5"/>
  <c r="W187" i="5"/>
  <c r="X187" i="5" s="1"/>
  <c r="U187" i="5"/>
  <c r="R187" i="5"/>
  <c r="O187" i="5"/>
  <c r="N187" i="5"/>
  <c r="L187" i="5"/>
  <c r="I187" i="5"/>
  <c r="H187" i="5"/>
  <c r="F187" i="5"/>
  <c r="C187" i="5"/>
  <c r="AC186" i="5"/>
  <c r="AD186" i="5" s="1"/>
  <c r="AA186" i="5"/>
  <c r="X186" i="5"/>
  <c r="W186" i="5"/>
  <c r="U186" i="5"/>
  <c r="R186" i="5"/>
  <c r="N186" i="5"/>
  <c r="O186" i="5" s="1"/>
  <c r="L186" i="5"/>
  <c r="I186" i="5"/>
  <c r="H186" i="5"/>
  <c r="F186" i="5"/>
  <c r="C186" i="5"/>
  <c r="AD184" i="5"/>
  <c r="AC184" i="5"/>
  <c r="AA184" i="5"/>
  <c r="W184" i="5"/>
  <c r="X184" i="5" s="1"/>
  <c r="U184" i="5"/>
  <c r="R184" i="5"/>
  <c r="N184" i="5"/>
  <c r="O184" i="5" s="1"/>
  <c r="L184" i="5"/>
  <c r="H184" i="5"/>
  <c r="I184" i="5" s="1"/>
  <c r="F184" i="5"/>
  <c r="C184" i="5"/>
  <c r="AD183" i="5"/>
  <c r="AC183" i="5"/>
  <c r="AA183" i="5"/>
  <c r="X183" i="5"/>
  <c r="W183" i="5"/>
  <c r="U183" i="5"/>
  <c r="R183" i="5"/>
  <c r="N183" i="5"/>
  <c r="O183" i="5" s="1"/>
  <c r="L183" i="5"/>
  <c r="H183" i="5"/>
  <c r="I183" i="5" s="1"/>
  <c r="F183" i="5"/>
  <c r="C183" i="5"/>
  <c r="AC182" i="5"/>
  <c r="AD182" i="5" s="1"/>
  <c r="AA182" i="5"/>
  <c r="Z182" i="5"/>
  <c r="T182" i="5"/>
  <c r="U182" i="5" s="1"/>
  <c r="R182" i="5"/>
  <c r="Q182" i="5"/>
  <c r="W182" i="5" s="1"/>
  <c r="X182" i="5" s="1"/>
  <c r="O182" i="5"/>
  <c r="K182" i="5"/>
  <c r="L182" i="5" s="1"/>
  <c r="E182" i="5"/>
  <c r="C182" i="5"/>
  <c r="B182" i="5"/>
  <c r="N182" i="5" s="1"/>
  <c r="AC181" i="5"/>
  <c r="AD181" i="5" s="1"/>
  <c r="AA181" i="5"/>
  <c r="W181" i="5"/>
  <c r="X181" i="5" s="1"/>
  <c r="U181" i="5"/>
  <c r="R181" i="5"/>
  <c r="N181" i="5"/>
  <c r="O181" i="5" s="1"/>
  <c r="L181" i="5"/>
  <c r="H181" i="5"/>
  <c r="I181" i="5" s="1"/>
  <c r="F181" i="5"/>
  <c r="C181" i="5"/>
  <c r="AD180" i="5"/>
  <c r="AC180" i="5"/>
  <c r="AA180" i="5"/>
  <c r="W180" i="5"/>
  <c r="X180" i="5" s="1"/>
  <c r="U180" i="5"/>
  <c r="R180" i="5"/>
  <c r="N180" i="5"/>
  <c r="O180" i="5" s="1"/>
  <c r="L180" i="5"/>
  <c r="I180" i="5"/>
  <c r="H180" i="5"/>
  <c r="F180" i="5"/>
  <c r="C180" i="5"/>
  <c r="AC179" i="5"/>
  <c r="AD179" i="5" s="1"/>
  <c r="AA179" i="5"/>
  <c r="W179" i="5"/>
  <c r="X179" i="5" s="1"/>
  <c r="U179" i="5"/>
  <c r="R179" i="5"/>
  <c r="N179" i="5"/>
  <c r="O179" i="5" s="1"/>
  <c r="L179" i="5"/>
  <c r="I179" i="5"/>
  <c r="H179" i="5"/>
  <c r="F179" i="5"/>
  <c r="C179" i="5"/>
  <c r="AC178" i="5"/>
  <c r="AD178" i="5" s="1"/>
  <c r="AA178" i="5"/>
  <c r="W178" i="5"/>
  <c r="X178" i="5" s="1"/>
  <c r="U178" i="5"/>
  <c r="R178" i="5"/>
  <c r="O178" i="5"/>
  <c r="N178" i="5"/>
  <c r="L178" i="5"/>
  <c r="I178" i="5"/>
  <c r="H178" i="5"/>
  <c r="F178" i="5"/>
  <c r="C178" i="5"/>
  <c r="AD177" i="5"/>
  <c r="AC177" i="5"/>
  <c r="AA177" i="5"/>
  <c r="W177" i="5"/>
  <c r="X177" i="5" s="1"/>
  <c r="U177" i="5"/>
  <c r="R177" i="5"/>
  <c r="N177" i="5"/>
  <c r="O177" i="5" s="1"/>
  <c r="L177" i="5"/>
  <c r="I177" i="5"/>
  <c r="H177" i="5"/>
  <c r="F177" i="5"/>
  <c r="C177" i="5"/>
  <c r="AD175" i="5"/>
  <c r="AC175" i="5"/>
  <c r="AA175" i="5"/>
  <c r="W175" i="5"/>
  <c r="X175" i="5" s="1"/>
  <c r="U175" i="5"/>
  <c r="R175" i="5"/>
  <c r="O175" i="5"/>
  <c r="N175" i="5"/>
  <c r="L175" i="5"/>
  <c r="H175" i="5"/>
  <c r="I175" i="5" s="1"/>
  <c r="F175" i="5"/>
  <c r="C175" i="5"/>
  <c r="T172" i="5"/>
  <c r="T198" i="5" s="1"/>
  <c r="Q172" i="5"/>
  <c r="R172" i="5" s="1"/>
  <c r="Z171" i="5"/>
  <c r="AA171" i="5" s="1"/>
  <c r="X171" i="5"/>
  <c r="W171" i="5"/>
  <c r="U171" i="5"/>
  <c r="T171" i="5"/>
  <c r="R171" i="5"/>
  <c r="Q171" i="5"/>
  <c r="N171" i="5"/>
  <c r="O171" i="5" s="1"/>
  <c r="L171" i="5"/>
  <c r="K171" i="5"/>
  <c r="E171" i="5"/>
  <c r="B171" i="5"/>
  <c r="AA170" i="5"/>
  <c r="Z170" i="5"/>
  <c r="W170" i="5"/>
  <c r="X170" i="5" s="1"/>
  <c r="T170" i="5"/>
  <c r="U170" i="5" s="1"/>
  <c r="Q170" i="5"/>
  <c r="R170" i="5" s="1"/>
  <c r="O170" i="5"/>
  <c r="K170" i="5"/>
  <c r="L170" i="5" s="1"/>
  <c r="E170" i="5"/>
  <c r="H170" i="5" s="1"/>
  <c r="I170" i="5" s="1"/>
  <c r="C170" i="5"/>
  <c r="B170" i="5"/>
  <c r="N170" i="5" s="1"/>
  <c r="AC169" i="5"/>
  <c r="AD169" i="5" s="1"/>
  <c r="AA169" i="5"/>
  <c r="W169" i="5"/>
  <c r="X169" i="5" s="1"/>
  <c r="U169" i="5"/>
  <c r="R169" i="5"/>
  <c r="N169" i="5"/>
  <c r="O169" i="5" s="1"/>
  <c r="L169" i="5"/>
  <c r="H169" i="5"/>
  <c r="I169" i="5" s="1"/>
  <c r="F169" i="5"/>
  <c r="C169" i="5"/>
  <c r="AD168" i="5"/>
  <c r="AC168" i="5"/>
  <c r="AA168" i="5"/>
  <c r="W168" i="5"/>
  <c r="X168" i="5" s="1"/>
  <c r="U168" i="5"/>
  <c r="R168" i="5"/>
  <c r="N168" i="5"/>
  <c r="O168" i="5" s="1"/>
  <c r="L168" i="5"/>
  <c r="I168" i="5"/>
  <c r="H168" i="5"/>
  <c r="F168" i="5"/>
  <c r="C168" i="5"/>
  <c r="AC167" i="5"/>
  <c r="AD167" i="5" s="1"/>
  <c r="AA167" i="5"/>
  <c r="W167" i="5"/>
  <c r="X167" i="5" s="1"/>
  <c r="U167" i="5"/>
  <c r="R167" i="5"/>
  <c r="N167" i="5"/>
  <c r="O167" i="5" s="1"/>
  <c r="L167" i="5"/>
  <c r="I167" i="5"/>
  <c r="H167" i="5"/>
  <c r="F167" i="5"/>
  <c r="C167" i="5"/>
  <c r="AA166" i="5"/>
  <c r="Z166" i="5"/>
  <c r="U166" i="5"/>
  <c r="T166" i="5"/>
  <c r="R166" i="5"/>
  <c r="Q166" i="5"/>
  <c r="AC166" i="5" s="1"/>
  <c r="AD166" i="5" s="1"/>
  <c r="N166" i="5"/>
  <c r="O166" i="5" s="1"/>
  <c r="L166" i="5"/>
  <c r="K166" i="5"/>
  <c r="H166" i="5"/>
  <c r="I166" i="5" s="1"/>
  <c r="F166" i="5"/>
  <c r="E166" i="5"/>
  <c r="B166" i="5"/>
  <c r="C166" i="5" s="1"/>
  <c r="AD165" i="5"/>
  <c r="AC165" i="5"/>
  <c r="AA165" i="5"/>
  <c r="W165" i="5"/>
  <c r="X165" i="5" s="1"/>
  <c r="U165" i="5"/>
  <c r="R165" i="5"/>
  <c r="O165" i="5"/>
  <c r="N165" i="5"/>
  <c r="L165" i="5"/>
  <c r="H165" i="5"/>
  <c r="I165" i="5" s="1"/>
  <c r="F165" i="5"/>
  <c r="C165" i="5"/>
  <c r="AC164" i="5"/>
  <c r="AD164" i="5" s="1"/>
  <c r="AA164" i="5"/>
  <c r="W164" i="5"/>
  <c r="X164" i="5" s="1"/>
  <c r="U164" i="5"/>
  <c r="R164" i="5"/>
  <c r="O164" i="5"/>
  <c r="N164" i="5"/>
  <c r="L164" i="5"/>
  <c r="I164" i="5"/>
  <c r="H164" i="5"/>
  <c r="F164" i="5"/>
  <c r="C164" i="5"/>
  <c r="AC163" i="5"/>
  <c r="AD163" i="5" s="1"/>
  <c r="AA163" i="5"/>
  <c r="W163" i="5"/>
  <c r="X163" i="5" s="1"/>
  <c r="U163" i="5"/>
  <c r="R163" i="5"/>
  <c r="O163" i="5"/>
  <c r="N163" i="5"/>
  <c r="L163" i="5"/>
  <c r="I163" i="5"/>
  <c r="H163" i="5"/>
  <c r="F163" i="5"/>
  <c r="C163" i="5"/>
  <c r="AC162" i="5"/>
  <c r="AD162" i="5" s="1"/>
  <c r="AA162" i="5"/>
  <c r="X162" i="5"/>
  <c r="W162" i="5"/>
  <c r="U162" i="5"/>
  <c r="R162" i="5"/>
  <c r="N162" i="5"/>
  <c r="O162" i="5" s="1"/>
  <c r="L162" i="5"/>
  <c r="I162" i="5"/>
  <c r="H162" i="5"/>
  <c r="F162" i="5"/>
  <c r="C162" i="5"/>
  <c r="AD161" i="5"/>
  <c r="AC161" i="5"/>
  <c r="AA161" i="5"/>
  <c r="W161" i="5"/>
  <c r="X161" i="5" s="1"/>
  <c r="U161" i="5"/>
  <c r="R161" i="5"/>
  <c r="O161" i="5"/>
  <c r="N161" i="5"/>
  <c r="L161" i="5"/>
  <c r="H161" i="5"/>
  <c r="I161" i="5" s="1"/>
  <c r="F161" i="5"/>
  <c r="C161" i="5"/>
  <c r="AD160" i="5"/>
  <c r="AC160" i="5"/>
  <c r="AA160" i="5"/>
  <c r="W160" i="5"/>
  <c r="X160" i="5" s="1"/>
  <c r="U160" i="5"/>
  <c r="R160" i="5"/>
  <c r="N160" i="5"/>
  <c r="O160" i="5" s="1"/>
  <c r="L160" i="5"/>
  <c r="I160" i="5"/>
  <c r="H160" i="5"/>
  <c r="F160" i="5"/>
  <c r="C160" i="5"/>
  <c r="AA158" i="5"/>
  <c r="Z158" i="5"/>
  <c r="T158" i="5"/>
  <c r="U158" i="5" s="1"/>
  <c r="Q158" i="5"/>
  <c r="L158" i="5"/>
  <c r="K158" i="5"/>
  <c r="E158" i="5"/>
  <c r="F158" i="5" s="1"/>
  <c r="B158" i="5"/>
  <c r="AD157" i="5"/>
  <c r="AC157" i="5"/>
  <c r="AA157" i="5"/>
  <c r="X157" i="5"/>
  <c r="W157" i="5"/>
  <c r="U157" i="5"/>
  <c r="R157" i="5"/>
  <c r="O157" i="5"/>
  <c r="N157" i="5"/>
  <c r="L157" i="5"/>
  <c r="H157" i="5"/>
  <c r="I157" i="5" s="1"/>
  <c r="F157" i="5"/>
  <c r="C157" i="5"/>
  <c r="AC156" i="5"/>
  <c r="AD156" i="5" s="1"/>
  <c r="AA156" i="5"/>
  <c r="W156" i="5"/>
  <c r="X156" i="5" s="1"/>
  <c r="U156" i="5"/>
  <c r="R156" i="5"/>
  <c r="N156" i="5"/>
  <c r="O156" i="5" s="1"/>
  <c r="L156" i="5"/>
  <c r="I156" i="5"/>
  <c r="H156" i="5"/>
  <c r="F156" i="5"/>
  <c r="C156" i="5"/>
  <c r="AD155" i="5"/>
  <c r="AC155" i="5"/>
  <c r="AA155" i="5"/>
  <c r="X155" i="5"/>
  <c r="W155" i="5"/>
  <c r="U155" i="5"/>
  <c r="R155" i="5"/>
  <c r="O155" i="5"/>
  <c r="N155" i="5"/>
  <c r="L155" i="5"/>
  <c r="H155" i="5"/>
  <c r="I155" i="5" s="1"/>
  <c r="F155" i="5"/>
  <c r="C155" i="5"/>
  <c r="AC154" i="5"/>
  <c r="AD154" i="5" s="1"/>
  <c r="AA154" i="5"/>
  <c r="W154" i="5"/>
  <c r="X154" i="5" s="1"/>
  <c r="U154" i="5"/>
  <c r="R154" i="5"/>
  <c r="N154" i="5"/>
  <c r="O154" i="5" s="1"/>
  <c r="L154" i="5"/>
  <c r="I154" i="5"/>
  <c r="H154" i="5"/>
  <c r="F154" i="5"/>
  <c r="C154" i="5"/>
  <c r="AD153" i="5"/>
  <c r="AC153" i="5"/>
  <c r="AA153" i="5"/>
  <c r="W153" i="5"/>
  <c r="X153" i="5" s="1"/>
  <c r="U153" i="5"/>
  <c r="R153" i="5"/>
  <c r="N153" i="5"/>
  <c r="O153" i="5" s="1"/>
  <c r="L153" i="5"/>
  <c r="H153" i="5"/>
  <c r="I153" i="5" s="1"/>
  <c r="F153" i="5"/>
  <c r="C153" i="5"/>
  <c r="AD151" i="5"/>
  <c r="AC151" i="5"/>
  <c r="AA151" i="5"/>
  <c r="W151" i="5"/>
  <c r="X151" i="5" s="1"/>
  <c r="U151" i="5"/>
  <c r="R151" i="5"/>
  <c r="N151" i="5"/>
  <c r="O151" i="5" s="1"/>
  <c r="L151" i="5"/>
  <c r="H151" i="5"/>
  <c r="I151" i="5" s="1"/>
  <c r="F151" i="5"/>
  <c r="C151" i="5"/>
  <c r="AA149" i="5"/>
  <c r="Z149" i="5"/>
  <c r="U149" i="5"/>
  <c r="T149" i="5"/>
  <c r="W149" i="5" s="1"/>
  <c r="X149" i="5" s="1"/>
  <c r="R149" i="5"/>
  <c r="Q149" i="5"/>
  <c r="AC149" i="5" s="1"/>
  <c r="AD149" i="5" s="1"/>
  <c r="K149" i="5"/>
  <c r="L149" i="5" s="1"/>
  <c r="I149" i="5"/>
  <c r="H149" i="5"/>
  <c r="F149" i="5"/>
  <c r="E149" i="5"/>
  <c r="C149" i="5"/>
  <c r="B149" i="5"/>
  <c r="N149" i="5" s="1"/>
  <c r="O149" i="5" s="1"/>
  <c r="AA148" i="5"/>
  <c r="Z148" i="5"/>
  <c r="T148" i="5"/>
  <c r="U148" i="5" s="1"/>
  <c r="Q148" i="5"/>
  <c r="AC148" i="5" s="1"/>
  <c r="AD148" i="5" s="1"/>
  <c r="L148" i="5"/>
  <c r="K148" i="5"/>
  <c r="H148" i="5"/>
  <c r="I148" i="5" s="1"/>
  <c r="E148" i="5"/>
  <c r="F148" i="5" s="1"/>
  <c r="B148" i="5"/>
  <c r="C148" i="5" s="1"/>
  <c r="AD147" i="5"/>
  <c r="AC147" i="5"/>
  <c r="AA147" i="5"/>
  <c r="X147" i="5"/>
  <c r="W147" i="5"/>
  <c r="U147" i="5"/>
  <c r="R147" i="5"/>
  <c r="O147" i="5"/>
  <c r="N147" i="5"/>
  <c r="L147" i="5"/>
  <c r="H147" i="5"/>
  <c r="I147" i="5" s="1"/>
  <c r="F147" i="5"/>
  <c r="C147" i="5"/>
  <c r="AC146" i="5"/>
  <c r="AD146" i="5" s="1"/>
  <c r="AA146" i="5"/>
  <c r="W146" i="5"/>
  <c r="X146" i="5" s="1"/>
  <c r="U146" i="5"/>
  <c r="R146" i="5"/>
  <c r="N146" i="5"/>
  <c r="O146" i="5" s="1"/>
  <c r="L146" i="5"/>
  <c r="I146" i="5"/>
  <c r="H146" i="5"/>
  <c r="F146" i="5"/>
  <c r="C146" i="5"/>
  <c r="AD145" i="5"/>
  <c r="AC145" i="5"/>
  <c r="AA145" i="5"/>
  <c r="W145" i="5"/>
  <c r="X145" i="5" s="1"/>
  <c r="U145" i="5"/>
  <c r="R145" i="5"/>
  <c r="N145" i="5"/>
  <c r="O145" i="5" s="1"/>
  <c r="L145" i="5"/>
  <c r="I145" i="5"/>
  <c r="H145" i="5"/>
  <c r="F145" i="5"/>
  <c r="C145" i="5"/>
  <c r="AC144" i="5"/>
  <c r="AD144" i="5" s="1"/>
  <c r="AA144" i="5"/>
  <c r="W144" i="5"/>
  <c r="X144" i="5" s="1"/>
  <c r="U144" i="5"/>
  <c r="R144" i="5"/>
  <c r="N144" i="5"/>
  <c r="O144" i="5" s="1"/>
  <c r="L144" i="5"/>
  <c r="I144" i="5"/>
  <c r="H144" i="5"/>
  <c r="F144" i="5"/>
  <c r="C144" i="5"/>
  <c r="AD143" i="5"/>
  <c r="AC143" i="5"/>
  <c r="AA143" i="5"/>
  <c r="W143" i="5"/>
  <c r="X143" i="5" s="1"/>
  <c r="U143" i="5"/>
  <c r="R143" i="5"/>
  <c r="O143" i="5"/>
  <c r="N143" i="5"/>
  <c r="L143" i="5"/>
  <c r="H143" i="5"/>
  <c r="I143" i="5" s="1"/>
  <c r="F143" i="5"/>
  <c r="C143" i="5"/>
  <c r="AA141" i="5"/>
  <c r="Z141" i="5"/>
  <c r="T141" i="5"/>
  <c r="W141" i="5" s="1"/>
  <c r="X141" i="5" s="1"/>
  <c r="Q141" i="5"/>
  <c r="R141" i="5" s="1"/>
  <c r="L141" i="5"/>
  <c r="K141" i="5"/>
  <c r="H141" i="5"/>
  <c r="I141" i="5" s="1"/>
  <c r="F141" i="5"/>
  <c r="E141" i="5"/>
  <c r="C141" i="5"/>
  <c r="B141" i="5"/>
  <c r="AD140" i="5"/>
  <c r="AC140" i="5"/>
  <c r="AA140" i="5"/>
  <c r="X140" i="5"/>
  <c r="W140" i="5"/>
  <c r="U140" i="5"/>
  <c r="R140" i="5"/>
  <c r="N140" i="5"/>
  <c r="O140" i="5" s="1"/>
  <c r="L140" i="5"/>
  <c r="H140" i="5"/>
  <c r="I140" i="5" s="1"/>
  <c r="F140" i="5"/>
  <c r="C140" i="5"/>
  <c r="AD139" i="5"/>
  <c r="AC139" i="5"/>
  <c r="AA139" i="5"/>
  <c r="X139" i="5"/>
  <c r="W139" i="5"/>
  <c r="U139" i="5"/>
  <c r="R139" i="5"/>
  <c r="O139" i="5"/>
  <c r="N139" i="5"/>
  <c r="L139" i="5"/>
  <c r="H139" i="5"/>
  <c r="I139" i="5" s="1"/>
  <c r="F139" i="5"/>
  <c r="C139" i="5"/>
  <c r="AC138" i="5"/>
  <c r="AD138" i="5" s="1"/>
  <c r="AA138" i="5"/>
  <c r="W138" i="5"/>
  <c r="X138" i="5" s="1"/>
  <c r="U138" i="5"/>
  <c r="R138" i="5"/>
  <c r="N138" i="5"/>
  <c r="O138" i="5" s="1"/>
  <c r="L138" i="5"/>
  <c r="I138" i="5"/>
  <c r="H138" i="5"/>
  <c r="F138" i="5"/>
  <c r="C138" i="5"/>
  <c r="AD137" i="5"/>
  <c r="AC137" i="5"/>
  <c r="AA137" i="5"/>
  <c r="X137" i="5"/>
  <c r="W137" i="5"/>
  <c r="U137" i="5"/>
  <c r="R137" i="5"/>
  <c r="N137" i="5"/>
  <c r="O137" i="5" s="1"/>
  <c r="L137" i="5"/>
  <c r="H137" i="5"/>
  <c r="I137" i="5" s="1"/>
  <c r="F137" i="5"/>
  <c r="C137" i="5"/>
  <c r="AD136" i="5"/>
  <c r="AC136" i="5"/>
  <c r="AA136" i="5"/>
  <c r="W136" i="5"/>
  <c r="X136" i="5" s="1"/>
  <c r="U136" i="5"/>
  <c r="R136" i="5"/>
  <c r="N136" i="5"/>
  <c r="O136" i="5" s="1"/>
  <c r="L136" i="5"/>
  <c r="H136" i="5"/>
  <c r="I136" i="5" s="1"/>
  <c r="F136" i="5"/>
  <c r="C136" i="5"/>
  <c r="AD135" i="5"/>
  <c r="AC135" i="5"/>
  <c r="AA135" i="5"/>
  <c r="X135" i="5"/>
  <c r="W135" i="5"/>
  <c r="U135" i="5"/>
  <c r="R135" i="5"/>
  <c r="N135" i="5"/>
  <c r="O135" i="5" s="1"/>
  <c r="L135" i="5"/>
  <c r="H135" i="5"/>
  <c r="I135" i="5" s="1"/>
  <c r="F135" i="5"/>
  <c r="C135" i="5"/>
  <c r="AC134" i="5"/>
  <c r="AD134" i="5" s="1"/>
  <c r="AA134" i="5"/>
  <c r="W134" i="5"/>
  <c r="X134" i="5" s="1"/>
  <c r="U134" i="5"/>
  <c r="R134" i="5"/>
  <c r="N134" i="5"/>
  <c r="O134" i="5" s="1"/>
  <c r="L134" i="5"/>
  <c r="I134" i="5"/>
  <c r="H134" i="5"/>
  <c r="F134" i="5"/>
  <c r="C134" i="5"/>
  <c r="AD133" i="5"/>
  <c r="AC133" i="5"/>
  <c r="AA133" i="5"/>
  <c r="W133" i="5"/>
  <c r="X133" i="5" s="1"/>
  <c r="U133" i="5"/>
  <c r="R133" i="5"/>
  <c r="N133" i="5"/>
  <c r="O133" i="5" s="1"/>
  <c r="L133" i="5"/>
  <c r="I133" i="5"/>
  <c r="H133" i="5"/>
  <c r="F133" i="5"/>
  <c r="C133" i="5"/>
  <c r="AD132" i="5"/>
  <c r="AC132" i="5"/>
  <c r="AA132" i="5"/>
  <c r="W132" i="5"/>
  <c r="X132" i="5" s="1"/>
  <c r="U132" i="5"/>
  <c r="R132" i="5"/>
  <c r="N132" i="5"/>
  <c r="O132" i="5" s="1"/>
  <c r="L132" i="5"/>
  <c r="H132" i="5"/>
  <c r="I132" i="5" s="1"/>
  <c r="F132" i="5"/>
  <c r="C132" i="5"/>
  <c r="AD131" i="5"/>
  <c r="AC131" i="5"/>
  <c r="AA131" i="5"/>
  <c r="X131" i="5"/>
  <c r="W131" i="5"/>
  <c r="U131" i="5"/>
  <c r="R131" i="5"/>
  <c r="O131" i="5"/>
  <c r="N131" i="5"/>
  <c r="L131" i="5"/>
  <c r="I131" i="5"/>
  <c r="H131" i="5"/>
  <c r="F131" i="5"/>
  <c r="C131" i="5"/>
  <c r="AC130" i="5"/>
  <c r="AD130" i="5" s="1"/>
  <c r="AA130" i="5"/>
  <c r="W130" i="5"/>
  <c r="X130" i="5" s="1"/>
  <c r="U130" i="5"/>
  <c r="R130" i="5"/>
  <c r="N130" i="5"/>
  <c r="O130" i="5" s="1"/>
  <c r="L130" i="5"/>
  <c r="I130" i="5"/>
  <c r="H130" i="5"/>
  <c r="F130" i="5"/>
  <c r="C130" i="5"/>
  <c r="AD129" i="5"/>
  <c r="AC129" i="5"/>
  <c r="AA129" i="5"/>
  <c r="W129" i="5"/>
  <c r="X129" i="5" s="1"/>
  <c r="U129" i="5"/>
  <c r="R129" i="5"/>
  <c r="N129" i="5"/>
  <c r="O129" i="5" s="1"/>
  <c r="L129" i="5"/>
  <c r="I129" i="5"/>
  <c r="H129" i="5"/>
  <c r="F129" i="5"/>
  <c r="C129" i="5"/>
  <c r="AC127" i="5"/>
  <c r="AD127" i="5" s="1"/>
  <c r="AA127" i="5"/>
  <c r="W127" i="5"/>
  <c r="X127" i="5" s="1"/>
  <c r="U127" i="5"/>
  <c r="R127" i="5"/>
  <c r="N127" i="5"/>
  <c r="O127" i="5" s="1"/>
  <c r="L127" i="5"/>
  <c r="H127" i="5"/>
  <c r="I127" i="5" s="1"/>
  <c r="F127" i="5"/>
  <c r="C127" i="5"/>
  <c r="AA124" i="5"/>
  <c r="Z124" i="5"/>
  <c r="W124" i="5"/>
  <c r="X124" i="5" s="1"/>
  <c r="U124" i="5"/>
  <c r="T124" i="5"/>
  <c r="R124" i="5"/>
  <c r="Q124" i="5"/>
  <c r="K124" i="5"/>
  <c r="F124" i="5"/>
  <c r="E124" i="5"/>
  <c r="C124" i="5"/>
  <c r="B124" i="5"/>
  <c r="B172" i="5" s="1"/>
  <c r="AC123" i="5"/>
  <c r="AD123" i="5" s="1"/>
  <c r="AA123" i="5"/>
  <c r="W123" i="5"/>
  <c r="X123" i="5" s="1"/>
  <c r="U123" i="5"/>
  <c r="R123" i="5"/>
  <c r="N123" i="5"/>
  <c r="O123" i="5" s="1"/>
  <c r="L123" i="5"/>
  <c r="I123" i="5"/>
  <c r="H123" i="5"/>
  <c r="F123" i="5"/>
  <c r="C123" i="5"/>
  <c r="Z122" i="5"/>
  <c r="AA122" i="5" s="1"/>
  <c r="X122" i="5"/>
  <c r="U122" i="5"/>
  <c r="T122" i="5"/>
  <c r="Q122" i="5"/>
  <c r="W122" i="5" s="1"/>
  <c r="N122" i="5"/>
  <c r="O122" i="5" s="1"/>
  <c r="L122" i="5"/>
  <c r="K122" i="5"/>
  <c r="E122" i="5"/>
  <c r="F122" i="5" s="1"/>
  <c r="B122" i="5"/>
  <c r="H122" i="5" s="1"/>
  <c r="I122" i="5" s="1"/>
  <c r="AC121" i="5"/>
  <c r="AD121" i="5" s="1"/>
  <c r="AA121" i="5"/>
  <c r="W121" i="5"/>
  <c r="X121" i="5" s="1"/>
  <c r="U121" i="5"/>
  <c r="R121" i="5"/>
  <c r="N121" i="5"/>
  <c r="O121" i="5" s="1"/>
  <c r="L121" i="5"/>
  <c r="I121" i="5"/>
  <c r="H121" i="5"/>
  <c r="F121" i="5"/>
  <c r="C121" i="5"/>
  <c r="AC120" i="5"/>
  <c r="AD120" i="5" s="1"/>
  <c r="AA120" i="5"/>
  <c r="W120" i="5"/>
  <c r="X120" i="5" s="1"/>
  <c r="U120" i="5"/>
  <c r="R120" i="5"/>
  <c r="N120" i="5"/>
  <c r="O120" i="5" s="1"/>
  <c r="L120" i="5"/>
  <c r="H120" i="5"/>
  <c r="I120" i="5" s="1"/>
  <c r="F120" i="5"/>
  <c r="C120" i="5"/>
  <c r="AD119" i="5"/>
  <c r="AC119" i="5"/>
  <c r="AA119" i="5"/>
  <c r="W119" i="5"/>
  <c r="X119" i="5" s="1"/>
  <c r="U119" i="5"/>
  <c r="R119" i="5"/>
  <c r="N119" i="5"/>
  <c r="O119" i="5" s="1"/>
  <c r="L119" i="5"/>
  <c r="H119" i="5"/>
  <c r="I119" i="5" s="1"/>
  <c r="F119" i="5"/>
  <c r="C119" i="5"/>
  <c r="AA118" i="5"/>
  <c r="Z118" i="5"/>
  <c r="T118" i="5"/>
  <c r="W118" i="5" s="1"/>
  <c r="X118" i="5" s="1"/>
  <c r="R118" i="5"/>
  <c r="Q118" i="5"/>
  <c r="AC118" i="5" s="1"/>
  <c r="AD118" i="5" s="1"/>
  <c r="L118" i="5"/>
  <c r="K118" i="5"/>
  <c r="H118" i="5"/>
  <c r="I118" i="5" s="1"/>
  <c r="F118" i="5"/>
  <c r="E118" i="5"/>
  <c r="C118" i="5"/>
  <c r="B118" i="5"/>
  <c r="N118" i="5" s="1"/>
  <c r="O118" i="5" s="1"/>
  <c r="AD117" i="5"/>
  <c r="AC117" i="5"/>
  <c r="AA117" i="5"/>
  <c r="W117" i="5"/>
  <c r="X117" i="5" s="1"/>
  <c r="U117" i="5"/>
  <c r="R117" i="5"/>
  <c r="N117" i="5"/>
  <c r="O117" i="5" s="1"/>
  <c r="L117" i="5"/>
  <c r="H117" i="5"/>
  <c r="I117" i="5" s="1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H116" i="5"/>
  <c r="I116" i="5" s="1"/>
  <c r="F116" i="5"/>
  <c r="C116" i="5"/>
  <c r="AD115" i="5"/>
  <c r="AC115" i="5"/>
  <c r="AA115" i="5"/>
  <c r="X115" i="5"/>
  <c r="W115" i="5"/>
  <c r="U115" i="5"/>
  <c r="R115" i="5"/>
  <c r="N115" i="5"/>
  <c r="O115" i="5" s="1"/>
  <c r="L115" i="5"/>
  <c r="I115" i="5"/>
  <c r="H115" i="5"/>
  <c r="F115" i="5"/>
  <c r="C115" i="5"/>
  <c r="AC114" i="5"/>
  <c r="AD114" i="5" s="1"/>
  <c r="AA114" i="5"/>
  <c r="W114" i="5"/>
  <c r="X114" i="5" s="1"/>
  <c r="U114" i="5"/>
  <c r="R114" i="5"/>
  <c r="N114" i="5"/>
  <c r="O114" i="5" s="1"/>
  <c r="L114" i="5"/>
  <c r="I114" i="5"/>
  <c r="H114" i="5"/>
  <c r="F114" i="5"/>
  <c r="C114" i="5"/>
  <c r="AD113" i="5"/>
  <c r="AC113" i="5"/>
  <c r="AA113" i="5"/>
  <c r="W113" i="5"/>
  <c r="X113" i="5" s="1"/>
  <c r="U113" i="5"/>
  <c r="R113" i="5"/>
  <c r="N113" i="5"/>
  <c r="O113" i="5" s="1"/>
  <c r="L113" i="5"/>
  <c r="I113" i="5"/>
  <c r="H113" i="5"/>
  <c r="F113" i="5"/>
  <c r="C113" i="5"/>
  <c r="AC112" i="5"/>
  <c r="AD112" i="5" s="1"/>
  <c r="AA112" i="5"/>
  <c r="W112" i="5"/>
  <c r="X112" i="5" s="1"/>
  <c r="U112" i="5"/>
  <c r="R112" i="5"/>
  <c r="N112" i="5"/>
  <c r="O112" i="5" s="1"/>
  <c r="L112" i="5"/>
  <c r="H112" i="5"/>
  <c r="I112" i="5" s="1"/>
  <c r="F112" i="5"/>
  <c r="C112" i="5"/>
  <c r="AD111" i="5"/>
  <c r="AC111" i="5"/>
  <c r="AA111" i="5"/>
  <c r="W111" i="5"/>
  <c r="X111" i="5" s="1"/>
  <c r="U111" i="5"/>
  <c r="R111" i="5"/>
  <c r="O111" i="5"/>
  <c r="N111" i="5"/>
  <c r="L111" i="5"/>
  <c r="H111" i="5"/>
  <c r="I111" i="5" s="1"/>
  <c r="F111" i="5"/>
  <c r="C111" i="5"/>
  <c r="AC110" i="5"/>
  <c r="AD110" i="5" s="1"/>
  <c r="AA110" i="5"/>
  <c r="W110" i="5"/>
  <c r="X110" i="5" s="1"/>
  <c r="U110" i="5"/>
  <c r="R110" i="5"/>
  <c r="O110" i="5"/>
  <c r="N110" i="5"/>
  <c r="L110" i="5"/>
  <c r="I110" i="5"/>
  <c r="H110" i="5"/>
  <c r="F110" i="5"/>
  <c r="C110" i="5"/>
  <c r="AC109" i="5"/>
  <c r="AD109" i="5" s="1"/>
  <c r="AA109" i="5"/>
  <c r="W109" i="5"/>
  <c r="X109" i="5" s="1"/>
  <c r="U109" i="5"/>
  <c r="R109" i="5"/>
  <c r="N109" i="5"/>
  <c r="O109" i="5" s="1"/>
  <c r="L109" i="5"/>
  <c r="I109" i="5"/>
  <c r="H109" i="5"/>
  <c r="F109" i="5"/>
  <c r="C109" i="5"/>
  <c r="AC108" i="5"/>
  <c r="AD108" i="5" s="1"/>
  <c r="AA108" i="5"/>
  <c r="X108" i="5"/>
  <c r="W108" i="5"/>
  <c r="U108" i="5"/>
  <c r="R108" i="5"/>
  <c r="N108" i="5"/>
  <c r="O108" i="5" s="1"/>
  <c r="L108" i="5"/>
  <c r="H108" i="5"/>
  <c r="I108" i="5" s="1"/>
  <c r="F108" i="5"/>
  <c r="C108" i="5"/>
  <c r="AD107" i="5"/>
  <c r="AC107" i="5"/>
  <c r="AA107" i="5"/>
  <c r="W107" i="5"/>
  <c r="X107" i="5" s="1"/>
  <c r="U107" i="5"/>
  <c r="R107" i="5"/>
  <c r="O107" i="5"/>
  <c r="N107" i="5"/>
  <c r="L107" i="5"/>
  <c r="H107" i="5"/>
  <c r="I107" i="5" s="1"/>
  <c r="F107" i="5"/>
  <c r="C107" i="5"/>
  <c r="AC106" i="5"/>
  <c r="AD106" i="5" s="1"/>
  <c r="AA106" i="5"/>
  <c r="W106" i="5"/>
  <c r="X106" i="5" s="1"/>
  <c r="U106" i="5"/>
  <c r="R106" i="5"/>
  <c r="N106" i="5"/>
  <c r="O106" i="5" s="1"/>
  <c r="L106" i="5"/>
  <c r="I106" i="5"/>
  <c r="H106" i="5"/>
  <c r="F106" i="5"/>
  <c r="C106" i="5"/>
  <c r="AC105" i="5"/>
  <c r="AD105" i="5" s="1"/>
  <c r="AA105" i="5"/>
  <c r="W105" i="5"/>
  <c r="X105" i="5" s="1"/>
  <c r="U105" i="5"/>
  <c r="R105" i="5"/>
  <c r="N105" i="5"/>
  <c r="O105" i="5" s="1"/>
  <c r="L105" i="5"/>
  <c r="H105" i="5"/>
  <c r="I105" i="5" s="1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H104" i="5"/>
  <c r="I104" i="5" s="1"/>
  <c r="F104" i="5"/>
  <c r="C104" i="5"/>
  <c r="AD103" i="5"/>
  <c r="AC103" i="5"/>
  <c r="AA103" i="5"/>
  <c r="X103" i="5"/>
  <c r="W103" i="5"/>
  <c r="U103" i="5"/>
  <c r="R103" i="5"/>
  <c r="N103" i="5"/>
  <c r="O103" i="5" s="1"/>
  <c r="L103" i="5"/>
  <c r="H103" i="5"/>
  <c r="I103" i="5" s="1"/>
  <c r="F103" i="5"/>
  <c r="C103" i="5"/>
  <c r="AC102" i="5"/>
  <c r="AD102" i="5" s="1"/>
  <c r="AA102" i="5"/>
  <c r="W102" i="5"/>
  <c r="X102" i="5" s="1"/>
  <c r="U102" i="5"/>
  <c r="R102" i="5"/>
  <c r="N102" i="5"/>
  <c r="O102" i="5" s="1"/>
  <c r="L102" i="5"/>
  <c r="I102" i="5"/>
  <c r="H102" i="5"/>
  <c r="F102" i="5"/>
  <c r="C102" i="5"/>
  <c r="AD101" i="5"/>
  <c r="AC101" i="5"/>
  <c r="AA101" i="5"/>
  <c r="W101" i="5"/>
  <c r="X101" i="5" s="1"/>
  <c r="U101" i="5"/>
  <c r="R101" i="5"/>
  <c r="N101" i="5"/>
  <c r="O101" i="5" s="1"/>
  <c r="L101" i="5"/>
  <c r="H101" i="5"/>
  <c r="I101" i="5" s="1"/>
  <c r="F101" i="5"/>
  <c r="C101" i="5"/>
  <c r="AD100" i="5"/>
  <c r="AC100" i="5"/>
  <c r="AA100" i="5"/>
  <c r="W100" i="5"/>
  <c r="X100" i="5" s="1"/>
  <c r="U100" i="5"/>
  <c r="R100" i="5"/>
  <c r="N100" i="5"/>
  <c r="O100" i="5" s="1"/>
  <c r="L100" i="5"/>
  <c r="H100" i="5"/>
  <c r="I100" i="5" s="1"/>
  <c r="F100" i="5"/>
  <c r="C100" i="5"/>
  <c r="AD99" i="5"/>
  <c r="AC99" i="5"/>
  <c r="AA99" i="5"/>
  <c r="X99" i="5"/>
  <c r="W99" i="5"/>
  <c r="U99" i="5"/>
  <c r="R99" i="5"/>
  <c r="N99" i="5"/>
  <c r="O99" i="5" s="1"/>
  <c r="L99" i="5"/>
  <c r="H99" i="5"/>
  <c r="I99" i="5" s="1"/>
  <c r="F99" i="5"/>
  <c r="C99" i="5"/>
  <c r="AC98" i="5"/>
  <c r="AD98" i="5" s="1"/>
  <c r="AA98" i="5"/>
  <c r="W98" i="5"/>
  <c r="X98" i="5" s="1"/>
  <c r="U98" i="5"/>
  <c r="R98" i="5"/>
  <c r="N98" i="5"/>
  <c r="O98" i="5" s="1"/>
  <c r="L98" i="5"/>
  <c r="I98" i="5"/>
  <c r="H98" i="5"/>
  <c r="F98" i="5"/>
  <c r="C98" i="5"/>
  <c r="AD97" i="5"/>
  <c r="AC97" i="5"/>
  <c r="AA97" i="5"/>
  <c r="W97" i="5"/>
  <c r="X97" i="5" s="1"/>
  <c r="U97" i="5"/>
  <c r="R97" i="5"/>
  <c r="N97" i="5"/>
  <c r="O97" i="5" s="1"/>
  <c r="L97" i="5"/>
  <c r="I97" i="5"/>
  <c r="H97" i="5"/>
  <c r="F97" i="5"/>
  <c r="C97" i="5"/>
  <c r="AC96" i="5"/>
  <c r="AD96" i="5" s="1"/>
  <c r="AA96" i="5"/>
  <c r="W96" i="5"/>
  <c r="X96" i="5" s="1"/>
  <c r="U96" i="5"/>
  <c r="R96" i="5"/>
  <c r="N96" i="5"/>
  <c r="O96" i="5" s="1"/>
  <c r="L96" i="5"/>
  <c r="I96" i="5"/>
  <c r="H96" i="5"/>
  <c r="F96" i="5"/>
  <c r="C96" i="5"/>
  <c r="AD95" i="5"/>
  <c r="AC95" i="5"/>
  <c r="AA95" i="5"/>
  <c r="W95" i="5"/>
  <c r="X95" i="5" s="1"/>
  <c r="U95" i="5"/>
  <c r="R95" i="5"/>
  <c r="O95" i="5"/>
  <c r="N95" i="5"/>
  <c r="L95" i="5"/>
  <c r="H95" i="5"/>
  <c r="I95" i="5" s="1"/>
  <c r="F95" i="5"/>
  <c r="C95" i="5"/>
  <c r="AC94" i="5"/>
  <c r="AD94" i="5" s="1"/>
  <c r="AA94" i="5"/>
  <c r="W94" i="5"/>
  <c r="X94" i="5" s="1"/>
  <c r="U94" i="5"/>
  <c r="R94" i="5"/>
  <c r="N94" i="5"/>
  <c r="O94" i="5" s="1"/>
  <c r="L94" i="5"/>
  <c r="I94" i="5"/>
  <c r="H94" i="5"/>
  <c r="F94" i="5"/>
  <c r="C94" i="5"/>
  <c r="AC92" i="5"/>
  <c r="AD92" i="5" s="1"/>
  <c r="AA92" i="5"/>
  <c r="W92" i="5"/>
  <c r="X92" i="5" s="1"/>
  <c r="U92" i="5"/>
  <c r="R92" i="5"/>
  <c r="N92" i="5"/>
  <c r="O92" i="5" s="1"/>
  <c r="L92" i="5"/>
  <c r="I92" i="5"/>
  <c r="H92" i="5"/>
  <c r="F92" i="5"/>
  <c r="C92" i="5"/>
  <c r="AC91" i="5"/>
  <c r="AD91" i="5" s="1"/>
  <c r="AA91" i="5"/>
  <c r="W91" i="5"/>
  <c r="X91" i="5" s="1"/>
  <c r="U91" i="5"/>
  <c r="R91" i="5"/>
  <c r="N91" i="5"/>
  <c r="O91" i="5" s="1"/>
  <c r="L91" i="5"/>
  <c r="H91" i="5"/>
  <c r="I91" i="5" s="1"/>
  <c r="F91" i="5"/>
  <c r="C91" i="5"/>
  <c r="AD90" i="5"/>
  <c r="AC90" i="5"/>
  <c r="AA90" i="5"/>
  <c r="W90" i="5"/>
  <c r="X90" i="5" s="1"/>
  <c r="U90" i="5"/>
  <c r="R90" i="5"/>
  <c r="O90" i="5"/>
  <c r="N90" i="5"/>
  <c r="L90" i="5"/>
  <c r="H90" i="5"/>
  <c r="I90" i="5" s="1"/>
  <c r="F90" i="5"/>
  <c r="C90" i="5"/>
  <c r="AC89" i="5"/>
  <c r="AD89" i="5" s="1"/>
  <c r="AA89" i="5"/>
  <c r="W89" i="5"/>
  <c r="X89" i="5" s="1"/>
  <c r="U89" i="5"/>
  <c r="R89" i="5"/>
  <c r="N89" i="5"/>
  <c r="O89" i="5" s="1"/>
  <c r="L89" i="5"/>
  <c r="I89" i="5"/>
  <c r="H89" i="5"/>
  <c r="F89" i="5"/>
  <c r="C89" i="5"/>
  <c r="Z88" i="5"/>
  <c r="X88" i="5"/>
  <c r="T88" i="5"/>
  <c r="U88" i="5" s="1"/>
  <c r="Q88" i="5"/>
  <c r="W88" i="5" s="1"/>
  <c r="L88" i="5"/>
  <c r="K88" i="5"/>
  <c r="E88" i="5"/>
  <c r="F88" i="5" s="1"/>
  <c r="B88" i="5"/>
  <c r="H88" i="5" s="1"/>
  <c r="I88" i="5" s="1"/>
  <c r="AD87" i="5"/>
  <c r="AC87" i="5"/>
  <c r="AA87" i="5"/>
  <c r="X87" i="5"/>
  <c r="W87" i="5"/>
  <c r="U87" i="5"/>
  <c r="R87" i="5"/>
  <c r="N87" i="5"/>
  <c r="O87" i="5" s="1"/>
  <c r="L87" i="5"/>
  <c r="H87" i="5"/>
  <c r="I87" i="5" s="1"/>
  <c r="F87" i="5"/>
  <c r="C87" i="5"/>
  <c r="AC86" i="5"/>
  <c r="AD86" i="5" s="1"/>
  <c r="AA86" i="5"/>
  <c r="W86" i="5"/>
  <c r="X86" i="5" s="1"/>
  <c r="U86" i="5"/>
  <c r="R86" i="5"/>
  <c r="N86" i="5"/>
  <c r="O86" i="5" s="1"/>
  <c r="L86" i="5"/>
  <c r="I86" i="5"/>
  <c r="H86" i="5"/>
  <c r="F86" i="5"/>
  <c r="C86" i="5"/>
  <c r="AD85" i="5"/>
  <c r="AC85" i="5"/>
  <c r="AA85" i="5"/>
  <c r="W85" i="5"/>
  <c r="X85" i="5" s="1"/>
  <c r="U85" i="5"/>
  <c r="R85" i="5"/>
  <c r="N85" i="5"/>
  <c r="O85" i="5" s="1"/>
  <c r="L85" i="5"/>
  <c r="H85" i="5"/>
  <c r="I85" i="5" s="1"/>
  <c r="F85" i="5"/>
  <c r="C85" i="5"/>
  <c r="AD84" i="5"/>
  <c r="AC84" i="5"/>
  <c r="AA84" i="5"/>
  <c r="W84" i="5"/>
  <c r="X84" i="5" s="1"/>
  <c r="U84" i="5"/>
  <c r="R84" i="5"/>
  <c r="N84" i="5"/>
  <c r="O84" i="5" s="1"/>
  <c r="L84" i="5"/>
  <c r="H84" i="5"/>
  <c r="I84" i="5" s="1"/>
  <c r="F84" i="5"/>
  <c r="C84" i="5"/>
  <c r="AD83" i="5"/>
  <c r="AC83" i="5"/>
  <c r="AA83" i="5"/>
  <c r="X83" i="5"/>
  <c r="W83" i="5"/>
  <c r="U83" i="5"/>
  <c r="R83" i="5"/>
  <c r="N83" i="5"/>
  <c r="O83" i="5" s="1"/>
  <c r="L83" i="5"/>
  <c r="I83" i="5"/>
  <c r="H83" i="5"/>
  <c r="F83" i="5"/>
  <c r="C83" i="5"/>
  <c r="AC82" i="5"/>
  <c r="AD82" i="5" s="1"/>
  <c r="AA82" i="5"/>
  <c r="W82" i="5"/>
  <c r="X82" i="5" s="1"/>
  <c r="U82" i="5"/>
  <c r="R82" i="5"/>
  <c r="N82" i="5"/>
  <c r="O82" i="5" s="1"/>
  <c r="L82" i="5"/>
  <c r="I82" i="5"/>
  <c r="H82" i="5"/>
  <c r="F82" i="5"/>
  <c r="C82" i="5"/>
  <c r="AD81" i="5"/>
  <c r="AC81" i="5"/>
  <c r="AA81" i="5"/>
  <c r="W81" i="5"/>
  <c r="X81" i="5" s="1"/>
  <c r="U81" i="5"/>
  <c r="R81" i="5"/>
  <c r="N81" i="5"/>
  <c r="O81" i="5" s="1"/>
  <c r="L81" i="5"/>
  <c r="I81" i="5"/>
  <c r="H81" i="5"/>
  <c r="F81" i="5"/>
  <c r="C81" i="5"/>
  <c r="AC80" i="5"/>
  <c r="AD80" i="5" s="1"/>
  <c r="AA80" i="5"/>
  <c r="W80" i="5"/>
  <c r="X80" i="5" s="1"/>
  <c r="U80" i="5"/>
  <c r="R80" i="5"/>
  <c r="N80" i="5"/>
  <c r="O80" i="5" s="1"/>
  <c r="L80" i="5"/>
  <c r="H80" i="5"/>
  <c r="I80" i="5" s="1"/>
  <c r="F80" i="5"/>
  <c r="C80" i="5"/>
  <c r="AD79" i="5"/>
  <c r="AC79" i="5"/>
  <c r="AA79" i="5"/>
  <c r="W79" i="5"/>
  <c r="X79" i="5" s="1"/>
  <c r="U79" i="5"/>
  <c r="R79" i="5"/>
  <c r="O79" i="5"/>
  <c r="N79" i="5"/>
  <c r="L79" i="5"/>
  <c r="H79" i="5"/>
  <c r="I79" i="5" s="1"/>
  <c r="F79" i="5"/>
  <c r="C79" i="5"/>
  <c r="AC78" i="5"/>
  <c r="AD78" i="5" s="1"/>
  <c r="AA78" i="5"/>
  <c r="W78" i="5"/>
  <c r="X78" i="5" s="1"/>
  <c r="U78" i="5"/>
  <c r="R78" i="5"/>
  <c r="O78" i="5"/>
  <c r="N78" i="5"/>
  <c r="L78" i="5"/>
  <c r="I78" i="5"/>
  <c r="H78" i="5"/>
  <c r="F78" i="5"/>
  <c r="C78" i="5"/>
  <c r="AC77" i="5"/>
  <c r="AD77" i="5" s="1"/>
  <c r="AA77" i="5"/>
  <c r="W77" i="5"/>
  <c r="X77" i="5" s="1"/>
  <c r="U77" i="5"/>
  <c r="R77" i="5"/>
  <c r="N77" i="5"/>
  <c r="O77" i="5" s="1"/>
  <c r="L77" i="5"/>
  <c r="I77" i="5"/>
  <c r="H77" i="5"/>
  <c r="F77" i="5"/>
  <c r="C77" i="5"/>
  <c r="AC76" i="5"/>
  <c r="AD76" i="5" s="1"/>
  <c r="AA76" i="5"/>
  <c r="X76" i="5"/>
  <c r="W76" i="5"/>
  <c r="U76" i="5"/>
  <c r="R76" i="5"/>
  <c r="N76" i="5"/>
  <c r="O76" i="5" s="1"/>
  <c r="L76" i="5"/>
  <c r="H76" i="5"/>
  <c r="I76" i="5" s="1"/>
  <c r="F76" i="5"/>
  <c r="C76" i="5"/>
  <c r="AD75" i="5"/>
  <c r="AC75" i="5"/>
  <c r="AA75" i="5"/>
  <c r="X75" i="5"/>
  <c r="W75" i="5"/>
  <c r="U75" i="5"/>
  <c r="R75" i="5"/>
  <c r="O75" i="5"/>
  <c r="N75" i="5"/>
  <c r="L75" i="5"/>
  <c r="H75" i="5"/>
  <c r="I75" i="5" s="1"/>
  <c r="F75" i="5"/>
  <c r="C75" i="5"/>
  <c r="AC73" i="5"/>
  <c r="AD73" i="5" s="1"/>
  <c r="AA73" i="5"/>
  <c r="Z73" i="5"/>
  <c r="T73" i="5"/>
  <c r="U73" i="5" s="1"/>
  <c r="Q73" i="5"/>
  <c r="W73" i="5" s="1"/>
  <c r="X73" i="5" s="1"/>
  <c r="L73" i="5"/>
  <c r="K73" i="5"/>
  <c r="E73" i="5"/>
  <c r="C73" i="5"/>
  <c r="B73" i="5"/>
  <c r="AD72" i="5"/>
  <c r="AC72" i="5"/>
  <c r="AA72" i="5"/>
  <c r="W72" i="5"/>
  <c r="X72" i="5" s="1"/>
  <c r="U72" i="5"/>
  <c r="R72" i="5"/>
  <c r="N72" i="5"/>
  <c r="O72" i="5" s="1"/>
  <c r="L72" i="5"/>
  <c r="H72" i="5"/>
  <c r="I72" i="5" s="1"/>
  <c r="F72" i="5"/>
  <c r="C72" i="5"/>
  <c r="AD71" i="5"/>
  <c r="AC71" i="5"/>
  <c r="AA71" i="5"/>
  <c r="X71" i="5"/>
  <c r="W71" i="5"/>
  <c r="U71" i="5"/>
  <c r="R71" i="5"/>
  <c r="N71" i="5"/>
  <c r="O71" i="5" s="1"/>
  <c r="L71" i="5"/>
  <c r="H71" i="5"/>
  <c r="I71" i="5" s="1"/>
  <c r="F71" i="5"/>
  <c r="C71" i="5"/>
  <c r="AC70" i="5"/>
  <c r="AD70" i="5" s="1"/>
  <c r="AA70" i="5"/>
  <c r="W70" i="5"/>
  <c r="X70" i="5" s="1"/>
  <c r="U70" i="5"/>
  <c r="R70" i="5"/>
  <c r="N70" i="5"/>
  <c r="O70" i="5" s="1"/>
  <c r="L70" i="5"/>
  <c r="I70" i="5"/>
  <c r="H70" i="5"/>
  <c r="F70" i="5"/>
  <c r="C70" i="5"/>
  <c r="AD69" i="5"/>
  <c r="AC69" i="5"/>
  <c r="AA69" i="5"/>
  <c r="W69" i="5"/>
  <c r="X69" i="5" s="1"/>
  <c r="U69" i="5"/>
  <c r="R69" i="5"/>
  <c r="N69" i="5"/>
  <c r="O69" i="5" s="1"/>
  <c r="L69" i="5"/>
  <c r="I69" i="5"/>
  <c r="H69" i="5"/>
  <c r="F69" i="5"/>
  <c r="C69" i="5"/>
  <c r="AD68" i="5"/>
  <c r="AC68" i="5"/>
  <c r="AA68" i="5"/>
  <c r="W68" i="5"/>
  <c r="X68" i="5" s="1"/>
  <c r="U68" i="5"/>
  <c r="R68" i="5"/>
  <c r="N68" i="5"/>
  <c r="O68" i="5" s="1"/>
  <c r="L68" i="5"/>
  <c r="H68" i="5"/>
  <c r="I68" i="5" s="1"/>
  <c r="F68" i="5"/>
  <c r="C68" i="5"/>
  <c r="AD67" i="5"/>
  <c r="AC67" i="5"/>
  <c r="AA67" i="5"/>
  <c r="X67" i="5"/>
  <c r="W67" i="5"/>
  <c r="U67" i="5"/>
  <c r="R67" i="5"/>
  <c r="O67" i="5"/>
  <c r="N67" i="5"/>
  <c r="L67" i="5"/>
  <c r="H67" i="5"/>
  <c r="I67" i="5" s="1"/>
  <c r="F67" i="5"/>
  <c r="C67" i="5"/>
  <c r="AC66" i="5"/>
  <c r="AD66" i="5" s="1"/>
  <c r="AA66" i="5"/>
  <c r="W66" i="5"/>
  <c r="X66" i="5" s="1"/>
  <c r="U66" i="5"/>
  <c r="R66" i="5"/>
  <c r="N66" i="5"/>
  <c r="O66" i="5" s="1"/>
  <c r="L66" i="5"/>
  <c r="I66" i="5"/>
  <c r="H66" i="5"/>
  <c r="F66" i="5"/>
  <c r="C66" i="5"/>
  <c r="AD65" i="5"/>
  <c r="AC65" i="5"/>
  <c r="AA65" i="5"/>
  <c r="W65" i="5"/>
  <c r="X65" i="5" s="1"/>
  <c r="U65" i="5"/>
  <c r="R65" i="5"/>
  <c r="N65" i="5"/>
  <c r="O65" i="5" s="1"/>
  <c r="L65" i="5"/>
  <c r="I65" i="5"/>
  <c r="H65" i="5"/>
  <c r="F65" i="5"/>
  <c r="C65" i="5"/>
  <c r="AC64" i="5"/>
  <c r="AD64" i="5" s="1"/>
  <c r="AA64" i="5"/>
  <c r="W64" i="5"/>
  <c r="X64" i="5" s="1"/>
  <c r="U64" i="5"/>
  <c r="R64" i="5"/>
  <c r="N64" i="5"/>
  <c r="O64" i="5" s="1"/>
  <c r="L64" i="5"/>
  <c r="I64" i="5"/>
  <c r="H64" i="5"/>
  <c r="F64" i="5"/>
  <c r="C64" i="5"/>
  <c r="AA62" i="5"/>
  <c r="Z62" i="5"/>
  <c r="W62" i="5"/>
  <c r="X62" i="5" s="1"/>
  <c r="U62" i="5"/>
  <c r="T62" i="5"/>
  <c r="R62" i="5"/>
  <c r="Q62" i="5"/>
  <c r="K62" i="5"/>
  <c r="L62" i="5" s="1"/>
  <c r="F62" i="5"/>
  <c r="E62" i="5"/>
  <c r="C62" i="5"/>
  <c r="B62" i="5"/>
  <c r="H62" i="5" s="1"/>
  <c r="I62" i="5" s="1"/>
  <c r="AC61" i="5"/>
  <c r="AD61" i="5" s="1"/>
  <c r="AA61" i="5"/>
  <c r="Z61" i="5"/>
  <c r="T61" i="5"/>
  <c r="U61" i="5" s="1"/>
  <c r="Q61" i="5"/>
  <c r="W61" i="5" s="1"/>
  <c r="X61" i="5" s="1"/>
  <c r="N61" i="5"/>
  <c r="O61" i="5" s="1"/>
  <c r="L61" i="5"/>
  <c r="K61" i="5"/>
  <c r="E61" i="5"/>
  <c r="F61" i="5" s="1"/>
  <c r="C61" i="5"/>
  <c r="B61" i="5"/>
  <c r="H61" i="5" s="1"/>
  <c r="I61" i="5" s="1"/>
  <c r="AD60" i="5"/>
  <c r="AC60" i="5"/>
  <c r="AA60" i="5"/>
  <c r="X60" i="5"/>
  <c r="W60" i="5"/>
  <c r="U60" i="5"/>
  <c r="R60" i="5"/>
  <c r="O60" i="5"/>
  <c r="N60" i="5"/>
  <c r="L60" i="5"/>
  <c r="H60" i="5"/>
  <c r="I60" i="5" s="1"/>
  <c r="F60" i="5"/>
  <c r="C60" i="5"/>
  <c r="AC59" i="5"/>
  <c r="AD59" i="5" s="1"/>
  <c r="AA59" i="5"/>
  <c r="W59" i="5"/>
  <c r="X59" i="5" s="1"/>
  <c r="U59" i="5"/>
  <c r="R59" i="5"/>
  <c r="N59" i="5"/>
  <c r="O59" i="5" s="1"/>
  <c r="L59" i="5"/>
  <c r="I59" i="5"/>
  <c r="H59" i="5"/>
  <c r="F59" i="5"/>
  <c r="C59" i="5"/>
  <c r="AD58" i="5"/>
  <c r="AC58" i="5"/>
  <c r="AA58" i="5"/>
  <c r="W58" i="5"/>
  <c r="X58" i="5" s="1"/>
  <c r="U58" i="5"/>
  <c r="R58" i="5"/>
  <c r="N58" i="5"/>
  <c r="O58" i="5" s="1"/>
  <c r="L58" i="5"/>
  <c r="H58" i="5"/>
  <c r="I58" i="5" s="1"/>
  <c r="F58" i="5"/>
  <c r="C58" i="5"/>
  <c r="AD57" i="5"/>
  <c r="AC57" i="5"/>
  <c r="AA57" i="5"/>
  <c r="W57" i="5"/>
  <c r="X57" i="5" s="1"/>
  <c r="U57" i="5"/>
  <c r="R57" i="5"/>
  <c r="N57" i="5"/>
  <c r="O57" i="5" s="1"/>
  <c r="L57" i="5"/>
  <c r="H57" i="5"/>
  <c r="I57" i="5" s="1"/>
  <c r="F57" i="5"/>
  <c r="C57" i="5"/>
  <c r="AD56" i="5"/>
  <c r="AC56" i="5"/>
  <c r="AA56" i="5"/>
  <c r="X56" i="5"/>
  <c r="W56" i="5"/>
  <c r="U56" i="5"/>
  <c r="R56" i="5"/>
  <c r="N56" i="5"/>
  <c r="O56" i="5" s="1"/>
  <c r="L56" i="5"/>
  <c r="H56" i="5"/>
  <c r="I56" i="5" s="1"/>
  <c r="F56" i="5"/>
  <c r="C56" i="5"/>
  <c r="AC55" i="5"/>
  <c r="AD55" i="5" s="1"/>
  <c r="AA55" i="5"/>
  <c r="W55" i="5"/>
  <c r="X55" i="5" s="1"/>
  <c r="U55" i="5"/>
  <c r="R55" i="5"/>
  <c r="N55" i="5"/>
  <c r="O55" i="5" s="1"/>
  <c r="L55" i="5"/>
  <c r="I55" i="5"/>
  <c r="H55" i="5"/>
  <c r="F55" i="5"/>
  <c r="C55" i="5"/>
  <c r="AD54" i="5"/>
  <c r="AC54" i="5"/>
  <c r="AA54" i="5"/>
  <c r="W54" i="5"/>
  <c r="X54" i="5" s="1"/>
  <c r="U54" i="5"/>
  <c r="R54" i="5"/>
  <c r="N54" i="5"/>
  <c r="O54" i="5" s="1"/>
  <c r="L54" i="5"/>
  <c r="I54" i="5"/>
  <c r="H54" i="5"/>
  <c r="F54" i="5"/>
  <c r="C54" i="5"/>
  <c r="AD53" i="5"/>
  <c r="AC53" i="5"/>
  <c r="AA53" i="5"/>
  <c r="W53" i="5"/>
  <c r="X53" i="5" s="1"/>
  <c r="U53" i="5"/>
  <c r="R53" i="5"/>
  <c r="N53" i="5"/>
  <c r="O53" i="5" s="1"/>
  <c r="L53" i="5"/>
  <c r="H53" i="5"/>
  <c r="I53" i="5" s="1"/>
  <c r="F53" i="5"/>
  <c r="C53" i="5"/>
  <c r="AD52" i="5"/>
  <c r="AC52" i="5"/>
  <c r="AA52" i="5"/>
  <c r="X52" i="5"/>
  <c r="W52" i="5"/>
  <c r="U52" i="5"/>
  <c r="R52" i="5"/>
  <c r="O52" i="5"/>
  <c r="N52" i="5"/>
  <c r="L52" i="5"/>
  <c r="H52" i="5"/>
  <c r="I52" i="5" s="1"/>
  <c r="F52" i="5"/>
  <c r="C52" i="5"/>
  <c r="AC51" i="5"/>
  <c r="AD51" i="5" s="1"/>
  <c r="AA51" i="5"/>
  <c r="W51" i="5"/>
  <c r="X51" i="5" s="1"/>
  <c r="U51" i="5"/>
  <c r="R51" i="5"/>
  <c r="N51" i="5"/>
  <c r="O51" i="5" s="1"/>
  <c r="L51" i="5"/>
  <c r="I51" i="5"/>
  <c r="H51" i="5"/>
  <c r="F51" i="5"/>
  <c r="C51" i="5"/>
  <c r="AD50" i="5"/>
  <c r="AC50" i="5"/>
  <c r="AA50" i="5"/>
  <c r="W50" i="5"/>
  <c r="X50" i="5" s="1"/>
  <c r="U50" i="5"/>
  <c r="R50" i="5"/>
  <c r="N50" i="5"/>
  <c r="O50" i="5" s="1"/>
  <c r="L50" i="5"/>
  <c r="I50" i="5"/>
  <c r="H50" i="5"/>
  <c r="F50" i="5"/>
  <c r="C50" i="5"/>
  <c r="AC49" i="5"/>
  <c r="AD49" i="5" s="1"/>
  <c r="AA49" i="5"/>
  <c r="W49" i="5"/>
  <c r="X49" i="5" s="1"/>
  <c r="U49" i="5"/>
  <c r="R49" i="5"/>
  <c r="N49" i="5"/>
  <c r="O49" i="5" s="1"/>
  <c r="L49" i="5"/>
  <c r="I49" i="5"/>
  <c r="H49" i="5"/>
  <c r="F49" i="5"/>
  <c r="C49" i="5"/>
  <c r="AD48" i="5"/>
  <c r="AC48" i="5"/>
  <c r="AA48" i="5"/>
  <c r="W48" i="5"/>
  <c r="X48" i="5" s="1"/>
  <c r="U48" i="5"/>
  <c r="R48" i="5"/>
  <c r="O48" i="5"/>
  <c r="N48" i="5"/>
  <c r="L48" i="5"/>
  <c r="H48" i="5"/>
  <c r="I48" i="5" s="1"/>
  <c r="F48" i="5"/>
  <c r="C48" i="5"/>
  <c r="AC47" i="5"/>
  <c r="AD47" i="5" s="1"/>
  <c r="AA47" i="5"/>
  <c r="W47" i="5"/>
  <c r="X47" i="5" s="1"/>
  <c r="U47" i="5"/>
  <c r="R47" i="5"/>
  <c r="N47" i="5"/>
  <c r="O47" i="5" s="1"/>
  <c r="L47" i="5"/>
  <c r="I47" i="5"/>
  <c r="H47" i="5"/>
  <c r="F47" i="5"/>
  <c r="C47" i="5"/>
  <c r="AC46" i="5"/>
  <c r="AD46" i="5" s="1"/>
  <c r="AA46" i="5"/>
  <c r="W46" i="5"/>
  <c r="X46" i="5" s="1"/>
  <c r="U46" i="5"/>
  <c r="R46" i="5"/>
  <c r="N46" i="5"/>
  <c r="O46" i="5" s="1"/>
  <c r="L46" i="5"/>
  <c r="I46" i="5"/>
  <c r="H46" i="5"/>
  <c r="F46" i="5"/>
  <c r="C46" i="5"/>
  <c r="AD44" i="5"/>
  <c r="AC44" i="5"/>
  <c r="AA44" i="5"/>
  <c r="W44" i="5"/>
  <c r="X44" i="5" s="1"/>
  <c r="U44" i="5"/>
  <c r="R44" i="5"/>
  <c r="N44" i="5"/>
  <c r="O44" i="5" s="1"/>
  <c r="L44" i="5"/>
  <c r="H44" i="5"/>
  <c r="I44" i="5" s="1"/>
  <c r="F44" i="5"/>
  <c r="C44" i="5"/>
  <c r="AD43" i="5"/>
  <c r="AC43" i="5"/>
  <c r="AA43" i="5"/>
  <c r="X43" i="5"/>
  <c r="W43" i="5"/>
  <c r="U43" i="5"/>
  <c r="R43" i="5"/>
  <c r="O43" i="5"/>
  <c r="N43" i="5"/>
  <c r="L43" i="5"/>
  <c r="H43" i="5"/>
  <c r="I43" i="5" s="1"/>
  <c r="F43" i="5"/>
  <c r="C43" i="5"/>
  <c r="AD42" i="5"/>
  <c r="AC42" i="5"/>
  <c r="AA42" i="5"/>
  <c r="W42" i="5"/>
  <c r="X42" i="5" s="1"/>
  <c r="U42" i="5"/>
  <c r="R42" i="5"/>
  <c r="N42" i="5"/>
  <c r="O42" i="5" s="1"/>
  <c r="L42" i="5"/>
  <c r="I42" i="5"/>
  <c r="H42" i="5"/>
  <c r="F42" i="5"/>
  <c r="C42" i="5"/>
  <c r="Z40" i="5"/>
  <c r="AA40" i="5" s="1"/>
  <c r="X40" i="5"/>
  <c r="T40" i="5"/>
  <c r="U40" i="5" s="1"/>
  <c r="Q40" i="5"/>
  <c r="W40" i="5" s="1"/>
  <c r="L40" i="5"/>
  <c r="K40" i="5"/>
  <c r="E40" i="5"/>
  <c r="F40" i="5" s="1"/>
  <c r="B40" i="5"/>
  <c r="H40" i="5" s="1"/>
  <c r="I40" i="5" s="1"/>
  <c r="AD39" i="5"/>
  <c r="AC39" i="5"/>
  <c r="AA39" i="5"/>
  <c r="X39" i="5"/>
  <c r="W39" i="5"/>
  <c r="U39" i="5"/>
  <c r="R39" i="5"/>
  <c r="N39" i="5"/>
  <c r="O39" i="5" s="1"/>
  <c r="L39" i="5"/>
  <c r="H39" i="5"/>
  <c r="I39" i="5" s="1"/>
  <c r="F39" i="5"/>
  <c r="C39" i="5"/>
  <c r="AC38" i="5"/>
  <c r="AD38" i="5" s="1"/>
  <c r="AA38" i="5"/>
  <c r="W38" i="5"/>
  <c r="X38" i="5" s="1"/>
  <c r="U38" i="5"/>
  <c r="R38" i="5"/>
  <c r="N38" i="5"/>
  <c r="O38" i="5" s="1"/>
  <c r="L38" i="5"/>
  <c r="I38" i="5"/>
  <c r="H38" i="5"/>
  <c r="F38" i="5"/>
  <c r="C38" i="5"/>
  <c r="AD37" i="5"/>
  <c r="AC37" i="5"/>
  <c r="AA37" i="5"/>
  <c r="W37" i="5"/>
  <c r="X37" i="5" s="1"/>
  <c r="U37" i="5"/>
  <c r="R37" i="5"/>
  <c r="N37" i="5"/>
  <c r="O37" i="5" s="1"/>
  <c r="L37" i="5"/>
  <c r="I37" i="5"/>
  <c r="H37" i="5"/>
  <c r="F37" i="5"/>
  <c r="C37" i="5"/>
  <c r="AD36" i="5"/>
  <c r="AC36" i="5"/>
  <c r="AA36" i="5"/>
  <c r="W36" i="5"/>
  <c r="X36" i="5" s="1"/>
  <c r="U36" i="5"/>
  <c r="R36" i="5"/>
  <c r="N36" i="5"/>
  <c r="O36" i="5" s="1"/>
  <c r="L36" i="5"/>
  <c r="H36" i="5"/>
  <c r="I36" i="5" s="1"/>
  <c r="F36" i="5"/>
  <c r="C36" i="5"/>
  <c r="AD35" i="5"/>
  <c r="AC35" i="5"/>
  <c r="AA35" i="5"/>
  <c r="X35" i="5"/>
  <c r="W35" i="5"/>
  <c r="U35" i="5"/>
  <c r="R35" i="5"/>
  <c r="O35" i="5"/>
  <c r="N35" i="5"/>
  <c r="L35" i="5"/>
  <c r="I35" i="5"/>
  <c r="H35" i="5"/>
  <c r="F35" i="5"/>
  <c r="C35" i="5"/>
  <c r="AC34" i="5"/>
  <c r="AD34" i="5" s="1"/>
  <c r="AA34" i="5"/>
  <c r="W34" i="5"/>
  <c r="X34" i="5" s="1"/>
  <c r="U34" i="5"/>
  <c r="R34" i="5"/>
  <c r="N34" i="5"/>
  <c r="O34" i="5" s="1"/>
  <c r="L34" i="5"/>
  <c r="I34" i="5"/>
  <c r="H34" i="5"/>
  <c r="F34" i="5"/>
  <c r="C34" i="5"/>
  <c r="AD33" i="5"/>
  <c r="AC33" i="5"/>
  <c r="AA33" i="5"/>
  <c r="W33" i="5"/>
  <c r="X33" i="5" s="1"/>
  <c r="U33" i="5"/>
  <c r="R33" i="5"/>
  <c r="N33" i="5"/>
  <c r="O33" i="5" s="1"/>
  <c r="L33" i="5"/>
  <c r="I33" i="5"/>
  <c r="H33" i="5"/>
  <c r="F33" i="5"/>
  <c r="C33" i="5"/>
  <c r="AC32" i="5"/>
  <c r="AD32" i="5" s="1"/>
  <c r="AA32" i="5"/>
  <c r="W32" i="5"/>
  <c r="X32" i="5" s="1"/>
  <c r="U32" i="5"/>
  <c r="R32" i="5"/>
  <c r="N32" i="5"/>
  <c r="O32" i="5" s="1"/>
  <c r="L32" i="5"/>
  <c r="H32" i="5"/>
  <c r="I32" i="5" s="1"/>
  <c r="F32" i="5"/>
  <c r="C32" i="5"/>
  <c r="AD31" i="5"/>
  <c r="AC31" i="5"/>
  <c r="AA31" i="5"/>
  <c r="W31" i="5"/>
  <c r="X31" i="5" s="1"/>
  <c r="U31" i="5"/>
  <c r="R31" i="5"/>
  <c r="O31" i="5"/>
  <c r="N31" i="5"/>
  <c r="L31" i="5"/>
  <c r="H31" i="5"/>
  <c r="I31" i="5" s="1"/>
  <c r="F31" i="5"/>
  <c r="C31" i="5"/>
  <c r="AA29" i="5"/>
  <c r="Z29" i="5"/>
  <c r="T29" i="5"/>
  <c r="W29" i="5" s="1"/>
  <c r="X29" i="5" s="1"/>
  <c r="Q29" i="5"/>
  <c r="R29" i="5" s="1"/>
  <c r="L29" i="5"/>
  <c r="K29" i="5"/>
  <c r="H29" i="5"/>
  <c r="I29" i="5" s="1"/>
  <c r="F29" i="5"/>
  <c r="E29" i="5"/>
  <c r="C29" i="5"/>
  <c r="B29" i="5"/>
  <c r="AD28" i="5"/>
  <c r="AC28" i="5"/>
  <c r="AA28" i="5"/>
  <c r="W28" i="5"/>
  <c r="X28" i="5" s="1"/>
  <c r="U28" i="5"/>
  <c r="R28" i="5"/>
  <c r="N28" i="5"/>
  <c r="O28" i="5" s="1"/>
  <c r="L28" i="5"/>
  <c r="H28" i="5"/>
  <c r="I28" i="5" s="1"/>
  <c r="F28" i="5"/>
  <c r="C28" i="5"/>
  <c r="AD27" i="5"/>
  <c r="AC27" i="5"/>
  <c r="AA27" i="5"/>
  <c r="X27" i="5"/>
  <c r="W27" i="5"/>
  <c r="U27" i="5"/>
  <c r="R27" i="5"/>
  <c r="O27" i="5"/>
  <c r="N27" i="5"/>
  <c r="L27" i="5"/>
  <c r="H27" i="5"/>
  <c r="I27" i="5" s="1"/>
  <c r="F27" i="5"/>
  <c r="C27" i="5"/>
  <c r="AD26" i="5"/>
  <c r="AC26" i="5"/>
  <c r="AA26" i="5"/>
  <c r="W26" i="5"/>
  <c r="X26" i="5" s="1"/>
  <c r="U26" i="5"/>
  <c r="R26" i="5"/>
  <c r="N26" i="5"/>
  <c r="O26" i="5" s="1"/>
  <c r="L26" i="5"/>
  <c r="I26" i="5"/>
  <c r="H26" i="5"/>
  <c r="F26" i="5"/>
  <c r="C26" i="5"/>
  <c r="AD25" i="5"/>
  <c r="AC25" i="5"/>
  <c r="AA25" i="5"/>
  <c r="W25" i="5"/>
  <c r="X25" i="5" s="1"/>
  <c r="U25" i="5"/>
  <c r="R25" i="5"/>
  <c r="N25" i="5"/>
  <c r="O25" i="5" s="1"/>
  <c r="L25" i="5"/>
  <c r="H25" i="5"/>
  <c r="I25" i="5" s="1"/>
  <c r="F25" i="5"/>
  <c r="C25" i="5"/>
  <c r="AD24" i="5"/>
  <c r="AC24" i="5"/>
  <c r="AA24" i="5"/>
  <c r="W24" i="5"/>
  <c r="X24" i="5" s="1"/>
  <c r="U24" i="5"/>
  <c r="R24" i="5"/>
  <c r="N24" i="5"/>
  <c r="O24" i="5" s="1"/>
  <c r="L24" i="5"/>
  <c r="H24" i="5"/>
  <c r="I24" i="5" s="1"/>
  <c r="F24" i="5"/>
  <c r="C24" i="5"/>
  <c r="AD23" i="5"/>
  <c r="AC23" i="5"/>
  <c r="AA23" i="5"/>
  <c r="X23" i="5"/>
  <c r="W23" i="5"/>
  <c r="U23" i="5"/>
  <c r="R23" i="5"/>
  <c r="N23" i="5"/>
  <c r="O23" i="5" s="1"/>
  <c r="L23" i="5"/>
  <c r="H23" i="5"/>
  <c r="I23" i="5" s="1"/>
  <c r="F23" i="5"/>
  <c r="C23" i="5"/>
  <c r="AC22" i="5"/>
  <c r="AD22" i="5" s="1"/>
  <c r="AA22" i="5"/>
  <c r="W22" i="5"/>
  <c r="X22" i="5" s="1"/>
  <c r="U22" i="5"/>
  <c r="R22" i="5"/>
  <c r="N22" i="5"/>
  <c r="O22" i="5" s="1"/>
  <c r="L22" i="5"/>
  <c r="I22" i="5"/>
  <c r="H22" i="5"/>
  <c r="F22" i="5"/>
  <c r="C22" i="5"/>
  <c r="AD21" i="5"/>
  <c r="AC21" i="5"/>
  <c r="AA21" i="5"/>
  <c r="W21" i="5"/>
  <c r="X21" i="5" s="1"/>
  <c r="U21" i="5"/>
  <c r="R21" i="5"/>
  <c r="N21" i="5"/>
  <c r="O21" i="5" s="1"/>
  <c r="L21" i="5"/>
  <c r="I21" i="5"/>
  <c r="H21" i="5"/>
  <c r="F21" i="5"/>
  <c r="C21" i="5"/>
  <c r="AD19" i="5"/>
  <c r="AC19" i="5"/>
  <c r="AA19" i="5"/>
  <c r="W19" i="5"/>
  <c r="X19" i="5" s="1"/>
  <c r="U19" i="5"/>
  <c r="R19" i="5"/>
  <c r="N19" i="5"/>
  <c r="O19" i="5" s="1"/>
  <c r="L19" i="5"/>
  <c r="H19" i="5"/>
  <c r="I19" i="5" s="1"/>
  <c r="F19" i="5"/>
  <c r="C19" i="5"/>
  <c r="Z18" i="5"/>
  <c r="AA18" i="5" s="1"/>
  <c r="X18" i="5"/>
  <c r="U18" i="5"/>
  <c r="T18" i="5"/>
  <c r="W18" i="5" s="1"/>
  <c r="R18" i="5"/>
  <c r="Q18" i="5"/>
  <c r="L18" i="5"/>
  <c r="K18" i="5"/>
  <c r="F18" i="5"/>
  <c r="E18" i="5"/>
  <c r="B18" i="5"/>
  <c r="H18" i="5" s="1"/>
  <c r="I18" i="5" s="1"/>
  <c r="AD17" i="5"/>
  <c r="AC17" i="5"/>
  <c r="AA17" i="5"/>
  <c r="W17" i="5"/>
  <c r="X17" i="5" s="1"/>
  <c r="U17" i="5"/>
  <c r="R17" i="5"/>
  <c r="N17" i="5"/>
  <c r="O17" i="5" s="1"/>
  <c r="L17" i="5"/>
  <c r="I17" i="5"/>
  <c r="H17" i="5"/>
  <c r="F17" i="5"/>
  <c r="C17" i="5"/>
  <c r="AC16" i="5"/>
  <c r="AD16" i="5" s="1"/>
  <c r="AA16" i="5"/>
  <c r="W16" i="5"/>
  <c r="X16" i="5" s="1"/>
  <c r="U16" i="5"/>
  <c r="R16" i="5"/>
  <c r="N16" i="5"/>
  <c r="O16" i="5" s="1"/>
  <c r="L16" i="5"/>
  <c r="H16" i="5"/>
  <c r="I16" i="5" s="1"/>
  <c r="F16" i="5"/>
  <c r="C16" i="5"/>
  <c r="AD15" i="5"/>
  <c r="AC15" i="5"/>
  <c r="AA15" i="5"/>
  <c r="X15" i="5"/>
  <c r="W15" i="5"/>
  <c r="U15" i="5"/>
  <c r="R15" i="5"/>
  <c r="O15" i="5"/>
  <c r="N15" i="5"/>
  <c r="L15" i="5"/>
  <c r="H15" i="5"/>
  <c r="I15" i="5" s="1"/>
  <c r="F15" i="5"/>
  <c r="C15" i="5"/>
  <c r="AC14" i="5"/>
  <c r="AD14" i="5" s="1"/>
  <c r="AA14" i="5"/>
  <c r="W14" i="5"/>
  <c r="X14" i="5" s="1"/>
  <c r="U14" i="5"/>
  <c r="R14" i="5"/>
  <c r="N14" i="5"/>
  <c r="O14" i="5" s="1"/>
  <c r="L14" i="5"/>
  <c r="I14" i="5"/>
  <c r="H14" i="5"/>
  <c r="F14" i="5"/>
  <c r="C14" i="5"/>
  <c r="AC13" i="5"/>
  <c r="AD13" i="5" s="1"/>
  <c r="AA13" i="5"/>
  <c r="W13" i="5"/>
  <c r="X13" i="5" s="1"/>
  <c r="U13" i="5"/>
  <c r="R13" i="5"/>
  <c r="N13" i="5"/>
  <c r="O13" i="5" s="1"/>
  <c r="L13" i="5"/>
  <c r="I13" i="5"/>
  <c r="H13" i="5"/>
  <c r="F13" i="5"/>
  <c r="C13" i="5"/>
  <c r="AD12" i="5"/>
  <c r="AC12" i="5"/>
  <c r="AA12" i="5"/>
  <c r="W12" i="5"/>
  <c r="X12" i="5" s="1"/>
  <c r="U12" i="5"/>
  <c r="R12" i="5"/>
  <c r="N12" i="5"/>
  <c r="O12" i="5" s="1"/>
  <c r="L12" i="5"/>
  <c r="H12" i="5"/>
  <c r="I12" i="5" s="1"/>
  <c r="F12" i="5"/>
  <c r="C12" i="5"/>
  <c r="AD11" i="5"/>
  <c r="AC11" i="5"/>
  <c r="AA11" i="5"/>
  <c r="X11" i="5"/>
  <c r="W11" i="5"/>
  <c r="U11" i="5"/>
  <c r="R11" i="5"/>
  <c r="O11" i="5"/>
  <c r="N11" i="5"/>
  <c r="L11" i="5"/>
  <c r="H11" i="5"/>
  <c r="I11" i="5" s="1"/>
  <c r="F11" i="5"/>
  <c r="C11" i="5"/>
  <c r="AC10" i="5"/>
  <c r="AD10" i="5" s="1"/>
  <c r="AA10" i="5"/>
  <c r="W10" i="5"/>
  <c r="X10" i="5" s="1"/>
  <c r="U10" i="5"/>
  <c r="R10" i="5"/>
  <c r="N10" i="5"/>
  <c r="O10" i="5" s="1"/>
  <c r="L10" i="5"/>
  <c r="I10" i="5"/>
  <c r="H10" i="5"/>
  <c r="F10" i="5"/>
  <c r="C10" i="5"/>
  <c r="AD8" i="5"/>
  <c r="AC8" i="5"/>
  <c r="AA8" i="5"/>
  <c r="W8" i="5"/>
  <c r="X8" i="5" s="1"/>
  <c r="U8" i="5"/>
  <c r="R8" i="5"/>
  <c r="N8" i="5"/>
  <c r="O8" i="5" s="1"/>
  <c r="L8" i="5"/>
  <c r="I8" i="5"/>
  <c r="H8" i="5"/>
  <c r="F8" i="5"/>
  <c r="C8" i="5"/>
  <c r="AC444" i="4"/>
  <c r="W444" i="4"/>
  <c r="N444" i="4"/>
  <c r="O349" i="4" s="1"/>
  <c r="H444" i="4"/>
  <c r="I440" i="4" s="1"/>
  <c r="AD442" i="4"/>
  <c r="AA442" i="4"/>
  <c r="Z442" i="4"/>
  <c r="T442" i="4"/>
  <c r="R442" i="4"/>
  <c r="Q442" i="4"/>
  <c r="AC442" i="4" s="1"/>
  <c r="L442" i="4"/>
  <c r="K442" i="4"/>
  <c r="I442" i="4"/>
  <c r="H442" i="4"/>
  <c r="F442" i="4"/>
  <c r="E442" i="4"/>
  <c r="C442" i="4"/>
  <c r="B442" i="4"/>
  <c r="N442" i="4" s="1"/>
  <c r="Z441" i="4"/>
  <c r="AA441" i="4" s="1"/>
  <c r="U441" i="4"/>
  <c r="T441" i="4"/>
  <c r="R441" i="4"/>
  <c r="Q441" i="4"/>
  <c r="W441" i="4" s="1"/>
  <c r="X441" i="4" s="1"/>
  <c r="N441" i="4"/>
  <c r="O441" i="4" s="1"/>
  <c r="L441" i="4"/>
  <c r="K441" i="4"/>
  <c r="F441" i="4"/>
  <c r="E441" i="4"/>
  <c r="C441" i="4"/>
  <c r="B441" i="4"/>
  <c r="H441" i="4" s="1"/>
  <c r="I441" i="4" s="1"/>
  <c r="AD440" i="4"/>
  <c r="AC440" i="4"/>
  <c r="AA440" i="4"/>
  <c r="W440" i="4"/>
  <c r="X440" i="4" s="1"/>
  <c r="U440" i="4"/>
  <c r="R440" i="4"/>
  <c r="O440" i="4"/>
  <c r="N440" i="4"/>
  <c r="L440" i="4"/>
  <c r="H440" i="4"/>
  <c r="F440" i="4"/>
  <c r="C440" i="4"/>
  <c r="AC439" i="4"/>
  <c r="AD439" i="4" s="1"/>
  <c r="AA439" i="4"/>
  <c r="W439" i="4"/>
  <c r="X439" i="4" s="1"/>
  <c r="U439" i="4"/>
  <c r="R439" i="4"/>
  <c r="N439" i="4"/>
  <c r="L439" i="4"/>
  <c r="I439" i="4"/>
  <c r="H439" i="4"/>
  <c r="F439" i="4"/>
  <c r="C439" i="4"/>
  <c r="AD438" i="4"/>
  <c r="AC438" i="4"/>
  <c r="AA438" i="4"/>
  <c r="W438" i="4"/>
  <c r="X438" i="4" s="1"/>
  <c r="U438" i="4"/>
  <c r="R438" i="4"/>
  <c r="N438" i="4"/>
  <c r="L438" i="4"/>
  <c r="H438" i="4"/>
  <c r="I438" i="4" s="1"/>
  <c r="F438" i="4"/>
  <c r="C438" i="4"/>
  <c r="AD437" i="4"/>
  <c r="AC437" i="4"/>
  <c r="AA437" i="4"/>
  <c r="W437" i="4"/>
  <c r="X437" i="4" s="1"/>
  <c r="U437" i="4"/>
  <c r="R437" i="4"/>
  <c r="N437" i="4"/>
  <c r="L437" i="4"/>
  <c r="I437" i="4"/>
  <c r="H437" i="4"/>
  <c r="F437" i="4"/>
  <c r="C437" i="4"/>
  <c r="AD436" i="4"/>
  <c r="AC436" i="4"/>
  <c r="AA436" i="4"/>
  <c r="W436" i="4"/>
  <c r="X436" i="4" s="1"/>
  <c r="U436" i="4"/>
  <c r="R436" i="4"/>
  <c r="N436" i="4"/>
  <c r="O436" i="4" s="1"/>
  <c r="L436" i="4"/>
  <c r="I436" i="4"/>
  <c r="H436" i="4"/>
  <c r="F436" i="4"/>
  <c r="C436" i="4"/>
  <c r="AD435" i="4"/>
  <c r="AC435" i="4"/>
  <c r="AA435" i="4"/>
  <c r="W435" i="4"/>
  <c r="X435" i="4" s="1"/>
  <c r="U435" i="4"/>
  <c r="R435" i="4"/>
  <c r="N435" i="4"/>
  <c r="O435" i="4" s="1"/>
  <c r="L435" i="4"/>
  <c r="I435" i="4"/>
  <c r="H435" i="4"/>
  <c r="F435" i="4"/>
  <c r="C435" i="4"/>
  <c r="AD434" i="4"/>
  <c r="AC434" i="4"/>
  <c r="AA434" i="4"/>
  <c r="X434" i="4"/>
  <c r="W434" i="4"/>
  <c r="U434" i="4"/>
  <c r="R434" i="4"/>
  <c r="N434" i="4"/>
  <c r="L434" i="4"/>
  <c r="H434" i="4"/>
  <c r="I434" i="4" s="1"/>
  <c r="F434" i="4"/>
  <c r="C434" i="4"/>
  <c r="AD433" i="4"/>
  <c r="AC433" i="4"/>
  <c r="AA433" i="4"/>
  <c r="W433" i="4"/>
  <c r="X433" i="4" s="1"/>
  <c r="U433" i="4"/>
  <c r="R433" i="4"/>
  <c r="N433" i="4"/>
  <c r="O433" i="4" s="1"/>
  <c r="L433" i="4"/>
  <c r="I433" i="4"/>
  <c r="H433" i="4"/>
  <c r="F433" i="4"/>
  <c r="C433" i="4"/>
  <c r="AD432" i="4"/>
  <c r="AC432" i="4"/>
  <c r="AA432" i="4"/>
  <c r="W432" i="4"/>
  <c r="X432" i="4" s="1"/>
  <c r="U432" i="4"/>
  <c r="R432" i="4"/>
  <c r="N432" i="4"/>
  <c r="O432" i="4" s="1"/>
  <c r="L432" i="4"/>
  <c r="I432" i="4"/>
  <c r="H432" i="4"/>
  <c r="F432" i="4"/>
  <c r="C432" i="4"/>
  <c r="AC429" i="4"/>
  <c r="AD429" i="4" s="1"/>
  <c r="AA429" i="4"/>
  <c r="Z429" i="4"/>
  <c r="T429" i="4"/>
  <c r="U429" i="4" s="1"/>
  <c r="R429" i="4"/>
  <c r="Q429" i="4"/>
  <c r="L429" i="4"/>
  <c r="K429" i="4"/>
  <c r="E429" i="4"/>
  <c r="C429" i="4"/>
  <c r="B429" i="4"/>
  <c r="N429" i="4" s="1"/>
  <c r="O429" i="4" s="1"/>
  <c r="Z428" i="4"/>
  <c r="AA428" i="4" s="1"/>
  <c r="W428" i="4"/>
  <c r="X428" i="4" s="1"/>
  <c r="U428" i="4"/>
  <c r="T428" i="4"/>
  <c r="Q428" i="4"/>
  <c r="R428" i="4" s="1"/>
  <c r="N428" i="4"/>
  <c r="O428" i="4" s="1"/>
  <c r="L428" i="4"/>
  <c r="K428" i="4"/>
  <c r="I428" i="4"/>
  <c r="E428" i="4"/>
  <c r="F428" i="4" s="1"/>
  <c r="C428" i="4"/>
  <c r="B428" i="4"/>
  <c r="H428" i="4" s="1"/>
  <c r="AC427" i="4"/>
  <c r="AD427" i="4" s="1"/>
  <c r="AA427" i="4"/>
  <c r="W427" i="4"/>
  <c r="X427" i="4" s="1"/>
  <c r="U427" i="4"/>
  <c r="R427" i="4"/>
  <c r="O427" i="4"/>
  <c r="N427" i="4"/>
  <c r="L427" i="4"/>
  <c r="I427" i="4"/>
  <c r="H427" i="4"/>
  <c r="F427" i="4"/>
  <c r="C427" i="4"/>
  <c r="AC426" i="4"/>
  <c r="AD426" i="4" s="1"/>
  <c r="AA426" i="4"/>
  <c r="W426" i="4"/>
  <c r="X426" i="4" s="1"/>
  <c r="U426" i="4"/>
  <c r="R426" i="4"/>
  <c r="N426" i="4"/>
  <c r="O426" i="4" s="1"/>
  <c r="L426" i="4"/>
  <c r="H426" i="4"/>
  <c r="I426" i="4" s="1"/>
  <c r="F426" i="4"/>
  <c r="C426" i="4"/>
  <c r="AC425" i="4"/>
  <c r="AD425" i="4" s="1"/>
  <c r="AA425" i="4"/>
  <c r="X425" i="4"/>
  <c r="W425" i="4"/>
  <c r="U425" i="4"/>
  <c r="R425" i="4"/>
  <c r="N425" i="4"/>
  <c r="L425" i="4"/>
  <c r="H425" i="4"/>
  <c r="I425" i="4" s="1"/>
  <c r="F425" i="4"/>
  <c r="C425" i="4"/>
  <c r="AD424" i="4"/>
  <c r="AC424" i="4"/>
  <c r="AA424" i="4"/>
  <c r="W424" i="4"/>
  <c r="X424" i="4" s="1"/>
  <c r="U424" i="4"/>
  <c r="R424" i="4"/>
  <c r="N424" i="4"/>
  <c r="O424" i="4" s="1"/>
  <c r="L424" i="4"/>
  <c r="I424" i="4"/>
  <c r="H424" i="4"/>
  <c r="F424" i="4"/>
  <c r="C424" i="4"/>
  <c r="AD423" i="4"/>
  <c r="AC423" i="4"/>
  <c r="AA423" i="4"/>
  <c r="W423" i="4"/>
  <c r="X423" i="4" s="1"/>
  <c r="U423" i="4"/>
  <c r="R423" i="4"/>
  <c r="N423" i="4"/>
  <c r="O423" i="4" s="1"/>
  <c r="L423" i="4"/>
  <c r="I423" i="4"/>
  <c r="H423" i="4"/>
  <c r="F423" i="4"/>
  <c r="C423" i="4"/>
  <c r="AC422" i="4"/>
  <c r="AD422" i="4" s="1"/>
  <c r="AA422" i="4"/>
  <c r="X422" i="4"/>
  <c r="W422" i="4"/>
  <c r="U422" i="4"/>
  <c r="R422" i="4"/>
  <c r="N422" i="4"/>
  <c r="L422" i="4"/>
  <c r="I422" i="4"/>
  <c r="H422" i="4"/>
  <c r="F422" i="4"/>
  <c r="C422" i="4"/>
  <c r="AC421" i="4"/>
  <c r="AD421" i="4" s="1"/>
  <c r="AA421" i="4"/>
  <c r="W421" i="4"/>
  <c r="X421" i="4" s="1"/>
  <c r="U421" i="4"/>
  <c r="R421" i="4"/>
  <c r="N421" i="4"/>
  <c r="L421" i="4"/>
  <c r="I421" i="4"/>
  <c r="H421" i="4"/>
  <c r="F421" i="4"/>
  <c r="C421" i="4"/>
  <c r="AD420" i="4"/>
  <c r="AC420" i="4"/>
  <c r="AA420" i="4"/>
  <c r="W420" i="4"/>
  <c r="X420" i="4" s="1"/>
  <c r="U420" i="4"/>
  <c r="R420" i="4"/>
  <c r="O420" i="4"/>
  <c r="N420" i="4"/>
  <c r="L420" i="4"/>
  <c r="H420" i="4"/>
  <c r="I420" i="4" s="1"/>
  <c r="F420" i="4"/>
  <c r="C420" i="4"/>
  <c r="AC419" i="4"/>
  <c r="AD419" i="4" s="1"/>
  <c r="AA419" i="4"/>
  <c r="W419" i="4"/>
  <c r="X419" i="4" s="1"/>
  <c r="U419" i="4"/>
  <c r="R419" i="4"/>
  <c r="N419" i="4"/>
  <c r="L419" i="4"/>
  <c r="I419" i="4"/>
  <c r="H419" i="4"/>
  <c r="F419" i="4"/>
  <c r="C419" i="4"/>
  <c r="AC418" i="4"/>
  <c r="AD418" i="4" s="1"/>
  <c r="AA418" i="4"/>
  <c r="W418" i="4"/>
  <c r="X418" i="4" s="1"/>
  <c r="U418" i="4"/>
  <c r="R418" i="4"/>
  <c r="N418" i="4"/>
  <c r="O418" i="4" s="1"/>
  <c r="L418" i="4"/>
  <c r="H418" i="4"/>
  <c r="I418" i="4" s="1"/>
  <c r="F418" i="4"/>
  <c r="C418" i="4"/>
  <c r="AC417" i="4"/>
  <c r="AD417" i="4" s="1"/>
  <c r="AA417" i="4"/>
  <c r="X417" i="4"/>
  <c r="W417" i="4"/>
  <c r="U417" i="4"/>
  <c r="R417" i="4"/>
  <c r="N417" i="4"/>
  <c r="O417" i="4" s="1"/>
  <c r="L417" i="4"/>
  <c r="H417" i="4"/>
  <c r="I417" i="4" s="1"/>
  <c r="F417" i="4"/>
  <c r="C417" i="4"/>
  <c r="AD416" i="4"/>
  <c r="AC416" i="4"/>
  <c r="AA416" i="4"/>
  <c r="W416" i="4"/>
  <c r="X416" i="4" s="1"/>
  <c r="U416" i="4"/>
  <c r="R416" i="4"/>
  <c r="N416" i="4"/>
  <c r="O416" i="4" s="1"/>
  <c r="L416" i="4"/>
  <c r="I416" i="4"/>
  <c r="H416" i="4"/>
  <c r="F416" i="4"/>
  <c r="C416" i="4"/>
  <c r="AD415" i="4"/>
  <c r="AC415" i="4"/>
  <c r="AA415" i="4"/>
  <c r="W415" i="4"/>
  <c r="X415" i="4" s="1"/>
  <c r="U415" i="4"/>
  <c r="R415" i="4"/>
  <c r="N415" i="4"/>
  <c r="O415" i="4" s="1"/>
  <c r="L415" i="4"/>
  <c r="I415" i="4"/>
  <c r="H415" i="4"/>
  <c r="F415" i="4"/>
  <c r="C415" i="4"/>
  <c r="AC414" i="4"/>
  <c r="AD414" i="4" s="1"/>
  <c r="AA414" i="4"/>
  <c r="X414" i="4"/>
  <c r="W414" i="4"/>
  <c r="U414" i="4"/>
  <c r="R414" i="4"/>
  <c r="O414" i="4"/>
  <c r="N414" i="4"/>
  <c r="L414" i="4"/>
  <c r="H414" i="4"/>
  <c r="I414" i="4" s="1"/>
  <c r="F414" i="4"/>
  <c r="C414" i="4"/>
  <c r="AC413" i="4"/>
  <c r="AD413" i="4" s="1"/>
  <c r="AA413" i="4"/>
  <c r="W413" i="4"/>
  <c r="X413" i="4" s="1"/>
  <c r="U413" i="4"/>
  <c r="R413" i="4"/>
  <c r="N413" i="4"/>
  <c r="O413" i="4" s="1"/>
  <c r="L413" i="4"/>
  <c r="I413" i="4"/>
  <c r="H413" i="4"/>
  <c r="F413" i="4"/>
  <c r="C413" i="4"/>
  <c r="AD412" i="4"/>
  <c r="AC412" i="4"/>
  <c r="AA412" i="4"/>
  <c r="W412" i="4"/>
  <c r="X412" i="4" s="1"/>
  <c r="U412" i="4"/>
  <c r="R412" i="4"/>
  <c r="N412" i="4"/>
  <c r="O412" i="4" s="1"/>
  <c r="L412" i="4"/>
  <c r="H412" i="4"/>
  <c r="I412" i="4" s="1"/>
  <c r="F412" i="4"/>
  <c r="C412" i="4"/>
  <c r="AC411" i="4"/>
  <c r="AD411" i="4" s="1"/>
  <c r="AA411" i="4"/>
  <c r="W411" i="4"/>
  <c r="X411" i="4" s="1"/>
  <c r="U411" i="4"/>
  <c r="R411" i="4"/>
  <c r="O411" i="4"/>
  <c r="N411" i="4"/>
  <c r="L411" i="4"/>
  <c r="I411" i="4"/>
  <c r="H411" i="4"/>
  <c r="F411" i="4"/>
  <c r="C411" i="4"/>
  <c r="AC410" i="4"/>
  <c r="AD410" i="4" s="1"/>
  <c r="AA410" i="4"/>
  <c r="W410" i="4"/>
  <c r="X410" i="4" s="1"/>
  <c r="U410" i="4"/>
  <c r="R410" i="4"/>
  <c r="N410" i="4"/>
  <c r="O410" i="4" s="1"/>
  <c r="L410" i="4"/>
  <c r="H410" i="4"/>
  <c r="I410" i="4" s="1"/>
  <c r="F410" i="4"/>
  <c r="C410" i="4"/>
  <c r="AC409" i="4"/>
  <c r="AD409" i="4" s="1"/>
  <c r="AA409" i="4"/>
  <c r="X409" i="4"/>
  <c r="W409" i="4"/>
  <c r="U409" i="4"/>
  <c r="R409" i="4"/>
  <c r="N409" i="4"/>
  <c r="L409" i="4"/>
  <c r="H409" i="4"/>
  <c r="I409" i="4" s="1"/>
  <c r="F409" i="4"/>
  <c r="C409" i="4"/>
  <c r="AD408" i="4"/>
  <c r="AC408" i="4"/>
  <c r="AA408" i="4"/>
  <c r="W408" i="4"/>
  <c r="X408" i="4" s="1"/>
  <c r="U408" i="4"/>
  <c r="R408" i="4"/>
  <c r="N408" i="4"/>
  <c r="O408" i="4" s="1"/>
  <c r="L408" i="4"/>
  <c r="I408" i="4"/>
  <c r="H408" i="4"/>
  <c r="F408" i="4"/>
  <c r="C408" i="4"/>
  <c r="AD407" i="4"/>
  <c r="AC407" i="4"/>
  <c r="AA407" i="4"/>
  <c r="W407" i="4"/>
  <c r="X407" i="4" s="1"/>
  <c r="U407" i="4"/>
  <c r="R407" i="4"/>
  <c r="N407" i="4"/>
  <c r="O407" i="4" s="1"/>
  <c r="L407" i="4"/>
  <c r="I407" i="4"/>
  <c r="H407" i="4"/>
  <c r="F407" i="4"/>
  <c r="C407" i="4"/>
  <c r="L404" i="4"/>
  <c r="AA403" i="4"/>
  <c r="Z403" i="4"/>
  <c r="W403" i="4"/>
  <c r="X403" i="4" s="1"/>
  <c r="U403" i="4"/>
  <c r="T403" i="4"/>
  <c r="R403" i="4"/>
  <c r="Q403" i="4"/>
  <c r="AC403" i="4" s="1"/>
  <c r="AD403" i="4" s="1"/>
  <c r="O403" i="4"/>
  <c r="K403" i="4"/>
  <c r="L403" i="4" s="1"/>
  <c r="F403" i="4"/>
  <c r="E403" i="4"/>
  <c r="C403" i="4"/>
  <c r="B403" i="4"/>
  <c r="N403" i="4" s="1"/>
  <c r="AC402" i="4"/>
  <c r="AD402" i="4" s="1"/>
  <c r="AA402" i="4"/>
  <c r="W402" i="4"/>
  <c r="X402" i="4" s="1"/>
  <c r="U402" i="4"/>
  <c r="R402" i="4"/>
  <c r="N402" i="4"/>
  <c r="O402" i="4" s="1"/>
  <c r="L402" i="4"/>
  <c r="I402" i="4"/>
  <c r="H402" i="4"/>
  <c r="F402" i="4"/>
  <c r="C402" i="4"/>
  <c r="AD401" i="4"/>
  <c r="AC401" i="4"/>
  <c r="AA401" i="4"/>
  <c r="W401" i="4"/>
  <c r="X401" i="4" s="1"/>
  <c r="U401" i="4"/>
  <c r="R401" i="4"/>
  <c r="N401" i="4"/>
  <c r="O401" i="4" s="1"/>
  <c r="L401" i="4"/>
  <c r="H401" i="4"/>
  <c r="I401" i="4" s="1"/>
  <c r="F401" i="4"/>
  <c r="C401" i="4"/>
  <c r="AD400" i="4"/>
  <c r="AC400" i="4"/>
  <c r="AA400" i="4"/>
  <c r="X400" i="4"/>
  <c r="W400" i="4"/>
  <c r="U400" i="4"/>
  <c r="R400" i="4"/>
  <c r="N400" i="4"/>
  <c r="L400" i="4"/>
  <c r="H400" i="4"/>
  <c r="I400" i="4" s="1"/>
  <c r="F400" i="4"/>
  <c r="C400" i="4"/>
  <c r="AC399" i="4"/>
  <c r="AD399" i="4" s="1"/>
  <c r="AA399" i="4"/>
  <c r="W399" i="4"/>
  <c r="X399" i="4" s="1"/>
  <c r="U399" i="4"/>
  <c r="R399" i="4"/>
  <c r="N399" i="4"/>
  <c r="O399" i="4" s="1"/>
  <c r="L399" i="4"/>
  <c r="I399" i="4"/>
  <c r="H399" i="4"/>
  <c r="F399" i="4"/>
  <c r="C399" i="4"/>
  <c r="AD398" i="4"/>
  <c r="AC398" i="4"/>
  <c r="AA398" i="4"/>
  <c r="W398" i="4"/>
  <c r="X398" i="4" s="1"/>
  <c r="U398" i="4"/>
  <c r="R398" i="4"/>
  <c r="N398" i="4"/>
  <c r="O398" i="4" s="1"/>
  <c r="L398" i="4"/>
  <c r="H398" i="4"/>
  <c r="I398" i="4" s="1"/>
  <c r="F398" i="4"/>
  <c r="C398" i="4"/>
  <c r="AC397" i="4"/>
  <c r="AD397" i="4" s="1"/>
  <c r="AA397" i="4"/>
  <c r="W397" i="4"/>
  <c r="X397" i="4" s="1"/>
  <c r="U397" i="4"/>
  <c r="R397" i="4"/>
  <c r="N397" i="4"/>
  <c r="L397" i="4"/>
  <c r="H397" i="4"/>
  <c r="I397" i="4" s="1"/>
  <c r="F397" i="4"/>
  <c r="C397" i="4"/>
  <c r="AA396" i="4"/>
  <c r="Z396" i="4"/>
  <c r="W396" i="4"/>
  <c r="X396" i="4" s="1"/>
  <c r="U396" i="4"/>
  <c r="T396" i="4"/>
  <c r="R396" i="4"/>
  <c r="Q396" i="4"/>
  <c r="AC396" i="4" s="1"/>
  <c r="AD396" i="4" s="1"/>
  <c r="K396" i="4"/>
  <c r="L396" i="4" s="1"/>
  <c r="I396" i="4"/>
  <c r="H396" i="4"/>
  <c r="F396" i="4"/>
  <c r="E396" i="4"/>
  <c r="C396" i="4"/>
  <c r="B396" i="4"/>
  <c r="AC395" i="4"/>
  <c r="AD395" i="4" s="1"/>
  <c r="AA395" i="4"/>
  <c r="W395" i="4"/>
  <c r="X395" i="4" s="1"/>
  <c r="U395" i="4"/>
  <c r="R395" i="4"/>
  <c r="N395" i="4"/>
  <c r="O395" i="4" s="1"/>
  <c r="L395" i="4"/>
  <c r="I395" i="4"/>
  <c r="H395" i="4"/>
  <c r="F395" i="4"/>
  <c r="C395" i="4"/>
  <c r="AD394" i="4"/>
  <c r="AC394" i="4"/>
  <c r="AA394" i="4"/>
  <c r="W394" i="4"/>
  <c r="X394" i="4" s="1"/>
  <c r="U394" i="4"/>
  <c r="R394" i="4"/>
  <c r="N394" i="4"/>
  <c r="L394" i="4"/>
  <c r="H394" i="4"/>
  <c r="I394" i="4" s="1"/>
  <c r="F394" i="4"/>
  <c r="C394" i="4"/>
  <c r="Z393" i="4"/>
  <c r="AA393" i="4" s="1"/>
  <c r="T393" i="4"/>
  <c r="R393" i="4"/>
  <c r="Q393" i="4"/>
  <c r="L393" i="4"/>
  <c r="K393" i="4"/>
  <c r="H393" i="4"/>
  <c r="I393" i="4" s="1"/>
  <c r="F393" i="4"/>
  <c r="E393" i="4"/>
  <c r="B393" i="4"/>
  <c r="C393" i="4" s="1"/>
  <c r="AD392" i="4"/>
  <c r="AC392" i="4"/>
  <c r="AA392" i="4"/>
  <c r="W392" i="4"/>
  <c r="X392" i="4" s="1"/>
  <c r="U392" i="4"/>
  <c r="R392" i="4"/>
  <c r="N392" i="4"/>
  <c r="O392" i="4" s="1"/>
  <c r="L392" i="4"/>
  <c r="H392" i="4"/>
  <c r="I392" i="4" s="1"/>
  <c r="F392" i="4"/>
  <c r="C392" i="4"/>
  <c r="AC391" i="4"/>
  <c r="AD391" i="4" s="1"/>
  <c r="AA391" i="4"/>
  <c r="W391" i="4"/>
  <c r="X391" i="4" s="1"/>
  <c r="U391" i="4"/>
  <c r="R391" i="4"/>
  <c r="N391" i="4"/>
  <c r="L391" i="4"/>
  <c r="H391" i="4"/>
  <c r="I391" i="4" s="1"/>
  <c r="F391" i="4"/>
  <c r="C391" i="4"/>
  <c r="AD390" i="4"/>
  <c r="AC390" i="4"/>
  <c r="AA390" i="4"/>
  <c r="W390" i="4"/>
  <c r="X390" i="4" s="1"/>
  <c r="U390" i="4"/>
  <c r="R390" i="4"/>
  <c r="N390" i="4"/>
  <c r="O390" i="4" s="1"/>
  <c r="L390" i="4"/>
  <c r="H390" i="4"/>
  <c r="I390" i="4" s="1"/>
  <c r="F390" i="4"/>
  <c r="C390" i="4"/>
  <c r="AC389" i="4"/>
  <c r="AD389" i="4" s="1"/>
  <c r="AA389" i="4"/>
  <c r="W389" i="4"/>
  <c r="X389" i="4" s="1"/>
  <c r="U389" i="4"/>
  <c r="R389" i="4"/>
  <c r="N389" i="4"/>
  <c r="O389" i="4" s="1"/>
  <c r="L389" i="4"/>
  <c r="I389" i="4"/>
  <c r="H389" i="4"/>
  <c r="F389" i="4"/>
  <c r="C389" i="4"/>
  <c r="AC388" i="4"/>
  <c r="AD388" i="4" s="1"/>
  <c r="AA388" i="4"/>
  <c r="W388" i="4"/>
  <c r="X388" i="4" s="1"/>
  <c r="U388" i="4"/>
  <c r="R388" i="4"/>
  <c r="N388" i="4"/>
  <c r="O388" i="4" s="1"/>
  <c r="L388" i="4"/>
  <c r="I388" i="4"/>
  <c r="H388" i="4"/>
  <c r="F388" i="4"/>
  <c r="C388" i="4"/>
  <c r="AD386" i="4"/>
  <c r="AC386" i="4"/>
  <c r="AA386" i="4"/>
  <c r="W386" i="4"/>
  <c r="X386" i="4" s="1"/>
  <c r="U386" i="4"/>
  <c r="R386" i="4"/>
  <c r="N386" i="4"/>
  <c r="O386" i="4" s="1"/>
  <c r="L386" i="4"/>
  <c r="H386" i="4"/>
  <c r="I386" i="4" s="1"/>
  <c r="F386" i="4"/>
  <c r="C386" i="4"/>
  <c r="AD385" i="4"/>
  <c r="AC385" i="4"/>
  <c r="AA385" i="4"/>
  <c r="X385" i="4"/>
  <c r="W385" i="4"/>
  <c r="U385" i="4"/>
  <c r="R385" i="4"/>
  <c r="N385" i="4"/>
  <c r="L385" i="4"/>
  <c r="H385" i="4"/>
  <c r="I385" i="4" s="1"/>
  <c r="F385" i="4"/>
  <c r="C385" i="4"/>
  <c r="AC383" i="4"/>
  <c r="AD383" i="4" s="1"/>
  <c r="AA383" i="4"/>
  <c r="W383" i="4"/>
  <c r="X383" i="4" s="1"/>
  <c r="U383" i="4"/>
  <c r="R383" i="4"/>
  <c r="N383" i="4"/>
  <c r="O383" i="4" s="1"/>
  <c r="L383" i="4"/>
  <c r="I383" i="4"/>
  <c r="H383" i="4"/>
  <c r="F383" i="4"/>
  <c r="C383" i="4"/>
  <c r="AD382" i="4"/>
  <c r="AC382" i="4"/>
  <c r="AA382" i="4"/>
  <c r="W382" i="4"/>
  <c r="X382" i="4" s="1"/>
  <c r="U382" i="4"/>
  <c r="R382" i="4"/>
  <c r="O382" i="4"/>
  <c r="N382" i="4"/>
  <c r="L382" i="4"/>
  <c r="H382" i="4"/>
  <c r="I382" i="4" s="1"/>
  <c r="F382" i="4"/>
  <c r="C382" i="4"/>
  <c r="AC381" i="4"/>
  <c r="AD381" i="4" s="1"/>
  <c r="AA381" i="4"/>
  <c r="W381" i="4"/>
  <c r="X381" i="4" s="1"/>
  <c r="U381" i="4"/>
  <c r="R381" i="4"/>
  <c r="N381" i="4"/>
  <c r="L381" i="4"/>
  <c r="H381" i="4"/>
  <c r="I381" i="4" s="1"/>
  <c r="F381" i="4"/>
  <c r="C381" i="4"/>
  <c r="AD380" i="4"/>
  <c r="AC380" i="4"/>
  <c r="AA380" i="4"/>
  <c r="W380" i="4"/>
  <c r="X380" i="4" s="1"/>
  <c r="U380" i="4"/>
  <c r="R380" i="4"/>
  <c r="N380" i="4"/>
  <c r="O380" i="4" s="1"/>
  <c r="L380" i="4"/>
  <c r="H380" i="4"/>
  <c r="I380" i="4" s="1"/>
  <c r="F380" i="4"/>
  <c r="C380" i="4"/>
  <c r="AC379" i="4"/>
  <c r="AD379" i="4" s="1"/>
  <c r="AA379" i="4"/>
  <c r="W379" i="4"/>
  <c r="X379" i="4" s="1"/>
  <c r="U379" i="4"/>
  <c r="R379" i="4"/>
  <c r="O379" i="4"/>
  <c r="N379" i="4"/>
  <c r="L379" i="4"/>
  <c r="I379" i="4"/>
  <c r="H379" i="4"/>
  <c r="F379" i="4"/>
  <c r="C379" i="4"/>
  <c r="AC378" i="4"/>
  <c r="AD378" i="4" s="1"/>
  <c r="AA378" i="4"/>
  <c r="W378" i="4"/>
  <c r="X378" i="4" s="1"/>
  <c r="U378" i="4"/>
  <c r="R378" i="4"/>
  <c r="N378" i="4"/>
  <c r="O378" i="4" s="1"/>
  <c r="L378" i="4"/>
  <c r="I378" i="4"/>
  <c r="H378" i="4"/>
  <c r="F378" i="4"/>
  <c r="C378" i="4"/>
  <c r="AD377" i="4"/>
  <c r="AC377" i="4"/>
  <c r="AA377" i="4"/>
  <c r="W377" i="4"/>
  <c r="X377" i="4" s="1"/>
  <c r="U377" i="4"/>
  <c r="R377" i="4"/>
  <c r="N377" i="4"/>
  <c r="L377" i="4"/>
  <c r="H377" i="4"/>
  <c r="I377" i="4" s="1"/>
  <c r="F377" i="4"/>
  <c r="C377" i="4"/>
  <c r="AD376" i="4"/>
  <c r="AC376" i="4"/>
  <c r="AA376" i="4"/>
  <c r="X376" i="4"/>
  <c r="W376" i="4"/>
  <c r="U376" i="4"/>
  <c r="R376" i="4"/>
  <c r="O376" i="4"/>
  <c r="N376" i="4"/>
  <c r="L376" i="4"/>
  <c r="H376" i="4"/>
  <c r="I376" i="4" s="1"/>
  <c r="F376" i="4"/>
  <c r="C376" i="4"/>
  <c r="AC375" i="4"/>
  <c r="AD375" i="4" s="1"/>
  <c r="AA375" i="4"/>
  <c r="W375" i="4"/>
  <c r="X375" i="4" s="1"/>
  <c r="U375" i="4"/>
  <c r="R375" i="4"/>
  <c r="N375" i="4"/>
  <c r="O375" i="4" s="1"/>
  <c r="L375" i="4"/>
  <c r="I375" i="4"/>
  <c r="H375" i="4"/>
  <c r="F375" i="4"/>
  <c r="C375" i="4"/>
  <c r="AD374" i="4"/>
  <c r="AC374" i="4"/>
  <c r="AA374" i="4"/>
  <c r="W374" i="4"/>
  <c r="X374" i="4" s="1"/>
  <c r="U374" i="4"/>
  <c r="R374" i="4"/>
  <c r="N374" i="4"/>
  <c r="O374" i="4" s="1"/>
  <c r="L374" i="4"/>
  <c r="H374" i="4"/>
  <c r="I374" i="4" s="1"/>
  <c r="F374" i="4"/>
  <c r="C374" i="4"/>
  <c r="AC373" i="4"/>
  <c r="AD373" i="4" s="1"/>
  <c r="AA373" i="4"/>
  <c r="W373" i="4"/>
  <c r="X373" i="4" s="1"/>
  <c r="U373" i="4"/>
  <c r="R373" i="4"/>
  <c r="N373" i="4"/>
  <c r="L373" i="4"/>
  <c r="H373" i="4"/>
  <c r="I373" i="4" s="1"/>
  <c r="F373" i="4"/>
  <c r="C373" i="4"/>
  <c r="AD372" i="4"/>
  <c r="AC372" i="4"/>
  <c r="AA372" i="4"/>
  <c r="W372" i="4"/>
  <c r="X372" i="4" s="1"/>
  <c r="U372" i="4"/>
  <c r="R372" i="4"/>
  <c r="N372" i="4"/>
  <c r="O372" i="4" s="1"/>
  <c r="L372" i="4"/>
  <c r="H372" i="4"/>
  <c r="I372" i="4" s="1"/>
  <c r="F372" i="4"/>
  <c r="C372" i="4"/>
  <c r="AC371" i="4"/>
  <c r="AD371" i="4" s="1"/>
  <c r="AA371" i="4"/>
  <c r="W371" i="4"/>
  <c r="X371" i="4" s="1"/>
  <c r="U371" i="4"/>
  <c r="R371" i="4"/>
  <c r="N371" i="4"/>
  <c r="O371" i="4" s="1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N370" i="4"/>
  <c r="O370" i="4" s="1"/>
  <c r="L370" i="4"/>
  <c r="I370" i="4"/>
  <c r="H370" i="4"/>
  <c r="F370" i="4"/>
  <c r="C370" i="4"/>
  <c r="AD369" i="4"/>
  <c r="AC369" i="4"/>
  <c r="AA369" i="4"/>
  <c r="W369" i="4"/>
  <c r="X369" i="4" s="1"/>
  <c r="U369" i="4"/>
  <c r="R369" i="4"/>
  <c r="N369" i="4"/>
  <c r="O369" i="4" s="1"/>
  <c r="L369" i="4"/>
  <c r="H369" i="4"/>
  <c r="I369" i="4" s="1"/>
  <c r="F369" i="4"/>
  <c r="C369" i="4"/>
  <c r="Z368" i="4"/>
  <c r="AA368" i="4" s="1"/>
  <c r="T368" i="4"/>
  <c r="W368" i="4" s="1"/>
  <c r="X368" i="4" s="1"/>
  <c r="R368" i="4"/>
  <c r="Q368" i="4"/>
  <c r="L368" i="4"/>
  <c r="K368" i="4"/>
  <c r="F368" i="4"/>
  <c r="E368" i="4"/>
  <c r="B368" i="4"/>
  <c r="N368" i="4" s="1"/>
  <c r="O368" i="4" s="1"/>
  <c r="AD367" i="4"/>
  <c r="AC367" i="4"/>
  <c r="AA367" i="4"/>
  <c r="W367" i="4"/>
  <c r="X367" i="4" s="1"/>
  <c r="U367" i="4"/>
  <c r="R367" i="4"/>
  <c r="N367" i="4"/>
  <c r="O367" i="4" s="1"/>
  <c r="L367" i="4"/>
  <c r="H367" i="4"/>
  <c r="I367" i="4" s="1"/>
  <c r="F367" i="4"/>
  <c r="C367" i="4"/>
  <c r="AC366" i="4"/>
  <c r="AD366" i="4" s="1"/>
  <c r="AA366" i="4"/>
  <c r="W366" i="4"/>
  <c r="X366" i="4" s="1"/>
  <c r="U366" i="4"/>
  <c r="R366" i="4"/>
  <c r="N366" i="4"/>
  <c r="L366" i="4"/>
  <c r="H366" i="4"/>
  <c r="I366" i="4" s="1"/>
  <c r="F366" i="4"/>
  <c r="C366" i="4"/>
  <c r="AD365" i="4"/>
  <c r="AC365" i="4"/>
  <c r="AA365" i="4"/>
  <c r="W365" i="4"/>
  <c r="X365" i="4" s="1"/>
  <c r="U365" i="4"/>
  <c r="R365" i="4"/>
  <c r="N365" i="4"/>
  <c r="O365" i="4" s="1"/>
  <c r="L365" i="4"/>
  <c r="H365" i="4"/>
  <c r="I365" i="4" s="1"/>
  <c r="F365" i="4"/>
  <c r="C365" i="4"/>
  <c r="AC364" i="4"/>
  <c r="AD364" i="4" s="1"/>
  <c r="AA364" i="4"/>
  <c r="W364" i="4"/>
  <c r="X364" i="4" s="1"/>
  <c r="U364" i="4"/>
  <c r="R364" i="4"/>
  <c r="N364" i="4"/>
  <c r="O364" i="4" s="1"/>
  <c r="L364" i="4"/>
  <c r="I364" i="4"/>
  <c r="H364" i="4"/>
  <c r="F364" i="4"/>
  <c r="C364" i="4"/>
  <c r="AC363" i="4"/>
  <c r="AD363" i="4" s="1"/>
  <c r="AA363" i="4"/>
  <c r="W363" i="4"/>
  <c r="X363" i="4" s="1"/>
  <c r="U363" i="4"/>
  <c r="R363" i="4"/>
  <c r="N363" i="4"/>
  <c r="O363" i="4" s="1"/>
  <c r="L363" i="4"/>
  <c r="I363" i="4"/>
  <c r="H363" i="4"/>
  <c r="F363" i="4"/>
  <c r="C363" i="4"/>
  <c r="AD362" i="4"/>
  <c r="AC362" i="4"/>
  <c r="AA362" i="4"/>
  <c r="X362" i="4"/>
  <c r="W362" i="4"/>
  <c r="U362" i="4"/>
  <c r="R362" i="4"/>
  <c r="N362" i="4"/>
  <c r="L362" i="4"/>
  <c r="H362" i="4"/>
  <c r="I362" i="4" s="1"/>
  <c r="F362" i="4"/>
  <c r="C362" i="4"/>
  <c r="AD361" i="4"/>
  <c r="AC361" i="4"/>
  <c r="AA361" i="4"/>
  <c r="X361" i="4"/>
  <c r="W361" i="4"/>
  <c r="U361" i="4"/>
  <c r="R361" i="4"/>
  <c r="O361" i="4"/>
  <c r="N361" i="4"/>
  <c r="L361" i="4"/>
  <c r="H361" i="4"/>
  <c r="I361" i="4" s="1"/>
  <c r="F361" i="4"/>
  <c r="C361" i="4"/>
  <c r="AC360" i="4"/>
  <c r="AD360" i="4" s="1"/>
  <c r="AA360" i="4"/>
  <c r="W360" i="4"/>
  <c r="X360" i="4" s="1"/>
  <c r="U360" i="4"/>
  <c r="R360" i="4"/>
  <c r="N360" i="4"/>
  <c r="O360" i="4" s="1"/>
  <c r="L360" i="4"/>
  <c r="I360" i="4"/>
  <c r="H360" i="4"/>
  <c r="F360" i="4"/>
  <c r="C360" i="4"/>
  <c r="Z358" i="4"/>
  <c r="AA358" i="4" s="1"/>
  <c r="X358" i="4"/>
  <c r="T358" i="4"/>
  <c r="U358" i="4" s="1"/>
  <c r="Q358" i="4"/>
  <c r="W358" i="4" s="1"/>
  <c r="L358" i="4"/>
  <c r="K358" i="4"/>
  <c r="E358" i="4"/>
  <c r="F358" i="4" s="1"/>
  <c r="B358" i="4"/>
  <c r="H358" i="4" s="1"/>
  <c r="I358" i="4" s="1"/>
  <c r="AD357" i="4"/>
  <c r="AC357" i="4"/>
  <c r="AA357" i="4"/>
  <c r="X357" i="4"/>
  <c r="W357" i="4"/>
  <c r="U357" i="4"/>
  <c r="R357" i="4"/>
  <c r="N357" i="4"/>
  <c r="O357" i="4" s="1"/>
  <c r="L357" i="4"/>
  <c r="H357" i="4"/>
  <c r="I357" i="4" s="1"/>
  <c r="F357" i="4"/>
  <c r="C357" i="4"/>
  <c r="AC356" i="4"/>
  <c r="AD356" i="4" s="1"/>
  <c r="AA356" i="4"/>
  <c r="W356" i="4"/>
  <c r="X356" i="4" s="1"/>
  <c r="U356" i="4"/>
  <c r="R356" i="4"/>
  <c r="N356" i="4"/>
  <c r="O356" i="4" s="1"/>
  <c r="L356" i="4"/>
  <c r="I356" i="4"/>
  <c r="H356" i="4"/>
  <c r="F356" i="4"/>
  <c r="C356" i="4"/>
  <c r="AD355" i="4"/>
  <c r="AC355" i="4"/>
  <c r="AA355" i="4"/>
  <c r="W355" i="4"/>
  <c r="X355" i="4" s="1"/>
  <c r="U355" i="4"/>
  <c r="R355" i="4"/>
  <c r="N355" i="4"/>
  <c r="O355" i="4" s="1"/>
  <c r="L355" i="4"/>
  <c r="I355" i="4"/>
  <c r="H355" i="4"/>
  <c r="F355" i="4"/>
  <c r="C355" i="4"/>
  <c r="AD354" i="4"/>
  <c r="AC354" i="4"/>
  <c r="AA354" i="4"/>
  <c r="W354" i="4"/>
  <c r="X354" i="4" s="1"/>
  <c r="U354" i="4"/>
  <c r="R354" i="4"/>
  <c r="N354" i="4"/>
  <c r="O354" i="4" s="1"/>
  <c r="L354" i="4"/>
  <c r="H354" i="4"/>
  <c r="I354" i="4" s="1"/>
  <c r="F354" i="4"/>
  <c r="C354" i="4"/>
  <c r="AD353" i="4"/>
  <c r="AC353" i="4"/>
  <c r="AA353" i="4"/>
  <c r="X353" i="4"/>
  <c r="W353" i="4"/>
  <c r="U353" i="4"/>
  <c r="R353" i="4"/>
  <c r="N353" i="4"/>
  <c r="L353" i="4"/>
  <c r="H353" i="4"/>
  <c r="I353" i="4" s="1"/>
  <c r="F353" i="4"/>
  <c r="C353" i="4"/>
  <c r="AC352" i="4"/>
  <c r="AD352" i="4" s="1"/>
  <c r="AA352" i="4"/>
  <c r="W352" i="4"/>
  <c r="X352" i="4" s="1"/>
  <c r="U352" i="4"/>
  <c r="R352" i="4"/>
  <c r="N352" i="4"/>
  <c r="O352" i="4" s="1"/>
  <c r="L352" i="4"/>
  <c r="I352" i="4"/>
  <c r="H352" i="4"/>
  <c r="F352" i="4"/>
  <c r="C352" i="4"/>
  <c r="AD351" i="4"/>
  <c r="AC351" i="4"/>
  <c r="AA351" i="4"/>
  <c r="W351" i="4"/>
  <c r="X351" i="4" s="1"/>
  <c r="U351" i="4"/>
  <c r="R351" i="4"/>
  <c r="N351" i="4"/>
  <c r="O351" i="4" s="1"/>
  <c r="L351" i="4"/>
  <c r="I351" i="4"/>
  <c r="H351" i="4"/>
  <c r="F351" i="4"/>
  <c r="C351" i="4"/>
  <c r="AC350" i="4"/>
  <c r="AD350" i="4" s="1"/>
  <c r="AA350" i="4"/>
  <c r="W350" i="4"/>
  <c r="X350" i="4" s="1"/>
  <c r="U350" i="4"/>
  <c r="R350" i="4"/>
  <c r="N350" i="4"/>
  <c r="L350" i="4"/>
  <c r="H350" i="4"/>
  <c r="I350" i="4" s="1"/>
  <c r="F350" i="4"/>
  <c r="C350" i="4"/>
  <c r="AD349" i="4"/>
  <c r="AC349" i="4"/>
  <c r="AA349" i="4"/>
  <c r="W349" i="4"/>
  <c r="X349" i="4" s="1"/>
  <c r="U349" i="4"/>
  <c r="R349" i="4"/>
  <c r="N349" i="4"/>
  <c r="L349" i="4"/>
  <c r="H349" i="4"/>
  <c r="I349" i="4" s="1"/>
  <c r="F349" i="4"/>
  <c r="C349" i="4"/>
  <c r="AC347" i="4"/>
  <c r="AD347" i="4" s="1"/>
  <c r="AA347" i="4"/>
  <c r="W347" i="4"/>
  <c r="X347" i="4" s="1"/>
  <c r="U347" i="4"/>
  <c r="R347" i="4"/>
  <c r="O347" i="4"/>
  <c r="N347" i="4"/>
  <c r="L347" i="4"/>
  <c r="I347" i="4"/>
  <c r="H347" i="4"/>
  <c r="F347" i="4"/>
  <c r="C347" i="4"/>
  <c r="Z344" i="4"/>
  <c r="AA344" i="4" s="1"/>
  <c r="T344" i="4"/>
  <c r="W344" i="4" s="1"/>
  <c r="X344" i="4" s="1"/>
  <c r="R344" i="4"/>
  <c r="Q344" i="4"/>
  <c r="AC344" i="4" s="1"/>
  <c r="AD344" i="4" s="1"/>
  <c r="K344" i="4"/>
  <c r="L344" i="4" s="1"/>
  <c r="H344" i="4"/>
  <c r="I344" i="4" s="1"/>
  <c r="F344" i="4"/>
  <c r="E344" i="4"/>
  <c r="B344" i="4"/>
  <c r="C344" i="4" s="1"/>
  <c r="Z343" i="4"/>
  <c r="AC343" i="4" s="1"/>
  <c r="AD343" i="4" s="1"/>
  <c r="X343" i="4"/>
  <c r="U343" i="4"/>
  <c r="T343" i="4"/>
  <c r="R343" i="4"/>
  <c r="Q343" i="4"/>
  <c r="W343" i="4" s="1"/>
  <c r="L343" i="4"/>
  <c r="K343" i="4"/>
  <c r="F343" i="4"/>
  <c r="E343" i="4"/>
  <c r="H343" i="4" s="1"/>
  <c r="I343" i="4" s="1"/>
  <c r="C343" i="4"/>
  <c r="B343" i="4"/>
  <c r="N343" i="4" s="1"/>
  <c r="O343" i="4" s="1"/>
  <c r="AA342" i="4"/>
  <c r="Z342" i="4"/>
  <c r="T342" i="4"/>
  <c r="W342" i="4" s="1"/>
  <c r="X342" i="4" s="1"/>
  <c r="R342" i="4"/>
  <c r="Q342" i="4"/>
  <c r="K342" i="4"/>
  <c r="L342" i="4" s="1"/>
  <c r="F342" i="4"/>
  <c r="E342" i="4"/>
  <c r="C342" i="4"/>
  <c r="B342" i="4"/>
  <c r="H342" i="4" s="1"/>
  <c r="I342" i="4" s="1"/>
  <c r="AC341" i="4"/>
  <c r="AD341" i="4" s="1"/>
  <c r="AA341" i="4"/>
  <c r="X341" i="4"/>
  <c r="W341" i="4"/>
  <c r="U341" i="4"/>
  <c r="R341" i="4"/>
  <c r="O341" i="4"/>
  <c r="N341" i="4"/>
  <c r="L341" i="4"/>
  <c r="H341" i="4"/>
  <c r="I341" i="4" s="1"/>
  <c r="F341" i="4"/>
  <c r="C341" i="4"/>
  <c r="AD340" i="4"/>
  <c r="AC340" i="4"/>
  <c r="AA340" i="4"/>
  <c r="X340" i="4"/>
  <c r="W340" i="4"/>
  <c r="U340" i="4"/>
  <c r="R340" i="4"/>
  <c r="N340" i="4"/>
  <c r="O340" i="4" s="1"/>
  <c r="L340" i="4"/>
  <c r="I340" i="4"/>
  <c r="H340" i="4"/>
  <c r="F340" i="4"/>
  <c r="C340" i="4"/>
  <c r="AD339" i="4"/>
  <c r="AC339" i="4"/>
  <c r="AA339" i="4"/>
  <c r="X339" i="4"/>
  <c r="W339" i="4"/>
  <c r="U339" i="4"/>
  <c r="R339" i="4"/>
  <c r="N339" i="4"/>
  <c r="O339" i="4" s="1"/>
  <c r="L339" i="4"/>
  <c r="H339" i="4"/>
  <c r="I339" i="4" s="1"/>
  <c r="F339" i="4"/>
  <c r="C339" i="4"/>
  <c r="AD338" i="4"/>
  <c r="AC338" i="4"/>
  <c r="AA338" i="4"/>
  <c r="W338" i="4"/>
  <c r="X338" i="4" s="1"/>
  <c r="U338" i="4"/>
  <c r="R338" i="4"/>
  <c r="O338" i="4"/>
  <c r="N338" i="4"/>
  <c r="L338" i="4"/>
  <c r="I338" i="4"/>
  <c r="H338" i="4"/>
  <c r="F338" i="4"/>
  <c r="C338" i="4"/>
  <c r="AC337" i="4"/>
  <c r="AD337" i="4" s="1"/>
  <c r="AA337" i="4"/>
  <c r="X337" i="4"/>
  <c r="W337" i="4"/>
  <c r="U337" i="4"/>
  <c r="R337" i="4"/>
  <c r="N337" i="4"/>
  <c r="O337" i="4" s="1"/>
  <c r="L337" i="4"/>
  <c r="H337" i="4"/>
  <c r="I337" i="4" s="1"/>
  <c r="F337" i="4"/>
  <c r="C337" i="4"/>
  <c r="AC335" i="4"/>
  <c r="AD335" i="4" s="1"/>
  <c r="AA335" i="4"/>
  <c r="X335" i="4"/>
  <c r="W335" i="4"/>
  <c r="U335" i="4"/>
  <c r="R335" i="4"/>
  <c r="N335" i="4"/>
  <c r="L335" i="4"/>
  <c r="H335" i="4"/>
  <c r="I335" i="4" s="1"/>
  <c r="F335" i="4"/>
  <c r="C335" i="4"/>
  <c r="AD334" i="4"/>
  <c r="AC334" i="4"/>
  <c r="AA334" i="4"/>
  <c r="W334" i="4"/>
  <c r="X334" i="4" s="1"/>
  <c r="U334" i="4"/>
  <c r="R334" i="4"/>
  <c r="N334" i="4"/>
  <c r="O334" i="4" s="1"/>
  <c r="L334" i="4"/>
  <c r="I334" i="4"/>
  <c r="H334" i="4"/>
  <c r="F334" i="4"/>
  <c r="C334" i="4"/>
  <c r="AD333" i="4"/>
  <c r="AC333" i="4"/>
  <c r="AA333" i="4"/>
  <c r="W333" i="4"/>
  <c r="X333" i="4" s="1"/>
  <c r="U333" i="4"/>
  <c r="R333" i="4"/>
  <c r="N333" i="4"/>
  <c r="O333" i="4" s="1"/>
  <c r="L333" i="4"/>
  <c r="I333" i="4"/>
  <c r="H333" i="4"/>
  <c r="F333" i="4"/>
  <c r="C333" i="4"/>
  <c r="AC332" i="4"/>
  <c r="AD332" i="4" s="1"/>
  <c r="AA332" i="4"/>
  <c r="X332" i="4"/>
  <c r="W332" i="4"/>
  <c r="U332" i="4"/>
  <c r="R332" i="4"/>
  <c r="N332" i="4"/>
  <c r="L332" i="4"/>
  <c r="I332" i="4"/>
  <c r="H332" i="4"/>
  <c r="F332" i="4"/>
  <c r="C332" i="4"/>
  <c r="AC331" i="4"/>
  <c r="AD331" i="4" s="1"/>
  <c r="AA331" i="4"/>
  <c r="W331" i="4"/>
  <c r="X331" i="4" s="1"/>
  <c r="U331" i="4"/>
  <c r="R331" i="4"/>
  <c r="N331" i="4"/>
  <c r="L331" i="4"/>
  <c r="I331" i="4"/>
  <c r="H331" i="4"/>
  <c r="F331" i="4"/>
  <c r="C331" i="4"/>
  <c r="AD330" i="4"/>
  <c r="AC330" i="4"/>
  <c r="AA330" i="4"/>
  <c r="W330" i="4"/>
  <c r="X330" i="4" s="1"/>
  <c r="U330" i="4"/>
  <c r="R330" i="4"/>
  <c r="N330" i="4"/>
  <c r="O330" i="4" s="1"/>
  <c r="L330" i="4"/>
  <c r="I330" i="4"/>
  <c r="H330" i="4"/>
  <c r="F330" i="4"/>
  <c r="C330" i="4"/>
  <c r="AC329" i="4"/>
  <c r="AD329" i="4" s="1"/>
  <c r="AA329" i="4"/>
  <c r="W329" i="4"/>
  <c r="X329" i="4" s="1"/>
  <c r="U329" i="4"/>
  <c r="R329" i="4"/>
  <c r="N329" i="4"/>
  <c r="L329" i="4"/>
  <c r="I329" i="4"/>
  <c r="H329" i="4"/>
  <c r="F329" i="4"/>
  <c r="C329" i="4"/>
  <c r="AC328" i="4"/>
  <c r="AD328" i="4" s="1"/>
  <c r="AA328" i="4"/>
  <c r="W328" i="4"/>
  <c r="X328" i="4" s="1"/>
  <c r="U328" i="4"/>
  <c r="R328" i="4"/>
  <c r="N328" i="4"/>
  <c r="L328" i="4"/>
  <c r="H328" i="4"/>
  <c r="I328" i="4" s="1"/>
  <c r="F328" i="4"/>
  <c r="C328" i="4"/>
  <c r="Z325" i="4"/>
  <c r="AA325" i="4" s="1"/>
  <c r="W325" i="4"/>
  <c r="X325" i="4" s="1"/>
  <c r="U325" i="4"/>
  <c r="T325" i="4"/>
  <c r="Q325" i="4"/>
  <c r="R325" i="4" s="1"/>
  <c r="K325" i="4"/>
  <c r="N325" i="4" s="1"/>
  <c r="O325" i="4" s="1"/>
  <c r="I325" i="4"/>
  <c r="F325" i="4"/>
  <c r="E325" i="4"/>
  <c r="C325" i="4"/>
  <c r="B325" i="4"/>
  <c r="H325" i="4" s="1"/>
  <c r="AA324" i="4"/>
  <c r="Z324" i="4"/>
  <c r="T324" i="4"/>
  <c r="W324" i="4" s="1"/>
  <c r="X324" i="4" s="1"/>
  <c r="R324" i="4"/>
  <c r="Q324" i="4"/>
  <c r="AC324" i="4" s="1"/>
  <c r="AD324" i="4" s="1"/>
  <c r="K324" i="4"/>
  <c r="L324" i="4" s="1"/>
  <c r="E324" i="4"/>
  <c r="H324" i="4" s="1"/>
  <c r="I324" i="4" s="1"/>
  <c r="C324" i="4"/>
  <c r="B324" i="4"/>
  <c r="AC323" i="4"/>
  <c r="AD323" i="4" s="1"/>
  <c r="AA323" i="4"/>
  <c r="W323" i="4"/>
  <c r="X323" i="4" s="1"/>
  <c r="U323" i="4"/>
  <c r="R323" i="4"/>
  <c r="N323" i="4"/>
  <c r="O323" i="4" s="1"/>
  <c r="L323" i="4"/>
  <c r="I323" i="4"/>
  <c r="H323" i="4"/>
  <c r="F323" i="4"/>
  <c r="C323" i="4"/>
  <c r="AD322" i="4"/>
  <c r="AC322" i="4"/>
  <c r="AA322" i="4"/>
  <c r="W322" i="4"/>
  <c r="X322" i="4" s="1"/>
  <c r="U322" i="4"/>
  <c r="R322" i="4"/>
  <c r="N322" i="4"/>
  <c r="O322" i="4" s="1"/>
  <c r="L322" i="4"/>
  <c r="H322" i="4"/>
  <c r="I322" i="4" s="1"/>
  <c r="F322" i="4"/>
  <c r="C322" i="4"/>
  <c r="AC321" i="4"/>
  <c r="AD321" i="4" s="1"/>
  <c r="AA321" i="4"/>
  <c r="W321" i="4"/>
  <c r="X321" i="4" s="1"/>
  <c r="U321" i="4"/>
  <c r="R321" i="4"/>
  <c r="O321" i="4"/>
  <c r="N321" i="4"/>
  <c r="L321" i="4"/>
  <c r="I321" i="4"/>
  <c r="H321" i="4"/>
  <c r="F321" i="4"/>
  <c r="C321" i="4"/>
  <c r="AC320" i="4"/>
  <c r="AD320" i="4" s="1"/>
  <c r="AA320" i="4"/>
  <c r="W320" i="4"/>
  <c r="X320" i="4" s="1"/>
  <c r="U320" i="4"/>
  <c r="R320" i="4"/>
  <c r="N320" i="4"/>
  <c r="O320" i="4" s="1"/>
  <c r="L320" i="4"/>
  <c r="H320" i="4"/>
  <c r="I320" i="4" s="1"/>
  <c r="F320" i="4"/>
  <c r="C320" i="4"/>
  <c r="AC319" i="4"/>
  <c r="AD319" i="4" s="1"/>
  <c r="AA319" i="4"/>
  <c r="X319" i="4"/>
  <c r="W319" i="4"/>
  <c r="U319" i="4"/>
  <c r="R319" i="4"/>
  <c r="N319" i="4"/>
  <c r="O319" i="4" s="1"/>
  <c r="L319" i="4"/>
  <c r="H319" i="4"/>
  <c r="I319" i="4" s="1"/>
  <c r="F319" i="4"/>
  <c r="C319" i="4"/>
  <c r="AD318" i="4"/>
  <c r="AC318" i="4"/>
  <c r="AA318" i="4"/>
  <c r="W318" i="4"/>
  <c r="X318" i="4" s="1"/>
  <c r="U318" i="4"/>
  <c r="R318" i="4"/>
  <c r="N318" i="4"/>
  <c r="O318" i="4" s="1"/>
  <c r="L318" i="4"/>
  <c r="I318" i="4"/>
  <c r="H318" i="4"/>
  <c r="F318" i="4"/>
  <c r="C318" i="4"/>
  <c r="AD317" i="4"/>
  <c r="AC317" i="4"/>
  <c r="AA317" i="4"/>
  <c r="W317" i="4"/>
  <c r="X317" i="4" s="1"/>
  <c r="U317" i="4"/>
  <c r="R317" i="4"/>
  <c r="N317" i="4"/>
  <c r="O317" i="4" s="1"/>
  <c r="L317" i="4"/>
  <c r="I317" i="4"/>
  <c r="H317" i="4"/>
  <c r="F317" i="4"/>
  <c r="C317" i="4"/>
  <c r="AC316" i="4"/>
  <c r="AD316" i="4" s="1"/>
  <c r="AA316" i="4"/>
  <c r="X316" i="4"/>
  <c r="W316" i="4"/>
  <c r="U316" i="4"/>
  <c r="R316" i="4"/>
  <c r="O316" i="4"/>
  <c r="N316" i="4"/>
  <c r="L316" i="4"/>
  <c r="H316" i="4"/>
  <c r="I316" i="4" s="1"/>
  <c r="F316" i="4"/>
  <c r="C316" i="4"/>
  <c r="AC315" i="4"/>
  <c r="AD315" i="4" s="1"/>
  <c r="AA315" i="4"/>
  <c r="W315" i="4"/>
  <c r="X315" i="4" s="1"/>
  <c r="U315" i="4"/>
  <c r="R315" i="4"/>
  <c r="N315" i="4"/>
  <c r="O315" i="4" s="1"/>
  <c r="L315" i="4"/>
  <c r="I315" i="4"/>
  <c r="H315" i="4"/>
  <c r="F315" i="4"/>
  <c r="C315" i="4"/>
  <c r="AD314" i="4"/>
  <c r="AC314" i="4"/>
  <c r="AA314" i="4"/>
  <c r="W314" i="4"/>
  <c r="X314" i="4" s="1"/>
  <c r="U314" i="4"/>
  <c r="R314" i="4"/>
  <c r="N314" i="4"/>
  <c r="O314" i="4" s="1"/>
  <c r="L314" i="4"/>
  <c r="H314" i="4"/>
  <c r="I314" i="4" s="1"/>
  <c r="F314" i="4"/>
  <c r="C314" i="4"/>
  <c r="AC313" i="4"/>
  <c r="AD313" i="4" s="1"/>
  <c r="AA313" i="4"/>
  <c r="W313" i="4"/>
  <c r="X313" i="4" s="1"/>
  <c r="U313" i="4"/>
  <c r="R313" i="4"/>
  <c r="O313" i="4"/>
  <c r="N313" i="4"/>
  <c r="L313" i="4"/>
  <c r="I313" i="4"/>
  <c r="H313" i="4"/>
  <c r="F313" i="4"/>
  <c r="C313" i="4"/>
  <c r="AC312" i="4"/>
  <c r="AD312" i="4" s="1"/>
  <c r="AA312" i="4"/>
  <c r="W312" i="4"/>
  <c r="X312" i="4" s="1"/>
  <c r="U312" i="4"/>
  <c r="R312" i="4"/>
  <c r="N312" i="4"/>
  <c r="O312" i="4" s="1"/>
  <c r="L312" i="4"/>
  <c r="H312" i="4"/>
  <c r="I312" i="4" s="1"/>
  <c r="F312" i="4"/>
  <c r="C312" i="4"/>
  <c r="AC311" i="4"/>
  <c r="AD311" i="4" s="1"/>
  <c r="AA311" i="4"/>
  <c r="X311" i="4"/>
  <c r="W311" i="4"/>
  <c r="U311" i="4"/>
  <c r="R311" i="4"/>
  <c r="N311" i="4"/>
  <c r="O311" i="4" s="1"/>
  <c r="L311" i="4"/>
  <c r="H311" i="4"/>
  <c r="I311" i="4" s="1"/>
  <c r="F311" i="4"/>
  <c r="C311" i="4"/>
  <c r="AD310" i="4"/>
  <c r="AC310" i="4"/>
  <c r="AA310" i="4"/>
  <c r="W310" i="4"/>
  <c r="X310" i="4" s="1"/>
  <c r="U310" i="4"/>
  <c r="R310" i="4"/>
  <c r="N310" i="4"/>
  <c r="O310" i="4" s="1"/>
  <c r="L310" i="4"/>
  <c r="I310" i="4"/>
  <c r="H310" i="4"/>
  <c r="F310" i="4"/>
  <c r="C310" i="4"/>
  <c r="AD309" i="4"/>
  <c r="AC309" i="4"/>
  <c r="AA309" i="4"/>
  <c r="W309" i="4"/>
  <c r="X309" i="4" s="1"/>
  <c r="U309" i="4"/>
  <c r="R309" i="4"/>
  <c r="N309" i="4"/>
  <c r="O309" i="4" s="1"/>
  <c r="L309" i="4"/>
  <c r="I309" i="4"/>
  <c r="H309" i="4"/>
  <c r="F309" i="4"/>
  <c r="C309" i="4"/>
  <c r="AC308" i="4"/>
  <c r="AD308" i="4" s="1"/>
  <c r="AA308" i="4"/>
  <c r="X308" i="4"/>
  <c r="W308" i="4"/>
  <c r="U308" i="4"/>
  <c r="R308" i="4"/>
  <c r="O308" i="4"/>
  <c r="N308" i="4"/>
  <c r="L308" i="4"/>
  <c r="H308" i="4"/>
  <c r="I308" i="4" s="1"/>
  <c r="F308" i="4"/>
  <c r="C308" i="4"/>
  <c r="AC307" i="4"/>
  <c r="AD307" i="4" s="1"/>
  <c r="AA307" i="4"/>
  <c r="W307" i="4"/>
  <c r="X307" i="4" s="1"/>
  <c r="U307" i="4"/>
  <c r="R307" i="4"/>
  <c r="N307" i="4"/>
  <c r="O307" i="4" s="1"/>
  <c r="L307" i="4"/>
  <c r="I307" i="4"/>
  <c r="H307" i="4"/>
  <c r="F307" i="4"/>
  <c r="C307" i="4"/>
  <c r="AD306" i="4"/>
  <c r="AC306" i="4"/>
  <c r="AA306" i="4"/>
  <c r="W306" i="4"/>
  <c r="X306" i="4" s="1"/>
  <c r="U306" i="4"/>
  <c r="R306" i="4"/>
  <c r="N306" i="4"/>
  <c r="O306" i="4" s="1"/>
  <c r="L306" i="4"/>
  <c r="H306" i="4"/>
  <c r="I306" i="4" s="1"/>
  <c r="F306" i="4"/>
  <c r="C306" i="4"/>
  <c r="AC305" i="4"/>
  <c r="AD305" i="4" s="1"/>
  <c r="AA305" i="4"/>
  <c r="W305" i="4"/>
  <c r="X305" i="4" s="1"/>
  <c r="U305" i="4"/>
  <c r="R305" i="4"/>
  <c r="O305" i="4"/>
  <c r="N305" i="4"/>
  <c r="L305" i="4"/>
  <c r="I305" i="4"/>
  <c r="H305" i="4"/>
  <c r="F305" i="4"/>
  <c r="C305" i="4"/>
  <c r="AC304" i="4"/>
  <c r="AD304" i="4" s="1"/>
  <c r="AA304" i="4"/>
  <c r="W304" i="4"/>
  <c r="X304" i="4" s="1"/>
  <c r="U304" i="4"/>
  <c r="R304" i="4"/>
  <c r="N304" i="4"/>
  <c r="O304" i="4" s="1"/>
  <c r="L304" i="4"/>
  <c r="H304" i="4"/>
  <c r="I304" i="4" s="1"/>
  <c r="F304" i="4"/>
  <c r="C304" i="4"/>
  <c r="AC303" i="4"/>
  <c r="AD303" i="4" s="1"/>
  <c r="AA303" i="4"/>
  <c r="X303" i="4"/>
  <c r="W303" i="4"/>
  <c r="U303" i="4"/>
  <c r="R303" i="4"/>
  <c r="N303" i="4"/>
  <c r="O303" i="4" s="1"/>
  <c r="L303" i="4"/>
  <c r="H303" i="4"/>
  <c r="I303" i="4" s="1"/>
  <c r="F303" i="4"/>
  <c r="C303" i="4"/>
  <c r="AD302" i="4"/>
  <c r="AC302" i="4"/>
  <c r="AA302" i="4"/>
  <c r="W302" i="4"/>
  <c r="X302" i="4" s="1"/>
  <c r="U302" i="4"/>
  <c r="R302" i="4"/>
  <c r="N302" i="4"/>
  <c r="O302" i="4" s="1"/>
  <c r="L302" i="4"/>
  <c r="I302" i="4"/>
  <c r="H302" i="4"/>
  <c r="F302" i="4"/>
  <c r="C302" i="4"/>
  <c r="AD301" i="4"/>
  <c r="AC301" i="4"/>
  <c r="AA301" i="4"/>
  <c r="W301" i="4"/>
  <c r="X301" i="4" s="1"/>
  <c r="U301" i="4"/>
  <c r="R301" i="4"/>
  <c r="N301" i="4"/>
  <c r="O301" i="4" s="1"/>
  <c r="L301" i="4"/>
  <c r="I301" i="4"/>
  <c r="H301" i="4"/>
  <c r="F301" i="4"/>
  <c r="C301" i="4"/>
  <c r="AC300" i="4"/>
  <c r="AD300" i="4" s="1"/>
  <c r="AA300" i="4"/>
  <c r="X300" i="4"/>
  <c r="W300" i="4"/>
  <c r="U300" i="4"/>
  <c r="R300" i="4"/>
  <c r="O300" i="4"/>
  <c r="N300" i="4"/>
  <c r="L300" i="4"/>
  <c r="H300" i="4"/>
  <c r="I300" i="4" s="1"/>
  <c r="F300" i="4"/>
  <c r="C300" i="4"/>
  <c r="AC299" i="4"/>
  <c r="AD299" i="4" s="1"/>
  <c r="AA299" i="4"/>
  <c r="W299" i="4"/>
  <c r="X299" i="4" s="1"/>
  <c r="U299" i="4"/>
  <c r="R299" i="4"/>
  <c r="N299" i="4"/>
  <c r="O299" i="4" s="1"/>
  <c r="L299" i="4"/>
  <c r="I299" i="4"/>
  <c r="H299" i="4"/>
  <c r="F299" i="4"/>
  <c r="C299" i="4"/>
  <c r="AD298" i="4"/>
  <c r="AC298" i="4"/>
  <c r="AA298" i="4"/>
  <c r="W298" i="4"/>
  <c r="X298" i="4" s="1"/>
  <c r="U298" i="4"/>
  <c r="R298" i="4"/>
  <c r="N298" i="4"/>
  <c r="O298" i="4" s="1"/>
  <c r="L298" i="4"/>
  <c r="H298" i="4"/>
  <c r="I298" i="4" s="1"/>
  <c r="F298" i="4"/>
  <c r="C298" i="4"/>
  <c r="AC297" i="4"/>
  <c r="AD297" i="4" s="1"/>
  <c r="AA297" i="4"/>
  <c r="W297" i="4"/>
  <c r="X297" i="4" s="1"/>
  <c r="U297" i="4"/>
  <c r="R297" i="4"/>
  <c r="O297" i="4"/>
  <c r="N297" i="4"/>
  <c r="L297" i="4"/>
  <c r="I297" i="4"/>
  <c r="H297" i="4"/>
  <c r="F297" i="4"/>
  <c r="C297" i="4"/>
  <c r="Z295" i="4"/>
  <c r="AC295" i="4" s="1"/>
  <c r="AD295" i="4" s="1"/>
  <c r="X295" i="4"/>
  <c r="U295" i="4"/>
  <c r="T295" i="4"/>
  <c r="Q295" i="4"/>
  <c r="W295" i="4" s="1"/>
  <c r="L295" i="4"/>
  <c r="K295" i="4"/>
  <c r="E295" i="4"/>
  <c r="H295" i="4" s="1"/>
  <c r="I295" i="4" s="1"/>
  <c r="C295" i="4"/>
  <c r="B295" i="4"/>
  <c r="N295" i="4" s="1"/>
  <c r="O295" i="4" s="1"/>
  <c r="AD294" i="4"/>
  <c r="AC294" i="4"/>
  <c r="AA294" i="4"/>
  <c r="W294" i="4"/>
  <c r="X294" i="4" s="1"/>
  <c r="U294" i="4"/>
  <c r="R294" i="4"/>
  <c r="N294" i="4"/>
  <c r="O294" i="4" s="1"/>
  <c r="L294" i="4"/>
  <c r="I294" i="4"/>
  <c r="H294" i="4"/>
  <c r="F294" i="4"/>
  <c r="C294" i="4"/>
  <c r="AD293" i="4"/>
  <c r="AC293" i="4"/>
  <c r="AA293" i="4"/>
  <c r="W293" i="4"/>
  <c r="X293" i="4" s="1"/>
  <c r="U293" i="4"/>
  <c r="R293" i="4"/>
  <c r="N293" i="4"/>
  <c r="O293" i="4" s="1"/>
  <c r="L293" i="4"/>
  <c r="I293" i="4"/>
  <c r="H293" i="4"/>
  <c r="F293" i="4"/>
  <c r="C293" i="4"/>
  <c r="AC292" i="4"/>
  <c r="AD292" i="4" s="1"/>
  <c r="AA292" i="4"/>
  <c r="X292" i="4"/>
  <c r="W292" i="4"/>
  <c r="U292" i="4"/>
  <c r="R292" i="4"/>
  <c r="O292" i="4"/>
  <c r="N292" i="4"/>
  <c r="L292" i="4"/>
  <c r="H292" i="4"/>
  <c r="I292" i="4" s="1"/>
  <c r="F292" i="4"/>
  <c r="C292" i="4"/>
  <c r="AC291" i="4"/>
  <c r="AD291" i="4" s="1"/>
  <c r="AA291" i="4"/>
  <c r="W291" i="4"/>
  <c r="X291" i="4" s="1"/>
  <c r="U291" i="4"/>
  <c r="R291" i="4"/>
  <c r="N291" i="4"/>
  <c r="O291" i="4" s="1"/>
  <c r="L291" i="4"/>
  <c r="I291" i="4"/>
  <c r="H291" i="4"/>
  <c r="F291" i="4"/>
  <c r="C291" i="4"/>
  <c r="AD290" i="4"/>
  <c r="AC290" i="4"/>
  <c r="AA290" i="4"/>
  <c r="W290" i="4"/>
  <c r="X290" i="4" s="1"/>
  <c r="U290" i="4"/>
  <c r="R290" i="4"/>
  <c r="N290" i="4"/>
  <c r="O290" i="4" s="1"/>
  <c r="L290" i="4"/>
  <c r="H290" i="4"/>
  <c r="I290" i="4" s="1"/>
  <c r="F290" i="4"/>
  <c r="C290" i="4"/>
  <c r="AC289" i="4"/>
  <c r="AD289" i="4" s="1"/>
  <c r="AA289" i="4"/>
  <c r="W289" i="4"/>
  <c r="X289" i="4" s="1"/>
  <c r="U289" i="4"/>
  <c r="R289" i="4"/>
  <c r="O289" i="4"/>
  <c r="N289" i="4"/>
  <c r="L289" i="4"/>
  <c r="I289" i="4"/>
  <c r="H289" i="4"/>
  <c r="F289" i="4"/>
  <c r="C289" i="4"/>
  <c r="AC288" i="4"/>
  <c r="AD288" i="4" s="1"/>
  <c r="AA288" i="4"/>
  <c r="W288" i="4"/>
  <c r="X288" i="4" s="1"/>
  <c r="U288" i="4"/>
  <c r="R288" i="4"/>
  <c r="N288" i="4"/>
  <c r="O288" i="4" s="1"/>
  <c r="L288" i="4"/>
  <c r="H288" i="4"/>
  <c r="I288" i="4" s="1"/>
  <c r="F288" i="4"/>
  <c r="C288" i="4"/>
  <c r="AC287" i="4"/>
  <c r="AD287" i="4" s="1"/>
  <c r="AA287" i="4"/>
  <c r="X287" i="4"/>
  <c r="W287" i="4"/>
  <c r="U287" i="4"/>
  <c r="R287" i="4"/>
  <c r="N287" i="4"/>
  <c r="O287" i="4" s="1"/>
  <c r="L287" i="4"/>
  <c r="H287" i="4"/>
  <c r="I287" i="4" s="1"/>
  <c r="F287" i="4"/>
  <c r="C287" i="4"/>
  <c r="AD286" i="4"/>
  <c r="AC286" i="4"/>
  <c r="AA286" i="4"/>
  <c r="W286" i="4"/>
  <c r="X286" i="4" s="1"/>
  <c r="U286" i="4"/>
  <c r="R286" i="4"/>
  <c r="N286" i="4"/>
  <c r="O286" i="4" s="1"/>
  <c r="L286" i="4"/>
  <c r="I286" i="4"/>
  <c r="H286" i="4"/>
  <c r="F286" i="4"/>
  <c r="C286" i="4"/>
  <c r="AA284" i="4"/>
  <c r="Z284" i="4"/>
  <c r="T284" i="4"/>
  <c r="U284" i="4" s="1"/>
  <c r="R284" i="4"/>
  <c r="Q284" i="4"/>
  <c r="AC284" i="4" s="1"/>
  <c r="AD284" i="4" s="1"/>
  <c r="K284" i="4"/>
  <c r="L284" i="4" s="1"/>
  <c r="F284" i="4"/>
  <c r="E284" i="4"/>
  <c r="H284" i="4" s="1"/>
  <c r="I284" i="4" s="1"/>
  <c r="C284" i="4"/>
  <c r="B284" i="4"/>
  <c r="AC283" i="4"/>
  <c r="AD283" i="4" s="1"/>
  <c r="AA283" i="4"/>
  <c r="W283" i="4"/>
  <c r="X283" i="4" s="1"/>
  <c r="U283" i="4"/>
  <c r="R283" i="4"/>
  <c r="N283" i="4"/>
  <c r="O283" i="4" s="1"/>
  <c r="L283" i="4"/>
  <c r="I283" i="4"/>
  <c r="H283" i="4"/>
  <c r="F283" i="4"/>
  <c r="C283" i="4"/>
  <c r="AD282" i="4"/>
  <c r="AC282" i="4"/>
  <c r="AA282" i="4"/>
  <c r="W282" i="4"/>
  <c r="X282" i="4" s="1"/>
  <c r="U282" i="4"/>
  <c r="R282" i="4"/>
  <c r="N282" i="4"/>
  <c r="O282" i="4" s="1"/>
  <c r="L282" i="4"/>
  <c r="I282" i="4"/>
  <c r="H282" i="4"/>
  <c r="F282" i="4"/>
  <c r="C282" i="4"/>
  <c r="AC281" i="4"/>
  <c r="AD281" i="4" s="1"/>
  <c r="AA281" i="4"/>
  <c r="W281" i="4"/>
  <c r="X281" i="4" s="1"/>
  <c r="U281" i="4"/>
  <c r="R281" i="4"/>
  <c r="O281" i="4"/>
  <c r="N281" i="4"/>
  <c r="L281" i="4"/>
  <c r="I281" i="4"/>
  <c r="H281" i="4"/>
  <c r="F281" i="4"/>
  <c r="C281" i="4"/>
  <c r="AC280" i="4"/>
  <c r="AD280" i="4" s="1"/>
  <c r="AA280" i="4"/>
  <c r="W280" i="4"/>
  <c r="X280" i="4" s="1"/>
  <c r="U280" i="4"/>
  <c r="R280" i="4"/>
  <c r="O280" i="4"/>
  <c r="N280" i="4"/>
  <c r="L280" i="4"/>
  <c r="H280" i="4"/>
  <c r="I280" i="4" s="1"/>
  <c r="F280" i="4"/>
  <c r="C280" i="4"/>
  <c r="AC279" i="4"/>
  <c r="AD279" i="4" s="1"/>
  <c r="AA279" i="4"/>
  <c r="X279" i="4"/>
  <c r="W279" i="4"/>
  <c r="U279" i="4"/>
  <c r="R279" i="4"/>
  <c r="N279" i="4"/>
  <c r="O279" i="4" s="1"/>
  <c r="L279" i="4"/>
  <c r="I279" i="4"/>
  <c r="H279" i="4"/>
  <c r="F279" i="4"/>
  <c r="C279" i="4"/>
  <c r="AD278" i="4"/>
  <c r="AC278" i="4"/>
  <c r="AA278" i="4"/>
  <c r="W278" i="4"/>
  <c r="X278" i="4" s="1"/>
  <c r="U278" i="4"/>
  <c r="R278" i="4"/>
  <c r="N278" i="4"/>
  <c r="O278" i="4" s="1"/>
  <c r="L278" i="4"/>
  <c r="I278" i="4"/>
  <c r="H278" i="4"/>
  <c r="F278" i="4"/>
  <c r="C278" i="4"/>
  <c r="AD277" i="4"/>
  <c r="AC277" i="4"/>
  <c r="AA277" i="4"/>
  <c r="W277" i="4"/>
  <c r="X277" i="4" s="1"/>
  <c r="U277" i="4"/>
  <c r="R277" i="4"/>
  <c r="N277" i="4"/>
  <c r="O277" i="4" s="1"/>
  <c r="L277" i="4"/>
  <c r="I277" i="4"/>
  <c r="H277" i="4"/>
  <c r="F277" i="4"/>
  <c r="C277" i="4"/>
  <c r="AC276" i="4"/>
  <c r="AD276" i="4" s="1"/>
  <c r="AA276" i="4"/>
  <c r="X276" i="4"/>
  <c r="W276" i="4"/>
  <c r="U276" i="4"/>
  <c r="R276" i="4"/>
  <c r="O276" i="4"/>
  <c r="N276" i="4"/>
  <c r="L276" i="4"/>
  <c r="H276" i="4"/>
  <c r="I276" i="4" s="1"/>
  <c r="F276" i="4"/>
  <c r="C276" i="4"/>
  <c r="AC275" i="4"/>
  <c r="AD275" i="4" s="1"/>
  <c r="AA275" i="4"/>
  <c r="W275" i="4"/>
  <c r="X275" i="4" s="1"/>
  <c r="U275" i="4"/>
  <c r="R275" i="4"/>
  <c r="N275" i="4"/>
  <c r="O275" i="4" s="1"/>
  <c r="L275" i="4"/>
  <c r="I275" i="4"/>
  <c r="H275" i="4"/>
  <c r="F275" i="4"/>
  <c r="C275" i="4"/>
  <c r="Z273" i="4"/>
  <c r="AA273" i="4" s="1"/>
  <c r="X273" i="4"/>
  <c r="W273" i="4"/>
  <c r="T273" i="4"/>
  <c r="U273" i="4" s="1"/>
  <c r="R273" i="4"/>
  <c r="Q273" i="4"/>
  <c r="K273" i="4"/>
  <c r="L273" i="4" s="1"/>
  <c r="F273" i="4"/>
  <c r="E273" i="4"/>
  <c r="B273" i="4"/>
  <c r="H273" i="4" s="1"/>
  <c r="I273" i="4" s="1"/>
  <c r="AC272" i="4"/>
  <c r="AD272" i="4" s="1"/>
  <c r="AA272" i="4"/>
  <c r="W272" i="4"/>
  <c r="X272" i="4" s="1"/>
  <c r="U272" i="4"/>
  <c r="R272" i="4"/>
  <c r="N272" i="4"/>
  <c r="O272" i="4" s="1"/>
  <c r="L272" i="4"/>
  <c r="H272" i="4"/>
  <c r="I272" i="4" s="1"/>
  <c r="F272" i="4"/>
  <c r="C272" i="4"/>
  <c r="AC271" i="4"/>
  <c r="AD271" i="4" s="1"/>
  <c r="AA271" i="4"/>
  <c r="X271" i="4"/>
  <c r="W271" i="4"/>
  <c r="U271" i="4"/>
  <c r="R271" i="4"/>
  <c r="N271" i="4"/>
  <c r="O271" i="4" s="1"/>
  <c r="L271" i="4"/>
  <c r="H271" i="4"/>
  <c r="I271" i="4" s="1"/>
  <c r="F271" i="4"/>
  <c r="C271" i="4"/>
  <c r="AD270" i="4"/>
  <c r="AC270" i="4"/>
  <c r="AA270" i="4"/>
  <c r="W270" i="4"/>
  <c r="X270" i="4" s="1"/>
  <c r="U270" i="4"/>
  <c r="R270" i="4"/>
  <c r="N270" i="4"/>
  <c r="O270" i="4" s="1"/>
  <c r="L270" i="4"/>
  <c r="I270" i="4"/>
  <c r="H270" i="4"/>
  <c r="F270" i="4"/>
  <c r="C270" i="4"/>
  <c r="AD269" i="4"/>
  <c r="AC269" i="4"/>
  <c r="AA269" i="4"/>
  <c r="W269" i="4"/>
  <c r="X269" i="4" s="1"/>
  <c r="U269" i="4"/>
  <c r="R269" i="4"/>
  <c r="N269" i="4"/>
  <c r="O269" i="4" s="1"/>
  <c r="L269" i="4"/>
  <c r="I269" i="4"/>
  <c r="H269" i="4"/>
  <c r="F269" i="4"/>
  <c r="C269" i="4"/>
  <c r="AA267" i="4"/>
  <c r="Z267" i="4"/>
  <c r="AC267" i="4" s="1"/>
  <c r="AD267" i="4" s="1"/>
  <c r="T267" i="4"/>
  <c r="U267" i="4" s="1"/>
  <c r="R267" i="4"/>
  <c r="Q267" i="4"/>
  <c r="N267" i="4"/>
  <c r="O267" i="4" s="1"/>
  <c r="L267" i="4"/>
  <c r="K267" i="4"/>
  <c r="F267" i="4"/>
  <c r="E267" i="4"/>
  <c r="B267" i="4"/>
  <c r="AD266" i="4"/>
  <c r="AC266" i="4"/>
  <c r="AA266" i="4"/>
  <c r="W266" i="4"/>
  <c r="X266" i="4" s="1"/>
  <c r="U266" i="4"/>
  <c r="R266" i="4"/>
  <c r="N266" i="4"/>
  <c r="O266" i="4" s="1"/>
  <c r="L266" i="4"/>
  <c r="H266" i="4"/>
  <c r="I266" i="4" s="1"/>
  <c r="F266" i="4"/>
  <c r="C266" i="4"/>
  <c r="AC265" i="4"/>
  <c r="AD265" i="4" s="1"/>
  <c r="AA265" i="4"/>
  <c r="W265" i="4"/>
  <c r="X265" i="4" s="1"/>
  <c r="U265" i="4"/>
  <c r="R265" i="4"/>
  <c r="O265" i="4"/>
  <c r="N265" i="4"/>
  <c r="L265" i="4"/>
  <c r="I265" i="4"/>
  <c r="H265" i="4"/>
  <c r="F265" i="4"/>
  <c r="C265" i="4"/>
  <c r="Z263" i="4"/>
  <c r="AC263" i="4" s="1"/>
  <c r="AD263" i="4" s="1"/>
  <c r="X263" i="4"/>
  <c r="U263" i="4"/>
  <c r="T263" i="4"/>
  <c r="Q263" i="4"/>
  <c r="W263" i="4" s="1"/>
  <c r="L263" i="4"/>
  <c r="K263" i="4"/>
  <c r="E263" i="4"/>
  <c r="H263" i="4" s="1"/>
  <c r="I263" i="4" s="1"/>
  <c r="C263" i="4"/>
  <c r="B263" i="4"/>
  <c r="N263" i="4" s="1"/>
  <c r="O263" i="4" s="1"/>
  <c r="Z262" i="4"/>
  <c r="AA262" i="4" s="1"/>
  <c r="T262" i="4"/>
  <c r="W262" i="4" s="1"/>
  <c r="X262" i="4" s="1"/>
  <c r="R262" i="4"/>
  <c r="Q262" i="4"/>
  <c r="O262" i="4"/>
  <c r="N262" i="4"/>
  <c r="K262" i="4"/>
  <c r="L262" i="4" s="1"/>
  <c r="F262" i="4"/>
  <c r="E262" i="4"/>
  <c r="C262" i="4"/>
  <c r="B262" i="4"/>
  <c r="H262" i="4" s="1"/>
  <c r="I262" i="4" s="1"/>
  <c r="AC261" i="4"/>
  <c r="AD261" i="4" s="1"/>
  <c r="AA261" i="4"/>
  <c r="X261" i="4"/>
  <c r="W261" i="4"/>
  <c r="U261" i="4"/>
  <c r="R261" i="4"/>
  <c r="O261" i="4"/>
  <c r="N261" i="4"/>
  <c r="L261" i="4"/>
  <c r="H261" i="4"/>
  <c r="I261" i="4" s="1"/>
  <c r="F261" i="4"/>
  <c r="C261" i="4"/>
  <c r="AC260" i="4"/>
  <c r="AD260" i="4" s="1"/>
  <c r="AA260" i="4"/>
  <c r="W260" i="4"/>
  <c r="X260" i="4" s="1"/>
  <c r="U260" i="4"/>
  <c r="R260" i="4"/>
  <c r="N260" i="4"/>
  <c r="O260" i="4" s="1"/>
  <c r="L260" i="4"/>
  <c r="I260" i="4"/>
  <c r="H260" i="4"/>
  <c r="F260" i="4"/>
  <c r="C260" i="4"/>
  <c r="AD259" i="4"/>
  <c r="AC259" i="4"/>
  <c r="AA259" i="4"/>
  <c r="X259" i="4"/>
  <c r="W259" i="4"/>
  <c r="U259" i="4"/>
  <c r="R259" i="4"/>
  <c r="N259" i="4"/>
  <c r="O259" i="4" s="1"/>
  <c r="L259" i="4"/>
  <c r="H259" i="4"/>
  <c r="I259" i="4" s="1"/>
  <c r="F259" i="4"/>
  <c r="C259" i="4"/>
  <c r="AC258" i="4"/>
  <c r="AD258" i="4" s="1"/>
  <c r="AA258" i="4"/>
  <c r="W258" i="4"/>
  <c r="X258" i="4" s="1"/>
  <c r="U258" i="4"/>
  <c r="R258" i="4"/>
  <c r="O258" i="4"/>
  <c r="N258" i="4"/>
  <c r="L258" i="4"/>
  <c r="I258" i="4"/>
  <c r="H258" i="4"/>
  <c r="F258" i="4"/>
  <c r="C258" i="4"/>
  <c r="AC257" i="4"/>
  <c r="AD257" i="4" s="1"/>
  <c r="AA257" i="4"/>
  <c r="W257" i="4"/>
  <c r="X257" i="4" s="1"/>
  <c r="U257" i="4"/>
  <c r="R257" i="4"/>
  <c r="N257" i="4"/>
  <c r="O257" i="4" s="1"/>
  <c r="L257" i="4"/>
  <c r="H257" i="4"/>
  <c r="I257" i="4" s="1"/>
  <c r="F257" i="4"/>
  <c r="C257" i="4"/>
  <c r="AC256" i="4"/>
  <c r="AD256" i="4" s="1"/>
  <c r="AA256" i="4"/>
  <c r="X256" i="4"/>
  <c r="W256" i="4"/>
  <c r="U256" i="4"/>
  <c r="R256" i="4"/>
  <c r="N256" i="4"/>
  <c r="O256" i="4" s="1"/>
  <c r="L256" i="4"/>
  <c r="H256" i="4"/>
  <c r="I256" i="4" s="1"/>
  <c r="F256" i="4"/>
  <c r="C256" i="4"/>
  <c r="AD255" i="4"/>
  <c r="AC255" i="4"/>
  <c r="AA255" i="4"/>
  <c r="W255" i="4"/>
  <c r="X255" i="4" s="1"/>
  <c r="U255" i="4"/>
  <c r="R255" i="4"/>
  <c r="N255" i="4"/>
  <c r="O255" i="4" s="1"/>
  <c r="L255" i="4"/>
  <c r="I255" i="4"/>
  <c r="H255" i="4"/>
  <c r="F255" i="4"/>
  <c r="C255" i="4"/>
  <c r="AD254" i="4"/>
  <c r="AC254" i="4"/>
  <c r="AA254" i="4"/>
  <c r="W254" i="4"/>
  <c r="X254" i="4" s="1"/>
  <c r="U254" i="4"/>
  <c r="R254" i="4"/>
  <c r="N254" i="4"/>
  <c r="O254" i="4" s="1"/>
  <c r="L254" i="4"/>
  <c r="I254" i="4"/>
  <c r="H254" i="4"/>
  <c r="F254" i="4"/>
  <c r="C254" i="4"/>
  <c r="AC253" i="4"/>
  <c r="AD253" i="4" s="1"/>
  <c r="AA253" i="4"/>
  <c r="X253" i="4"/>
  <c r="W253" i="4"/>
  <c r="U253" i="4"/>
  <c r="R253" i="4"/>
  <c r="O253" i="4"/>
  <c r="N253" i="4"/>
  <c r="L253" i="4"/>
  <c r="H253" i="4"/>
  <c r="I253" i="4" s="1"/>
  <c r="F253" i="4"/>
  <c r="C253" i="4"/>
  <c r="AC252" i="4"/>
  <c r="AD252" i="4" s="1"/>
  <c r="AA252" i="4"/>
  <c r="W252" i="4"/>
  <c r="X252" i="4" s="1"/>
  <c r="U252" i="4"/>
  <c r="R252" i="4"/>
  <c r="N252" i="4"/>
  <c r="O252" i="4" s="1"/>
  <c r="L252" i="4"/>
  <c r="I252" i="4"/>
  <c r="H252" i="4"/>
  <c r="F252" i="4"/>
  <c r="C252" i="4"/>
  <c r="AD251" i="4"/>
  <c r="AC251" i="4"/>
  <c r="AA251" i="4"/>
  <c r="W251" i="4"/>
  <c r="X251" i="4" s="1"/>
  <c r="U251" i="4"/>
  <c r="R251" i="4"/>
  <c r="N251" i="4"/>
  <c r="O251" i="4" s="1"/>
  <c r="L251" i="4"/>
  <c r="H251" i="4"/>
  <c r="I251" i="4" s="1"/>
  <c r="F251" i="4"/>
  <c r="C251" i="4"/>
  <c r="AC250" i="4"/>
  <c r="AD250" i="4" s="1"/>
  <c r="AA250" i="4"/>
  <c r="W250" i="4"/>
  <c r="X250" i="4" s="1"/>
  <c r="U250" i="4"/>
  <c r="R250" i="4"/>
  <c r="O250" i="4"/>
  <c r="N250" i="4"/>
  <c r="L250" i="4"/>
  <c r="I250" i="4"/>
  <c r="H250" i="4"/>
  <c r="F250" i="4"/>
  <c r="C250" i="4"/>
  <c r="AC249" i="4"/>
  <c r="AD249" i="4" s="1"/>
  <c r="AA249" i="4"/>
  <c r="W249" i="4"/>
  <c r="X249" i="4" s="1"/>
  <c r="U249" i="4"/>
  <c r="R249" i="4"/>
  <c r="N249" i="4"/>
  <c r="O249" i="4" s="1"/>
  <c r="L249" i="4"/>
  <c r="H249" i="4"/>
  <c r="I249" i="4" s="1"/>
  <c r="F249" i="4"/>
  <c r="C249" i="4"/>
  <c r="AC248" i="4"/>
  <c r="AD248" i="4" s="1"/>
  <c r="AA248" i="4"/>
  <c r="X248" i="4"/>
  <c r="W248" i="4"/>
  <c r="U248" i="4"/>
  <c r="R248" i="4"/>
  <c r="N248" i="4"/>
  <c r="O248" i="4" s="1"/>
  <c r="L248" i="4"/>
  <c r="H248" i="4"/>
  <c r="I248" i="4" s="1"/>
  <c r="F248" i="4"/>
  <c r="C248" i="4"/>
  <c r="AD247" i="4"/>
  <c r="AC247" i="4"/>
  <c r="AA247" i="4"/>
  <c r="W247" i="4"/>
  <c r="X247" i="4" s="1"/>
  <c r="U247" i="4"/>
  <c r="R247" i="4"/>
  <c r="N247" i="4"/>
  <c r="O247" i="4" s="1"/>
  <c r="L247" i="4"/>
  <c r="I247" i="4"/>
  <c r="H247" i="4"/>
  <c r="F247" i="4"/>
  <c r="C247" i="4"/>
  <c r="AD246" i="4"/>
  <c r="AC246" i="4"/>
  <c r="AA246" i="4"/>
  <c r="W246" i="4"/>
  <c r="X246" i="4" s="1"/>
  <c r="U246" i="4"/>
  <c r="R246" i="4"/>
  <c r="N246" i="4"/>
  <c r="O246" i="4" s="1"/>
  <c r="L246" i="4"/>
  <c r="I246" i="4"/>
  <c r="H246" i="4"/>
  <c r="F246" i="4"/>
  <c r="C246" i="4"/>
  <c r="AC245" i="4"/>
  <c r="AD245" i="4" s="1"/>
  <c r="AA245" i="4"/>
  <c r="X245" i="4"/>
  <c r="W245" i="4"/>
  <c r="U245" i="4"/>
  <c r="R245" i="4"/>
  <c r="O245" i="4"/>
  <c r="N245" i="4"/>
  <c r="L245" i="4"/>
  <c r="H245" i="4"/>
  <c r="I245" i="4" s="1"/>
  <c r="F245" i="4"/>
  <c r="C245" i="4"/>
  <c r="AC244" i="4"/>
  <c r="AD244" i="4" s="1"/>
  <c r="AA244" i="4"/>
  <c r="W244" i="4"/>
  <c r="X244" i="4" s="1"/>
  <c r="U244" i="4"/>
  <c r="R244" i="4"/>
  <c r="N244" i="4"/>
  <c r="O244" i="4" s="1"/>
  <c r="L244" i="4"/>
  <c r="I244" i="4"/>
  <c r="H244" i="4"/>
  <c r="F244" i="4"/>
  <c r="C244" i="4"/>
  <c r="AD243" i="4"/>
  <c r="AC243" i="4"/>
  <c r="AA243" i="4"/>
  <c r="X243" i="4"/>
  <c r="W243" i="4"/>
  <c r="U243" i="4"/>
  <c r="R243" i="4"/>
  <c r="N243" i="4"/>
  <c r="O243" i="4" s="1"/>
  <c r="L243" i="4"/>
  <c r="H243" i="4"/>
  <c r="I243" i="4" s="1"/>
  <c r="F243" i="4"/>
  <c r="C243" i="4"/>
  <c r="AC242" i="4"/>
  <c r="AD242" i="4" s="1"/>
  <c r="AA242" i="4"/>
  <c r="W242" i="4"/>
  <c r="X242" i="4" s="1"/>
  <c r="U242" i="4"/>
  <c r="R242" i="4"/>
  <c r="O242" i="4"/>
  <c r="N242" i="4"/>
  <c r="L242" i="4"/>
  <c r="I242" i="4"/>
  <c r="H242" i="4"/>
  <c r="F242" i="4"/>
  <c r="C242" i="4"/>
  <c r="AC241" i="4"/>
  <c r="AD241" i="4" s="1"/>
  <c r="AA241" i="4"/>
  <c r="W241" i="4"/>
  <c r="X241" i="4" s="1"/>
  <c r="U241" i="4"/>
  <c r="R241" i="4"/>
  <c r="N241" i="4"/>
  <c r="O241" i="4" s="1"/>
  <c r="L241" i="4"/>
  <c r="H241" i="4"/>
  <c r="I241" i="4" s="1"/>
  <c r="F241" i="4"/>
  <c r="C241" i="4"/>
  <c r="AC240" i="4"/>
  <c r="AD240" i="4" s="1"/>
  <c r="AA240" i="4"/>
  <c r="X240" i="4"/>
  <c r="W240" i="4"/>
  <c r="U240" i="4"/>
  <c r="R240" i="4"/>
  <c r="N240" i="4"/>
  <c r="O240" i="4" s="1"/>
  <c r="L240" i="4"/>
  <c r="H240" i="4"/>
  <c r="I240" i="4" s="1"/>
  <c r="F240" i="4"/>
  <c r="C240" i="4"/>
  <c r="AD238" i="4"/>
  <c r="AC238" i="4"/>
  <c r="AA238" i="4"/>
  <c r="W238" i="4"/>
  <c r="X238" i="4" s="1"/>
  <c r="U238" i="4"/>
  <c r="R238" i="4"/>
  <c r="N238" i="4"/>
  <c r="O238" i="4" s="1"/>
  <c r="L238" i="4"/>
  <c r="I238" i="4"/>
  <c r="H238" i="4"/>
  <c r="F238" i="4"/>
  <c r="C238" i="4"/>
  <c r="AD236" i="4"/>
  <c r="AA236" i="4"/>
  <c r="Z236" i="4"/>
  <c r="T236" i="4"/>
  <c r="U236" i="4" s="1"/>
  <c r="R236" i="4"/>
  <c r="Q236" i="4"/>
  <c r="AC236" i="4" s="1"/>
  <c r="K236" i="4"/>
  <c r="L236" i="4" s="1"/>
  <c r="E236" i="4"/>
  <c r="C236" i="4"/>
  <c r="B236" i="4"/>
  <c r="AC235" i="4"/>
  <c r="AD235" i="4" s="1"/>
  <c r="AA235" i="4"/>
  <c r="W235" i="4"/>
  <c r="X235" i="4" s="1"/>
  <c r="U235" i="4"/>
  <c r="R235" i="4"/>
  <c r="N235" i="4"/>
  <c r="O235" i="4" s="1"/>
  <c r="L235" i="4"/>
  <c r="I235" i="4"/>
  <c r="H235" i="4"/>
  <c r="F235" i="4"/>
  <c r="C235" i="4"/>
  <c r="AD234" i="4"/>
  <c r="AC234" i="4"/>
  <c r="AA234" i="4"/>
  <c r="W234" i="4"/>
  <c r="X234" i="4" s="1"/>
  <c r="U234" i="4"/>
  <c r="R234" i="4"/>
  <c r="N234" i="4"/>
  <c r="O234" i="4" s="1"/>
  <c r="L234" i="4"/>
  <c r="I234" i="4"/>
  <c r="H234" i="4"/>
  <c r="F234" i="4"/>
  <c r="C234" i="4"/>
  <c r="AC233" i="4"/>
  <c r="AD233" i="4" s="1"/>
  <c r="AA233" i="4"/>
  <c r="W233" i="4"/>
  <c r="X233" i="4" s="1"/>
  <c r="U233" i="4"/>
  <c r="R233" i="4"/>
  <c r="O233" i="4"/>
  <c r="N233" i="4"/>
  <c r="L233" i="4"/>
  <c r="I233" i="4"/>
  <c r="H233" i="4"/>
  <c r="F233" i="4"/>
  <c r="C233" i="4"/>
  <c r="AC232" i="4"/>
  <c r="AD232" i="4" s="1"/>
  <c r="AA232" i="4"/>
  <c r="W232" i="4"/>
  <c r="X232" i="4" s="1"/>
  <c r="U232" i="4"/>
  <c r="R232" i="4"/>
  <c r="O232" i="4"/>
  <c r="N232" i="4"/>
  <c r="L232" i="4"/>
  <c r="H232" i="4"/>
  <c r="I232" i="4" s="1"/>
  <c r="F232" i="4"/>
  <c r="C232" i="4"/>
  <c r="AC231" i="4"/>
  <c r="AD231" i="4" s="1"/>
  <c r="AA231" i="4"/>
  <c r="X231" i="4"/>
  <c r="W231" i="4"/>
  <c r="U231" i="4"/>
  <c r="R231" i="4"/>
  <c r="N231" i="4"/>
  <c r="O231" i="4" s="1"/>
  <c r="L231" i="4"/>
  <c r="H231" i="4"/>
  <c r="I231" i="4" s="1"/>
  <c r="F231" i="4"/>
  <c r="C231" i="4"/>
  <c r="AD230" i="4"/>
  <c r="AC230" i="4"/>
  <c r="AA230" i="4"/>
  <c r="W230" i="4"/>
  <c r="X230" i="4" s="1"/>
  <c r="U230" i="4"/>
  <c r="R230" i="4"/>
  <c r="N230" i="4"/>
  <c r="O230" i="4" s="1"/>
  <c r="L230" i="4"/>
  <c r="I230" i="4"/>
  <c r="H230" i="4"/>
  <c r="F230" i="4"/>
  <c r="C230" i="4"/>
  <c r="AD229" i="4"/>
  <c r="AC229" i="4"/>
  <c r="AA229" i="4"/>
  <c r="W229" i="4"/>
  <c r="X229" i="4" s="1"/>
  <c r="U229" i="4"/>
  <c r="R229" i="4"/>
  <c r="N229" i="4"/>
  <c r="O229" i="4" s="1"/>
  <c r="L229" i="4"/>
  <c r="I229" i="4"/>
  <c r="H229" i="4"/>
  <c r="F229" i="4"/>
  <c r="C229" i="4"/>
  <c r="Z227" i="4"/>
  <c r="AC227" i="4" s="1"/>
  <c r="AD227" i="4" s="1"/>
  <c r="T227" i="4"/>
  <c r="U227" i="4" s="1"/>
  <c r="R227" i="4"/>
  <c r="Q227" i="4"/>
  <c r="L227" i="4"/>
  <c r="K227" i="4"/>
  <c r="H227" i="4"/>
  <c r="I227" i="4" s="1"/>
  <c r="F227" i="4"/>
  <c r="E227" i="4"/>
  <c r="B227" i="4"/>
  <c r="C227" i="4" s="1"/>
  <c r="AD226" i="4"/>
  <c r="AC226" i="4"/>
  <c r="AA226" i="4"/>
  <c r="W226" i="4"/>
  <c r="X226" i="4" s="1"/>
  <c r="U226" i="4"/>
  <c r="R226" i="4"/>
  <c r="N226" i="4"/>
  <c r="O226" i="4" s="1"/>
  <c r="L226" i="4"/>
  <c r="H226" i="4"/>
  <c r="I226" i="4" s="1"/>
  <c r="F226" i="4"/>
  <c r="C226" i="4"/>
  <c r="AC225" i="4"/>
  <c r="AD225" i="4" s="1"/>
  <c r="AA225" i="4"/>
  <c r="W225" i="4"/>
  <c r="X225" i="4" s="1"/>
  <c r="U225" i="4"/>
  <c r="R225" i="4"/>
  <c r="O225" i="4"/>
  <c r="N225" i="4"/>
  <c r="L225" i="4"/>
  <c r="I225" i="4"/>
  <c r="H225" i="4"/>
  <c r="F225" i="4"/>
  <c r="C225" i="4"/>
  <c r="AC224" i="4"/>
  <c r="AD224" i="4" s="1"/>
  <c r="AA224" i="4"/>
  <c r="W224" i="4"/>
  <c r="X224" i="4" s="1"/>
  <c r="U224" i="4"/>
  <c r="R224" i="4"/>
  <c r="N224" i="4"/>
  <c r="O224" i="4" s="1"/>
  <c r="L224" i="4"/>
  <c r="H224" i="4"/>
  <c r="I224" i="4" s="1"/>
  <c r="F224" i="4"/>
  <c r="C224" i="4"/>
  <c r="AC223" i="4"/>
  <c r="AD223" i="4" s="1"/>
  <c r="AA223" i="4"/>
  <c r="X223" i="4"/>
  <c r="W223" i="4"/>
  <c r="U223" i="4"/>
  <c r="R223" i="4"/>
  <c r="N223" i="4"/>
  <c r="O223" i="4" s="1"/>
  <c r="L223" i="4"/>
  <c r="H223" i="4"/>
  <c r="I223" i="4" s="1"/>
  <c r="F223" i="4"/>
  <c r="C223" i="4"/>
  <c r="AD222" i="4"/>
  <c r="AC222" i="4"/>
  <c r="AA222" i="4"/>
  <c r="W222" i="4"/>
  <c r="X222" i="4" s="1"/>
  <c r="U222" i="4"/>
  <c r="R222" i="4"/>
  <c r="N222" i="4"/>
  <c r="O222" i="4" s="1"/>
  <c r="L222" i="4"/>
  <c r="I222" i="4"/>
  <c r="H222" i="4"/>
  <c r="F222" i="4"/>
  <c r="C222" i="4"/>
  <c r="AD221" i="4"/>
  <c r="AC221" i="4"/>
  <c r="AA221" i="4"/>
  <c r="W221" i="4"/>
  <c r="X221" i="4" s="1"/>
  <c r="U221" i="4"/>
  <c r="R221" i="4"/>
  <c r="N221" i="4"/>
  <c r="O221" i="4" s="1"/>
  <c r="L221" i="4"/>
  <c r="I221" i="4"/>
  <c r="H221" i="4"/>
  <c r="F221" i="4"/>
  <c r="C221" i="4"/>
  <c r="AC220" i="4"/>
  <c r="AD220" i="4" s="1"/>
  <c r="AA220" i="4"/>
  <c r="X220" i="4"/>
  <c r="W220" i="4"/>
  <c r="U220" i="4"/>
  <c r="R220" i="4"/>
  <c r="O220" i="4"/>
  <c r="N220" i="4"/>
  <c r="L220" i="4"/>
  <c r="H220" i="4"/>
  <c r="I220" i="4" s="1"/>
  <c r="F220" i="4"/>
  <c r="C220" i="4"/>
  <c r="AC219" i="4"/>
  <c r="AD219" i="4" s="1"/>
  <c r="AA219" i="4"/>
  <c r="W219" i="4"/>
  <c r="X219" i="4" s="1"/>
  <c r="U219" i="4"/>
  <c r="R219" i="4"/>
  <c r="N219" i="4"/>
  <c r="O219" i="4" s="1"/>
  <c r="L219" i="4"/>
  <c r="I219" i="4"/>
  <c r="H219" i="4"/>
  <c r="F219" i="4"/>
  <c r="C219" i="4"/>
  <c r="Z218" i="4"/>
  <c r="AA218" i="4" s="1"/>
  <c r="T218" i="4"/>
  <c r="W218" i="4" s="1"/>
  <c r="X218" i="4" s="1"/>
  <c r="R218" i="4"/>
  <c r="Q218" i="4"/>
  <c r="AC218" i="4" s="1"/>
  <c r="AD218" i="4" s="1"/>
  <c r="K218" i="4"/>
  <c r="L218" i="4" s="1"/>
  <c r="H218" i="4"/>
  <c r="I218" i="4" s="1"/>
  <c r="F218" i="4"/>
  <c r="E218" i="4"/>
  <c r="B218" i="4"/>
  <c r="C218" i="4" s="1"/>
  <c r="AC217" i="4"/>
  <c r="AD217" i="4" s="1"/>
  <c r="AA217" i="4"/>
  <c r="W217" i="4"/>
  <c r="X217" i="4" s="1"/>
  <c r="U217" i="4"/>
  <c r="R217" i="4"/>
  <c r="N217" i="4"/>
  <c r="O217" i="4" s="1"/>
  <c r="L217" i="4"/>
  <c r="H217" i="4"/>
  <c r="I217" i="4" s="1"/>
  <c r="F217" i="4"/>
  <c r="C217" i="4"/>
  <c r="AC216" i="4"/>
  <c r="AD216" i="4" s="1"/>
  <c r="AA216" i="4"/>
  <c r="X216" i="4"/>
  <c r="W216" i="4"/>
  <c r="U216" i="4"/>
  <c r="R216" i="4"/>
  <c r="N216" i="4"/>
  <c r="O216" i="4" s="1"/>
  <c r="L216" i="4"/>
  <c r="H216" i="4"/>
  <c r="I216" i="4" s="1"/>
  <c r="F216" i="4"/>
  <c r="C216" i="4"/>
  <c r="AD215" i="4"/>
  <c r="AC215" i="4"/>
  <c r="AA215" i="4"/>
  <c r="W215" i="4"/>
  <c r="X215" i="4" s="1"/>
  <c r="U215" i="4"/>
  <c r="R215" i="4"/>
  <c r="N215" i="4"/>
  <c r="O215" i="4" s="1"/>
  <c r="L215" i="4"/>
  <c r="I215" i="4"/>
  <c r="H215" i="4"/>
  <c r="F215" i="4"/>
  <c r="C215" i="4"/>
  <c r="AD214" i="4"/>
  <c r="AC214" i="4"/>
  <c r="AA214" i="4"/>
  <c r="W214" i="4"/>
  <c r="X214" i="4" s="1"/>
  <c r="U214" i="4"/>
  <c r="R214" i="4"/>
  <c r="N214" i="4"/>
  <c r="O214" i="4" s="1"/>
  <c r="L214" i="4"/>
  <c r="I214" i="4"/>
  <c r="H214" i="4"/>
  <c r="F214" i="4"/>
  <c r="C214" i="4"/>
  <c r="AC213" i="4"/>
  <c r="AD213" i="4" s="1"/>
  <c r="AA213" i="4"/>
  <c r="X213" i="4"/>
  <c r="W213" i="4"/>
  <c r="U213" i="4"/>
  <c r="R213" i="4"/>
  <c r="O213" i="4"/>
  <c r="N213" i="4"/>
  <c r="L213" i="4"/>
  <c r="H213" i="4"/>
  <c r="I213" i="4" s="1"/>
  <c r="F213" i="4"/>
  <c r="C213" i="4"/>
  <c r="AC211" i="4"/>
  <c r="AD211" i="4" s="1"/>
  <c r="AA211" i="4"/>
  <c r="W211" i="4"/>
  <c r="X211" i="4" s="1"/>
  <c r="U211" i="4"/>
  <c r="R211" i="4"/>
  <c r="N211" i="4"/>
  <c r="O211" i="4" s="1"/>
  <c r="L211" i="4"/>
  <c r="I211" i="4"/>
  <c r="H211" i="4"/>
  <c r="F211" i="4"/>
  <c r="C211" i="4"/>
  <c r="Z209" i="4"/>
  <c r="AA209" i="4" s="1"/>
  <c r="W209" i="4"/>
  <c r="X209" i="4" s="1"/>
  <c r="T209" i="4"/>
  <c r="U209" i="4" s="1"/>
  <c r="R209" i="4"/>
  <c r="Q209" i="4"/>
  <c r="K209" i="4"/>
  <c r="L209" i="4" s="1"/>
  <c r="F209" i="4"/>
  <c r="E209" i="4"/>
  <c r="B209" i="4"/>
  <c r="H209" i="4" s="1"/>
  <c r="I209" i="4" s="1"/>
  <c r="AC208" i="4"/>
  <c r="AD208" i="4" s="1"/>
  <c r="AA208" i="4"/>
  <c r="W208" i="4"/>
  <c r="X208" i="4" s="1"/>
  <c r="U208" i="4"/>
  <c r="R208" i="4"/>
  <c r="N208" i="4"/>
  <c r="O208" i="4" s="1"/>
  <c r="L208" i="4"/>
  <c r="H208" i="4"/>
  <c r="I208" i="4" s="1"/>
  <c r="F208" i="4"/>
  <c r="C208" i="4"/>
  <c r="AC207" i="4"/>
  <c r="AD207" i="4" s="1"/>
  <c r="AA207" i="4"/>
  <c r="X207" i="4"/>
  <c r="W207" i="4"/>
  <c r="U207" i="4"/>
  <c r="R207" i="4"/>
  <c r="N207" i="4"/>
  <c r="O207" i="4" s="1"/>
  <c r="L207" i="4"/>
  <c r="H207" i="4"/>
  <c r="I207" i="4" s="1"/>
  <c r="F207" i="4"/>
  <c r="C207" i="4"/>
  <c r="AD206" i="4"/>
  <c r="AC206" i="4"/>
  <c r="AA206" i="4"/>
  <c r="W206" i="4"/>
  <c r="X206" i="4" s="1"/>
  <c r="U206" i="4"/>
  <c r="R206" i="4"/>
  <c r="N206" i="4"/>
  <c r="O206" i="4" s="1"/>
  <c r="L206" i="4"/>
  <c r="I206" i="4"/>
  <c r="H206" i="4"/>
  <c r="F206" i="4"/>
  <c r="C206" i="4"/>
  <c r="AD205" i="4"/>
  <c r="AC205" i="4"/>
  <c r="AA205" i="4"/>
  <c r="W205" i="4"/>
  <c r="X205" i="4" s="1"/>
  <c r="U205" i="4"/>
  <c r="R205" i="4"/>
  <c r="N205" i="4"/>
  <c r="O205" i="4" s="1"/>
  <c r="L205" i="4"/>
  <c r="I205" i="4"/>
  <c r="H205" i="4"/>
  <c r="F205" i="4"/>
  <c r="C205" i="4"/>
  <c r="AC204" i="4"/>
  <c r="AD204" i="4" s="1"/>
  <c r="AA204" i="4"/>
  <c r="X204" i="4"/>
  <c r="W204" i="4"/>
  <c r="U204" i="4"/>
  <c r="R204" i="4"/>
  <c r="O204" i="4"/>
  <c r="N204" i="4"/>
  <c r="L204" i="4"/>
  <c r="H204" i="4"/>
  <c r="I204" i="4" s="1"/>
  <c r="F204" i="4"/>
  <c r="C204" i="4"/>
  <c r="AC203" i="4"/>
  <c r="AD203" i="4" s="1"/>
  <c r="AA203" i="4"/>
  <c r="W203" i="4"/>
  <c r="X203" i="4" s="1"/>
  <c r="U203" i="4"/>
  <c r="R203" i="4"/>
  <c r="N203" i="4"/>
  <c r="O203" i="4" s="1"/>
  <c r="L203" i="4"/>
  <c r="I203" i="4"/>
  <c r="H203" i="4"/>
  <c r="F203" i="4"/>
  <c r="C203" i="4"/>
  <c r="AD202" i="4"/>
  <c r="AC202" i="4"/>
  <c r="AA202" i="4"/>
  <c r="W202" i="4"/>
  <c r="X202" i="4" s="1"/>
  <c r="U202" i="4"/>
  <c r="R202" i="4"/>
  <c r="N202" i="4"/>
  <c r="O202" i="4" s="1"/>
  <c r="L202" i="4"/>
  <c r="H202" i="4"/>
  <c r="I202" i="4" s="1"/>
  <c r="F202" i="4"/>
  <c r="C202" i="4"/>
  <c r="AC201" i="4"/>
  <c r="AD201" i="4" s="1"/>
  <c r="AA201" i="4"/>
  <c r="W201" i="4"/>
  <c r="X201" i="4" s="1"/>
  <c r="U201" i="4"/>
  <c r="R201" i="4"/>
  <c r="O201" i="4"/>
  <c r="N201" i="4"/>
  <c r="L201" i="4"/>
  <c r="I201" i="4"/>
  <c r="H201" i="4"/>
  <c r="F201" i="4"/>
  <c r="C201" i="4"/>
  <c r="L198" i="4"/>
  <c r="Z197" i="4"/>
  <c r="AA197" i="4" s="1"/>
  <c r="T197" i="4"/>
  <c r="W197" i="4" s="1"/>
  <c r="X197" i="4" s="1"/>
  <c r="R197" i="4"/>
  <c r="Q197" i="4"/>
  <c r="L197" i="4"/>
  <c r="K197" i="4"/>
  <c r="F197" i="4"/>
  <c r="E197" i="4"/>
  <c r="B197" i="4"/>
  <c r="N197" i="4" s="1"/>
  <c r="O197" i="4" s="1"/>
  <c r="Z196" i="4"/>
  <c r="AA196" i="4" s="1"/>
  <c r="T196" i="4"/>
  <c r="U196" i="4" s="1"/>
  <c r="Q196" i="4"/>
  <c r="L196" i="4"/>
  <c r="K196" i="4"/>
  <c r="F196" i="4"/>
  <c r="E196" i="4"/>
  <c r="H196" i="4" s="1"/>
  <c r="I196" i="4" s="1"/>
  <c r="B196" i="4"/>
  <c r="C196" i="4" s="1"/>
  <c r="AD195" i="4"/>
  <c r="AC195" i="4"/>
  <c r="AA195" i="4"/>
  <c r="W195" i="4"/>
  <c r="X195" i="4" s="1"/>
  <c r="U195" i="4"/>
  <c r="R195" i="4"/>
  <c r="N195" i="4"/>
  <c r="O195" i="4" s="1"/>
  <c r="L195" i="4"/>
  <c r="H195" i="4"/>
  <c r="I195" i="4" s="1"/>
  <c r="F195" i="4"/>
  <c r="C195" i="4"/>
  <c r="AC194" i="4"/>
  <c r="AD194" i="4" s="1"/>
  <c r="AA194" i="4"/>
  <c r="W194" i="4"/>
  <c r="X194" i="4" s="1"/>
  <c r="U194" i="4"/>
  <c r="R194" i="4"/>
  <c r="N194" i="4"/>
  <c r="O194" i="4" s="1"/>
  <c r="L194" i="4"/>
  <c r="I194" i="4"/>
  <c r="H194" i="4"/>
  <c r="F194" i="4"/>
  <c r="C194" i="4"/>
  <c r="AC193" i="4"/>
  <c r="AD193" i="4" s="1"/>
  <c r="AA193" i="4"/>
  <c r="Z193" i="4"/>
  <c r="T193" i="4"/>
  <c r="U193" i="4" s="1"/>
  <c r="Q193" i="4"/>
  <c r="W193" i="4" s="1"/>
  <c r="X193" i="4" s="1"/>
  <c r="L193" i="4"/>
  <c r="K193" i="4"/>
  <c r="E193" i="4"/>
  <c r="F193" i="4" s="1"/>
  <c r="B193" i="4"/>
  <c r="AD192" i="4"/>
  <c r="AC192" i="4"/>
  <c r="AA192" i="4"/>
  <c r="X192" i="4"/>
  <c r="W192" i="4"/>
  <c r="U192" i="4"/>
  <c r="R192" i="4"/>
  <c r="O192" i="4"/>
  <c r="N192" i="4"/>
  <c r="L192" i="4"/>
  <c r="H192" i="4"/>
  <c r="I192" i="4" s="1"/>
  <c r="F192" i="4"/>
  <c r="C192" i="4"/>
  <c r="AC191" i="4"/>
  <c r="AD191" i="4" s="1"/>
  <c r="AA191" i="4"/>
  <c r="W191" i="4"/>
  <c r="X191" i="4" s="1"/>
  <c r="U191" i="4"/>
  <c r="R191" i="4"/>
  <c r="N191" i="4"/>
  <c r="O191" i="4" s="1"/>
  <c r="L191" i="4"/>
  <c r="I191" i="4"/>
  <c r="H191" i="4"/>
  <c r="F191" i="4"/>
  <c r="C191" i="4"/>
  <c r="AD190" i="4"/>
  <c r="AC190" i="4"/>
  <c r="AA190" i="4"/>
  <c r="W190" i="4"/>
  <c r="X190" i="4" s="1"/>
  <c r="U190" i="4"/>
  <c r="R190" i="4"/>
  <c r="N190" i="4"/>
  <c r="O190" i="4" s="1"/>
  <c r="L190" i="4"/>
  <c r="H190" i="4"/>
  <c r="I190" i="4" s="1"/>
  <c r="F190" i="4"/>
  <c r="C190" i="4"/>
  <c r="AC189" i="4"/>
  <c r="AD189" i="4" s="1"/>
  <c r="AA189" i="4"/>
  <c r="W189" i="4"/>
  <c r="X189" i="4" s="1"/>
  <c r="U189" i="4"/>
  <c r="R189" i="4"/>
  <c r="N189" i="4"/>
  <c r="L189" i="4"/>
  <c r="H189" i="4"/>
  <c r="I189" i="4" s="1"/>
  <c r="F189" i="4"/>
  <c r="C189" i="4"/>
  <c r="AD188" i="4"/>
  <c r="AC188" i="4"/>
  <c r="AA188" i="4"/>
  <c r="W188" i="4"/>
  <c r="X188" i="4" s="1"/>
  <c r="U188" i="4"/>
  <c r="R188" i="4"/>
  <c r="N188" i="4"/>
  <c r="O188" i="4" s="1"/>
  <c r="L188" i="4"/>
  <c r="H188" i="4"/>
  <c r="I188" i="4" s="1"/>
  <c r="F188" i="4"/>
  <c r="C188" i="4"/>
  <c r="AC187" i="4"/>
  <c r="AD187" i="4" s="1"/>
  <c r="AA187" i="4"/>
  <c r="W187" i="4"/>
  <c r="X187" i="4" s="1"/>
  <c r="U187" i="4"/>
  <c r="R187" i="4"/>
  <c r="N187" i="4"/>
  <c r="O187" i="4" s="1"/>
  <c r="L187" i="4"/>
  <c r="I187" i="4"/>
  <c r="H187" i="4"/>
  <c r="F187" i="4"/>
  <c r="C187" i="4"/>
  <c r="AC186" i="4"/>
  <c r="AD186" i="4" s="1"/>
  <c r="AA186" i="4"/>
  <c r="W186" i="4"/>
  <c r="X186" i="4" s="1"/>
  <c r="U186" i="4"/>
  <c r="R186" i="4"/>
  <c r="N186" i="4"/>
  <c r="O186" i="4" s="1"/>
  <c r="L186" i="4"/>
  <c r="I186" i="4"/>
  <c r="H186" i="4"/>
  <c r="F186" i="4"/>
  <c r="C186" i="4"/>
  <c r="AD184" i="4"/>
  <c r="AC184" i="4"/>
  <c r="AA184" i="4"/>
  <c r="W184" i="4"/>
  <c r="X184" i="4" s="1"/>
  <c r="U184" i="4"/>
  <c r="R184" i="4"/>
  <c r="N184" i="4"/>
  <c r="O184" i="4" s="1"/>
  <c r="L184" i="4"/>
  <c r="H184" i="4"/>
  <c r="I184" i="4" s="1"/>
  <c r="F184" i="4"/>
  <c r="C184" i="4"/>
  <c r="AD183" i="4"/>
  <c r="AC183" i="4"/>
  <c r="AA183" i="4"/>
  <c r="X183" i="4"/>
  <c r="W183" i="4"/>
  <c r="U183" i="4"/>
  <c r="R183" i="4"/>
  <c r="O183" i="4"/>
  <c r="N183" i="4"/>
  <c r="L183" i="4"/>
  <c r="H183" i="4"/>
  <c r="I183" i="4" s="1"/>
  <c r="F183" i="4"/>
  <c r="C183" i="4"/>
  <c r="AA182" i="4"/>
  <c r="Z182" i="4"/>
  <c r="X182" i="4"/>
  <c r="W182" i="4"/>
  <c r="T182" i="4"/>
  <c r="U182" i="4" s="1"/>
  <c r="Q182" i="4"/>
  <c r="R182" i="4" s="1"/>
  <c r="K182" i="4"/>
  <c r="L182" i="4" s="1"/>
  <c r="E182" i="4"/>
  <c r="H182" i="4" s="1"/>
  <c r="I182" i="4" s="1"/>
  <c r="C182" i="4"/>
  <c r="B182" i="4"/>
  <c r="AC181" i="4"/>
  <c r="AD181" i="4" s="1"/>
  <c r="AA181" i="4"/>
  <c r="W181" i="4"/>
  <c r="X181" i="4" s="1"/>
  <c r="U181" i="4"/>
  <c r="R181" i="4"/>
  <c r="N181" i="4"/>
  <c r="L181" i="4"/>
  <c r="H181" i="4"/>
  <c r="I181" i="4" s="1"/>
  <c r="F181" i="4"/>
  <c r="C181" i="4"/>
  <c r="AD180" i="4"/>
  <c r="AC180" i="4"/>
  <c r="AA180" i="4"/>
  <c r="W180" i="4"/>
  <c r="X180" i="4" s="1"/>
  <c r="U180" i="4"/>
  <c r="R180" i="4"/>
  <c r="N180" i="4"/>
  <c r="O180" i="4" s="1"/>
  <c r="L180" i="4"/>
  <c r="H180" i="4"/>
  <c r="I180" i="4" s="1"/>
  <c r="F180" i="4"/>
  <c r="C180" i="4"/>
  <c r="AC179" i="4"/>
  <c r="AD179" i="4" s="1"/>
  <c r="AA179" i="4"/>
  <c r="W179" i="4"/>
  <c r="X179" i="4" s="1"/>
  <c r="U179" i="4"/>
  <c r="R179" i="4"/>
  <c r="O179" i="4"/>
  <c r="N179" i="4"/>
  <c r="L179" i="4"/>
  <c r="I179" i="4"/>
  <c r="H179" i="4"/>
  <c r="F179" i="4"/>
  <c r="C179" i="4"/>
  <c r="AC178" i="4"/>
  <c r="AD178" i="4" s="1"/>
  <c r="AA178" i="4"/>
  <c r="W178" i="4"/>
  <c r="X178" i="4" s="1"/>
  <c r="U178" i="4"/>
  <c r="R178" i="4"/>
  <c r="N178" i="4"/>
  <c r="O178" i="4" s="1"/>
  <c r="L178" i="4"/>
  <c r="I178" i="4"/>
  <c r="H178" i="4"/>
  <c r="F178" i="4"/>
  <c r="C178" i="4"/>
  <c r="AD177" i="4"/>
  <c r="AC177" i="4"/>
  <c r="AA177" i="4"/>
  <c r="W177" i="4"/>
  <c r="X177" i="4" s="1"/>
  <c r="U177" i="4"/>
  <c r="R177" i="4"/>
  <c r="N177" i="4"/>
  <c r="O177" i="4" s="1"/>
  <c r="L177" i="4"/>
  <c r="H177" i="4"/>
  <c r="I177" i="4" s="1"/>
  <c r="F177" i="4"/>
  <c r="C177" i="4"/>
  <c r="AD175" i="4"/>
  <c r="AC175" i="4"/>
  <c r="AA175" i="4"/>
  <c r="X175" i="4"/>
  <c r="W175" i="4"/>
  <c r="U175" i="4"/>
  <c r="R175" i="4"/>
  <c r="O175" i="4"/>
  <c r="N175" i="4"/>
  <c r="L175" i="4"/>
  <c r="H175" i="4"/>
  <c r="I175" i="4" s="1"/>
  <c r="F175" i="4"/>
  <c r="C175" i="4"/>
  <c r="Q172" i="4"/>
  <c r="O172" i="4"/>
  <c r="K172" i="4"/>
  <c r="K198" i="4" s="1"/>
  <c r="K345" i="4" s="1"/>
  <c r="K404" i="4" s="1"/>
  <c r="K443" i="4" s="1"/>
  <c r="L443" i="4" s="1"/>
  <c r="C172" i="4"/>
  <c r="Z171" i="4"/>
  <c r="AA171" i="4" s="1"/>
  <c r="U171" i="4"/>
  <c r="T171" i="4"/>
  <c r="R171" i="4"/>
  <c r="Q171" i="4"/>
  <c r="AC171" i="4" s="1"/>
  <c r="AD171" i="4" s="1"/>
  <c r="L171" i="4"/>
  <c r="K171" i="4"/>
  <c r="E171" i="4"/>
  <c r="F171" i="4" s="1"/>
  <c r="B171" i="4"/>
  <c r="N171" i="4" s="1"/>
  <c r="O171" i="4" s="1"/>
  <c r="AA170" i="4"/>
  <c r="Z170" i="4"/>
  <c r="W170" i="4"/>
  <c r="X170" i="4" s="1"/>
  <c r="T170" i="4"/>
  <c r="U170" i="4" s="1"/>
  <c r="Q170" i="4"/>
  <c r="R170" i="4" s="1"/>
  <c r="K170" i="4"/>
  <c r="L170" i="4" s="1"/>
  <c r="F170" i="4"/>
  <c r="E170" i="4"/>
  <c r="H170" i="4" s="1"/>
  <c r="I170" i="4" s="1"/>
  <c r="C170" i="4"/>
  <c r="B170" i="4"/>
  <c r="AC169" i="4"/>
  <c r="AD169" i="4" s="1"/>
  <c r="AA169" i="4"/>
  <c r="W169" i="4"/>
  <c r="X169" i="4" s="1"/>
  <c r="U169" i="4"/>
  <c r="R169" i="4"/>
  <c r="N169" i="4"/>
  <c r="L169" i="4"/>
  <c r="H169" i="4"/>
  <c r="I169" i="4" s="1"/>
  <c r="F169" i="4"/>
  <c r="C169" i="4"/>
  <c r="AD168" i="4"/>
  <c r="AC168" i="4"/>
  <c r="AA168" i="4"/>
  <c r="W168" i="4"/>
  <c r="X168" i="4" s="1"/>
  <c r="U168" i="4"/>
  <c r="R168" i="4"/>
  <c r="O168" i="4"/>
  <c r="N168" i="4"/>
  <c r="L168" i="4"/>
  <c r="H168" i="4"/>
  <c r="I168" i="4" s="1"/>
  <c r="F168" i="4"/>
  <c r="C168" i="4"/>
  <c r="AC167" i="4"/>
  <c r="AD167" i="4" s="1"/>
  <c r="AA167" i="4"/>
  <c r="W167" i="4"/>
  <c r="X167" i="4" s="1"/>
  <c r="U167" i="4"/>
  <c r="R167" i="4"/>
  <c r="N167" i="4"/>
  <c r="O167" i="4" s="1"/>
  <c r="L167" i="4"/>
  <c r="I167" i="4"/>
  <c r="H167" i="4"/>
  <c r="F167" i="4"/>
  <c r="C167" i="4"/>
  <c r="AC166" i="4"/>
  <c r="AD166" i="4" s="1"/>
  <c r="AA166" i="4"/>
  <c r="Z166" i="4"/>
  <c r="T166" i="4"/>
  <c r="U166" i="4" s="1"/>
  <c r="Q166" i="4"/>
  <c r="W166" i="4" s="1"/>
  <c r="X166" i="4" s="1"/>
  <c r="L166" i="4"/>
  <c r="K166" i="4"/>
  <c r="E166" i="4"/>
  <c r="F166" i="4" s="1"/>
  <c r="B166" i="4"/>
  <c r="H166" i="4" s="1"/>
  <c r="I166" i="4" s="1"/>
  <c r="AD165" i="4"/>
  <c r="AC165" i="4"/>
  <c r="AA165" i="4"/>
  <c r="X165" i="4"/>
  <c r="W165" i="4"/>
  <c r="U165" i="4"/>
  <c r="R165" i="4"/>
  <c r="O165" i="4"/>
  <c r="N165" i="4"/>
  <c r="L165" i="4"/>
  <c r="H165" i="4"/>
  <c r="I165" i="4" s="1"/>
  <c r="F165" i="4"/>
  <c r="C165" i="4"/>
  <c r="AC164" i="4"/>
  <c r="AD164" i="4" s="1"/>
  <c r="AA164" i="4"/>
  <c r="W164" i="4"/>
  <c r="X164" i="4" s="1"/>
  <c r="U164" i="4"/>
  <c r="R164" i="4"/>
  <c r="N164" i="4"/>
  <c r="O164" i="4" s="1"/>
  <c r="L164" i="4"/>
  <c r="I164" i="4"/>
  <c r="H164" i="4"/>
  <c r="F164" i="4"/>
  <c r="C164" i="4"/>
  <c r="AD163" i="4"/>
  <c r="AC163" i="4"/>
  <c r="AA163" i="4"/>
  <c r="W163" i="4"/>
  <c r="X163" i="4" s="1"/>
  <c r="U163" i="4"/>
  <c r="R163" i="4"/>
  <c r="N163" i="4"/>
  <c r="O163" i="4" s="1"/>
  <c r="L163" i="4"/>
  <c r="H163" i="4"/>
  <c r="I163" i="4" s="1"/>
  <c r="F163" i="4"/>
  <c r="C163" i="4"/>
  <c r="AC162" i="4"/>
  <c r="AD162" i="4" s="1"/>
  <c r="AA162" i="4"/>
  <c r="W162" i="4"/>
  <c r="X162" i="4" s="1"/>
  <c r="U162" i="4"/>
  <c r="R162" i="4"/>
  <c r="N162" i="4"/>
  <c r="L162" i="4"/>
  <c r="H162" i="4"/>
  <c r="I162" i="4" s="1"/>
  <c r="F162" i="4"/>
  <c r="C162" i="4"/>
  <c r="AD161" i="4"/>
  <c r="AC161" i="4"/>
  <c r="AA161" i="4"/>
  <c r="W161" i="4"/>
  <c r="X161" i="4" s="1"/>
  <c r="U161" i="4"/>
  <c r="R161" i="4"/>
  <c r="N161" i="4"/>
  <c r="O161" i="4" s="1"/>
  <c r="L161" i="4"/>
  <c r="H161" i="4"/>
  <c r="I161" i="4" s="1"/>
  <c r="F161" i="4"/>
  <c r="C161" i="4"/>
  <c r="AC160" i="4"/>
  <c r="AD160" i="4" s="1"/>
  <c r="AA160" i="4"/>
  <c r="W160" i="4"/>
  <c r="X160" i="4" s="1"/>
  <c r="U160" i="4"/>
  <c r="R160" i="4"/>
  <c r="N160" i="4"/>
  <c r="O160" i="4" s="1"/>
  <c r="L160" i="4"/>
  <c r="I160" i="4"/>
  <c r="H160" i="4"/>
  <c r="F160" i="4"/>
  <c r="C160" i="4"/>
  <c r="AA158" i="4"/>
  <c r="Z158" i="4"/>
  <c r="T158" i="4"/>
  <c r="U158" i="4" s="1"/>
  <c r="Q158" i="4"/>
  <c r="AC158" i="4" s="1"/>
  <c r="AD158" i="4" s="1"/>
  <c r="L158" i="4"/>
  <c r="K158" i="4"/>
  <c r="H158" i="4"/>
  <c r="I158" i="4" s="1"/>
  <c r="E158" i="4"/>
  <c r="F158" i="4" s="1"/>
  <c r="B158" i="4"/>
  <c r="C158" i="4" s="1"/>
  <c r="AD157" i="4"/>
  <c r="AC157" i="4"/>
  <c r="AA157" i="4"/>
  <c r="X157" i="4"/>
  <c r="W157" i="4"/>
  <c r="U157" i="4"/>
  <c r="R157" i="4"/>
  <c r="O157" i="4"/>
  <c r="N157" i="4"/>
  <c r="L157" i="4"/>
  <c r="H157" i="4"/>
  <c r="I157" i="4" s="1"/>
  <c r="F157" i="4"/>
  <c r="C157" i="4"/>
  <c r="AC156" i="4"/>
  <c r="AD156" i="4" s="1"/>
  <c r="AA156" i="4"/>
  <c r="W156" i="4"/>
  <c r="X156" i="4" s="1"/>
  <c r="U156" i="4"/>
  <c r="R156" i="4"/>
  <c r="N156" i="4"/>
  <c r="O156" i="4" s="1"/>
  <c r="L156" i="4"/>
  <c r="I156" i="4"/>
  <c r="H156" i="4"/>
  <c r="F156" i="4"/>
  <c r="C156" i="4"/>
  <c r="AD155" i="4"/>
  <c r="AC155" i="4"/>
  <c r="AA155" i="4"/>
  <c r="W155" i="4"/>
  <c r="X155" i="4" s="1"/>
  <c r="U155" i="4"/>
  <c r="R155" i="4"/>
  <c r="N155" i="4"/>
  <c r="O155" i="4" s="1"/>
  <c r="L155" i="4"/>
  <c r="I155" i="4"/>
  <c r="H155" i="4"/>
  <c r="F155" i="4"/>
  <c r="C155" i="4"/>
  <c r="AC154" i="4"/>
  <c r="AD154" i="4" s="1"/>
  <c r="AA154" i="4"/>
  <c r="W154" i="4"/>
  <c r="X154" i="4" s="1"/>
  <c r="U154" i="4"/>
  <c r="R154" i="4"/>
  <c r="N154" i="4"/>
  <c r="L154" i="4"/>
  <c r="H154" i="4"/>
  <c r="I154" i="4" s="1"/>
  <c r="F154" i="4"/>
  <c r="C154" i="4"/>
  <c r="AD153" i="4"/>
  <c r="AC153" i="4"/>
  <c r="AA153" i="4"/>
  <c r="W153" i="4"/>
  <c r="X153" i="4" s="1"/>
  <c r="U153" i="4"/>
  <c r="R153" i="4"/>
  <c r="O153" i="4"/>
  <c r="N153" i="4"/>
  <c r="L153" i="4"/>
  <c r="H153" i="4"/>
  <c r="I153" i="4" s="1"/>
  <c r="F153" i="4"/>
  <c r="C153" i="4"/>
  <c r="AC151" i="4"/>
  <c r="AD151" i="4" s="1"/>
  <c r="AA151" i="4"/>
  <c r="W151" i="4"/>
  <c r="X151" i="4" s="1"/>
  <c r="U151" i="4"/>
  <c r="R151" i="4"/>
  <c r="N151" i="4"/>
  <c r="O151" i="4" s="1"/>
  <c r="L151" i="4"/>
  <c r="I151" i="4"/>
  <c r="H151" i="4"/>
  <c r="F151" i="4"/>
  <c r="C151" i="4"/>
  <c r="AC149" i="4"/>
  <c r="AD149" i="4" s="1"/>
  <c r="AA149" i="4"/>
  <c r="Z149" i="4"/>
  <c r="T149" i="4"/>
  <c r="U149" i="4" s="1"/>
  <c r="Q149" i="4"/>
  <c r="W149" i="4" s="1"/>
  <c r="X149" i="4" s="1"/>
  <c r="L149" i="4"/>
  <c r="K149" i="4"/>
  <c r="E149" i="4"/>
  <c r="F149" i="4" s="1"/>
  <c r="B149" i="4"/>
  <c r="H149" i="4" s="1"/>
  <c r="I149" i="4" s="1"/>
  <c r="AA148" i="4"/>
  <c r="Z148" i="4"/>
  <c r="T148" i="4"/>
  <c r="R148" i="4"/>
  <c r="Q148" i="4"/>
  <c r="L148" i="4"/>
  <c r="K148" i="4"/>
  <c r="H148" i="4"/>
  <c r="I148" i="4" s="1"/>
  <c r="F148" i="4"/>
  <c r="E148" i="4"/>
  <c r="B148" i="4"/>
  <c r="C148" i="4" s="1"/>
  <c r="AD147" i="4"/>
  <c r="AC147" i="4"/>
  <c r="AA147" i="4"/>
  <c r="W147" i="4"/>
  <c r="X147" i="4" s="1"/>
  <c r="U147" i="4"/>
  <c r="R147" i="4"/>
  <c r="N147" i="4"/>
  <c r="O147" i="4" s="1"/>
  <c r="L147" i="4"/>
  <c r="H147" i="4"/>
  <c r="I147" i="4" s="1"/>
  <c r="F147" i="4"/>
  <c r="C147" i="4"/>
  <c r="AC146" i="4"/>
  <c r="AD146" i="4" s="1"/>
  <c r="AA146" i="4"/>
  <c r="W146" i="4"/>
  <c r="X146" i="4" s="1"/>
  <c r="U146" i="4"/>
  <c r="R146" i="4"/>
  <c r="N146" i="4"/>
  <c r="L146" i="4"/>
  <c r="H146" i="4"/>
  <c r="I146" i="4" s="1"/>
  <c r="F146" i="4"/>
  <c r="C146" i="4"/>
  <c r="AD145" i="4"/>
  <c r="AC145" i="4"/>
  <c r="AA145" i="4"/>
  <c r="W145" i="4"/>
  <c r="X145" i="4" s="1"/>
  <c r="U145" i="4"/>
  <c r="R145" i="4"/>
  <c r="N145" i="4"/>
  <c r="O145" i="4" s="1"/>
  <c r="L145" i="4"/>
  <c r="H145" i="4"/>
  <c r="I145" i="4" s="1"/>
  <c r="F145" i="4"/>
  <c r="C145" i="4"/>
  <c r="AC144" i="4"/>
  <c r="AD144" i="4" s="1"/>
  <c r="AA144" i="4"/>
  <c r="W144" i="4"/>
  <c r="X144" i="4" s="1"/>
  <c r="U144" i="4"/>
  <c r="R144" i="4"/>
  <c r="N144" i="4"/>
  <c r="O144" i="4" s="1"/>
  <c r="L144" i="4"/>
  <c r="I144" i="4"/>
  <c r="H144" i="4"/>
  <c r="F144" i="4"/>
  <c r="C144" i="4"/>
  <c r="AC143" i="4"/>
  <c r="AD143" i="4" s="1"/>
  <c r="AA143" i="4"/>
  <c r="W143" i="4"/>
  <c r="X143" i="4" s="1"/>
  <c r="U143" i="4"/>
  <c r="R143" i="4"/>
  <c r="N143" i="4"/>
  <c r="O143" i="4" s="1"/>
  <c r="L143" i="4"/>
  <c r="I143" i="4"/>
  <c r="H143" i="4"/>
  <c r="F143" i="4"/>
  <c r="C143" i="4"/>
  <c r="Z141" i="4"/>
  <c r="AA141" i="4" s="1"/>
  <c r="U141" i="4"/>
  <c r="T141" i="4"/>
  <c r="R141" i="4"/>
  <c r="Q141" i="4"/>
  <c r="AC141" i="4" s="1"/>
  <c r="AD141" i="4" s="1"/>
  <c r="L141" i="4"/>
  <c r="K141" i="4"/>
  <c r="E141" i="4"/>
  <c r="F141" i="4" s="1"/>
  <c r="B141" i="4"/>
  <c r="N141" i="4" s="1"/>
  <c r="O141" i="4" s="1"/>
  <c r="AC140" i="4"/>
  <c r="AD140" i="4" s="1"/>
  <c r="AA140" i="4"/>
  <c r="W140" i="4"/>
  <c r="X140" i="4" s="1"/>
  <c r="U140" i="4"/>
  <c r="R140" i="4"/>
  <c r="N140" i="4"/>
  <c r="O140" i="4" s="1"/>
  <c r="L140" i="4"/>
  <c r="I140" i="4"/>
  <c r="H140" i="4"/>
  <c r="F140" i="4"/>
  <c r="C140" i="4"/>
  <c r="AD139" i="4"/>
  <c r="AC139" i="4"/>
  <c r="AA139" i="4"/>
  <c r="W139" i="4"/>
  <c r="X139" i="4" s="1"/>
  <c r="U139" i="4"/>
  <c r="R139" i="4"/>
  <c r="N139" i="4"/>
  <c r="O139" i="4" s="1"/>
  <c r="L139" i="4"/>
  <c r="H139" i="4"/>
  <c r="I139" i="4" s="1"/>
  <c r="F139" i="4"/>
  <c r="C139" i="4"/>
  <c r="AC138" i="4"/>
  <c r="AD138" i="4" s="1"/>
  <c r="AA138" i="4"/>
  <c r="W138" i="4"/>
  <c r="X138" i="4" s="1"/>
  <c r="U138" i="4"/>
  <c r="R138" i="4"/>
  <c r="N138" i="4"/>
  <c r="L138" i="4"/>
  <c r="I138" i="4"/>
  <c r="H138" i="4"/>
  <c r="F138" i="4"/>
  <c r="C138" i="4"/>
  <c r="AD137" i="4"/>
  <c r="AC137" i="4"/>
  <c r="AA137" i="4"/>
  <c r="W137" i="4"/>
  <c r="X137" i="4" s="1"/>
  <c r="U137" i="4"/>
  <c r="R137" i="4"/>
  <c r="N137" i="4"/>
  <c r="O137" i="4" s="1"/>
  <c r="L137" i="4"/>
  <c r="H137" i="4"/>
  <c r="I137" i="4" s="1"/>
  <c r="F137" i="4"/>
  <c r="C137" i="4"/>
  <c r="AC136" i="4"/>
  <c r="AD136" i="4" s="1"/>
  <c r="AA136" i="4"/>
  <c r="W136" i="4"/>
  <c r="X136" i="4" s="1"/>
  <c r="U136" i="4"/>
  <c r="R136" i="4"/>
  <c r="O136" i="4"/>
  <c r="N136" i="4"/>
  <c r="L136" i="4"/>
  <c r="I136" i="4"/>
  <c r="H136" i="4"/>
  <c r="F136" i="4"/>
  <c r="C136" i="4"/>
  <c r="AC135" i="4"/>
  <c r="AD135" i="4" s="1"/>
  <c r="AA135" i="4"/>
  <c r="W135" i="4"/>
  <c r="X135" i="4" s="1"/>
  <c r="U135" i="4"/>
  <c r="R135" i="4"/>
  <c r="N135" i="4"/>
  <c r="O135" i="4" s="1"/>
  <c r="L135" i="4"/>
  <c r="I135" i="4"/>
  <c r="H135" i="4"/>
  <c r="F135" i="4"/>
  <c r="C135" i="4"/>
  <c r="AD134" i="4"/>
  <c r="AC134" i="4"/>
  <c r="AA134" i="4"/>
  <c r="X134" i="4"/>
  <c r="W134" i="4"/>
  <c r="U134" i="4"/>
  <c r="R134" i="4"/>
  <c r="N134" i="4"/>
  <c r="O134" i="4" s="1"/>
  <c r="L134" i="4"/>
  <c r="H134" i="4"/>
  <c r="I134" i="4" s="1"/>
  <c r="F134" i="4"/>
  <c r="C134" i="4"/>
  <c r="AD133" i="4"/>
  <c r="AC133" i="4"/>
  <c r="AA133" i="4"/>
  <c r="X133" i="4"/>
  <c r="W133" i="4"/>
  <c r="U133" i="4"/>
  <c r="R133" i="4"/>
  <c r="O133" i="4"/>
  <c r="N133" i="4"/>
  <c r="L133" i="4"/>
  <c r="H133" i="4"/>
  <c r="I133" i="4" s="1"/>
  <c r="F133" i="4"/>
  <c r="C133" i="4"/>
  <c r="AC132" i="4"/>
  <c r="AD132" i="4" s="1"/>
  <c r="AA132" i="4"/>
  <c r="W132" i="4"/>
  <c r="X132" i="4" s="1"/>
  <c r="U132" i="4"/>
  <c r="R132" i="4"/>
  <c r="N132" i="4"/>
  <c r="O132" i="4" s="1"/>
  <c r="L132" i="4"/>
  <c r="I132" i="4"/>
  <c r="H132" i="4"/>
  <c r="F132" i="4"/>
  <c r="C132" i="4"/>
  <c r="AD131" i="4"/>
  <c r="AC131" i="4"/>
  <c r="AA131" i="4"/>
  <c r="W131" i="4"/>
  <c r="X131" i="4" s="1"/>
  <c r="U131" i="4"/>
  <c r="R131" i="4"/>
  <c r="N131" i="4"/>
  <c r="O131" i="4" s="1"/>
  <c r="L131" i="4"/>
  <c r="H131" i="4"/>
  <c r="I131" i="4" s="1"/>
  <c r="F131" i="4"/>
  <c r="C131" i="4"/>
  <c r="AD130" i="4"/>
  <c r="AC130" i="4"/>
  <c r="AA130" i="4"/>
  <c r="W130" i="4"/>
  <c r="X130" i="4" s="1"/>
  <c r="U130" i="4"/>
  <c r="R130" i="4"/>
  <c r="N130" i="4"/>
  <c r="L130" i="4"/>
  <c r="H130" i="4"/>
  <c r="I130" i="4" s="1"/>
  <c r="F130" i="4"/>
  <c r="C130" i="4"/>
  <c r="AD129" i="4"/>
  <c r="AC129" i="4"/>
  <c r="AA129" i="4"/>
  <c r="X129" i="4"/>
  <c r="W129" i="4"/>
  <c r="U129" i="4"/>
  <c r="R129" i="4"/>
  <c r="N129" i="4"/>
  <c r="O129" i="4" s="1"/>
  <c r="L129" i="4"/>
  <c r="H129" i="4"/>
  <c r="I129" i="4" s="1"/>
  <c r="F129" i="4"/>
  <c r="C129" i="4"/>
  <c r="AC127" i="4"/>
  <c r="AD127" i="4" s="1"/>
  <c r="AA127" i="4"/>
  <c r="W127" i="4"/>
  <c r="X127" i="4" s="1"/>
  <c r="U127" i="4"/>
  <c r="R127" i="4"/>
  <c r="N127" i="4"/>
  <c r="O127" i="4" s="1"/>
  <c r="L127" i="4"/>
  <c r="I127" i="4"/>
  <c r="H127" i="4"/>
  <c r="F127" i="4"/>
  <c r="C127" i="4"/>
  <c r="AA124" i="4"/>
  <c r="Z124" i="4"/>
  <c r="T124" i="4"/>
  <c r="T172" i="4" s="1"/>
  <c r="Q124" i="4"/>
  <c r="AC124" i="4" s="1"/>
  <c r="AD124" i="4" s="1"/>
  <c r="L124" i="4"/>
  <c r="K124" i="4"/>
  <c r="I124" i="4"/>
  <c r="H124" i="4"/>
  <c r="E124" i="4"/>
  <c r="F124" i="4" s="1"/>
  <c r="B124" i="4"/>
  <c r="B172" i="4" s="1"/>
  <c r="N172" i="4" s="1"/>
  <c r="AD123" i="4"/>
  <c r="AC123" i="4"/>
  <c r="AA123" i="4"/>
  <c r="X123" i="4"/>
  <c r="W123" i="4"/>
  <c r="U123" i="4"/>
  <c r="R123" i="4"/>
  <c r="O123" i="4"/>
  <c r="N123" i="4"/>
  <c r="L123" i="4"/>
  <c r="H123" i="4"/>
  <c r="I123" i="4" s="1"/>
  <c r="F123" i="4"/>
  <c r="C123" i="4"/>
  <c r="AA122" i="4"/>
  <c r="Z122" i="4"/>
  <c r="X122" i="4"/>
  <c r="W122" i="4"/>
  <c r="T122" i="4"/>
  <c r="U122" i="4" s="1"/>
  <c r="Q122" i="4"/>
  <c r="R122" i="4" s="1"/>
  <c r="K122" i="4"/>
  <c r="L122" i="4" s="1"/>
  <c r="I122" i="4"/>
  <c r="F122" i="4"/>
  <c r="E122" i="4"/>
  <c r="H122" i="4" s="1"/>
  <c r="C122" i="4"/>
  <c r="B122" i="4"/>
  <c r="AC121" i="4"/>
  <c r="AD121" i="4" s="1"/>
  <c r="AA121" i="4"/>
  <c r="W121" i="4"/>
  <c r="X121" i="4" s="1"/>
  <c r="U121" i="4"/>
  <c r="R121" i="4"/>
  <c r="N121" i="4"/>
  <c r="L121" i="4"/>
  <c r="H121" i="4"/>
  <c r="I121" i="4" s="1"/>
  <c r="F121" i="4"/>
  <c r="C121" i="4"/>
  <c r="AD120" i="4"/>
  <c r="AC120" i="4"/>
  <c r="AA120" i="4"/>
  <c r="W120" i="4"/>
  <c r="X120" i="4" s="1"/>
  <c r="U120" i="4"/>
  <c r="R120" i="4"/>
  <c r="O120" i="4"/>
  <c r="N120" i="4"/>
  <c r="L120" i="4"/>
  <c r="H120" i="4"/>
  <c r="I120" i="4" s="1"/>
  <c r="F120" i="4"/>
  <c r="C120" i="4"/>
  <c r="AC119" i="4"/>
  <c r="AD119" i="4" s="1"/>
  <c r="AA119" i="4"/>
  <c r="W119" i="4"/>
  <c r="X119" i="4" s="1"/>
  <c r="U119" i="4"/>
  <c r="R119" i="4"/>
  <c r="N119" i="4"/>
  <c r="O119" i="4" s="1"/>
  <c r="L119" i="4"/>
  <c r="I119" i="4"/>
  <c r="H119" i="4"/>
  <c r="F119" i="4"/>
  <c r="C119" i="4"/>
  <c r="AC118" i="4"/>
  <c r="AD118" i="4" s="1"/>
  <c r="AA118" i="4"/>
  <c r="Z118" i="4"/>
  <c r="T118" i="4"/>
  <c r="U118" i="4" s="1"/>
  <c r="Q118" i="4"/>
  <c r="L118" i="4"/>
  <c r="K118" i="4"/>
  <c r="E118" i="4"/>
  <c r="F118" i="4" s="1"/>
  <c r="B118" i="4"/>
  <c r="H118" i="4" s="1"/>
  <c r="I118" i="4" s="1"/>
  <c r="AD117" i="4"/>
  <c r="AC117" i="4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C116" i="4"/>
  <c r="AD116" i="4" s="1"/>
  <c r="AA116" i="4"/>
  <c r="W116" i="4"/>
  <c r="X116" i="4" s="1"/>
  <c r="U116" i="4"/>
  <c r="R116" i="4"/>
  <c r="N116" i="4"/>
  <c r="O116" i="4" s="1"/>
  <c r="L116" i="4"/>
  <c r="I116" i="4"/>
  <c r="H116" i="4"/>
  <c r="F116" i="4"/>
  <c r="C116" i="4"/>
  <c r="AD115" i="4"/>
  <c r="AC115" i="4"/>
  <c r="AA115" i="4"/>
  <c r="X115" i="4"/>
  <c r="W115" i="4"/>
  <c r="U115" i="4"/>
  <c r="R115" i="4"/>
  <c r="N115" i="4"/>
  <c r="O115" i="4" s="1"/>
  <c r="L115" i="4"/>
  <c r="H115" i="4"/>
  <c r="I115" i="4" s="1"/>
  <c r="F115" i="4"/>
  <c r="C115" i="4"/>
  <c r="AD114" i="4"/>
  <c r="AC114" i="4"/>
  <c r="AA114" i="4"/>
  <c r="W114" i="4"/>
  <c r="X114" i="4" s="1"/>
  <c r="U114" i="4"/>
  <c r="R114" i="4"/>
  <c r="N114" i="4"/>
  <c r="L114" i="4"/>
  <c r="H114" i="4"/>
  <c r="I114" i="4" s="1"/>
  <c r="F114" i="4"/>
  <c r="C114" i="4"/>
  <c r="AD113" i="4"/>
  <c r="AC113" i="4"/>
  <c r="AA113" i="4"/>
  <c r="X113" i="4"/>
  <c r="W113" i="4"/>
  <c r="U113" i="4"/>
  <c r="R113" i="4"/>
  <c r="O113" i="4"/>
  <c r="N113" i="4"/>
  <c r="L113" i="4"/>
  <c r="H113" i="4"/>
  <c r="I113" i="4" s="1"/>
  <c r="F113" i="4"/>
  <c r="C113" i="4"/>
  <c r="AC112" i="4"/>
  <c r="AD112" i="4" s="1"/>
  <c r="AA112" i="4"/>
  <c r="W112" i="4"/>
  <c r="X112" i="4" s="1"/>
  <c r="U112" i="4"/>
  <c r="R112" i="4"/>
  <c r="N112" i="4"/>
  <c r="O112" i="4" s="1"/>
  <c r="L112" i="4"/>
  <c r="I112" i="4"/>
  <c r="H112" i="4"/>
  <c r="F112" i="4"/>
  <c r="C112" i="4"/>
  <c r="AD111" i="4"/>
  <c r="AC111" i="4"/>
  <c r="AA111" i="4"/>
  <c r="W111" i="4"/>
  <c r="X111" i="4" s="1"/>
  <c r="U111" i="4"/>
  <c r="R111" i="4"/>
  <c r="N111" i="4"/>
  <c r="O111" i="4" s="1"/>
  <c r="L111" i="4"/>
  <c r="I111" i="4"/>
  <c r="H111" i="4"/>
  <c r="F111" i="4"/>
  <c r="C111" i="4"/>
  <c r="AD110" i="4"/>
  <c r="AC110" i="4"/>
  <c r="AA110" i="4"/>
  <c r="W110" i="4"/>
  <c r="X110" i="4" s="1"/>
  <c r="U110" i="4"/>
  <c r="R110" i="4"/>
  <c r="N110" i="4"/>
  <c r="O110" i="4" s="1"/>
  <c r="L110" i="4"/>
  <c r="H110" i="4"/>
  <c r="I110" i="4" s="1"/>
  <c r="F110" i="4"/>
  <c r="C110" i="4"/>
  <c r="AD109" i="4"/>
  <c r="AC109" i="4"/>
  <c r="AA109" i="4"/>
  <c r="X109" i="4"/>
  <c r="W109" i="4"/>
  <c r="U109" i="4"/>
  <c r="R109" i="4"/>
  <c r="O109" i="4"/>
  <c r="N109" i="4"/>
  <c r="L109" i="4"/>
  <c r="H109" i="4"/>
  <c r="I109" i="4" s="1"/>
  <c r="F109" i="4"/>
  <c r="C109" i="4"/>
  <c r="AC108" i="4"/>
  <c r="AD108" i="4" s="1"/>
  <c r="AA108" i="4"/>
  <c r="W108" i="4"/>
  <c r="X108" i="4" s="1"/>
  <c r="U108" i="4"/>
  <c r="R108" i="4"/>
  <c r="N108" i="4"/>
  <c r="O108" i="4" s="1"/>
  <c r="L108" i="4"/>
  <c r="I108" i="4"/>
  <c r="H108" i="4"/>
  <c r="F108" i="4"/>
  <c r="C108" i="4"/>
  <c r="AD107" i="4"/>
  <c r="AC107" i="4"/>
  <c r="AA107" i="4"/>
  <c r="W107" i="4"/>
  <c r="X107" i="4" s="1"/>
  <c r="U107" i="4"/>
  <c r="R107" i="4"/>
  <c r="O107" i="4"/>
  <c r="N107" i="4"/>
  <c r="L107" i="4"/>
  <c r="I107" i="4"/>
  <c r="H107" i="4"/>
  <c r="F107" i="4"/>
  <c r="C107" i="4"/>
  <c r="AC106" i="4"/>
  <c r="AD106" i="4" s="1"/>
  <c r="AA106" i="4"/>
  <c r="W106" i="4"/>
  <c r="X106" i="4" s="1"/>
  <c r="U106" i="4"/>
  <c r="R106" i="4"/>
  <c r="N106" i="4"/>
  <c r="L106" i="4"/>
  <c r="H106" i="4"/>
  <c r="I106" i="4" s="1"/>
  <c r="F106" i="4"/>
  <c r="C106" i="4"/>
  <c r="AD105" i="4"/>
  <c r="AC105" i="4"/>
  <c r="AA105" i="4"/>
  <c r="W105" i="4"/>
  <c r="X105" i="4" s="1"/>
  <c r="U105" i="4"/>
  <c r="R105" i="4"/>
  <c r="O105" i="4"/>
  <c r="N105" i="4"/>
  <c r="L105" i="4"/>
  <c r="H105" i="4"/>
  <c r="I105" i="4" s="1"/>
  <c r="F105" i="4"/>
  <c r="C105" i="4"/>
  <c r="AC104" i="4"/>
  <c r="AD104" i="4" s="1"/>
  <c r="AA104" i="4"/>
  <c r="W104" i="4"/>
  <c r="X104" i="4" s="1"/>
  <c r="U104" i="4"/>
  <c r="R104" i="4"/>
  <c r="O104" i="4"/>
  <c r="N104" i="4"/>
  <c r="L104" i="4"/>
  <c r="I104" i="4"/>
  <c r="H104" i="4"/>
  <c r="F104" i="4"/>
  <c r="C104" i="4"/>
  <c r="AC103" i="4"/>
  <c r="AD103" i="4" s="1"/>
  <c r="AA103" i="4"/>
  <c r="W103" i="4"/>
  <c r="X103" i="4" s="1"/>
  <c r="U103" i="4"/>
  <c r="R103" i="4"/>
  <c r="N103" i="4"/>
  <c r="O103" i="4" s="1"/>
  <c r="L103" i="4"/>
  <c r="I103" i="4"/>
  <c r="H103" i="4"/>
  <c r="F103" i="4"/>
  <c r="C103" i="4"/>
  <c r="AD102" i="4"/>
  <c r="AC102" i="4"/>
  <c r="AA102" i="4"/>
  <c r="W102" i="4"/>
  <c r="X102" i="4" s="1"/>
  <c r="U102" i="4"/>
  <c r="R102" i="4"/>
  <c r="N102" i="4"/>
  <c r="O102" i="4" s="1"/>
  <c r="L102" i="4"/>
  <c r="H102" i="4"/>
  <c r="I102" i="4" s="1"/>
  <c r="F102" i="4"/>
  <c r="C102" i="4"/>
  <c r="AD101" i="4"/>
  <c r="AC101" i="4"/>
  <c r="AA101" i="4"/>
  <c r="X101" i="4"/>
  <c r="W101" i="4"/>
  <c r="U101" i="4"/>
  <c r="R101" i="4"/>
  <c r="O101" i="4"/>
  <c r="N101" i="4"/>
  <c r="L101" i="4"/>
  <c r="H101" i="4"/>
  <c r="I101" i="4" s="1"/>
  <c r="F101" i="4"/>
  <c r="C101" i="4"/>
  <c r="AD100" i="4"/>
  <c r="AC100" i="4"/>
  <c r="AA100" i="4"/>
  <c r="W100" i="4"/>
  <c r="X100" i="4" s="1"/>
  <c r="U100" i="4"/>
  <c r="R100" i="4"/>
  <c r="N100" i="4"/>
  <c r="O100" i="4" s="1"/>
  <c r="L100" i="4"/>
  <c r="I100" i="4"/>
  <c r="H100" i="4"/>
  <c r="F100" i="4"/>
  <c r="C100" i="4"/>
  <c r="AD99" i="4"/>
  <c r="AC99" i="4"/>
  <c r="AA99" i="4"/>
  <c r="X99" i="4"/>
  <c r="W99" i="4"/>
  <c r="U99" i="4"/>
  <c r="R99" i="4"/>
  <c r="N99" i="4"/>
  <c r="O99" i="4" s="1"/>
  <c r="L99" i="4"/>
  <c r="H99" i="4"/>
  <c r="I99" i="4" s="1"/>
  <c r="F99" i="4"/>
  <c r="C99" i="4"/>
  <c r="AD98" i="4"/>
  <c r="AC98" i="4"/>
  <c r="AA98" i="4"/>
  <c r="W98" i="4"/>
  <c r="X98" i="4" s="1"/>
  <c r="U98" i="4"/>
  <c r="R98" i="4"/>
  <c r="N98" i="4"/>
  <c r="L98" i="4"/>
  <c r="H98" i="4"/>
  <c r="I98" i="4" s="1"/>
  <c r="F98" i="4"/>
  <c r="C98" i="4"/>
  <c r="AD97" i="4"/>
  <c r="AC97" i="4"/>
  <c r="AA97" i="4"/>
  <c r="X97" i="4"/>
  <c r="W97" i="4"/>
  <c r="U97" i="4"/>
  <c r="R97" i="4"/>
  <c r="N97" i="4"/>
  <c r="O97" i="4" s="1"/>
  <c r="L97" i="4"/>
  <c r="H97" i="4"/>
  <c r="I97" i="4" s="1"/>
  <c r="F97" i="4"/>
  <c r="C97" i="4"/>
  <c r="AC96" i="4"/>
  <c r="AD96" i="4" s="1"/>
  <c r="AA96" i="4"/>
  <c r="W96" i="4"/>
  <c r="X96" i="4" s="1"/>
  <c r="U96" i="4"/>
  <c r="R96" i="4"/>
  <c r="N96" i="4"/>
  <c r="O96" i="4" s="1"/>
  <c r="L96" i="4"/>
  <c r="I96" i="4"/>
  <c r="H96" i="4"/>
  <c r="F96" i="4"/>
  <c r="C96" i="4"/>
  <c r="AD95" i="4"/>
  <c r="AC95" i="4"/>
  <c r="AA95" i="4"/>
  <c r="W95" i="4"/>
  <c r="X95" i="4" s="1"/>
  <c r="U95" i="4"/>
  <c r="R95" i="4"/>
  <c r="N95" i="4"/>
  <c r="O95" i="4" s="1"/>
  <c r="L95" i="4"/>
  <c r="I95" i="4"/>
  <c r="H95" i="4"/>
  <c r="F95" i="4"/>
  <c r="C95" i="4"/>
  <c r="AD94" i="4"/>
  <c r="AC94" i="4"/>
  <c r="AA94" i="4"/>
  <c r="W94" i="4"/>
  <c r="X94" i="4" s="1"/>
  <c r="U94" i="4"/>
  <c r="R94" i="4"/>
  <c r="N94" i="4"/>
  <c r="O94" i="4" s="1"/>
  <c r="L94" i="4"/>
  <c r="H94" i="4"/>
  <c r="I94" i="4" s="1"/>
  <c r="F94" i="4"/>
  <c r="C94" i="4"/>
  <c r="AD92" i="4"/>
  <c r="AC92" i="4"/>
  <c r="AA92" i="4"/>
  <c r="X92" i="4"/>
  <c r="W92" i="4"/>
  <c r="U92" i="4"/>
  <c r="R92" i="4"/>
  <c r="O92" i="4"/>
  <c r="N92" i="4"/>
  <c r="L92" i="4"/>
  <c r="H92" i="4"/>
  <c r="I92" i="4" s="1"/>
  <c r="F92" i="4"/>
  <c r="C92" i="4"/>
  <c r="AC91" i="4"/>
  <c r="AD91" i="4" s="1"/>
  <c r="AA91" i="4"/>
  <c r="W91" i="4"/>
  <c r="X91" i="4" s="1"/>
  <c r="U91" i="4"/>
  <c r="R91" i="4"/>
  <c r="N91" i="4"/>
  <c r="O91" i="4" s="1"/>
  <c r="L91" i="4"/>
  <c r="I91" i="4"/>
  <c r="H91" i="4"/>
  <c r="F91" i="4"/>
  <c r="C91" i="4"/>
  <c r="AD90" i="4"/>
  <c r="AC90" i="4"/>
  <c r="AA90" i="4"/>
  <c r="X90" i="4"/>
  <c r="W90" i="4"/>
  <c r="U90" i="4"/>
  <c r="R90" i="4"/>
  <c r="N90" i="4"/>
  <c r="O90" i="4" s="1"/>
  <c r="L90" i="4"/>
  <c r="I90" i="4"/>
  <c r="H90" i="4"/>
  <c r="F90" i="4"/>
  <c r="C90" i="4"/>
  <c r="AD89" i="4"/>
  <c r="AC89" i="4"/>
  <c r="AA89" i="4"/>
  <c r="W89" i="4"/>
  <c r="X89" i="4" s="1"/>
  <c r="U89" i="4"/>
  <c r="R89" i="4"/>
  <c r="N89" i="4"/>
  <c r="L89" i="4"/>
  <c r="I89" i="4"/>
  <c r="H89" i="4"/>
  <c r="F89" i="4"/>
  <c r="C89" i="4"/>
  <c r="AA88" i="4"/>
  <c r="Z88" i="4"/>
  <c r="W88" i="4"/>
  <c r="X88" i="4" s="1"/>
  <c r="U88" i="4"/>
  <c r="T88" i="4"/>
  <c r="R88" i="4"/>
  <c r="Q88" i="4"/>
  <c r="AC88" i="4" s="1"/>
  <c r="AD88" i="4" s="1"/>
  <c r="K88" i="4"/>
  <c r="L88" i="4" s="1"/>
  <c r="I88" i="4"/>
  <c r="H88" i="4"/>
  <c r="F88" i="4"/>
  <c r="E88" i="4"/>
  <c r="C88" i="4"/>
  <c r="B88" i="4"/>
  <c r="AC87" i="4"/>
  <c r="AD87" i="4" s="1"/>
  <c r="AA87" i="4"/>
  <c r="W87" i="4"/>
  <c r="X87" i="4" s="1"/>
  <c r="U87" i="4"/>
  <c r="R87" i="4"/>
  <c r="N87" i="4"/>
  <c r="O87" i="4" s="1"/>
  <c r="L87" i="4"/>
  <c r="I87" i="4"/>
  <c r="H87" i="4"/>
  <c r="F87" i="4"/>
  <c r="C87" i="4"/>
  <c r="AD86" i="4"/>
  <c r="AC86" i="4"/>
  <c r="AA86" i="4"/>
  <c r="X86" i="4"/>
  <c r="W86" i="4"/>
  <c r="U86" i="4"/>
  <c r="R86" i="4"/>
  <c r="N86" i="4"/>
  <c r="O86" i="4" s="1"/>
  <c r="L86" i="4"/>
  <c r="H86" i="4"/>
  <c r="I86" i="4" s="1"/>
  <c r="F86" i="4"/>
  <c r="C86" i="4"/>
  <c r="AD85" i="4"/>
  <c r="AC85" i="4"/>
  <c r="AA85" i="4"/>
  <c r="X85" i="4"/>
  <c r="W85" i="4"/>
  <c r="U85" i="4"/>
  <c r="R85" i="4"/>
  <c r="O85" i="4"/>
  <c r="N85" i="4"/>
  <c r="L85" i="4"/>
  <c r="I85" i="4"/>
  <c r="H85" i="4"/>
  <c r="F85" i="4"/>
  <c r="C85" i="4"/>
  <c r="AD84" i="4"/>
  <c r="AC84" i="4"/>
  <c r="AA84" i="4"/>
  <c r="W84" i="4"/>
  <c r="X84" i="4" s="1"/>
  <c r="U84" i="4"/>
  <c r="R84" i="4"/>
  <c r="N84" i="4"/>
  <c r="O84" i="4" s="1"/>
  <c r="L84" i="4"/>
  <c r="I84" i="4"/>
  <c r="H84" i="4"/>
  <c r="F84" i="4"/>
  <c r="C84" i="4"/>
  <c r="AD83" i="4"/>
  <c r="AC83" i="4"/>
  <c r="AA83" i="4"/>
  <c r="X83" i="4"/>
  <c r="W83" i="4"/>
  <c r="U83" i="4"/>
  <c r="R83" i="4"/>
  <c r="O83" i="4"/>
  <c r="N83" i="4"/>
  <c r="L83" i="4"/>
  <c r="H83" i="4"/>
  <c r="I83" i="4" s="1"/>
  <c r="F83" i="4"/>
  <c r="C83" i="4"/>
  <c r="AC82" i="4"/>
  <c r="AD82" i="4" s="1"/>
  <c r="AA82" i="4"/>
  <c r="W82" i="4"/>
  <c r="X82" i="4" s="1"/>
  <c r="U82" i="4"/>
  <c r="R82" i="4"/>
  <c r="N82" i="4"/>
  <c r="L82" i="4"/>
  <c r="H82" i="4"/>
  <c r="I82" i="4" s="1"/>
  <c r="F82" i="4"/>
  <c r="C82" i="4"/>
  <c r="AD81" i="4"/>
  <c r="AC81" i="4"/>
  <c r="AA81" i="4"/>
  <c r="X81" i="4"/>
  <c r="W81" i="4"/>
  <c r="U81" i="4"/>
  <c r="R81" i="4"/>
  <c r="N81" i="4"/>
  <c r="O81" i="4" s="1"/>
  <c r="L81" i="4"/>
  <c r="H81" i="4"/>
  <c r="I81" i="4" s="1"/>
  <c r="F81" i="4"/>
  <c r="C81" i="4"/>
  <c r="AC80" i="4"/>
  <c r="AD80" i="4" s="1"/>
  <c r="AA80" i="4"/>
  <c r="W80" i="4"/>
  <c r="X80" i="4" s="1"/>
  <c r="U80" i="4"/>
  <c r="R80" i="4"/>
  <c r="O80" i="4"/>
  <c r="N80" i="4"/>
  <c r="L80" i="4"/>
  <c r="I80" i="4"/>
  <c r="H80" i="4"/>
  <c r="F80" i="4"/>
  <c r="C80" i="4"/>
  <c r="AD79" i="4"/>
  <c r="AC79" i="4"/>
  <c r="AA79" i="4"/>
  <c r="W79" i="4"/>
  <c r="X79" i="4" s="1"/>
  <c r="U79" i="4"/>
  <c r="R79" i="4"/>
  <c r="N79" i="4"/>
  <c r="O79" i="4" s="1"/>
  <c r="L79" i="4"/>
  <c r="I79" i="4"/>
  <c r="H79" i="4"/>
  <c r="F79" i="4"/>
  <c r="C79" i="4"/>
  <c r="AD78" i="4"/>
  <c r="AC78" i="4"/>
  <c r="AA78" i="4"/>
  <c r="W78" i="4"/>
  <c r="X78" i="4" s="1"/>
  <c r="U78" i="4"/>
  <c r="R78" i="4"/>
  <c r="N78" i="4"/>
  <c r="O78" i="4" s="1"/>
  <c r="L78" i="4"/>
  <c r="H78" i="4"/>
  <c r="I78" i="4" s="1"/>
  <c r="F78" i="4"/>
  <c r="C78" i="4"/>
  <c r="AD77" i="4"/>
  <c r="AC77" i="4"/>
  <c r="AA77" i="4"/>
  <c r="X77" i="4"/>
  <c r="W77" i="4"/>
  <c r="U77" i="4"/>
  <c r="R77" i="4"/>
  <c r="O77" i="4"/>
  <c r="N77" i="4"/>
  <c r="L77" i="4"/>
  <c r="H77" i="4"/>
  <c r="I77" i="4" s="1"/>
  <c r="F77" i="4"/>
  <c r="C77" i="4"/>
  <c r="AC76" i="4"/>
  <c r="AD76" i="4" s="1"/>
  <c r="AA76" i="4"/>
  <c r="W76" i="4"/>
  <c r="X76" i="4" s="1"/>
  <c r="U76" i="4"/>
  <c r="R76" i="4"/>
  <c r="N76" i="4"/>
  <c r="O76" i="4" s="1"/>
  <c r="L76" i="4"/>
  <c r="I76" i="4"/>
  <c r="H76" i="4"/>
  <c r="F76" i="4"/>
  <c r="C76" i="4"/>
  <c r="AD75" i="4"/>
  <c r="AC75" i="4"/>
  <c r="AA75" i="4"/>
  <c r="X75" i="4"/>
  <c r="W75" i="4"/>
  <c r="U75" i="4"/>
  <c r="R75" i="4"/>
  <c r="O75" i="4"/>
  <c r="N75" i="4"/>
  <c r="L75" i="4"/>
  <c r="H75" i="4"/>
  <c r="I75" i="4" s="1"/>
  <c r="F75" i="4"/>
  <c r="C75" i="4"/>
  <c r="AA73" i="4"/>
  <c r="Z73" i="4"/>
  <c r="X73" i="4"/>
  <c r="W73" i="4"/>
  <c r="U73" i="4"/>
  <c r="T73" i="4"/>
  <c r="Q73" i="4"/>
  <c r="R73" i="4" s="1"/>
  <c r="K73" i="4"/>
  <c r="L73" i="4" s="1"/>
  <c r="E73" i="4"/>
  <c r="F73" i="4" s="1"/>
  <c r="B73" i="4"/>
  <c r="AC72" i="4"/>
  <c r="AD72" i="4" s="1"/>
  <c r="AA72" i="4"/>
  <c r="W72" i="4"/>
  <c r="X72" i="4" s="1"/>
  <c r="U72" i="4"/>
  <c r="R72" i="4"/>
  <c r="N72" i="4"/>
  <c r="O72" i="4" s="1"/>
  <c r="L72" i="4"/>
  <c r="I72" i="4"/>
  <c r="H72" i="4"/>
  <c r="F72" i="4"/>
  <c r="C72" i="4"/>
  <c r="AD71" i="4"/>
  <c r="AC71" i="4"/>
  <c r="AA71" i="4"/>
  <c r="W71" i="4"/>
  <c r="X71" i="4" s="1"/>
  <c r="U71" i="4"/>
  <c r="R71" i="4"/>
  <c r="N71" i="4"/>
  <c r="O71" i="4" s="1"/>
  <c r="L71" i="4"/>
  <c r="I71" i="4"/>
  <c r="H71" i="4"/>
  <c r="F71" i="4"/>
  <c r="C71" i="4"/>
  <c r="AD70" i="4"/>
  <c r="AC70" i="4"/>
  <c r="AA70" i="4"/>
  <c r="W70" i="4"/>
  <c r="X70" i="4" s="1"/>
  <c r="U70" i="4"/>
  <c r="R70" i="4"/>
  <c r="N70" i="4"/>
  <c r="O70" i="4" s="1"/>
  <c r="L70" i="4"/>
  <c r="H70" i="4"/>
  <c r="I70" i="4" s="1"/>
  <c r="F70" i="4"/>
  <c r="C70" i="4"/>
  <c r="AD69" i="4"/>
  <c r="AC69" i="4"/>
  <c r="AA69" i="4"/>
  <c r="X69" i="4"/>
  <c r="W69" i="4"/>
  <c r="U69" i="4"/>
  <c r="R69" i="4"/>
  <c r="O69" i="4"/>
  <c r="N69" i="4"/>
  <c r="L69" i="4"/>
  <c r="H69" i="4"/>
  <c r="I69" i="4" s="1"/>
  <c r="F69" i="4"/>
  <c r="C69" i="4"/>
  <c r="AC68" i="4"/>
  <c r="AD68" i="4" s="1"/>
  <c r="AA68" i="4"/>
  <c r="W68" i="4"/>
  <c r="X68" i="4" s="1"/>
  <c r="U68" i="4"/>
  <c r="R68" i="4"/>
  <c r="N68" i="4"/>
  <c r="O68" i="4" s="1"/>
  <c r="L68" i="4"/>
  <c r="I68" i="4"/>
  <c r="H68" i="4"/>
  <c r="F68" i="4"/>
  <c r="C68" i="4"/>
  <c r="AD67" i="4"/>
  <c r="AC67" i="4"/>
  <c r="AA67" i="4"/>
  <c r="W67" i="4"/>
  <c r="X67" i="4" s="1"/>
  <c r="U67" i="4"/>
  <c r="R67" i="4"/>
  <c r="N67" i="4"/>
  <c r="O67" i="4" s="1"/>
  <c r="L67" i="4"/>
  <c r="I67" i="4"/>
  <c r="H67" i="4"/>
  <c r="F67" i="4"/>
  <c r="C67" i="4"/>
  <c r="AD66" i="4"/>
  <c r="AC66" i="4"/>
  <c r="AA66" i="4"/>
  <c r="W66" i="4"/>
  <c r="X66" i="4" s="1"/>
  <c r="U66" i="4"/>
  <c r="R66" i="4"/>
  <c r="N66" i="4"/>
  <c r="L66" i="4"/>
  <c r="I66" i="4"/>
  <c r="H66" i="4"/>
  <c r="F66" i="4"/>
  <c r="C66" i="4"/>
  <c r="AD65" i="4"/>
  <c r="AC65" i="4"/>
  <c r="AA65" i="4"/>
  <c r="W65" i="4"/>
  <c r="X65" i="4" s="1"/>
  <c r="U65" i="4"/>
  <c r="R65" i="4"/>
  <c r="N65" i="4"/>
  <c r="O65" i="4" s="1"/>
  <c r="L65" i="4"/>
  <c r="H65" i="4"/>
  <c r="I65" i="4" s="1"/>
  <c r="F65" i="4"/>
  <c r="C65" i="4"/>
  <c r="AC64" i="4"/>
  <c r="AD64" i="4" s="1"/>
  <c r="AA64" i="4"/>
  <c r="W64" i="4"/>
  <c r="X64" i="4" s="1"/>
  <c r="U64" i="4"/>
  <c r="R64" i="4"/>
  <c r="N64" i="4"/>
  <c r="O64" i="4" s="1"/>
  <c r="L64" i="4"/>
  <c r="I64" i="4"/>
  <c r="H64" i="4"/>
  <c r="F64" i="4"/>
  <c r="C64" i="4"/>
  <c r="AA62" i="4"/>
  <c r="Z62" i="4"/>
  <c r="T62" i="4"/>
  <c r="U62" i="4" s="1"/>
  <c r="Q62" i="4"/>
  <c r="AC62" i="4" s="1"/>
  <c r="AD62" i="4" s="1"/>
  <c r="L62" i="4"/>
  <c r="K62" i="4"/>
  <c r="E62" i="4"/>
  <c r="F62" i="4" s="1"/>
  <c r="C62" i="4"/>
  <c r="B62" i="4"/>
  <c r="H62" i="4" s="1"/>
  <c r="I62" i="4" s="1"/>
  <c r="Z61" i="4"/>
  <c r="AA61" i="4" s="1"/>
  <c r="X61" i="4"/>
  <c r="T61" i="4"/>
  <c r="W61" i="4" s="1"/>
  <c r="R61" i="4"/>
  <c r="Q61" i="4"/>
  <c r="L61" i="4"/>
  <c r="K61" i="4"/>
  <c r="F61" i="4"/>
  <c r="E61" i="4"/>
  <c r="B61" i="4"/>
  <c r="H61" i="4" s="1"/>
  <c r="I61" i="4" s="1"/>
  <c r="AD60" i="4"/>
  <c r="AC60" i="4"/>
  <c r="AA60" i="4"/>
  <c r="W60" i="4"/>
  <c r="X60" i="4" s="1"/>
  <c r="U60" i="4"/>
  <c r="R60" i="4"/>
  <c r="N60" i="4"/>
  <c r="O60" i="4" s="1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N59" i="4"/>
  <c r="L59" i="4"/>
  <c r="H59" i="4"/>
  <c r="I59" i="4" s="1"/>
  <c r="F59" i="4"/>
  <c r="C59" i="4"/>
  <c r="AD58" i="4"/>
  <c r="AC58" i="4"/>
  <c r="AA58" i="4"/>
  <c r="X58" i="4"/>
  <c r="W58" i="4"/>
  <c r="U58" i="4"/>
  <c r="R58" i="4"/>
  <c r="O58" i="4"/>
  <c r="N58" i="4"/>
  <c r="L58" i="4"/>
  <c r="H58" i="4"/>
  <c r="I58" i="4" s="1"/>
  <c r="F58" i="4"/>
  <c r="C58" i="4"/>
  <c r="AC57" i="4"/>
  <c r="AD57" i="4" s="1"/>
  <c r="AA57" i="4"/>
  <c r="W57" i="4"/>
  <c r="X57" i="4" s="1"/>
  <c r="U57" i="4"/>
  <c r="R57" i="4"/>
  <c r="O57" i="4"/>
  <c r="N57" i="4"/>
  <c r="L57" i="4"/>
  <c r="I57" i="4"/>
  <c r="H57" i="4"/>
  <c r="F57" i="4"/>
  <c r="C57" i="4"/>
  <c r="AC56" i="4"/>
  <c r="AD56" i="4" s="1"/>
  <c r="AA56" i="4"/>
  <c r="W56" i="4"/>
  <c r="X56" i="4" s="1"/>
  <c r="U56" i="4"/>
  <c r="R56" i="4"/>
  <c r="N56" i="4"/>
  <c r="O56" i="4" s="1"/>
  <c r="L56" i="4"/>
  <c r="I56" i="4"/>
  <c r="H56" i="4"/>
  <c r="F56" i="4"/>
  <c r="C56" i="4"/>
  <c r="AD55" i="4"/>
  <c r="AC55" i="4"/>
  <c r="AA55" i="4"/>
  <c r="W55" i="4"/>
  <c r="X55" i="4" s="1"/>
  <c r="U55" i="4"/>
  <c r="R55" i="4"/>
  <c r="N55" i="4"/>
  <c r="O55" i="4" s="1"/>
  <c r="L55" i="4"/>
  <c r="H55" i="4"/>
  <c r="I55" i="4" s="1"/>
  <c r="F55" i="4"/>
  <c r="C55" i="4"/>
  <c r="AD54" i="4"/>
  <c r="AC54" i="4"/>
  <c r="AA54" i="4"/>
  <c r="X54" i="4"/>
  <c r="W54" i="4"/>
  <c r="U54" i="4"/>
  <c r="R54" i="4"/>
  <c r="O54" i="4"/>
  <c r="N54" i="4"/>
  <c r="L54" i="4"/>
  <c r="H54" i="4"/>
  <c r="I54" i="4" s="1"/>
  <c r="F54" i="4"/>
  <c r="C54" i="4"/>
  <c r="AD53" i="4"/>
  <c r="AC53" i="4"/>
  <c r="AA53" i="4"/>
  <c r="W53" i="4"/>
  <c r="X53" i="4" s="1"/>
  <c r="U53" i="4"/>
  <c r="R53" i="4"/>
  <c r="N53" i="4"/>
  <c r="O53" i="4" s="1"/>
  <c r="L53" i="4"/>
  <c r="I53" i="4"/>
  <c r="H53" i="4"/>
  <c r="F53" i="4"/>
  <c r="C53" i="4"/>
  <c r="AD52" i="4"/>
  <c r="AC52" i="4"/>
  <c r="AA52" i="4"/>
  <c r="X52" i="4"/>
  <c r="W52" i="4"/>
  <c r="U52" i="4"/>
  <c r="R52" i="4"/>
  <c r="O52" i="4"/>
  <c r="N52" i="4"/>
  <c r="L52" i="4"/>
  <c r="H52" i="4"/>
  <c r="I52" i="4" s="1"/>
  <c r="F52" i="4"/>
  <c r="C52" i="4"/>
  <c r="AC51" i="4"/>
  <c r="AD51" i="4" s="1"/>
  <c r="AA51" i="4"/>
  <c r="W51" i="4"/>
  <c r="X51" i="4" s="1"/>
  <c r="U51" i="4"/>
  <c r="R51" i="4"/>
  <c r="N51" i="4"/>
  <c r="L51" i="4"/>
  <c r="H51" i="4"/>
  <c r="I51" i="4" s="1"/>
  <c r="F51" i="4"/>
  <c r="C51" i="4"/>
  <c r="AD50" i="4"/>
  <c r="AC50" i="4"/>
  <c r="AA50" i="4"/>
  <c r="W50" i="4"/>
  <c r="X50" i="4" s="1"/>
  <c r="U50" i="4"/>
  <c r="R50" i="4"/>
  <c r="N50" i="4"/>
  <c r="O50" i="4" s="1"/>
  <c r="L50" i="4"/>
  <c r="H50" i="4"/>
  <c r="I50" i="4" s="1"/>
  <c r="F50" i="4"/>
  <c r="C50" i="4"/>
  <c r="AC49" i="4"/>
  <c r="AD49" i="4" s="1"/>
  <c r="AA49" i="4"/>
  <c r="W49" i="4"/>
  <c r="X49" i="4" s="1"/>
  <c r="U49" i="4"/>
  <c r="R49" i="4"/>
  <c r="O49" i="4"/>
  <c r="N49" i="4"/>
  <c r="L49" i="4"/>
  <c r="I49" i="4"/>
  <c r="H49" i="4"/>
  <c r="F49" i="4"/>
  <c r="C49" i="4"/>
  <c r="AD48" i="4"/>
  <c r="AC48" i="4"/>
  <c r="AA48" i="4"/>
  <c r="W48" i="4"/>
  <c r="X48" i="4" s="1"/>
  <c r="U48" i="4"/>
  <c r="R48" i="4"/>
  <c r="N48" i="4"/>
  <c r="O48" i="4" s="1"/>
  <c r="L48" i="4"/>
  <c r="I48" i="4"/>
  <c r="H48" i="4"/>
  <c r="F48" i="4"/>
  <c r="C48" i="4"/>
  <c r="AD47" i="4"/>
  <c r="AC47" i="4"/>
  <c r="AA47" i="4"/>
  <c r="W47" i="4"/>
  <c r="X47" i="4" s="1"/>
  <c r="U47" i="4"/>
  <c r="R47" i="4"/>
  <c r="N47" i="4"/>
  <c r="O47" i="4" s="1"/>
  <c r="L47" i="4"/>
  <c r="H47" i="4"/>
  <c r="I47" i="4" s="1"/>
  <c r="F47" i="4"/>
  <c r="C47" i="4"/>
  <c r="AD46" i="4"/>
  <c r="AC46" i="4"/>
  <c r="AA46" i="4"/>
  <c r="X46" i="4"/>
  <c r="W46" i="4"/>
  <c r="U46" i="4"/>
  <c r="R46" i="4"/>
  <c r="O46" i="4"/>
  <c r="N46" i="4"/>
  <c r="L46" i="4"/>
  <c r="H46" i="4"/>
  <c r="I46" i="4" s="1"/>
  <c r="F46" i="4"/>
  <c r="C46" i="4"/>
  <c r="AC44" i="4"/>
  <c r="AD44" i="4" s="1"/>
  <c r="AA44" i="4"/>
  <c r="W44" i="4"/>
  <c r="X44" i="4" s="1"/>
  <c r="U44" i="4"/>
  <c r="R44" i="4"/>
  <c r="N44" i="4"/>
  <c r="O44" i="4" s="1"/>
  <c r="L44" i="4"/>
  <c r="I44" i="4"/>
  <c r="H44" i="4"/>
  <c r="F44" i="4"/>
  <c r="C44" i="4"/>
  <c r="AD43" i="4"/>
  <c r="AC43" i="4"/>
  <c r="AA43" i="4"/>
  <c r="X43" i="4"/>
  <c r="W43" i="4"/>
  <c r="U43" i="4"/>
  <c r="R43" i="4"/>
  <c r="O43" i="4"/>
  <c r="N43" i="4"/>
  <c r="L43" i="4"/>
  <c r="I43" i="4"/>
  <c r="H43" i="4"/>
  <c r="F43" i="4"/>
  <c r="C43" i="4"/>
  <c r="AD42" i="4"/>
  <c r="AC42" i="4"/>
  <c r="AA42" i="4"/>
  <c r="W42" i="4"/>
  <c r="X42" i="4" s="1"/>
  <c r="U42" i="4"/>
  <c r="R42" i="4"/>
  <c r="N42" i="4"/>
  <c r="L42" i="4"/>
  <c r="I42" i="4"/>
  <c r="H42" i="4"/>
  <c r="F42" i="4"/>
  <c r="C42" i="4"/>
  <c r="AA40" i="4"/>
  <c r="Z40" i="4"/>
  <c r="W40" i="4"/>
  <c r="X40" i="4" s="1"/>
  <c r="U40" i="4"/>
  <c r="T40" i="4"/>
  <c r="R40" i="4"/>
  <c r="Q40" i="4"/>
  <c r="AC40" i="4" s="1"/>
  <c r="AD40" i="4" s="1"/>
  <c r="K40" i="4"/>
  <c r="L40" i="4" s="1"/>
  <c r="I40" i="4"/>
  <c r="F40" i="4"/>
  <c r="E40" i="4"/>
  <c r="C40" i="4"/>
  <c r="B40" i="4"/>
  <c r="H40" i="4" s="1"/>
  <c r="AD39" i="4"/>
  <c r="AC39" i="4"/>
  <c r="AA39" i="4"/>
  <c r="W39" i="4"/>
  <c r="X39" i="4" s="1"/>
  <c r="U39" i="4"/>
  <c r="R39" i="4"/>
  <c r="N39" i="4"/>
  <c r="O39" i="4" s="1"/>
  <c r="L39" i="4"/>
  <c r="I39" i="4"/>
  <c r="H39" i="4"/>
  <c r="F39" i="4"/>
  <c r="C39" i="4"/>
  <c r="AD38" i="4"/>
  <c r="AC38" i="4"/>
  <c r="AA38" i="4"/>
  <c r="X38" i="4"/>
  <c r="W38" i="4"/>
  <c r="U38" i="4"/>
  <c r="R38" i="4"/>
  <c r="N38" i="4"/>
  <c r="O38" i="4" s="1"/>
  <c r="L38" i="4"/>
  <c r="H38" i="4"/>
  <c r="I38" i="4" s="1"/>
  <c r="F38" i="4"/>
  <c r="C38" i="4"/>
  <c r="AD37" i="4"/>
  <c r="AC37" i="4"/>
  <c r="AA37" i="4"/>
  <c r="X37" i="4"/>
  <c r="W37" i="4"/>
  <c r="U37" i="4"/>
  <c r="R37" i="4"/>
  <c r="O37" i="4"/>
  <c r="N37" i="4"/>
  <c r="L37" i="4"/>
  <c r="H37" i="4"/>
  <c r="I37" i="4" s="1"/>
  <c r="F37" i="4"/>
  <c r="C37" i="4"/>
  <c r="AC36" i="4"/>
  <c r="AD36" i="4" s="1"/>
  <c r="AA36" i="4"/>
  <c r="W36" i="4"/>
  <c r="X36" i="4" s="1"/>
  <c r="U36" i="4"/>
  <c r="R36" i="4"/>
  <c r="N36" i="4"/>
  <c r="O36" i="4" s="1"/>
  <c r="L36" i="4"/>
  <c r="I36" i="4"/>
  <c r="H36" i="4"/>
  <c r="F36" i="4"/>
  <c r="C36" i="4"/>
  <c r="AD35" i="4"/>
  <c r="AC35" i="4"/>
  <c r="AA35" i="4"/>
  <c r="W35" i="4"/>
  <c r="X35" i="4" s="1"/>
  <c r="U35" i="4"/>
  <c r="R35" i="4"/>
  <c r="N35" i="4"/>
  <c r="O35" i="4" s="1"/>
  <c r="L35" i="4"/>
  <c r="I35" i="4"/>
  <c r="H35" i="4"/>
  <c r="F35" i="4"/>
  <c r="C35" i="4"/>
  <c r="AC34" i="4"/>
  <c r="AD34" i="4" s="1"/>
  <c r="AA34" i="4"/>
  <c r="W34" i="4"/>
  <c r="X34" i="4" s="1"/>
  <c r="U34" i="4"/>
  <c r="R34" i="4"/>
  <c r="N34" i="4"/>
  <c r="L34" i="4"/>
  <c r="H34" i="4"/>
  <c r="I34" i="4" s="1"/>
  <c r="F34" i="4"/>
  <c r="C34" i="4"/>
  <c r="AD33" i="4"/>
  <c r="AC33" i="4"/>
  <c r="AA33" i="4"/>
  <c r="X33" i="4"/>
  <c r="W33" i="4"/>
  <c r="U33" i="4"/>
  <c r="R33" i="4"/>
  <c r="N33" i="4"/>
  <c r="O33" i="4" s="1"/>
  <c r="L33" i="4"/>
  <c r="H33" i="4"/>
  <c r="I33" i="4" s="1"/>
  <c r="F33" i="4"/>
  <c r="C33" i="4"/>
  <c r="AC32" i="4"/>
  <c r="AD32" i="4" s="1"/>
  <c r="AA32" i="4"/>
  <c r="W32" i="4"/>
  <c r="X32" i="4" s="1"/>
  <c r="U32" i="4"/>
  <c r="R32" i="4"/>
  <c r="N32" i="4"/>
  <c r="O32" i="4" s="1"/>
  <c r="L32" i="4"/>
  <c r="I32" i="4"/>
  <c r="H32" i="4"/>
  <c r="F32" i="4"/>
  <c r="C32" i="4"/>
  <c r="AC31" i="4"/>
  <c r="AD31" i="4" s="1"/>
  <c r="AA31" i="4"/>
  <c r="W31" i="4"/>
  <c r="X31" i="4" s="1"/>
  <c r="U31" i="4"/>
  <c r="R31" i="4"/>
  <c r="N31" i="4"/>
  <c r="O31" i="4" s="1"/>
  <c r="L31" i="4"/>
  <c r="I31" i="4"/>
  <c r="H31" i="4"/>
  <c r="F31" i="4"/>
  <c r="C31" i="4"/>
  <c r="Z29" i="4"/>
  <c r="AA29" i="4" s="1"/>
  <c r="U29" i="4"/>
  <c r="T29" i="4"/>
  <c r="R29" i="4"/>
  <c r="Q29" i="4"/>
  <c r="L29" i="4"/>
  <c r="K29" i="4"/>
  <c r="E29" i="4"/>
  <c r="F29" i="4" s="1"/>
  <c r="B29" i="4"/>
  <c r="N29" i="4" s="1"/>
  <c r="O29" i="4" s="1"/>
  <c r="AD28" i="4"/>
  <c r="AC28" i="4"/>
  <c r="AA28" i="4"/>
  <c r="W28" i="4"/>
  <c r="X28" i="4" s="1"/>
  <c r="U28" i="4"/>
  <c r="R28" i="4"/>
  <c r="N28" i="4"/>
  <c r="O28" i="4" s="1"/>
  <c r="L28" i="4"/>
  <c r="I28" i="4"/>
  <c r="H28" i="4"/>
  <c r="F28" i="4"/>
  <c r="C28" i="4"/>
  <c r="AD27" i="4"/>
  <c r="AC27" i="4"/>
  <c r="AA27" i="4"/>
  <c r="W27" i="4"/>
  <c r="X27" i="4" s="1"/>
  <c r="U27" i="4"/>
  <c r="R27" i="4"/>
  <c r="O27" i="4"/>
  <c r="N27" i="4"/>
  <c r="L27" i="4"/>
  <c r="I27" i="4"/>
  <c r="H27" i="4"/>
  <c r="F27" i="4"/>
  <c r="C27" i="4"/>
  <c r="AC26" i="4"/>
  <c r="AD26" i="4" s="1"/>
  <c r="AA26" i="4"/>
  <c r="W26" i="4"/>
  <c r="X26" i="4" s="1"/>
  <c r="U26" i="4"/>
  <c r="R26" i="4"/>
  <c r="N26" i="4"/>
  <c r="L26" i="4"/>
  <c r="H26" i="4"/>
  <c r="I26" i="4" s="1"/>
  <c r="F26" i="4"/>
  <c r="C26" i="4"/>
  <c r="AD25" i="4"/>
  <c r="AC25" i="4"/>
  <c r="AA25" i="4"/>
  <c r="W25" i="4"/>
  <c r="X25" i="4" s="1"/>
  <c r="U25" i="4"/>
  <c r="R25" i="4"/>
  <c r="N25" i="4"/>
  <c r="O25" i="4" s="1"/>
  <c r="L25" i="4"/>
  <c r="H25" i="4"/>
  <c r="I25" i="4" s="1"/>
  <c r="F25" i="4"/>
  <c r="C25" i="4"/>
  <c r="AC24" i="4"/>
  <c r="AD24" i="4" s="1"/>
  <c r="AA24" i="4"/>
  <c r="W24" i="4"/>
  <c r="X24" i="4" s="1"/>
  <c r="U24" i="4"/>
  <c r="R24" i="4"/>
  <c r="O24" i="4"/>
  <c r="N24" i="4"/>
  <c r="L24" i="4"/>
  <c r="I24" i="4"/>
  <c r="H24" i="4"/>
  <c r="F24" i="4"/>
  <c r="C24" i="4"/>
  <c r="AC23" i="4"/>
  <c r="AD23" i="4" s="1"/>
  <c r="AA23" i="4"/>
  <c r="W23" i="4"/>
  <c r="X23" i="4" s="1"/>
  <c r="U23" i="4"/>
  <c r="R23" i="4"/>
  <c r="N23" i="4"/>
  <c r="O23" i="4" s="1"/>
  <c r="L23" i="4"/>
  <c r="I23" i="4"/>
  <c r="H23" i="4"/>
  <c r="F23" i="4"/>
  <c r="C23" i="4"/>
  <c r="AD22" i="4"/>
  <c r="AC22" i="4"/>
  <c r="AA22" i="4"/>
  <c r="W22" i="4"/>
  <c r="X22" i="4" s="1"/>
  <c r="U22" i="4"/>
  <c r="R22" i="4"/>
  <c r="N22" i="4"/>
  <c r="O22" i="4" s="1"/>
  <c r="L22" i="4"/>
  <c r="H22" i="4"/>
  <c r="I22" i="4" s="1"/>
  <c r="F22" i="4"/>
  <c r="C22" i="4"/>
  <c r="AD21" i="4"/>
  <c r="AC21" i="4"/>
  <c r="AA21" i="4"/>
  <c r="X21" i="4"/>
  <c r="W21" i="4"/>
  <c r="U21" i="4"/>
  <c r="R21" i="4"/>
  <c r="O21" i="4"/>
  <c r="N21" i="4"/>
  <c r="L21" i="4"/>
  <c r="H21" i="4"/>
  <c r="I21" i="4" s="1"/>
  <c r="F21" i="4"/>
  <c r="C21" i="4"/>
  <c r="AC19" i="4"/>
  <c r="AD19" i="4" s="1"/>
  <c r="AA19" i="4"/>
  <c r="W19" i="4"/>
  <c r="X19" i="4" s="1"/>
  <c r="U19" i="4"/>
  <c r="R19" i="4"/>
  <c r="N19" i="4"/>
  <c r="O19" i="4" s="1"/>
  <c r="L19" i="4"/>
  <c r="I19" i="4"/>
  <c r="H19" i="4"/>
  <c r="F19" i="4"/>
  <c r="C19" i="4"/>
  <c r="Z18" i="4"/>
  <c r="AA18" i="4" s="1"/>
  <c r="T18" i="4"/>
  <c r="U18" i="4" s="1"/>
  <c r="Q18" i="4"/>
  <c r="L18" i="4"/>
  <c r="K18" i="4"/>
  <c r="H18" i="4"/>
  <c r="I18" i="4" s="1"/>
  <c r="E18" i="4"/>
  <c r="F18" i="4" s="1"/>
  <c r="B18" i="4"/>
  <c r="C18" i="4" s="1"/>
  <c r="AD17" i="4"/>
  <c r="AC17" i="4"/>
  <c r="AA17" i="4"/>
  <c r="W17" i="4"/>
  <c r="X17" i="4" s="1"/>
  <c r="U17" i="4"/>
  <c r="R17" i="4"/>
  <c r="N17" i="4"/>
  <c r="O17" i="4" s="1"/>
  <c r="L17" i="4"/>
  <c r="H17" i="4"/>
  <c r="I17" i="4" s="1"/>
  <c r="F17" i="4"/>
  <c r="C17" i="4"/>
  <c r="AC16" i="4"/>
  <c r="AD16" i="4" s="1"/>
  <c r="AA16" i="4"/>
  <c r="W16" i="4"/>
  <c r="X16" i="4" s="1"/>
  <c r="U16" i="4"/>
  <c r="R16" i="4"/>
  <c r="N16" i="4"/>
  <c r="O16" i="4" s="1"/>
  <c r="L16" i="4"/>
  <c r="I16" i="4"/>
  <c r="H16" i="4"/>
  <c r="F16" i="4"/>
  <c r="C16" i="4"/>
  <c r="AC15" i="4"/>
  <c r="AD15" i="4" s="1"/>
  <c r="AA15" i="4"/>
  <c r="W15" i="4"/>
  <c r="X15" i="4" s="1"/>
  <c r="U15" i="4"/>
  <c r="R15" i="4"/>
  <c r="N15" i="4"/>
  <c r="O15" i="4" s="1"/>
  <c r="L15" i="4"/>
  <c r="I15" i="4"/>
  <c r="H15" i="4"/>
  <c r="F15" i="4"/>
  <c r="C15" i="4"/>
  <c r="AD14" i="4"/>
  <c r="AC14" i="4"/>
  <c r="AA14" i="4"/>
  <c r="W14" i="4"/>
  <c r="X14" i="4" s="1"/>
  <c r="U14" i="4"/>
  <c r="R14" i="4"/>
  <c r="N14" i="4"/>
  <c r="O14" i="4" s="1"/>
  <c r="L14" i="4"/>
  <c r="H14" i="4"/>
  <c r="I14" i="4" s="1"/>
  <c r="F14" i="4"/>
  <c r="C14" i="4"/>
  <c r="AD13" i="4"/>
  <c r="AC13" i="4"/>
  <c r="AA13" i="4"/>
  <c r="X13" i="4"/>
  <c r="W13" i="4"/>
  <c r="U13" i="4"/>
  <c r="R13" i="4"/>
  <c r="O13" i="4"/>
  <c r="N13" i="4"/>
  <c r="L13" i="4"/>
  <c r="H13" i="4"/>
  <c r="I13" i="4" s="1"/>
  <c r="F13" i="4"/>
  <c r="C13" i="4"/>
  <c r="AD12" i="4"/>
  <c r="AC12" i="4"/>
  <c r="AA12" i="4"/>
  <c r="W12" i="4"/>
  <c r="X12" i="4" s="1"/>
  <c r="U12" i="4"/>
  <c r="R12" i="4"/>
  <c r="N12" i="4"/>
  <c r="O12" i="4" s="1"/>
  <c r="L12" i="4"/>
  <c r="I12" i="4"/>
  <c r="H12" i="4"/>
  <c r="F12" i="4"/>
  <c r="C12" i="4"/>
  <c r="AD11" i="4"/>
  <c r="AC11" i="4"/>
  <c r="AA11" i="4"/>
  <c r="W11" i="4"/>
  <c r="X11" i="4" s="1"/>
  <c r="U11" i="4"/>
  <c r="R11" i="4"/>
  <c r="N11" i="4"/>
  <c r="O11" i="4" s="1"/>
  <c r="L11" i="4"/>
  <c r="H11" i="4"/>
  <c r="I11" i="4" s="1"/>
  <c r="F11" i="4"/>
  <c r="C11" i="4"/>
  <c r="AC10" i="4"/>
  <c r="AD10" i="4" s="1"/>
  <c r="AA10" i="4"/>
  <c r="W10" i="4"/>
  <c r="X10" i="4" s="1"/>
  <c r="U10" i="4"/>
  <c r="R10" i="4"/>
  <c r="N10" i="4"/>
  <c r="L10" i="4"/>
  <c r="H10" i="4"/>
  <c r="I10" i="4" s="1"/>
  <c r="F10" i="4"/>
  <c r="C10" i="4"/>
  <c r="AD8" i="4"/>
  <c r="AC8" i="4"/>
  <c r="AA8" i="4"/>
  <c r="W8" i="4"/>
  <c r="X8" i="4" s="1"/>
  <c r="U8" i="4"/>
  <c r="R8" i="4"/>
  <c r="O8" i="4"/>
  <c r="N8" i="4"/>
  <c r="L8" i="4"/>
  <c r="H8" i="4"/>
  <c r="I8" i="4" s="1"/>
  <c r="F8" i="4"/>
  <c r="C8" i="4"/>
  <c r="AC444" i="3"/>
  <c r="W444" i="3"/>
  <c r="X411" i="3" s="1"/>
  <c r="N444" i="3"/>
  <c r="H444" i="3"/>
  <c r="AA442" i="3"/>
  <c r="Z442" i="3"/>
  <c r="T442" i="3"/>
  <c r="U442" i="3" s="1"/>
  <c r="Q442" i="3"/>
  <c r="L442" i="3"/>
  <c r="K442" i="3"/>
  <c r="E442" i="3"/>
  <c r="H442" i="3" s="1"/>
  <c r="I442" i="3" s="1"/>
  <c r="C442" i="3"/>
  <c r="B442" i="3"/>
  <c r="AD441" i="3"/>
  <c r="AC441" i="3"/>
  <c r="AA441" i="3"/>
  <c r="Z441" i="3"/>
  <c r="U441" i="3"/>
  <c r="T441" i="3"/>
  <c r="Q441" i="3"/>
  <c r="W441" i="3" s="1"/>
  <c r="K441" i="3"/>
  <c r="L441" i="3" s="1"/>
  <c r="E441" i="3"/>
  <c r="F441" i="3" s="1"/>
  <c r="B441" i="3"/>
  <c r="AC440" i="3"/>
  <c r="AD440" i="3" s="1"/>
  <c r="AA440" i="3"/>
  <c r="W440" i="3"/>
  <c r="U440" i="3"/>
  <c r="R440" i="3"/>
  <c r="N440" i="3"/>
  <c r="L440" i="3"/>
  <c r="I440" i="3"/>
  <c r="H440" i="3"/>
  <c r="F440" i="3"/>
  <c r="C440" i="3"/>
  <c r="AC439" i="3"/>
  <c r="AD439" i="3" s="1"/>
  <c r="AA439" i="3"/>
  <c r="W439" i="3"/>
  <c r="X439" i="3" s="1"/>
  <c r="U439" i="3"/>
  <c r="R439" i="3"/>
  <c r="N439" i="3"/>
  <c r="L439" i="3"/>
  <c r="I439" i="3"/>
  <c r="H439" i="3"/>
  <c r="F439" i="3"/>
  <c r="C439" i="3"/>
  <c r="AD438" i="3"/>
  <c r="AC438" i="3"/>
  <c r="AA438" i="3"/>
  <c r="W438" i="3"/>
  <c r="U438" i="3"/>
  <c r="R438" i="3"/>
  <c r="N438" i="3"/>
  <c r="L438" i="3"/>
  <c r="H438" i="3"/>
  <c r="I438" i="3" s="1"/>
  <c r="F438" i="3"/>
  <c r="C438" i="3"/>
  <c r="AD437" i="3"/>
  <c r="AC437" i="3"/>
  <c r="AA437" i="3"/>
  <c r="W437" i="3"/>
  <c r="U437" i="3"/>
  <c r="R437" i="3"/>
  <c r="N437" i="3"/>
  <c r="L437" i="3"/>
  <c r="H437" i="3"/>
  <c r="I437" i="3" s="1"/>
  <c r="F437" i="3"/>
  <c r="C437" i="3"/>
  <c r="AC436" i="3"/>
  <c r="AD436" i="3" s="1"/>
  <c r="AA436" i="3"/>
  <c r="W436" i="3"/>
  <c r="U436" i="3"/>
  <c r="R436" i="3"/>
  <c r="N436" i="3"/>
  <c r="L436" i="3"/>
  <c r="I436" i="3"/>
  <c r="H436" i="3"/>
  <c r="F436" i="3"/>
  <c r="C436" i="3"/>
  <c r="AD435" i="3"/>
  <c r="AC435" i="3"/>
  <c r="AA435" i="3"/>
  <c r="W435" i="3"/>
  <c r="U435" i="3"/>
  <c r="R435" i="3"/>
  <c r="N435" i="3"/>
  <c r="L435" i="3"/>
  <c r="I435" i="3"/>
  <c r="H435" i="3"/>
  <c r="F435" i="3"/>
  <c r="C435" i="3"/>
  <c r="AC434" i="3"/>
  <c r="AD434" i="3" s="1"/>
  <c r="AA434" i="3"/>
  <c r="W434" i="3"/>
  <c r="U434" i="3"/>
  <c r="R434" i="3"/>
  <c r="N434" i="3"/>
  <c r="L434" i="3"/>
  <c r="H434" i="3"/>
  <c r="I434" i="3" s="1"/>
  <c r="F434" i="3"/>
  <c r="C434" i="3"/>
  <c r="AD433" i="3"/>
  <c r="AC433" i="3"/>
  <c r="AA433" i="3"/>
  <c r="W433" i="3"/>
  <c r="U433" i="3"/>
  <c r="R433" i="3"/>
  <c r="N433" i="3"/>
  <c r="O433" i="3" s="1"/>
  <c r="L433" i="3"/>
  <c r="H433" i="3"/>
  <c r="I433" i="3" s="1"/>
  <c r="F433" i="3"/>
  <c r="C433" i="3"/>
  <c r="AC432" i="3"/>
  <c r="AD432" i="3" s="1"/>
  <c r="AA432" i="3"/>
  <c r="W432" i="3"/>
  <c r="U432" i="3"/>
  <c r="R432" i="3"/>
  <c r="N432" i="3"/>
  <c r="O432" i="3" s="1"/>
  <c r="L432" i="3"/>
  <c r="I432" i="3"/>
  <c r="H432" i="3"/>
  <c r="F432" i="3"/>
  <c r="C432" i="3"/>
  <c r="AA429" i="3"/>
  <c r="Z429" i="3"/>
  <c r="T429" i="3"/>
  <c r="U429" i="3" s="1"/>
  <c r="Q429" i="3"/>
  <c r="N429" i="3"/>
  <c r="L429" i="3"/>
  <c r="K429" i="3"/>
  <c r="E429" i="3"/>
  <c r="C429" i="3"/>
  <c r="B429" i="3"/>
  <c r="Z428" i="3"/>
  <c r="AA428" i="3" s="1"/>
  <c r="T428" i="3"/>
  <c r="W428" i="3" s="1"/>
  <c r="X428" i="3" s="1"/>
  <c r="R428" i="3"/>
  <c r="Q428" i="3"/>
  <c r="L428" i="3"/>
  <c r="K428" i="3"/>
  <c r="H428" i="3"/>
  <c r="I428" i="3" s="1"/>
  <c r="F428" i="3"/>
  <c r="E428" i="3"/>
  <c r="B428" i="3"/>
  <c r="C428" i="3" s="1"/>
  <c r="AD427" i="3"/>
  <c r="AC427" i="3"/>
  <c r="AA427" i="3"/>
  <c r="W427" i="3"/>
  <c r="U427" i="3"/>
  <c r="R427" i="3"/>
  <c r="N427" i="3"/>
  <c r="O427" i="3" s="1"/>
  <c r="L427" i="3"/>
  <c r="H427" i="3"/>
  <c r="I427" i="3" s="1"/>
  <c r="F427" i="3"/>
  <c r="C427" i="3"/>
  <c r="AC426" i="3"/>
  <c r="AD426" i="3" s="1"/>
  <c r="AA426" i="3"/>
  <c r="W426" i="3"/>
  <c r="U426" i="3"/>
  <c r="R426" i="3"/>
  <c r="N426" i="3"/>
  <c r="L426" i="3"/>
  <c r="H426" i="3"/>
  <c r="I426" i="3" s="1"/>
  <c r="F426" i="3"/>
  <c r="C426" i="3"/>
  <c r="AD425" i="3"/>
  <c r="AC425" i="3"/>
  <c r="AA425" i="3"/>
  <c r="W425" i="3"/>
  <c r="U425" i="3"/>
  <c r="R425" i="3"/>
  <c r="N425" i="3"/>
  <c r="O425" i="3" s="1"/>
  <c r="L425" i="3"/>
  <c r="H425" i="3"/>
  <c r="I425" i="3" s="1"/>
  <c r="F425" i="3"/>
  <c r="C425" i="3"/>
  <c r="AC424" i="3"/>
  <c r="AD424" i="3" s="1"/>
  <c r="AA424" i="3"/>
  <c r="W424" i="3"/>
  <c r="U424" i="3"/>
  <c r="R424" i="3"/>
  <c r="N424" i="3"/>
  <c r="O424" i="3" s="1"/>
  <c r="L424" i="3"/>
  <c r="I424" i="3"/>
  <c r="H424" i="3"/>
  <c r="F424" i="3"/>
  <c r="C424" i="3"/>
  <c r="AC423" i="3"/>
  <c r="AD423" i="3" s="1"/>
  <c r="AA423" i="3"/>
  <c r="W423" i="3"/>
  <c r="U423" i="3"/>
  <c r="R423" i="3"/>
  <c r="N423" i="3"/>
  <c r="L423" i="3"/>
  <c r="I423" i="3"/>
  <c r="H423" i="3"/>
  <c r="F423" i="3"/>
  <c r="C423" i="3"/>
  <c r="AD422" i="3"/>
  <c r="AC422" i="3"/>
  <c r="AA422" i="3"/>
  <c r="W422" i="3"/>
  <c r="U422" i="3"/>
  <c r="R422" i="3"/>
  <c r="N422" i="3"/>
  <c r="L422" i="3"/>
  <c r="H422" i="3"/>
  <c r="I422" i="3" s="1"/>
  <c r="F422" i="3"/>
  <c r="C422" i="3"/>
  <c r="AD421" i="3"/>
  <c r="AC421" i="3"/>
  <c r="AA421" i="3"/>
  <c r="W421" i="3"/>
  <c r="U421" i="3"/>
  <c r="R421" i="3"/>
  <c r="N421" i="3"/>
  <c r="L421" i="3"/>
  <c r="I421" i="3"/>
  <c r="H421" i="3"/>
  <c r="F421" i="3"/>
  <c r="C421" i="3"/>
  <c r="AC420" i="3"/>
  <c r="AD420" i="3" s="1"/>
  <c r="AA420" i="3"/>
  <c r="W420" i="3"/>
  <c r="U420" i="3"/>
  <c r="R420" i="3"/>
  <c r="N420" i="3"/>
  <c r="L420" i="3"/>
  <c r="I420" i="3"/>
  <c r="H420" i="3"/>
  <c r="F420" i="3"/>
  <c r="C420" i="3"/>
  <c r="AD419" i="3"/>
  <c r="AC419" i="3"/>
  <c r="AA419" i="3"/>
  <c r="W419" i="3"/>
  <c r="U419" i="3"/>
  <c r="R419" i="3"/>
  <c r="N419" i="3"/>
  <c r="O419" i="3" s="1"/>
  <c r="L419" i="3"/>
  <c r="H419" i="3"/>
  <c r="I419" i="3" s="1"/>
  <c r="F419" i="3"/>
  <c r="C419" i="3"/>
  <c r="AC418" i="3"/>
  <c r="AD418" i="3" s="1"/>
  <c r="AA418" i="3"/>
  <c r="W418" i="3"/>
  <c r="U418" i="3"/>
  <c r="R418" i="3"/>
  <c r="N418" i="3"/>
  <c r="L418" i="3"/>
  <c r="H418" i="3"/>
  <c r="I418" i="3" s="1"/>
  <c r="F418" i="3"/>
  <c r="C418" i="3"/>
  <c r="AD417" i="3"/>
  <c r="AC417" i="3"/>
  <c r="AA417" i="3"/>
  <c r="W417" i="3"/>
  <c r="U417" i="3"/>
  <c r="R417" i="3"/>
  <c r="N417" i="3"/>
  <c r="O417" i="3" s="1"/>
  <c r="L417" i="3"/>
  <c r="H417" i="3"/>
  <c r="I417" i="3" s="1"/>
  <c r="F417" i="3"/>
  <c r="C417" i="3"/>
  <c r="AC416" i="3"/>
  <c r="AD416" i="3" s="1"/>
  <c r="AA416" i="3"/>
  <c r="W416" i="3"/>
  <c r="U416" i="3"/>
  <c r="R416" i="3"/>
  <c r="N416" i="3"/>
  <c r="L416" i="3"/>
  <c r="I416" i="3"/>
  <c r="H416" i="3"/>
  <c r="F416" i="3"/>
  <c r="C416" i="3"/>
  <c r="AC415" i="3"/>
  <c r="AD415" i="3" s="1"/>
  <c r="AA415" i="3"/>
  <c r="W415" i="3"/>
  <c r="U415" i="3"/>
  <c r="R415" i="3"/>
  <c r="N415" i="3"/>
  <c r="L415" i="3"/>
  <c r="I415" i="3"/>
  <c r="H415" i="3"/>
  <c r="F415" i="3"/>
  <c r="C415" i="3"/>
  <c r="AD414" i="3"/>
  <c r="AC414" i="3"/>
  <c r="AA414" i="3"/>
  <c r="W414" i="3"/>
  <c r="X414" i="3" s="1"/>
  <c r="U414" i="3"/>
  <c r="R414" i="3"/>
  <c r="N414" i="3"/>
  <c r="L414" i="3"/>
  <c r="H414" i="3"/>
  <c r="I414" i="3" s="1"/>
  <c r="F414" i="3"/>
  <c r="C414" i="3"/>
  <c r="AD413" i="3"/>
  <c r="AC413" i="3"/>
  <c r="AA413" i="3"/>
  <c r="W413" i="3"/>
  <c r="U413" i="3"/>
  <c r="R413" i="3"/>
  <c r="N413" i="3"/>
  <c r="L413" i="3"/>
  <c r="H413" i="3"/>
  <c r="I413" i="3" s="1"/>
  <c r="F413" i="3"/>
  <c r="C413" i="3"/>
  <c r="AC412" i="3"/>
  <c r="AD412" i="3" s="1"/>
  <c r="AA412" i="3"/>
  <c r="W412" i="3"/>
  <c r="U412" i="3"/>
  <c r="R412" i="3"/>
  <c r="N412" i="3"/>
  <c r="O412" i="3" s="1"/>
  <c r="L412" i="3"/>
  <c r="I412" i="3"/>
  <c r="H412" i="3"/>
  <c r="F412" i="3"/>
  <c r="C412" i="3"/>
  <c r="AD411" i="3"/>
  <c r="AC411" i="3"/>
  <c r="AA411" i="3"/>
  <c r="W411" i="3"/>
  <c r="U411" i="3"/>
  <c r="R411" i="3"/>
  <c r="N411" i="3"/>
  <c r="O411" i="3" s="1"/>
  <c r="L411" i="3"/>
  <c r="H411" i="3"/>
  <c r="I411" i="3" s="1"/>
  <c r="F411" i="3"/>
  <c r="C411" i="3"/>
  <c r="AC410" i="3"/>
  <c r="AD410" i="3" s="1"/>
  <c r="AA410" i="3"/>
  <c r="W410" i="3"/>
  <c r="U410" i="3"/>
  <c r="R410" i="3"/>
  <c r="N410" i="3"/>
  <c r="L410" i="3"/>
  <c r="H410" i="3"/>
  <c r="I410" i="3" s="1"/>
  <c r="F410" i="3"/>
  <c r="C410" i="3"/>
  <c r="AD409" i="3"/>
  <c r="AC409" i="3"/>
  <c r="AA409" i="3"/>
  <c r="W409" i="3"/>
  <c r="X409" i="3" s="1"/>
  <c r="U409" i="3"/>
  <c r="R409" i="3"/>
  <c r="N409" i="3"/>
  <c r="O409" i="3" s="1"/>
  <c r="L409" i="3"/>
  <c r="H409" i="3"/>
  <c r="I409" i="3" s="1"/>
  <c r="F409" i="3"/>
  <c r="C409" i="3"/>
  <c r="AC408" i="3"/>
  <c r="AD408" i="3" s="1"/>
  <c r="AA408" i="3"/>
  <c r="W408" i="3"/>
  <c r="U408" i="3"/>
  <c r="R408" i="3"/>
  <c r="N408" i="3"/>
  <c r="O408" i="3" s="1"/>
  <c r="L408" i="3"/>
  <c r="I408" i="3"/>
  <c r="H408" i="3"/>
  <c r="F408" i="3"/>
  <c r="C408" i="3"/>
  <c r="AD407" i="3"/>
  <c r="AC407" i="3"/>
  <c r="AA407" i="3"/>
  <c r="W407" i="3"/>
  <c r="U407" i="3"/>
  <c r="R407" i="3"/>
  <c r="N407" i="3"/>
  <c r="L407" i="3"/>
  <c r="I407" i="3"/>
  <c r="H407" i="3"/>
  <c r="F407" i="3"/>
  <c r="C407" i="3"/>
  <c r="AA403" i="3"/>
  <c r="Z403" i="3"/>
  <c r="W403" i="3"/>
  <c r="U403" i="3"/>
  <c r="T403" i="3"/>
  <c r="Q403" i="3"/>
  <c r="R403" i="3" s="1"/>
  <c r="K403" i="3"/>
  <c r="L403" i="3" s="1"/>
  <c r="E403" i="3"/>
  <c r="C403" i="3"/>
  <c r="B403" i="3"/>
  <c r="AC402" i="3"/>
  <c r="AD402" i="3" s="1"/>
  <c r="AA402" i="3"/>
  <c r="W402" i="3"/>
  <c r="U402" i="3"/>
  <c r="R402" i="3"/>
  <c r="N402" i="3"/>
  <c r="O402" i="3" s="1"/>
  <c r="L402" i="3"/>
  <c r="H402" i="3"/>
  <c r="I402" i="3" s="1"/>
  <c r="F402" i="3"/>
  <c r="C402" i="3"/>
  <c r="AD401" i="3"/>
  <c r="AC401" i="3"/>
  <c r="AA401" i="3"/>
  <c r="W401" i="3"/>
  <c r="U401" i="3"/>
  <c r="R401" i="3"/>
  <c r="N401" i="3"/>
  <c r="L401" i="3"/>
  <c r="I401" i="3"/>
  <c r="H401" i="3"/>
  <c r="F401" i="3"/>
  <c r="C401" i="3"/>
  <c r="AD400" i="3"/>
  <c r="AC400" i="3"/>
  <c r="AA400" i="3"/>
  <c r="W400" i="3"/>
  <c r="U400" i="3"/>
  <c r="R400" i="3"/>
  <c r="O400" i="3"/>
  <c r="N400" i="3"/>
  <c r="L400" i="3"/>
  <c r="I400" i="3"/>
  <c r="H400" i="3"/>
  <c r="F400" i="3"/>
  <c r="C400" i="3"/>
  <c r="AC399" i="3"/>
  <c r="AD399" i="3" s="1"/>
  <c r="AA399" i="3"/>
  <c r="W399" i="3"/>
  <c r="U399" i="3"/>
  <c r="R399" i="3"/>
  <c r="N399" i="3"/>
  <c r="L399" i="3"/>
  <c r="I399" i="3"/>
  <c r="H399" i="3"/>
  <c r="F399" i="3"/>
  <c r="C399" i="3"/>
  <c r="AD398" i="3"/>
  <c r="AC398" i="3"/>
  <c r="AA398" i="3"/>
  <c r="W398" i="3"/>
  <c r="X398" i="3" s="1"/>
  <c r="U398" i="3"/>
  <c r="R398" i="3"/>
  <c r="N398" i="3"/>
  <c r="L398" i="3"/>
  <c r="I398" i="3"/>
  <c r="H398" i="3"/>
  <c r="F398" i="3"/>
  <c r="C398" i="3"/>
  <c r="AD397" i="3"/>
  <c r="AC397" i="3"/>
  <c r="AA397" i="3"/>
  <c r="W397" i="3"/>
  <c r="U397" i="3"/>
  <c r="R397" i="3"/>
  <c r="O397" i="3"/>
  <c r="N397" i="3"/>
  <c r="L397" i="3"/>
  <c r="H397" i="3"/>
  <c r="I397" i="3" s="1"/>
  <c r="F397" i="3"/>
  <c r="C397" i="3"/>
  <c r="AA396" i="3"/>
  <c r="Z396" i="3"/>
  <c r="U396" i="3"/>
  <c r="T396" i="3"/>
  <c r="R396" i="3"/>
  <c r="Q396" i="3"/>
  <c r="K396" i="3"/>
  <c r="L396" i="3" s="1"/>
  <c r="H396" i="3"/>
  <c r="I396" i="3" s="1"/>
  <c r="E396" i="3"/>
  <c r="F396" i="3" s="1"/>
  <c r="C396" i="3"/>
  <c r="B396" i="3"/>
  <c r="N396" i="3" s="1"/>
  <c r="O396" i="3" s="1"/>
  <c r="AC395" i="3"/>
  <c r="AD395" i="3" s="1"/>
  <c r="AA395" i="3"/>
  <c r="W395" i="3"/>
  <c r="U395" i="3"/>
  <c r="R395" i="3"/>
  <c r="N395" i="3"/>
  <c r="L395" i="3"/>
  <c r="I395" i="3"/>
  <c r="H395" i="3"/>
  <c r="F395" i="3"/>
  <c r="C395" i="3"/>
  <c r="AD394" i="3"/>
  <c r="AC394" i="3"/>
  <c r="AA394" i="3"/>
  <c r="W394" i="3"/>
  <c r="U394" i="3"/>
  <c r="R394" i="3"/>
  <c r="N394" i="3"/>
  <c r="L394" i="3"/>
  <c r="I394" i="3"/>
  <c r="H394" i="3"/>
  <c r="F394" i="3"/>
  <c r="C394" i="3"/>
  <c r="AA393" i="3"/>
  <c r="Z393" i="3"/>
  <c r="U393" i="3"/>
  <c r="T393" i="3"/>
  <c r="R393" i="3"/>
  <c r="Q393" i="3"/>
  <c r="W393" i="3" s="1"/>
  <c r="O393" i="3"/>
  <c r="K393" i="3"/>
  <c r="L393" i="3" s="1"/>
  <c r="F393" i="3"/>
  <c r="E393" i="3"/>
  <c r="H393" i="3" s="1"/>
  <c r="I393" i="3" s="1"/>
  <c r="C393" i="3"/>
  <c r="B393" i="3"/>
  <c r="N393" i="3" s="1"/>
  <c r="AD392" i="3"/>
  <c r="AC392" i="3"/>
  <c r="AA392" i="3"/>
  <c r="W392" i="3"/>
  <c r="X392" i="3" s="1"/>
  <c r="U392" i="3"/>
  <c r="R392" i="3"/>
  <c r="N392" i="3"/>
  <c r="O392" i="3" s="1"/>
  <c r="L392" i="3"/>
  <c r="I392" i="3"/>
  <c r="H392" i="3"/>
  <c r="F392" i="3"/>
  <c r="C392" i="3"/>
  <c r="AD391" i="3"/>
  <c r="AC391" i="3"/>
  <c r="AA391" i="3"/>
  <c r="W391" i="3"/>
  <c r="U391" i="3"/>
  <c r="R391" i="3"/>
  <c r="N391" i="3"/>
  <c r="L391" i="3"/>
  <c r="H391" i="3"/>
  <c r="I391" i="3" s="1"/>
  <c r="F391" i="3"/>
  <c r="C391" i="3"/>
  <c r="AC390" i="3"/>
  <c r="AD390" i="3" s="1"/>
  <c r="AA390" i="3"/>
  <c r="W390" i="3"/>
  <c r="U390" i="3"/>
  <c r="R390" i="3"/>
  <c r="N390" i="3"/>
  <c r="L390" i="3"/>
  <c r="I390" i="3"/>
  <c r="H390" i="3"/>
  <c r="F390" i="3"/>
  <c r="C390" i="3"/>
  <c r="AD389" i="3"/>
  <c r="AC389" i="3"/>
  <c r="AA389" i="3"/>
  <c r="W389" i="3"/>
  <c r="U389" i="3"/>
  <c r="R389" i="3"/>
  <c r="N389" i="3"/>
  <c r="O389" i="3" s="1"/>
  <c r="L389" i="3"/>
  <c r="H389" i="3"/>
  <c r="I389" i="3" s="1"/>
  <c r="F389" i="3"/>
  <c r="C389" i="3"/>
  <c r="AD388" i="3"/>
  <c r="AC388" i="3"/>
  <c r="AA388" i="3"/>
  <c r="W388" i="3"/>
  <c r="U388" i="3"/>
  <c r="R388" i="3"/>
  <c r="N388" i="3"/>
  <c r="L388" i="3"/>
  <c r="I388" i="3"/>
  <c r="H388" i="3"/>
  <c r="F388" i="3"/>
  <c r="C388" i="3"/>
  <c r="AD386" i="3"/>
  <c r="AC386" i="3"/>
  <c r="AA386" i="3"/>
  <c r="W386" i="3"/>
  <c r="U386" i="3"/>
  <c r="R386" i="3"/>
  <c r="O386" i="3"/>
  <c r="N386" i="3"/>
  <c r="L386" i="3"/>
  <c r="H386" i="3"/>
  <c r="I386" i="3" s="1"/>
  <c r="F386" i="3"/>
  <c r="C386" i="3"/>
  <c r="AC385" i="3"/>
  <c r="AD385" i="3" s="1"/>
  <c r="AA385" i="3"/>
  <c r="W385" i="3"/>
  <c r="U385" i="3"/>
  <c r="R385" i="3"/>
  <c r="N385" i="3"/>
  <c r="L385" i="3"/>
  <c r="I385" i="3"/>
  <c r="H385" i="3"/>
  <c r="F385" i="3"/>
  <c r="C385" i="3"/>
  <c r="AD383" i="3"/>
  <c r="AC383" i="3"/>
  <c r="AA383" i="3"/>
  <c r="W383" i="3"/>
  <c r="X383" i="3" s="1"/>
  <c r="U383" i="3"/>
  <c r="R383" i="3"/>
  <c r="N383" i="3"/>
  <c r="O383" i="3" s="1"/>
  <c r="L383" i="3"/>
  <c r="I383" i="3"/>
  <c r="H383" i="3"/>
  <c r="F383" i="3"/>
  <c r="C383" i="3"/>
  <c r="AC382" i="3"/>
  <c r="AD382" i="3" s="1"/>
  <c r="AA382" i="3"/>
  <c r="W382" i="3"/>
  <c r="U382" i="3"/>
  <c r="R382" i="3"/>
  <c r="N382" i="3"/>
  <c r="O382" i="3" s="1"/>
  <c r="L382" i="3"/>
  <c r="I382" i="3"/>
  <c r="H382" i="3"/>
  <c r="F382" i="3"/>
  <c r="C382" i="3"/>
  <c r="AD381" i="3"/>
  <c r="AC381" i="3"/>
  <c r="AA381" i="3"/>
  <c r="X381" i="3"/>
  <c r="W381" i="3"/>
  <c r="U381" i="3"/>
  <c r="R381" i="3"/>
  <c r="N381" i="3"/>
  <c r="O381" i="3" s="1"/>
  <c r="L381" i="3"/>
  <c r="I381" i="3"/>
  <c r="H381" i="3"/>
  <c r="F381" i="3"/>
  <c r="C381" i="3"/>
  <c r="AC380" i="3"/>
  <c r="AD380" i="3" s="1"/>
  <c r="AA380" i="3"/>
  <c r="W380" i="3"/>
  <c r="U380" i="3"/>
  <c r="R380" i="3"/>
  <c r="N380" i="3"/>
  <c r="L380" i="3"/>
  <c r="I380" i="3"/>
  <c r="H380" i="3"/>
  <c r="F380" i="3"/>
  <c r="C380" i="3"/>
  <c r="AD379" i="3"/>
  <c r="AC379" i="3"/>
  <c r="AA379" i="3"/>
  <c r="W379" i="3"/>
  <c r="X379" i="3" s="1"/>
  <c r="U379" i="3"/>
  <c r="R379" i="3"/>
  <c r="N379" i="3"/>
  <c r="O379" i="3" s="1"/>
  <c r="L379" i="3"/>
  <c r="H379" i="3"/>
  <c r="I379" i="3" s="1"/>
  <c r="F379" i="3"/>
  <c r="C379" i="3"/>
  <c r="AD378" i="3"/>
  <c r="AC378" i="3"/>
  <c r="AA378" i="3"/>
  <c r="W378" i="3"/>
  <c r="U378" i="3"/>
  <c r="R378" i="3"/>
  <c r="N378" i="3"/>
  <c r="L378" i="3"/>
  <c r="I378" i="3"/>
  <c r="H378" i="3"/>
  <c r="F378" i="3"/>
  <c r="C378" i="3"/>
  <c r="AD377" i="3"/>
  <c r="AC377" i="3"/>
  <c r="AA377" i="3"/>
  <c r="W377" i="3"/>
  <c r="U377" i="3"/>
  <c r="R377" i="3"/>
  <c r="N377" i="3"/>
  <c r="L377" i="3"/>
  <c r="H377" i="3"/>
  <c r="I377" i="3" s="1"/>
  <c r="F377" i="3"/>
  <c r="C377" i="3"/>
  <c r="AC376" i="3"/>
  <c r="AD376" i="3" s="1"/>
  <c r="AA376" i="3"/>
  <c r="W376" i="3"/>
  <c r="U376" i="3"/>
  <c r="R376" i="3"/>
  <c r="N376" i="3"/>
  <c r="L376" i="3"/>
  <c r="I376" i="3"/>
  <c r="H376" i="3"/>
  <c r="F376" i="3"/>
  <c r="C376" i="3"/>
  <c r="AD375" i="3"/>
  <c r="AC375" i="3"/>
  <c r="AA375" i="3"/>
  <c r="W375" i="3"/>
  <c r="U375" i="3"/>
  <c r="R375" i="3"/>
  <c r="N375" i="3"/>
  <c r="L375" i="3"/>
  <c r="I375" i="3"/>
  <c r="H375" i="3"/>
  <c r="F375" i="3"/>
  <c r="C375" i="3"/>
  <c r="AC374" i="3"/>
  <c r="AD374" i="3" s="1"/>
  <c r="AA374" i="3"/>
  <c r="W374" i="3"/>
  <c r="U374" i="3"/>
  <c r="R374" i="3"/>
  <c r="N374" i="3"/>
  <c r="O374" i="3" s="1"/>
  <c r="L374" i="3"/>
  <c r="I374" i="3"/>
  <c r="H374" i="3"/>
  <c r="F374" i="3"/>
  <c r="C374" i="3"/>
  <c r="AD373" i="3"/>
  <c r="AC373" i="3"/>
  <c r="AA373" i="3"/>
  <c r="X373" i="3"/>
  <c r="W373" i="3"/>
  <c r="U373" i="3"/>
  <c r="R373" i="3"/>
  <c r="N373" i="3"/>
  <c r="L373" i="3"/>
  <c r="H373" i="3"/>
  <c r="I373" i="3" s="1"/>
  <c r="F373" i="3"/>
  <c r="C373" i="3"/>
  <c r="AC372" i="3"/>
  <c r="AD372" i="3" s="1"/>
  <c r="AA372" i="3"/>
  <c r="W372" i="3"/>
  <c r="U372" i="3"/>
  <c r="R372" i="3"/>
  <c r="N372" i="3"/>
  <c r="L372" i="3"/>
  <c r="I372" i="3"/>
  <c r="H372" i="3"/>
  <c r="F372" i="3"/>
  <c r="C372" i="3"/>
  <c r="AD371" i="3"/>
  <c r="AC371" i="3"/>
  <c r="AA371" i="3"/>
  <c r="W371" i="3"/>
  <c r="X371" i="3" s="1"/>
  <c r="U371" i="3"/>
  <c r="R371" i="3"/>
  <c r="N371" i="3"/>
  <c r="O371" i="3" s="1"/>
  <c r="L371" i="3"/>
  <c r="H371" i="3"/>
  <c r="I371" i="3" s="1"/>
  <c r="F371" i="3"/>
  <c r="C371" i="3"/>
  <c r="AD370" i="3"/>
  <c r="AC370" i="3"/>
  <c r="AA370" i="3"/>
  <c r="W370" i="3"/>
  <c r="X370" i="3" s="1"/>
  <c r="U370" i="3"/>
  <c r="R370" i="3"/>
  <c r="N370" i="3"/>
  <c r="L370" i="3"/>
  <c r="I370" i="3"/>
  <c r="H370" i="3"/>
  <c r="F370" i="3"/>
  <c r="C370" i="3"/>
  <c r="AD369" i="3"/>
  <c r="AC369" i="3"/>
  <c r="AA369" i="3"/>
  <c r="W369" i="3"/>
  <c r="U369" i="3"/>
  <c r="R369" i="3"/>
  <c r="O369" i="3"/>
  <c r="N369" i="3"/>
  <c r="L369" i="3"/>
  <c r="H369" i="3"/>
  <c r="I369" i="3" s="1"/>
  <c r="F369" i="3"/>
  <c r="C369" i="3"/>
  <c r="AD368" i="3"/>
  <c r="AC368" i="3"/>
  <c r="AA368" i="3"/>
  <c r="Z368" i="3"/>
  <c r="U368" i="3"/>
  <c r="T368" i="3"/>
  <c r="Q368" i="3"/>
  <c r="W368" i="3" s="1"/>
  <c r="K368" i="3"/>
  <c r="L368" i="3" s="1"/>
  <c r="F368" i="3"/>
  <c r="E368" i="3"/>
  <c r="C368" i="3"/>
  <c r="B368" i="3"/>
  <c r="H368" i="3" s="1"/>
  <c r="I368" i="3" s="1"/>
  <c r="AC367" i="3"/>
  <c r="AD367" i="3" s="1"/>
  <c r="AA367" i="3"/>
  <c r="W367" i="3"/>
  <c r="U367" i="3"/>
  <c r="R367" i="3"/>
  <c r="N367" i="3"/>
  <c r="O367" i="3" s="1"/>
  <c r="L367" i="3"/>
  <c r="I367" i="3"/>
  <c r="H367" i="3"/>
  <c r="F367" i="3"/>
  <c r="C367" i="3"/>
  <c r="AD366" i="3"/>
  <c r="AC366" i="3"/>
  <c r="AA366" i="3"/>
  <c r="X366" i="3"/>
  <c r="W366" i="3"/>
  <c r="U366" i="3"/>
  <c r="R366" i="3"/>
  <c r="N366" i="3"/>
  <c r="O366" i="3" s="1"/>
  <c r="L366" i="3"/>
  <c r="H366" i="3"/>
  <c r="I366" i="3" s="1"/>
  <c r="F366" i="3"/>
  <c r="C366" i="3"/>
  <c r="AC365" i="3"/>
  <c r="AD365" i="3" s="1"/>
  <c r="AA365" i="3"/>
  <c r="W365" i="3"/>
  <c r="U365" i="3"/>
  <c r="R365" i="3"/>
  <c r="N365" i="3"/>
  <c r="L365" i="3"/>
  <c r="I365" i="3"/>
  <c r="H365" i="3"/>
  <c r="F365" i="3"/>
  <c r="C365" i="3"/>
  <c r="AD364" i="3"/>
  <c r="AC364" i="3"/>
  <c r="AA364" i="3"/>
  <c r="W364" i="3"/>
  <c r="X364" i="3" s="1"/>
  <c r="U364" i="3"/>
  <c r="R364" i="3"/>
  <c r="N364" i="3"/>
  <c r="O364" i="3" s="1"/>
  <c r="L364" i="3"/>
  <c r="H364" i="3"/>
  <c r="I364" i="3" s="1"/>
  <c r="F364" i="3"/>
  <c r="C364" i="3"/>
  <c r="AD363" i="3"/>
  <c r="AC363" i="3"/>
  <c r="AA363" i="3"/>
  <c r="W363" i="3"/>
  <c r="U363" i="3"/>
  <c r="R363" i="3"/>
  <c r="N363" i="3"/>
  <c r="L363" i="3"/>
  <c r="I363" i="3"/>
  <c r="H363" i="3"/>
  <c r="F363" i="3"/>
  <c r="C363" i="3"/>
  <c r="AD362" i="3"/>
  <c r="AC362" i="3"/>
  <c r="AA362" i="3"/>
  <c r="W362" i="3"/>
  <c r="X362" i="3" s="1"/>
  <c r="U362" i="3"/>
  <c r="R362" i="3"/>
  <c r="O362" i="3"/>
  <c r="N362" i="3"/>
  <c r="L362" i="3"/>
  <c r="I362" i="3"/>
  <c r="H362" i="3"/>
  <c r="F362" i="3"/>
  <c r="C362" i="3"/>
  <c r="AC361" i="3"/>
  <c r="AD361" i="3" s="1"/>
  <c r="AA361" i="3"/>
  <c r="W361" i="3"/>
  <c r="U361" i="3"/>
  <c r="R361" i="3"/>
  <c r="N361" i="3"/>
  <c r="L361" i="3"/>
  <c r="I361" i="3"/>
  <c r="H361" i="3"/>
  <c r="F361" i="3"/>
  <c r="C361" i="3"/>
  <c r="AD360" i="3"/>
  <c r="AC360" i="3"/>
  <c r="AA360" i="3"/>
  <c r="W360" i="3"/>
  <c r="X360" i="3" s="1"/>
  <c r="U360" i="3"/>
  <c r="R360" i="3"/>
  <c r="N360" i="3"/>
  <c r="O360" i="3" s="1"/>
  <c r="L360" i="3"/>
  <c r="I360" i="3"/>
  <c r="H360" i="3"/>
  <c r="F360" i="3"/>
  <c r="C360" i="3"/>
  <c r="AA358" i="3"/>
  <c r="Z358" i="3"/>
  <c r="W358" i="3"/>
  <c r="U358" i="3"/>
  <c r="T358" i="3"/>
  <c r="Q358" i="3"/>
  <c r="R358" i="3" s="1"/>
  <c r="K358" i="3"/>
  <c r="L358" i="3" s="1"/>
  <c r="F358" i="3"/>
  <c r="E358" i="3"/>
  <c r="C358" i="3"/>
  <c r="B358" i="3"/>
  <c r="AD357" i="3"/>
  <c r="AC357" i="3"/>
  <c r="AA357" i="3"/>
  <c r="W357" i="3"/>
  <c r="U357" i="3"/>
  <c r="R357" i="3"/>
  <c r="N357" i="3"/>
  <c r="L357" i="3"/>
  <c r="I357" i="3"/>
  <c r="H357" i="3"/>
  <c r="F357" i="3"/>
  <c r="C357" i="3"/>
  <c r="AD356" i="3"/>
  <c r="AC356" i="3"/>
  <c r="AA356" i="3"/>
  <c r="W356" i="3"/>
  <c r="U356" i="3"/>
  <c r="R356" i="3"/>
  <c r="N356" i="3"/>
  <c r="O356" i="3" s="1"/>
  <c r="L356" i="3"/>
  <c r="H356" i="3"/>
  <c r="I356" i="3" s="1"/>
  <c r="F356" i="3"/>
  <c r="C356" i="3"/>
  <c r="AD355" i="3"/>
  <c r="AC355" i="3"/>
  <c r="AA355" i="3"/>
  <c r="W355" i="3"/>
  <c r="U355" i="3"/>
  <c r="R355" i="3"/>
  <c r="N355" i="3"/>
  <c r="L355" i="3"/>
  <c r="I355" i="3"/>
  <c r="H355" i="3"/>
  <c r="F355" i="3"/>
  <c r="C355" i="3"/>
  <c r="AD354" i="3"/>
  <c r="AC354" i="3"/>
  <c r="AA354" i="3"/>
  <c r="W354" i="3"/>
  <c r="U354" i="3"/>
  <c r="R354" i="3"/>
  <c r="O354" i="3"/>
  <c r="N354" i="3"/>
  <c r="L354" i="3"/>
  <c r="I354" i="3"/>
  <c r="H354" i="3"/>
  <c r="F354" i="3"/>
  <c r="C354" i="3"/>
  <c r="AC353" i="3"/>
  <c r="AD353" i="3" s="1"/>
  <c r="AA353" i="3"/>
  <c r="W353" i="3"/>
  <c r="U353" i="3"/>
  <c r="R353" i="3"/>
  <c r="N353" i="3"/>
  <c r="L353" i="3"/>
  <c r="I353" i="3"/>
  <c r="H353" i="3"/>
  <c r="F353" i="3"/>
  <c r="C353" i="3"/>
  <c r="AD352" i="3"/>
  <c r="AC352" i="3"/>
  <c r="AA352" i="3"/>
  <c r="W352" i="3"/>
  <c r="U352" i="3"/>
  <c r="R352" i="3"/>
  <c r="N352" i="3"/>
  <c r="O352" i="3" s="1"/>
  <c r="L352" i="3"/>
  <c r="I352" i="3"/>
  <c r="H352" i="3"/>
  <c r="F352" i="3"/>
  <c r="C352" i="3"/>
  <c r="AC351" i="3"/>
  <c r="AD351" i="3" s="1"/>
  <c r="AA351" i="3"/>
  <c r="W351" i="3"/>
  <c r="U351" i="3"/>
  <c r="R351" i="3"/>
  <c r="N351" i="3"/>
  <c r="L351" i="3"/>
  <c r="I351" i="3"/>
  <c r="H351" i="3"/>
  <c r="F351" i="3"/>
  <c r="C351" i="3"/>
  <c r="AD350" i="3"/>
  <c r="AC350" i="3"/>
  <c r="AA350" i="3"/>
  <c r="W350" i="3"/>
  <c r="U350" i="3"/>
  <c r="R350" i="3"/>
  <c r="N350" i="3"/>
  <c r="O350" i="3" s="1"/>
  <c r="L350" i="3"/>
  <c r="I350" i="3"/>
  <c r="H350" i="3"/>
  <c r="F350" i="3"/>
  <c r="C350" i="3"/>
  <c r="AD349" i="3"/>
  <c r="AC349" i="3"/>
  <c r="AA349" i="3"/>
  <c r="W349" i="3"/>
  <c r="U349" i="3"/>
  <c r="R349" i="3"/>
  <c r="N349" i="3"/>
  <c r="L349" i="3"/>
  <c r="I349" i="3"/>
  <c r="H349" i="3"/>
  <c r="F349" i="3"/>
  <c r="C349" i="3"/>
  <c r="AD347" i="3"/>
  <c r="AC347" i="3"/>
  <c r="AA347" i="3"/>
  <c r="W347" i="3"/>
  <c r="U347" i="3"/>
  <c r="R347" i="3"/>
  <c r="N347" i="3"/>
  <c r="O347" i="3" s="1"/>
  <c r="L347" i="3"/>
  <c r="H347" i="3"/>
  <c r="I347" i="3" s="1"/>
  <c r="F347" i="3"/>
  <c r="C347" i="3"/>
  <c r="AA344" i="3"/>
  <c r="Z344" i="3"/>
  <c r="U344" i="3"/>
  <c r="T344" i="3"/>
  <c r="Q344" i="3"/>
  <c r="W344" i="3" s="1"/>
  <c r="X344" i="3" s="1"/>
  <c r="L344" i="3"/>
  <c r="K344" i="3"/>
  <c r="E344" i="3"/>
  <c r="F344" i="3" s="1"/>
  <c r="C344" i="3"/>
  <c r="B344" i="3"/>
  <c r="H344" i="3" s="1"/>
  <c r="I344" i="3" s="1"/>
  <c r="AA343" i="3"/>
  <c r="Z343" i="3"/>
  <c r="U343" i="3"/>
  <c r="T343" i="3"/>
  <c r="Q343" i="3"/>
  <c r="O343" i="3"/>
  <c r="K343" i="3"/>
  <c r="L343" i="3" s="1"/>
  <c r="E343" i="3"/>
  <c r="F343" i="3" s="1"/>
  <c r="C343" i="3"/>
  <c r="B343" i="3"/>
  <c r="N343" i="3" s="1"/>
  <c r="AD342" i="3"/>
  <c r="AA342" i="3"/>
  <c r="Z342" i="3"/>
  <c r="W342" i="3"/>
  <c r="X342" i="3" s="1"/>
  <c r="U342" i="3"/>
  <c r="T342" i="3"/>
  <c r="R342" i="3"/>
  <c r="Q342" i="3"/>
  <c r="AC342" i="3" s="1"/>
  <c r="L342" i="3"/>
  <c r="K342" i="3"/>
  <c r="E342" i="3"/>
  <c r="F342" i="3" s="1"/>
  <c r="C342" i="3"/>
  <c r="B342" i="3"/>
  <c r="AC341" i="3"/>
  <c r="AD341" i="3" s="1"/>
  <c r="AA341" i="3"/>
  <c r="W341" i="3"/>
  <c r="U341" i="3"/>
  <c r="R341" i="3"/>
  <c r="N341" i="3"/>
  <c r="O341" i="3" s="1"/>
  <c r="L341" i="3"/>
  <c r="I341" i="3"/>
  <c r="H341" i="3"/>
  <c r="F341" i="3"/>
  <c r="C341" i="3"/>
  <c r="AD340" i="3"/>
  <c r="AC340" i="3"/>
  <c r="AA340" i="3"/>
  <c r="W340" i="3"/>
  <c r="X340" i="3" s="1"/>
  <c r="U340" i="3"/>
  <c r="R340" i="3"/>
  <c r="N340" i="3"/>
  <c r="L340" i="3"/>
  <c r="I340" i="3"/>
  <c r="H340" i="3"/>
  <c r="F340" i="3"/>
  <c r="C340" i="3"/>
  <c r="AC339" i="3"/>
  <c r="AD339" i="3" s="1"/>
  <c r="AA339" i="3"/>
  <c r="W339" i="3"/>
  <c r="U339" i="3"/>
  <c r="R339" i="3"/>
  <c r="N339" i="3"/>
  <c r="L339" i="3"/>
  <c r="I339" i="3"/>
  <c r="H339" i="3"/>
  <c r="F339" i="3"/>
  <c r="C339" i="3"/>
  <c r="AD338" i="3"/>
  <c r="AC338" i="3"/>
  <c r="AA338" i="3"/>
  <c r="W338" i="3"/>
  <c r="U338" i="3"/>
  <c r="R338" i="3"/>
  <c r="N338" i="3"/>
  <c r="O338" i="3" s="1"/>
  <c r="L338" i="3"/>
  <c r="H338" i="3"/>
  <c r="I338" i="3" s="1"/>
  <c r="F338" i="3"/>
  <c r="C338" i="3"/>
  <c r="AC337" i="3"/>
  <c r="AD337" i="3" s="1"/>
  <c r="AA337" i="3"/>
  <c r="W337" i="3"/>
  <c r="U337" i="3"/>
  <c r="R337" i="3"/>
  <c r="N337" i="3"/>
  <c r="L337" i="3"/>
  <c r="I337" i="3"/>
  <c r="H337" i="3"/>
  <c r="F337" i="3"/>
  <c r="C337" i="3"/>
  <c r="AD335" i="3"/>
  <c r="AC335" i="3"/>
  <c r="AA335" i="3"/>
  <c r="W335" i="3"/>
  <c r="U335" i="3"/>
  <c r="R335" i="3"/>
  <c r="N335" i="3"/>
  <c r="L335" i="3"/>
  <c r="H335" i="3"/>
  <c r="I335" i="3" s="1"/>
  <c r="F335" i="3"/>
  <c r="C335" i="3"/>
  <c r="AD334" i="3"/>
  <c r="AC334" i="3"/>
  <c r="AA334" i="3"/>
  <c r="W334" i="3"/>
  <c r="U334" i="3"/>
  <c r="R334" i="3"/>
  <c r="N334" i="3"/>
  <c r="L334" i="3"/>
  <c r="I334" i="3"/>
  <c r="H334" i="3"/>
  <c r="F334" i="3"/>
  <c r="C334" i="3"/>
  <c r="AD333" i="3"/>
  <c r="AC333" i="3"/>
  <c r="AA333" i="3"/>
  <c r="X333" i="3"/>
  <c r="W333" i="3"/>
  <c r="U333" i="3"/>
  <c r="R333" i="3"/>
  <c r="N333" i="3"/>
  <c r="L333" i="3"/>
  <c r="H333" i="3"/>
  <c r="I333" i="3" s="1"/>
  <c r="F333" i="3"/>
  <c r="C333" i="3"/>
  <c r="AC332" i="3"/>
  <c r="AD332" i="3" s="1"/>
  <c r="AA332" i="3"/>
  <c r="W332" i="3"/>
  <c r="U332" i="3"/>
  <c r="R332" i="3"/>
  <c r="N332" i="3"/>
  <c r="O332" i="3" s="1"/>
  <c r="L332" i="3"/>
  <c r="I332" i="3"/>
  <c r="H332" i="3"/>
  <c r="F332" i="3"/>
  <c r="C332" i="3"/>
  <c r="AD331" i="3"/>
  <c r="AC331" i="3"/>
  <c r="AA331" i="3"/>
  <c r="W331" i="3"/>
  <c r="U331" i="3"/>
  <c r="R331" i="3"/>
  <c r="N331" i="3"/>
  <c r="L331" i="3"/>
  <c r="I331" i="3"/>
  <c r="H331" i="3"/>
  <c r="F331" i="3"/>
  <c r="C331" i="3"/>
  <c r="AC330" i="3"/>
  <c r="AD330" i="3" s="1"/>
  <c r="AA330" i="3"/>
  <c r="W330" i="3"/>
  <c r="X330" i="3" s="1"/>
  <c r="U330" i="3"/>
  <c r="R330" i="3"/>
  <c r="N330" i="3"/>
  <c r="L330" i="3"/>
  <c r="I330" i="3"/>
  <c r="H330" i="3"/>
  <c r="F330" i="3"/>
  <c r="C330" i="3"/>
  <c r="AD329" i="3"/>
  <c r="AC329" i="3"/>
  <c r="AA329" i="3"/>
  <c r="W329" i="3"/>
  <c r="U329" i="3"/>
  <c r="R329" i="3"/>
  <c r="N329" i="3"/>
  <c r="O329" i="3" s="1"/>
  <c r="L329" i="3"/>
  <c r="H329" i="3"/>
  <c r="I329" i="3" s="1"/>
  <c r="F329" i="3"/>
  <c r="C329" i="3"/>
  <c r="AC328" i="3"/>
  <c r="AD328" i="3" s="1"/>
  <c r="AA328" i="3"/>
  <c r="W328" i="3"/>
  <c r="U328" i="3"/>
  <c r="R328" i="3"/>
  <c r="N328" i="3"/>
  <c r="L328" i="3"/>
  <c r="I328" i="3"/>
  <c r="H328" i="3"/>
  <c r="F328" i="3"/>
  <c r="C328" i="3"/>
  <c r="Z325" i="3"/>
  <c r="AA325" i="3" s="1"/>
  <c r="T325" i="3"/>
  <c r="U325" i="3" s="1"/>
  <c r="R325" i="3"/>
  <c r="Q325" i="3"/>
  <c r="L325" i="3"/>
  <c r="K325" i="3"/>
  <c r="H325" i="3"/>
  <c r="I325" i="3" s="1"/>
  <c r="F325" i="3"/>
  <c r="E325" i="3"/>
  <c r="B325" i="3"/>
  <c r="C325" i="3" s="1"/>
  <c r="AA324" i="3"/>
  <c r="Z324" i="3"/>
  <c r="U324" i="3"/>
  <c r="T324" i="3"/>
  <c r="W324" i="3" s="1"/>
  <c r="R324" i="3"/>
  <c r="Q324" i="3"/>
  <c r="AC324" i="3" s="1"/>
  <c r="AD324" i="3" s="1"/>
  <c r="L324" i="3"/>
  <c r="K324" i="3"/>
  <c r="F324" i="3"/>
  <c r="E324" i="3"/>
  <c r="C324" i="3"/>
  <c r="B324" i="3"/>
  <c r="H324" i="3" s="1"/>
  <c r="I324" i="3" s="1"/>
  <c r="AD323" i="3"/>
  <c r="AC323" i="3"/>
  <c r="AA323" i="3"/>
  <c r="W323" i="3"/>
  <c r="U323" i="3"/>
  <c r="R323" i="3"/>
  <c r="N323" i="3"/>
  <c r="L323" i="3"/>
  <c r="I323" i="3"/>
  <c r="H323" i="3"/>
  <c r="F323" i="3"/>
  <c r="C323" i="3"/>
  <c r="AD322" i="3"/>
  <c r="AC322" i="3"/>
  <c r="AA322" i="3"/>
  <c r="W322" i="3"/>
  <c r="X322" i="3" s="1"/>
  <c r="U322" i="3"/>
  <c r="R322" i="3"/>
  <c r="N322" i="3"/>
  <c r="L322" i="3"/>
  <c r="I322" i="3"/>
  <c r="H322" i="3"/>
  <c r="F322" i="3"/>
  <c r="C322" i="3"/>
  <c r="AD321" i="3"/>
  <c r="AC321" i="3"/>
  <c r="AA321" i="3"/>
  <c r="W321" i="3"/>
  <c r="U321" i="3"/>
  <c r="R321" i="3"/>
  <c r="O321" i="3"/>
  <c r="N321" i="3"/>
  <c r="L321" i="3"/>
  <c r="H321" i="3"/>
  <c r="I321" i="3" s="1"/>
  <c r="F321" i="3"/>
  <c r="C321" i="3"/>
  <c r="AC320" i="3"/>
  <c r="AD320" i="3" s="1"/>
  <c r="AA320" i="3"/>
  <c r="W320" i="3"/>
  <c r="U320" i="3"/>
  <c r="R320" i="3"/>
  <c r="N320" i="3"/>
  <c r="L320" i="3"/>
  <c r="I320" i="3"/>
  <c r="H320" i="3"/>
  <c r="F320" i="3"/>
  <c r="C320" i="3"/>
  <c r="AD319" i="3"/>
  <c r="AC319" i="3"/>
  <c r="AA319" i="3"/>
  <c r="W319" i="3"/>
  <c r="U319" i="3"/>
  <c r="R319" i="3"/>
  <c r="N319" i="3"/>
  <c r="O319" i="3" s="1"/>
  <c r="L319" i="3"/>
  <c r="I319" i="3"/>
  <c r="H319" i="3"/>
  <c r="F319" i="3"/>
  <c r="C319" i="3"/>
  <c r="AD318" i="3"/>
  <c r="AC318" i="3"/>
  <c r="AA318" i="3"/>
  <c r="W318" i="3"/>
  <c r="U318" i="3"/>
  <c r="R318" i="3"/>
  <c r="N318" i="3"/>
  <c r="L318" i="3"/>
  <c r="I318" i="3"/>
  <c r="H318" i="3"/>
  <c r="F318" i="3"/>
  <c r="C318" i="3"/>
  <c r="AD317" i="3"/>
  <c r="AC317" i="3"/>
  <c r="AA317" i="3"/>
  <c r="W317" i="3"/>
  <c r="X317" i="3" s="1"/>
  <c r="U317" i="3"/>
  <c r="R317" i="3"/>
  <c r="N317" i="3"/>
  <c r="O317" i="3" s="1"/>
  <c r="L317" i="3"/>
  <c r="H317" i="3"/>
  <c r="I317" i="3" s="1"/>
  <c r="F317" i="3"/>
  <c r="C317" i="3"/>
  <c r="AC316" i="3"/>
  <c r="AD316" i="3" s="1"/>
  <c r="AA316" i="3"/>
  <c r="W316" i="3"/>
  <c r="U316" i="3"/>
  <c r="R316" i="3"/>
  <c r="N316" i="3"/>
  <c r="O316" i="3" s="1"/>
  <c r="L316" i="3"/>
  <c r="I316" i="3"/>
  <c r="H316" i="3"/>
  <c r="F316" i="3"/>
  <c r="C316" i="3"/>
  <c r="AD315" i="3"/>
  <c r="AC315" i="3"/>
  <c r="AA315" i="3"/>
  <c r="W315" i="3"/>
  <c r="X315" i="3" s="1"/>
  <c r="U315" i="3"/>
  <c r="R315" i="3"/>
  <c r="N315" i="3"/>
  <c r="O315" i="3" s="1"/>
  <c r="L315" i="3"/>
  <c r="I315" i="3"/>
  <c r="H315" i="3"/>
  <c r="F315" i="3"/>
  <c r="C315" i="3"/>
  <c r="AD314" i="3"/>
  <c r="AC314" i="3"/>
  <c r="AA314" i="3"/>
  <c r="W314" i="3"/>
  <c r="U314" i="3"/>
  <c r="R314" i="3"/>
  <c r="N314" i="3"/>
  <c r="L314" i="3"/>
  <c r="I314" i="3"/>
  <c r="H314" i="3"/>
  <c r="F314" i="3"/>
  <c r="C314" i="3"/>
  <c r="AD313" i="3"/>
  <c r="AC313" i="3"/>
  <c r="AA313" i="3"/>
  <c r="W313" i="3"/>
  <c r="X313" i="3" s="1"/>
  <c r="U313" i="3"/>
  <c r="R313" i="3"/>
  <c r="N313" i="3"/>
  <c r="O313" i="3" s="1"/>
  <c r="L313" i="3"/>
  <c r="H313" i="3"/>
  <c r="I313" i="3" s="1"/>
  <c r="F313" i="3"/>
  <c r="C313" i="3"/>
  <c r="AC312" i="3"/>
  <c r="AD312" i="3" s="1"/>
  <c r="AA312" i="3"/>
  <c r="W312" i="3"/>
  <c r="U312" i="3"/>
  <c r="R312" i="3"/>
  <c r="N312" i="3"/>
  <c r="L312" i="3"/>
  <c r="I312" i="3"/>
  <c r="H312" i="3"/>
  <c r="F312" i="3"/>
  <c r="C312" i="3"/>
  <c r="AD311" i="3"/>
  <c r="AC311" i="3"/>
  <c r="AA311" i="3"/>
  <c r="W311" i="3"/>
  <c r="X311" i="3" s="1"/>
  <c r="U311" i="3"/>
  <c r="R311" i="3"/>
  <c r="N311" i="3"/>
  <c r="O311" i="3" s="1"/>
  <c r="L311" i="3"/>
  <c r="I311" i="3"/>
  <c r="H311" i="3"/>
  <c r="F311" i="3"/>
  <c r="C311" i="3"/>
  <c r="AD310" i="3"/>
  <c r="AC310" i="3"/>
  <c r="AA310" i="3"/>
  <c r="W310" i="3"/>
  <c r="U310" i="3"/>
  <c r="R310" i="3"/>
  <c r="N310" i="3"/>
  <c r="L310" i="3"/>
  <c r="I310" i="3"/>
  <c r="H310" i="3"/>
  <c r="F310" i="3"/>
  <c r="C310" i="3"/>
  <c r="AD309" i="3"/>
  <c r="AC309" i="3"/>
  <c r="AA309" i="3"/>
  <c r="W309" i="3"/>
  <c r="X309" i="3" s="1"/>
  <c r="U309" i="3"/>
  <c r="R309" i="3"/>
  <c r="N309" i="3"/>
  <c r="O309" i="3" s="1"/>
  <c r="L309" i="3"/>
  <c r="H309" i="3"/>
  <c r="I309" i="3" s="1"/>
  <c r="F309" i="3"/>
  <c r="C309" i="3"/>
  <c r="AC308" i="3"/>
  <c r="AD308" i="3" s="1"/>
  <c r="AA308" i="3"/>
  <c r="W308" i="3"/>
  <c r="U308" i="3"/>
  <c r="R308" i="3"/>
  <c r="N308" i="3"/>
  <c r="O308" i="3" s="1"/>
  <c r="L308" i="3"/>
  <c r="I308" i="3"/>
  <c r="H308" i="3"/>
  <c r="F308" i="3"/>
  <c r="C308" i="3"/>
  <c r="AD307" i="3"/>
  <c r="AC307" i="3"/>
  <c r="AA307" i="3"/>
  <c r="W307" i="3"/>
  <c r="X307" i="3" s="1"/>
  <c r="U307" i="3"/>
  <c r="R307" i="3"/>
  <c r="N307" i="3"/>
  <c r="L307" i="3"/>
  <c r="I307" i="3"/>
  <c r="H307" i="3"/>
  <c r="F307" i="3"/>
  <c r="C307" i="3"/>
  <c r="AD306" i="3"/>
  <c r="AC306" i="3"/>
  <c r="AA306" i="3"/>
  <c r="W306" i="3"/>
  <c r="X306" i="3" s="1"/>
  <c r="U306" i="3"/>
  <c r="R306" i="3"/>
  <c r="N306" i="3"/>
  <c r="L306" i="3"/>
  <c r="I306" i="3"/>
  <c r="H306" i="3"/>
  <c r="F306" i="3"/>
  <c r="C306" i="3"/>
  <c r="AD305" i="3"/>
  <c r="AC305" i="3"/>
  <c r="AA305" i="3"/>
  <c r="W305" i="3"/>
  <c r="X305" i="3" s="1"/>
  <c r="U305" i="3"/>
  <c r="R305" i="3"/>
  <c r="N305" i="3"/>
  <c r="O305" i="3" s="1"/>
  <c r="L305" i="3"/>
  <c r="H305" i="3"/>
  <c r="I305" i="3" s="1"/>
  <c r="F305" i="3"/>
  <c r="C305" i="3"/>
  <c r="AC304" i="3"/>
  <c r="AD304" i="3" s="1"/>
  <c r="AA304" i="3"/>
  <c r="W304" i="3"/>
  <c r="U304" i="3"/>
  <c r="R304" i="3"/>
  <c r="N304" i="3"/>
  <c r="L304" i="3"/>
  <c r="I304" i="3"/>
  <c r="H304" i="3"/>
  <c r="F304" i="3"/>
  <c r="C304" i="3"/>
  <c r="AD303" i="3"/>
  <c r="AC303" i="3"/>
  <c r="AA303" i="3"/>
  <c r="W303" i="3"/>
  <c r="X303" i="3" s="1"/>
  <c r="U303" i="3"/>
  <c r="R303" i="3"/>
  <c r="N303" i="3"/>
  <c r="O303" i="3" s="1"/>
  <c r="L303" i="3"/>
  <c r="I303" i="3"/>
  <c r="H303" i="3"/>
  <c r="F303" i="3"/>
  <c r="C303" i="3"/>
  <c r="AD302" i="3"/>
  <c r="AC302" i="3"/>
  <c r="AA302" i="3"/>
  <c r="W302" i="3"/>
  <c r="U302" i="3"/>
  <c r="R302" i="3"/>
  <c r="N302" i="3"/>
  <c r="L302" i="3"/>
  <c r="I302" i="3"/>
  <c r="H302" i="3"/>
  <c r="F302" i="3"/>
  <c r="C302" i="3"/>
  <c r="AD301" i="3"/>
  <c r="AC301" i="3"/>
  <c r="AA301" i="3"/>
  <c r="X301" i="3"/>
  <c r="W301" i="3"/>
  <c r="U301" i="3"/>
  <c r="R301" i="3"/>
  <c r="N301" i="3"/>
  <c r="L301" i="3"/>
  <c r="H301" i="3"/>
  <c r="I301" i="3" s="1"/>
  <c r="F301" i="3"/>
  <c r="C301" i="3"/>
  <c r="AC300" i="3"/>
  <c r="AD300" i="3" s="1"/>
  <c r="AA300" i="3"/>
  <c r="W300" i="3"/>
  <c r="U300" i="3"/>
  <c r="R300" i="3"/>
  <c r="N300" i="3"/>
  <c r="O300" i="3" s="1"/>
  <c r="L300" i="3"/>
  <c r="I300" i="3"/>
  <c r="H300" i="3"/>
  <c r="F300" i="3"/>
  <c r="C300" i="3"/>
  <c r="AD299" i="3"/>
  <c r="AC299" i="3"/>
  <c r="AA299" i="3"/>
  <c r="W299" i="3"/>
  <c r="X299" i="3" s="1"/>
  <c r="U299" i="3"/>
  <c r="R299" i="3"/>
  <c r="N299" i="3"/>
  <c r="O299" i="3" s="1"/>
  <c r="L299" i="3"/>
  <c r="I299" i="3"/>
  <c r="H299" i="3"/>
  <c r="F299" i="3"/>
  <c r="C299" i="3"/>
  <c r="AD298" i="3"/>
  <c r="AC298" i="3"/>
  <c r="AA298" i="3"/>
  <c r="W298" i="3"/>
  <c r="X298" i="3" s="1"/>
  <c r="U298" i="3"/>
  <c r="R298" i="3"/>
  <c r="N298" i="3"/>
  <c r="L298" i="3"/>
  <c r="I298" i="3"/>
  <c r="H298" i="3"/>
  <c r="F298" i="3"/>
  <c r="C298" i="3"/>
  <c r="AD297" i="3"/>
  <c r="AC297" i="3"/>
  <c r="AA297" i="3"/>
  <c r="W297" i="3"/>
  <c r="X297" i="3" s="1"/>
  <c r="U297" i="3"/>
  <c r="R297" i="3"/>
  <c r="N297" i="3"/>
  <c r="O297" i="3" s="1"/>
  <c r="L297" i="3"/>
  <c r="H297" i="3"/>
  <c r="I297" i="3" s="1"/>
  <c r="F297" i="3"/>
  <c r="C297" i="3"/>
  <c r="AD295" i="3"/>
  <c r="AC295" i="3"/>
  <c r="AA295" i="3"/>
  <c r="Z295" i="3"/>
  <c r="U295" i="3"/>
  <c r="T295" i="3"/>
  <c r="Q295" i="3"/>
  <c r="W295" i="3" s="1"/>
  <c r="X295" i="3" s="1"/>
  <c r="O295" i="3"/>
  <c r="K295" i="3"/>
  <c r="L295" i="3" s="1"/>
  <c r="F295" i="3"/>
  <c r="E295" i="3"/>
  <c r="C295" i="3"/>
  <c r="B295" i="3"/>
  <c r="N295" i="3" s="1"/>
  <c r="AD294" i="3"/>
  <c r="AC294" i="3"/>
  <c r="AA294" i="3"/>
  <c r="W294" i="3"/>
  <c r="X294" i="3" s="1"/>
  <c r="U294" i="3"/>
  <c r="R294" i="3"/>
  <c r="N294" i="3"/>
  <c r="O294" i="3" s="1"/>
  <c r="L294" i="3"/>
  <c r="I294" i="3"/>
  <c r="H294" i="3"/>
  <c r="F294" i="3"/>
  <c r="C294" i="3"/>
  <c r="AD293" i="3"/>
  <c r="AC293" i="3"/>
  <c r="AA293" i="3"/>
  <c r="W293" i="3"/>
  <c r="X293" i="3" s="1"/>
  <c r="U293" i="3"/>
  <c r="R293" i="3"/>
  <c r="O293" i="3"/>
  <c r="N293" i="3"/>
  <c r="L293" i="3"/>
  <c r="I293" i="3"/>
  <c r="H293" i="3"/>
  <c r="F293" i="3"/>
  <c r="C293" i="3"/>
  <c r="AC292" i="3"/>
  <c r="AD292" i="3" s="1"/>
  <c r="AA292" i="3"/>
  <c r="W292" i="3"/>
  <c r="X292" i="3" s="1"/>
  <c r="U292" i="3"/>
  <c r="R292" i="3"/>
  <c r="N292" i="3"/>
  <c r="O292" i="3" s="1"/>
  <c r="L292" i="3"/>
  <c r="I292" i="3"/>
  <c r="H292" i="3"/>
  <c r="F292" i="3"/>
  <c r="C292" i="3"/>
  <c r="AD291" i="3"/>
  <c r="AC291" i="3"/>
  <c r="AA291" i="3"/>
  <c r="W291" i="3"/>
  <c r="X291" i="3" s="1"/>
  <c r="U291" i="3"/>
  <c r="R291" i="3"/>
  <c r="O291" i="3"/>
  <c r="N291" i="3"/>
  <c r="L291" i="3"/>
  <c r="I291" i="3"/>
  <c r="H291" i="3"/>
  <c r="F291" i="3"/>
  <c r="C291" i="3"/>
  <c r="AC290" i="3"/>
  <c r="AD290" i="3" s="1"/>
  <c r="AA290" i="3"/>
  <c r="W290" i="3"/>
  <c r="U290" i="3"/>
  <c r="R290" i="3"/>
  <c r="N290" i="3"/>
  <c r="L290" i="3"/>
  <c r="I290" i="3"/>
  <c r="H290" i="3"/>
  <c r="F290" i="3"/>
  <c r="C290" i="3"/>
  <c r="AD289" i="3"/>
  <c r="AC289" i="3"/>
  <c r="AA289" i="3"/>
  <c r="X289" i="3"/>
  <c r="W289" i="3"/>
  <c r="U289" i="3"/>
  <c r="R289" i="3"/>
  <c r="N289" i="3"/>
  <c r="O289" i="3" s="1"/>
  <c r="L289" i="3"/>
  <c r="H289" i="3"/>
  <c r="I289" i="3" s="1"/>
  <c r="F289" i="3"/>
  <c r="C289" i="3"/>
  <c r="AC288" i="3"/>
  <c r="AD288" i="3" s="1"/>
  <c r="AA288" i="3"/>
  <c r="W288" i="3"/>
  <c r="U288" i="3"/>
  <c r="R288" i="3"/>
  <c r="N288" i="3"/>
  <c r="O288" i="3" s="1"/>
  <c r="L288" i="3"/>
  <c r="I288" i="3"/>
  <c r="H288" i="3"/>
  <c r="F288" i="3"/>
  <c r="C288" i="3"/>
  <c r="AD287" i="3"/>
  <c r="AC287" i="3"/>
  <c r="AA287" i="3"/>
  <c r="W287" i="3"/>
  <c r="X287" i="3" s="1"/>
  <c r="U287" i="3"/>
  <c r="R287" i="3"/>
  <c r="N287" i="3"/>
  <c r="O287" i="3" s="1"/>
  <c r="L287" i="3"/>
  <c r="H287" i="3"/>
  <c r="I287" i="3" s="1"/>
  <c r="F287" i="3"/>
  <c r="C287" i="3"/>
  <c r="AD286" i="3"/>
  <c r="AC286" i="3"/>
  <c r="AA286" i="3"/>
  <c r="W286" i="3"/>
  <c r="X286" i="3" s="1"/>
  <c r="U286" i="3"/>
  <c r="R286" i="3"/>
  <c r="N286" i="3"/>
  <c r="O286" i="3" s="1"/>
  <c r="L286" i="3"/>
  <c r="I286" i="3"/>
  <c r="H286" i="3"/>
  <c r="F286" i="3"/>
  <c r="C286" i="3"/>
  <c r="AA284" i="3"/>
  <c r="Z284" i="3"/>
  <c r="U284" i="3"/>
  <c r="T284" i="3"/>
  <c r="R284" i="3"/>
  <c r="Q284" i="3"/>
  <c r="N284" i="3"/>
  <c r="O284" i="3" s="1"/>
  <c r="L284" i="3"/>
  <c r="K284" i="3"/>
  <c r="I284" i="3"/>
  <c r="F284" i="3"/>
  <c r="E284" i="3"/>
  <c r="B284" i="3"/>
  <c r="H284" i="3" s="1"/>
  <c r="AD283" i="3"/>
  <c r="AC283" i="3"/>
  <c r="AA283" i="3"/>
  <c r="W283" i="3"/>
  <c r="X283" i="3" s="1"/>
  <c r="U283" i="3"/>
  <c r="R283" i="3"/>
  <c r="N283" i="3"/>
  <c r="O283" i="3" s="1"/>
  <c r="L283" i="3"/>
  <c r="I283" i="3"/>
  <c r="H283" i="3"/>
  <c r="F283" i="3"/>
  <c r="C283" i="3"/>
  <c r="AC282" i="3"/>
  <c r="AD282" i="3" s="1"/>
  <c r="AA282" i="3"/>
  <c r="W282" i="3"/>
  <c r="X282" i="3" s="1"/>
  <c r="U282" i="3"/>
  <c r="R282" i="3"/>
  <c r="N282" i="3"/>
  <c r="L282" i="3"/>
  <c r="I282" i="3"/>
  <c r="H282" i="3"/>
  <c r="F282" i="3"/>
  <c r="C282" i="3"/>
  <c r="AD281" i="3"/>
  <c r="AC281" i="3"/>
  <c r="AA281" i="3"/>
  <c r="W281" i="3"/>
  <c r="X281" i="3" s="1"/>
  <c r="U281" i="3"/>
  <c r="R281" i="3"/>
  <c r="O281" i="3"/>
  <c r="N281" i="3"/>
  <c r="L281" i="3"/>
  <c r="H281" i="3"/>
  <c r="I281" i="3" s="1"/>
  <c r="F281" i="3"/>
  <c r="C281" i="3"/>
  <c r="AC280" i="3"/>
  <c r="AD280" i="3" s="1"/>
  <c r="AA280" i="3"/>
  <c r="W280" i="3"/>
  <c r="U280" i="3"/>
  <c r="R280" i="3"/>
  <c r="N280" i="3"/>
  <c r="L280" i="3"/>
  <c r="I280" i="3"/>
  <c r="H280" i="3"/>
  <c r="F280" i="3"/>
  <c r="C280" i="3"/>
  <c r="AD279" i="3"/>
  <c r="AC279" i="3"/>
  <c r="AA279" i="3"/>
  <c r="W279" i="3"/>
  <c r="X279" i="3" s="1"/>
  <c r="U279" i="3"/>
  <c r="R279" i="3"/>
  <c r="N279" i="3"/>
  <c r="O279" i="3" s="1"/>
  <c r="L279" i="3"/>
  <c r="I279" i="3"/>
  <c r="H279" i="3"/>
  <c r="F279" i="3"/>
  <c r="C279" i="3"/>
  <c r="AD278" i="3"/>
  <c r="AC278" i="3"/>
  <c r="AA278" i="3"/>
  <c r="W278" i="3"/>
  <c r="X278" i="3" s="1"/>
  <c r="U278" i="3"/>
  <c r="R278" i="3"/>
  <c r="N278" i="3"/>
  <c r="O278" i="3" s="1"/>
  <c r="L278" i="3"/>
  <c r="I278" i="3"/>
  <c r="H278" i="3"/>
  <c r="F278" i="3"/>
  <c r="C278" i="3"/>
  <c r="AD277" i="3"/>
  <c r="AC277" i="3"/>
  <c r="AA277" i="3"/>
  <c r="W277" i="3"/>
  <c r="X277" i="3" s="1"/>
  <c r="U277" i="3"/>
  <c r="R277" i="3"/>
  <c r="N277" i="3"/>
  <c r="O277" i="3" s="1"/>
  <c r="L277" i="3"/>
  <c r="I277" i="3"/>
  <c r="H277" i="3"/>
  <c r="F277" i="3"/>
  <c r="C277" i="3"/>
  <c r="AC276" i="3"/>
  <c r="AD276" i="3" s="1"/>
  <c r="AA276" i="3"/>
  <c r="W276" i="3"/>
  <c r="X276" i="3" s="1"/>
  <c r="U276" i="3"/>
  <c r="R276" i="3"/>
  <c r="N276" i="3"/>
  <c r="O276" i="3" s="1"/>
  <c r="L276" i="3"/>
  <c r="I276" i="3"/>
  <c r="H276" i="3"/>
  <c r="F276" i="3"/>
  <c r="C276" i="3"/>
  <c r="AD275" i="3"/>
  <c r="AC275" i="3"/>
  <c r="AA275" i="3"/>
  <c r="W275" i="3"/>
  <c r="X275" i="3" s="1"/>
  <c r="U275" i="3"/>
  <c r="R275" i="3"/>
  <c r="N275" i="3"/>
  <c r="O275" i="3" s="1"/>
  <c r="L275" i="3"/>
  <c r="I275" i="3"/>
  <c r="H275" i="3"/>
  <c r="F275" i="3"/>
  <c r="C275" i="3"/>
  <c r="AC273" i="3"/>
  <c r="AD273" i="3" s="1"/>
  <c r="AA273" i="3"/>
  <c r="Z273" i="3"/>
  <c r="U273" i="3"/>
  <c r="T273" i="3"/>
  <c r="R273" i="3"/>
  <c r="Q273" i="3"/>
  <c r="W273" i="3" s="1"/>
  <c r="X273" i="3" s="1"/>
  <c r="L273" i="3"/>
  <c r="K273" i="3"/>
  <c r="E273" i="3"/>
  <c r="F273" i="3" s="1"/>
  <c r="C273" i="3"/>
  <c r="B273" i="3"/>
  <c r="AD272" i="3"/>
  <c r="AC272" i="3"/>
  <c r="AA272" i="3"/>
  <c r="W272" i="3"/>
  <c r="U272" i="3"/>
  <c r="R272" i="3"/>
  <c r="N272" i="3"/>
  <c r="O272" i="3" s="1"/>
  <c r="L272" i="3"/>
  <c r="I272" i="3"/>
  <c r="H272" i="3"/>
  <c r="F272" i="3"/>
  <c r="C272" i="3"/>
  <c r="AD271" i="3"/>
  <c r="AC271" i="3"/>
  <c r="AA271" i="3"/>
  <c r="W271" i="3"/>
  <c r="X271" i="3" s="1"/>
  <c r="U271" i="3"/>
  <c r="R271" i="3"/>
  <c r="N271" i="3"/>
  <c r="O271" i="3" s="1"/>
  <c r="L271" i="3"/>
  <c r="I271" i="3"/>
  <c r="H271" i="3"/>
  <c r="F271" i="3"/>
  <c r="C271" i="3"/>
  <c r="AD270" i="3"/>
  <c r="AC270" i="3"/>
  <c r="AA270" i="3"/>
  <c r="W270" i="3"/>
  <c r="U270" i="3"/>
  <c r="R270" i="3"/>
  <c r="N270" i="3"/>
  <c r="O270" i="3" s="1"/>
  <c r="L270" i="3"/>
  <c r="I270" i="3"/>
  <c r="H270" i="3"/>
  <c r="F270" i="3"/>
  <c r="C270" i="3"/>
  <c r="AD269" i="3"/>
  <c r="AC269" i="3"/>
  <c r="AA269" i="3"/>
  <c r="X269" i="3"/>
  <c r="W269" i="3"/>
  <c r="U269" i="3"/>
  <c r="R269" i="3"/>
  <c r="N269" i="3"/>
  <c r="O269" i="3" s="1"/>
  <c r="L269" i="3"/>
  <c r="H269" i="3"/>
  <c r="I269" i="3" s="1"/>
  <c r="F269" i="3"/>
  <c r="C269" i="3"/>
  <c r="AA267" i="3"/>
  <c r="Z267" i="3"/>
  <c r="U267" i="3"/>
  <c r="T267" i="3"/>
  <c r="Q267" i="3"/>
  <c r="K267" i="3"/>
  <c r="L267" i="3" s="1"/>
  <c r="F267" i="3"/>
  <c r="E267" i="3"/>
  <c r="C267" i="3"/>
  <c r="B267" i="3"/>
  <c r="N267" i="3" s="1"/>
  <c r="O267" i="3" s="1"/>
  <c r="AD266" i="3"/>
  <c r="AC266" i="3"/>
  <c r="AA266" i="3"/>
  <c r="W266" i="3"/>
  <c r="X266" i="3" s="1"/>
  <c r="U266" i="3"/>
  <c r="R266" i="3"/>
  <c r="N266" i="3"/>
  <c r="L266" i="3"/>
  <c r="I266" i="3"/>
  <c r="H266" i="3"/>
  <c r="F266" i="3"/>
  <c r="C266" i="3"/>
  <c r="AD265" i="3"/>
  <c r="AC265" i="3"/>
  <c r="AA265" i="3"/>
  <c r="W265" i="3"/>
  <c r="X265" i="3" s="1"/>
  <c r="U265" i="3"/>
  <c r="R265" i="3"/>
  <c r="N265" i="3"/>
  <c r="O265" i="3" s="1"/>
  <c r="L265" i="3"/>
  <c r="H265" i="3"/>
  <c r="I265" i="3" s="1"/>
  <c r="F265" i="3"/>
  <c r="C265" i="3"/>
  <c r="AC263" i="3"/>
  <c r="AD263" i="3" s="1"/>
  <c r="AA263" i="3"/>
  <c r="Z263" i="3"/>
  <c r="W263" i="3"/>
  <c r="X263" i="3" s="1"/>
  <c r="U263" i="3"/>
  <c r="T263" i="3"/>
  <c r="R263" i="3"/>
  <c r="Q263" i="3"/>
  <c r="K263" i="3"/>
  <c r="L263" i="3" s="1"/>
  <c r="F263" i="3"/>
  <c r="E263" i="3"/>
  <c r="C263" i="3"/>
  <c r="B263" i="3"/>
  <c r="N263" i="3" s="1"/>
  <c r="O263" i="3" s="1"/>
  <c r="AA262" i="3"/>
  <c r="Z262" i="3"/>
  <c r="W262" i="3"/>
  <c r="X262" i="3" s="1"/>
  <c r="U262" i="3"/>
  <c r="T262" i="3"/>
  <c r="R262" i="3"/>
  <c r="Q262" i="3"/>
  <c r="AC262" i="3" s="1"/>
  <c r="AD262" i="3" s="1"/>
  <c r="K262" i="3"/>
  <c r="L262" i="3" s="1"/>
  <c r="F262" i="3"/>
  <c r="E262" i="3"/>
  <c r="C262" i="3"/>
  <c r="B262" i="3"/>
  <c r="AC261" i="3"/>
  <c r="AD261" i="3" s="1"/>
  <c r="AA261" i="3"/>
  <c r="W261" i="3"/>
  <c r="X261" i="3" s="1"/>
  <c r="U261" i="3"/>
  <c r="R261" i="3"/>
  <c r="N261" i="3"/>
  <c r="O261" i="3" s="1"/>
  <c r="L261" i="3"/>
  <c r="I261" i="3"/>
  <c r="H261" i="3"/>
  <c r="F261" i="3"/>
  <c r="C261" i="3"/>
  <c r="AD260" i="3"/>
  <c r="AC260" i="3"/>
  <c r="AA260" i="3"/>
  <c r="W260" i="3"/>
  <c r="X260" i="3" s="1"/>
  <c r="U260" i="3"/>
  <c r="R260" i="3"/>
  <c r="N260" i="3"/>
  <c r="O260" i="3" s="1"/>
  <c r="L260" i="3"/>
  <c r="I260" i="3"/>
  <c r="H260" i="3"/>
  <c r="F260" i="3"/>
  <c r="C260" i="3"/>
  <c r="AC259" i="3"/>
  <c r="AD259" i="3" s="1"/>
  <c r="AA259" i="3"/>
  <c r="W259" i="3"/>
  <c r="X259" i="3" s="1"/>
  <c r="U259" i="3"/>
  <c r="R259" i="3"/>
  <c r="N259" i="3"/>
  <c r="L259" i="3"/>
  <c r="I259" i="3"/>
  <c r="H259" i="3"/>
  <c r="F259" i="3"/>
  <c r="C259" i="3"/>
  <c r="AD258" i="3"/>
  <c r="AC258" i="3"/>
  <c r="AA258" i="3"/>
  <c r="X258" i="3"/>
  <c r="W258" i="3"/>
  <c r="U258" i="3"/>
  <c r="R258" i="3"/>
  <c r="N258" i="3"/>
  <c r="O258" i="3" s="1"/>
  <c r="L258" i="3"/>
  <c r="H258" i="3"/>
  <c r="I258" i="3" s="1"/>
  <c r="F258" i="3"/>
  <c r="C258" i="3"/>
  <c r="AC257" i="3"/>
  <c r="AD257" i="3" s="1"/>
  <c r="AA257" i="3"/>
  <c r="W257" i="3"/>
  <c r="U257" i="3"/>
  <c r="R257" i="3"/>
  <c r="N257" i="3"/>
  <c r="O257" i="3" s="1"/>
  <c r="L257" i="3"/>
  <c r="I257" i="3"/>
  <c r="H257" i="3"/>
  <c r="F257" i="3"/>
  <c r="C257" i="3"/>
  <c r="AD256" i="3"/>
  <c r="AC256" i="3"/>
  <c r="AA256" i="3"/>
  <c r="W256" i="3"/>
  <c r="X256" i="3" s="1"/>
  <c r="U256" i="3"/>
  <c r="R256" i="3"/>
  <c r="N256" i="3"/>
  <c r="O256" i="3" s="1"/>
  <c r="L256" i="3"/>
  <c r="I256" i="3"/>
  <c r="H256" i="3"/>
  <c r="F256" i="3"/>
  <c r="C256" i="3"/>
  <c r="AD255" i="3"/>
  <c r="AC255" i="3"/>
  <c r="AA255" i="3"/>
  <c r="W255" i="3"/>
  <c r="X255" i="3" s="1"/>
  <c r="U255" i="3"/>
  <c r="R255" i="3"/>
  <c r="N255" i="3"/>
  <c r="L255" i="3"/>
  <c r="I255" i="3"/>
  <c r="H255" i="3"/>
  <c r="F255" i="3"/>
  <c r="C255" i="3"/>
  <c r="AD254" i="3"/>
  <c r="AC254" i="3"/>
  <c r="AA254" i="3"/>
  <c r="W254" i="3"/>
  <c r="X254" i="3" s="1"/>
  <c r="U254" i="3"/>
  <c r="R254" i="3"/>
  <c r="N254" i="3"/>
  <c r="O254" i="3" s="1"/>
  <c r="L254" i="3"/>
  <c r="H254" i="3"/>
  <c r="I254" i="3" s="1"/>
  <c r="F254" i="3"/>
  <c r="C254" i="3"/>
  <c r="AC253" i="3"/>
  <c r="AD253" i="3" s="1"/>
  <c r="AA253" i="3"/>
  <c r="W253" i="3"/>
  <c r="X253" i="3" s="1"/>
  <c r="U253" i="3"/>
  <c r="R253" i="3"/>
  <c r="O253" i="3"/>
  <c r="N253" i="3"/>
  <c r="L253" i="3"/>
  <c r="I253" i="3"/>
  <c r="H253" i="3"/>
  <c r="F253" i="3"/>
  <c r="C253" i="3"/>
  <c r="AC252" i="3"/>
  <c r="AD252" i="3" s="1"/>
  <c r="AA252" i="3"/>
  <c r="W252" i="3"/>
  <c r="X252" i="3" s="1"/>
  <c r="U252" i="3"/>
  <c r="R252" i="3"/>
  <c r="O252" i="3"/>
  <c r="N252" i="3"/>
  <c r="L252" i="3"/>
  <c r="H252" i="3"/>
  <c r="I252" i="3" s="1"/>
  <c r="F252" i="3"/>
  <c r="C252" i="3"/>
  <c r="AD251" i="3"/>
  <c r="AC251" i="3"/>
  <c r="AA251" i="3"/>
  <c r="X251" i="3"/>
  <c r="W251" i="3"/>
  <c r="U251" i="3"/>
  <c r="R251" i="3"/>
  <c r="N251" i="3"/>
  <c r="O251" i="3" s="1"/>
  <c r="L251" i="3"/>
  <c r="H251" i="3"/>
  <c r="I251" i="3" s="1"/>
  <c r="F251" i="3"/>
  <c r="C251" i="3"/>
  <c r="AD250" i="3"/>
  <c r="AC250" i="3"/>
  <c r="AA250" i="3"/>
  <c r="X250" i="3"/>
  <c r="W250" i="3"/>
  <c r="U250" i="3"/>
  <c r="R250" i="3"/>
  <c r="N250" i="3"/>
  <c r="L250" i="3"/>
  <c r="I250" i="3"/>
  <c r="H250" i="3"/>
  <c r="F250" i="3"/>
  <c r="C250" i="3"/>
  <c r="AD249" i="3"/>
  <c r="AC249" i="3"/>
  <c r="AA249" i="3"/>
  <c r="W249" i="3"/>
  <c r="X249" i="3" s="1"/>
  <c r="U249" i="3"/>
  <c r="R249" i="3"/>
  <c r="O249" i="3"/>
  <c r="N249" i="3"/>
  <c r="L249" i="3"/>
  <c r="I249" i="3"/>
  <c r="H249" i="3"/>
  <c r="F249" i="3"/>
  <c r="C249" i="3"/>
  <c r="AC248" i="3"/>
  <c r="AD248" i="3" s="1"/>
  <c r="AA248" i="3"/>
  <c r="X248" i="3"/>
  <c r="W248" i="3"/>
  <c r="U248" i="3"/>
  <c r="R248" i="3"/>
  <c r="O248" i="3"/>
  <c r="N248" i="3"/>
  <c r="L248" i="3"/>
  <c r="H248" i="3"/>
  <c r="I248" i="3" s="1"/>
  <c r="F248" i="3"/>
  <c r="C248" i="3"/>
  <c r="AC247" i="3"/>
  <c r="AD247" i="3" s="1"/>
  <c r="AA247" i="3"/>
  <c r="X247" i="3"/>
  <c r="W247" i="3"/>
  <c r="U247" i="3"/>
  <c r="R247" i="3"/>
  <c r="N247" i="3"/>
  <c r="L247" i="3"/>
  <c r="H247" i="3"/>
  <c r="I247" i="3" s="1"/>
  <c r="F247" i="3"/>
  <c r="C247" i="3"/>
  <c r="AD246" i="3"/>
  <c r="AC246" i="3"/>
  <c r="AA246" i="3"/>
  <c r="W246" i="3"/>
  <c r="X246" i="3" s="1"/>
  <c r="U246" i="3"/>
  <c r="R246" i="3"/>
  <c r="N246" i="3"/>
  <c r="O246" i="3" s="1"/>
  <c r="L246" i="3"/>
  <c r="H246" i="3"/>
  <c r="I246" i="3" s="1"/>
  <c r="F246" i="3"/>
  <c r="C246" i="3"/>
  <c r="AC245" i="3"/>
  <c r="AD245" i="3" s="1"/>
  <c r="AA245" i="3"/>
  <c r="W245" i="3"/>
  <c r="U245" i="3"/>
  <c r="R245" i="3"/>
  <c r="N245" i="3"/>
  <c r="O245" i="3" s="1"/>
  <c r="L245" i="3"/>
  <c r="I245" i="3"/>
  <c r="H245" i="3"/>
  <c r="F245" i="3"/>
  <c r="C245" i="3"/>
  <c r="AC244" i="3"/>
  <c r="AD244" i="3" s="1"/>
  <c r="AA244" i="3"/>
  <c r="W244" i="3"/>
  <c r="X244" i="3" s="1"/>
  <c r="U244" i="3"/>
  <c r="R244" i="3"/>
  <c r="N244" i="3"/>
  <c r="O244" i="3" s="1"/>
  <c r="L244" i="3"/>
  <c r="H244" i="3"/>
  <c r="I244" i="3" s="1"/>
  <c r="F244" i="3"/>
  <c r="C244" i="3"/>
  <c r="AC243" i="3"/>
  <c r="AD243" i="3" s="1"/>
  <c r="AA243" i="3"/>
  <c r="X243" i="3"/>
  <c r="W243" i="3"/>
  <c r="U243" i="3"/>
  <c r="R243" i="3"/>
  <c r="N243" i="3"/>
  <c r="O243" i="3" s="1"/>
  <c r="L243" i="3"/>
  <c r="H243" i="3"/>
  <c r="I243" i="3" s="1"/>
  <c r="F243" i="3"/>
  <c r="C243" i="3"/>
  <c r="AD242" i="3"/>
  <c r="AC242" i="3"/>
  <c r="AA242" i="3"/>
  <c r="W242" i="3"/>
  <c r="X242" i="3" s="1"/>
  <c r="U242" i="3"/>
  <c r="R242" i="3"/>
  <c r="N242" i="3"/>
  <c r="O242" i="3" s="1"/>
  <c r="L242" i="3"/>
  <c r="I242" i="3"/>
  <c r="H242" i="3"/>
  <c r="F242" i="3"/>
  <c r="C242" i="3"/>
  <c r="AC241" i="3"/>
  <c r="AD241" i="3" s="1"/>
  <c r="AA241" i="3"/>
  <c r="W241" i="3"/>
  <c r="U241" i="3"/>
  <c r="R241" i="3"/>
  <c r="N241" i="3"/>
  <c r="O241" i="3" s="1"/>
  <c r="L241" i="3"/>
  <c r="I241" i="3"/>
  <c r="H241" i="3"/>
  <c r="F241" i="3"/>
  <c r="C241" i="3"/>
  <c r="AC240" i="3"/>
  <c r="AD240" i="3" s="1"/>
  <c r="AA240" i="3"/>
  <c r="W240" i="3"/>
  <c r="X240" i="3" s="1"/>
  <c r="U240" i="3"/>
  <c r="R240" i="3"/>
  <c r="O240" i="3"/>
  <c r="N240" i="3"/>
  <c r="L240" i="3"/>
  <c r="I240" i="3"/>
  <c r="H240" i="3"/>
  <c r="F240" i="3"/>
  <c r="C240" i="3"/>
  <c r="AC238" i="3"/>
  <c r="AD238" i="3" s="1"/>
  <c r="AA238" i="3"/>
  <c r="W238" i="3"/>
  <c r="X238" i="3" s="1"/>
  <c r="U238" i="3"/>
  <c r="R238" i="3"/>
  <c r="N238" i="3"/>
  <c r="O238" i="3" s="1"/>
  <c r="L238" i="3"/>
  <c r="I238" i="3"/>
  <c r="H238" i="3"/>
  <c r="F238" i="3"/>
  <c r="C238" i="3"/>
  <c r="Z236" i="3"/>
  <c r="AA236" i="3" s="1"/>
  <c r="W236" i="3"/>
  <c r="X236" i="3" s="1"/>
  <c r="T236" i="3"/>
  <c r="U236" i="3" s="1"/>
  <c r="R236" i="3"/>
  <c r="Q236" i="3"/>
  <c r="L236" i="3"/>
  <c r="K236" i="3"/>
  <c r="F236" i="3"/>
  <c r="E236" i="3"/>
  <c r="B236" i="3"/>
  <c r="H236" i="3" s="1"/>
  <c r="I236" i="3" s="1"/>
  <c r="AD235" i="3"/>
  <c r="AC235" i="3"/>
  <c r="AA235" i="3"/>
  <c r="W235" i="3"/>
  <c r="X235" i="3" s="1"/>
  <c r="U235" i="3"/>
  <c r="R235" i="3"/>
  <c r="N235" i="3"/>
  <c r="O235" i="3" s="1"/>
  <c r="L235" i="3"/>
  <c r="H235" i="3"/>
  <c r="I235" i="3" s="1"/>
  <c r="F235" i="3"/>
  <c r="C235" i="3"/>
  <c r="AD234" i="3"/>
  <c r="AC234" i="3"/>
  <c r="AA234" i="3"/>
  <c r="X234" i="3"/>
  <c r="W234" i="3"/>
  <c r="U234" i="3"/>
  <c r="R234" i="3"/>
  <c r="N234" i="3"/>
  <c r="O234" i="3" s="1"/>
  <c r="L234" i="3"/>
  <c r="I234" i="3"/>
  <c r="H234" i="3"/>
  <c r="F234" i="3"/>
  <c r="C234" i="3"/>
  <c r="AD233" i="3"/>
  <c r="AC233" i="3"/>
  <c r="AA233" i="3"/>
  <c r="X233" i="3"/>
  <c r="W233" i="3"/>
  <c r="U233" i="3"/>
  <c r="R233" i="3"/>
  <c r="N233" i="3"/>
  <c r="O233" i="3" s="1"/>
  <c r="L233" i="3"/>
  <c r="I233" i="3"/>
  <c r="H233" i="3"/>
  <c r="F233" i="3"/>
  <c r="C233" i="3"/>
  <c r="AD232" i="3"/>
  <c r="AC232" i="3"/>
  <c r="AA232" i="3"/>
  <c r="W232" i="3"/>
  <c r="X232" i="3" s="1"/>
  <c r="U232" i="3"/>
  <c r="R232" i="3"/>
  <c r="O232" i="3"/>
  <c r="N232" i="3"/>
  <c r="L232" i="3"/>
  <c r="I232" i="3"/>
  <c r="H232" i="3"/>
  <c r="F232" i="3"/>
  <c r="C232" i="3"/>
  <c r="AC231" i="3"/>
  <c r="AD231" i="3" s="1"/>
  <c r="AA231" i="3"/>
  <c r="W231" i="3"/>
  <c r="U231" i="3"/>
  <c r="R231" i="3"/>
  <c r="O231" i="3"/>
  <c r="N231" i="3"/>
  <c r="L231" i="3"/>
  <c r="I231" i="3"/>
  <c r="H231" i="3"/>
  <c r="F231" i="3"/>
  <c r="C231" i="3"/>
  <c r="AC230" i="3"/>
  <c r="AD230" i="3" s="1"/>
  <c r="AA230" i="3"/>
  <c r="X230" i="3"/>
  <c r="W230" i="3"/>
  <c r="U230" i="3"/>
  <c r="R230" i="3"/>
  <c r="N230" i="3"/>
  <c r="L230" i="3"/>
  <c r="I230" i="3"/>
  <c r="H230" i="3"/>
  <c r="F230" i="3"/>
  <c r="C230" i="3"/>
  <c r="AD229" i="3"/>
  <c r="AC229" i="3"/>
  <c r="AA229" i="3"/>
  <c r="W229" i="3"/>
  <c r="X229" i="3" s="1"/>
  <c r="U229" i="3"/>
  <c r="R229" i="3"/>
  <c r="O229" i="3"/>
  <c r="N229" i="3"/>
  <c r="L229" i="3"/>
  <c r="H229" i="3"/>
  <c r="I229" i="3" s="1"/>
  <c r="F229" i="3"/>
  <c r="C229" i="3"/>
  <c r="AC227" i="3"/>
  <c r="AD227" i="3" s="1"/>
  <c r="AA227" i="3"/>
  <c r="Z227" i="3"/>
  <c r="U227" i="3"/>
  <c r="T227" i="3"/>
  <c r="R227" i="3"/>
  <c r="Q227" i="3"/>
  <c r="W227" i="3" s="1"/>
  <c r="X227" i="3" s="1"/>
  <c r="O227" i="3"/>
  <c r="K227" i="3"/>
  <c r="L227" i="3" s="1"/>
  <c r="F227" i="3"/>
  <c r="E227" i="3"/>
  <c r="H227" i="3" s="1"/>
  <c r="I227" i="3" s="1"/>
  <c r="C227" i="3"/>
  <c r="B227" i="3"/>
  <c r="N227" i="3" s="1"/>
  <c r="AC226" i="3"/>
  <c r="AD226" i="3" s="1"/>
  <c r="AA226" i="3"/>
  <c r="W226" i="3"/>
  <c r="X226" i="3" s="1"/>
  <c r="U226" i="3"/>
  <c r="R226" i="3"/>
  <c r="N226" i="3"/>
  <c r="O226" i="3" s="1"/>
  <c r="L226" i="3"/>
  <c r="H226" i="3"/>
  <c r="I226" i="3" s="1"/>
  <c r="F226" i="3"/>
  <c r="C226" i="3"/>
  <c r="AD225" i="3"/>
  <c r="AC225" i="3"/>
  <c r="AA225" i="3"/>
  <c r="W225" i="3"/>
  <c r="X225" i="3" s="1"/>
  <c r="U225" i="3"/>
  <c r="R225" i="3"/>
  <c r="O225" i="3"/>
  <c r="N225" i="3"/>
  <c r="L225" i="3"/>
  <c r="I225" i="3"/>
  <c r="H225" i="3"/>
  <c r="F225" i="3"/>
  <c r="C225" i="3"/>
  <c r="AC224" i="3"/>
  <c r="AD224" i="3" s="1"/>
  <c r="AA224" i="3"/>
  <c r="W224" i="3"/>
  <c r="X224" i="3" s="1"/>
  <c r="U224" i="3"/>
  <c r="R224" i="3"/>
  <c r="N224" i="3"/>
  <c r="O224" i="3" s="1"/>
  <c r="L224" i="3"/>
  <c r="I224" i="3"/>
  <c r="H224" i="3"/>
  <c r="F224" i="3"/>
  <c r="C224" i="3"/>
  <c r="AC223" i="3"/>
  <c r="AD223" i="3" s="1"/>
  <c r="AA223" i="3"/>
  <c r="X223" i="3"/>
  <c r="W223" i="3"/>
  <c r="U223" i="3"/>
  <c r="R223" i="3"/>
  <c r="N223" i="3"/>
  <c r="L223" i="3"/>
  <c r="H223" i="3"/>
  <c r="I223" i="3" s="1"/>
  <c r="F223" i="3"/>
  <c r="C223" i="3"/>
  <c r="AD222" i="3"/>
  <c r="AC222" i="3"/>
  <c r="AA222" i="3"/>
  <c r="W222" i="3"/>
  <c r="X222" i="3" s="1"/>
  <c r="U222" i="3"/>
  <c r="R222" i="3"/>
  <c r="N222" i="3"/>
  <c r="O222" i="3" s="1"/>
  <c r="L222" i="3"/>
  <c r="I222" i="3"/>
  <c r="H222" i="3"/>
  <c r="F222" i="3"/>
  <c r="C222" i="3"/>
  <c r="AD221" i="3"/>
  <c r="AC221" i="3"/>
  <c r="AA221" i="3"/>
  <c r="X221" i="3"/>
  <c r="W221" i="3"/>
  <c r="U221" i="3"/>
  <c r="R221" i="3"/>
  <c r="O221" i="3"/>
  <c r="N221" i="3"/>
  <c r="L221" i="3"/>
  <c r="H221" i="3"/>
  <c r="I221" i="3" s="1"/>
  <c r="F221" i="3"/>
  <c r="C221" i="3"/>
  <c r="AC220" i="3"/>
  <c r="AD220" i="3" s="1"/>
  <c r="AA220" i="3"/>
  <c r="W220" i="3"/>
  <c r="X220" i="3" s="1"/>
  <c r="U220" i="3"/>
  <c r="R220" i="3"/>
  <c r="O220" i="3"/>
  <c r="N220" i="3"/>
  <c r="L220" i="3"/>
  <c r="I220" i="3"/>
  <c r="H220" i="3"/>
  <c r="F220" i="3"/>
  <c r="C220" i="3"/>
  <c r="AC219" i="3"/>
  <c r="AD219" i="3" s="1"/>
  <c r="AA219" i="3"/>
  <c r="W219" i="3"/>
  <c r="U219" i="3"/>
  <c r="R219" i="3"/>
  <c r="N219" i="3"/>
  <c r="O219" i="3" s="1"/>
  <c r="L219" i="3"/>
  <c r="H219" i="3"/>
  <c r="I219" i="3" s="1"/>
  <c r="F219" i="3"/>
  <c r="C219" i="3"/>
  <c r="Z218" i="3"/>
  <c r="AC218" i="3" s="1"/>
  <c r="AD218" i="3" s="1"/>
  <c r="U218" i="3"/>
  <c r="T218" i="3"/>
  <c r="R218" i="3"/>
  <c r="Q218" i="3"/>
  <c r="W218" i="3" s="1"/>
  <c r="N218" i="3"/>
  <c r="O218" i="3" s="1"/>
  <c r="K218" i="3"/>
  <c r="L218" i="3" s="1"/>
  <c r="E218" i="3"/>
  <c r="F218" i="3" s="1"/>
  <c r="C218" i="3"/>
  <c r="B218" i="3"/>
  <c r="AD217" i="3"/>
  <c r="AC217" i="3"/>
  <c r="AA217" i="3"/>
  <c r="W217" i="3"/>
  <c r="X217" i="3" s="1"/>
  <c r="U217" i="3"/>
  <c r="R217" i="3"/>
  <c r="O217" i="3"/>
  <c r="N217" i="3"/>
  <c r="L217" i="3"/>
  <c r="I217" i="3"/>
  <c r="H217" i="3"/>
  <c r="F217" i="3"/>
  <c r="C217" i="3"/>
  <c r="AD216" i="3"/>
  <c r="AC216" i="3"/>
  <c r="AA216" i="3"/>
  <c r="X216" i="3"/>
  <c r="W216" i="3"/>
  <c r="U216" i="3"/>
  <c r="R216" i="3"/>
  <c r="N216" i="3"/>
  <c r="O216" i="3" s="1"/>
  <c r="L216" i="3"/>
  <c r="H216" i="3"/>
  <c r="I216" i="3" s="1"/>
  <c r="F216" i="3"/>
  <c r="C216" i="3"/>
  <c r="AD215" i="3"/>
  <c r="AC215" i="3"/>
  <c r="AA215" i="3"/>
  <c r="X215" i="3"/>
  <c r="W215" i="3"/>
  <c r="U215" i="3"/>
  <c r="R215" i="3"/>
  <c r="N215" i="3"/>
  <c r="L215" i="3"/>
  <c r="H215" i="3"/>
  <c r="I215" i="3" s="1"/>
  <c r="F215" i="3"/>
  <c r="C215" i="3"/>
  <c r="AD214" i="3"/>
  <c r="AC214" i="3"/>
  <c r="AA214" i="3"/>
  <c r="X214" i="3"/>
  <c r="W214" i="3"/>
  <c r="U214" i="3"/>
  <c r="R214" i="3"/>
  <c r="N214" i="3"/>
  <c r="O214" i="3" s="1"/>
  <c r="L214" i="3"/>
  <c r="H214" i="3"/>
  <c r="I214" i="3" s="1"/>
  <c r="F214" i="3"/>
  <c r="C214" i="3"/>
  <c r="AD213" i="3"/>
  <c r="AC213" i="3"/>
  <c r="AA213" i="3"/>
  <c r="W213" i="3"/>
  <c r="U213" i="3"/>
  <c r="R213" i="3"/>
  <c r="O213" i="3"/>
  <c r="N213" i="3"/>
  <c r="L213" i="3"/>
  <c r="I213" i="3"/>
  <c r="H213" i="3"/>
  <c r="F213" i="3"/>
  <c r="C213" i="3"/>
  <c r="AC211" i="3"/>
  <c r="AD211" i="3" s="1"/>
  <c r="AA211" i="3"/>
  <c r="W211" i="3"/>
  <c r="X211" i="3" s="1"/>
  <c r="U211" i="3"/>
  <c r="R211" i="3"/>
  <c r="N211" i="3"/>
  <c r="O211" i="3" s="1"/>
  <c r="L211" i="3"/>
  <c r="I211" i="3"/>
  <c r="H211" i="3"/>
  <c r="F211" i="3"/>
  <c r="C211" i="3"/>
  <c r="Z209" i="3"/>
  <c r="AA209" i="3" s="1"/>
  <c r="X209" i="3"/>
  <c r="W209" i="3"/>
  <c r="U209" i="3"/>
  <c r="T209" i="3"/>
  <c r="Q209" i="3"/>
  <c r="R209" i="3" s="1"/>
  <c r="K209" i="3"/>
  <c r="L209" i="3" s="1"/>
  <c r="F209" i="3"/>
  <c r="E209" i="3"/>
  <c r="B209" i="3"/>
  <c r="AD208" i="3"/>
  <c r="AC208" i="3"/>
  <c r="AA208" i="3"/>
  <c r="W208" i="3"/>
  <c r="X208" i="3" s="1"/>
  <c r="U208" i="3"/>
  <c r="R208" i="3"/>
  <c r="N208" i="3"/>
  <c r="O208" i="3" s="1"/>
  <c r="L208" i="3"/>
  <c r="I208" i="3"/>
  <c r="H208" i="3"/>
  <c r="F208" i="3"/>
  <c r="C208" i="3"/>
  <c r="AC207" i="3"/>
  <c r="AD207" i="3" s="1"/>
  <c r="AA207" i="3"/>
  <c r="W207" i="3"/>
  <c r="X207" i="3" s="1"/>
  <c r="U207" i="3"/>
  <c r="R207" i="3"/>
  <c r="O207" i="3"/>
  <c r="N207" i="3"/>
  <c r="L207" i="3"/>
  <c r="I207" i="3"/>
  <c r="H207" i="3"/>
  <c r="F207" i="3"/>
  <c r="C207" i="3"/>
  <c r="AC206" i="3"/>
  <c r="AD206" i="3" s="1"/>
  <c r="AA206" i="3"/>
  <c r="W206" i="3"/>
  <c r="X206" i="3" s="1"/>
  <c r="U206" i="3"/>
  <c r="R206" i="3"/>
  <c r="N206" i="3"/>
  <c r="O206" i="3" s="1"/>
  <c r="L206" i="3"/>
  <c r="I206" i="3"/>
  <c r="H206" i="3"/>
  <c r="F206" i="3"/>
  <c r="C206" i="3"/>
  <c r="AD205" i="3"/>
  <c r="AC205" i="3"/>
  <c r="AA205" i="3"/>
  <c r="X205" i="3"/>
  <c r="W205" i="3"/>
  <c r="U205" i="3"/>
  <c r="R205" i="3"/>
  <c r="N205" i="3"/>
  <c r="O205" i="3" s="1"/>
  <c r="L205" i="3"/>
  <c r="I205" i="3"/>
  <c r="H205" i="3"/>
  <c r="F205" i="3"/>
  <c r="C205" i="3"/>
  <c r="AC204" i="3"/>
  <c r="AD204" i="3" s="1"/>
  <c r="AA204" i="3"/>
  <c r="W204" i="3"/>
  <c r="X204" i="3" s="1"/>
  <c r="U204" i="3"/>
  <c r="R204" i="3"/>
  <c r="O204" i="3"/>
  <c r="N204" i="3"/>
  <c r="L204" i="3"/>
  <c r="I204" i="3"/>
  <c r="H204" i="3"/>
  <c r="F204" i="3"/>
  <c r="C204" i="3"/>
  <c r="AD203" i="3"/>
  <c r="AC203" i="3"/>
  <c r="AA203" i="3"/>
  <c r="W203" i="3"/>
  <c r="X203" i="3" s="1"/>
  <c r="U203" i="3"/>
  <c r="R203" i="3"/>
  <c r="O203" i="3"/>
  <c r="N203" i="3"/>
  <c r="L203" i="3"/>
  <c r="H203" i="3"/>
  <c r="I203" i="3" s="1"/>
  <c r="F203" i="3"/>
  <c r="C203" i="3"/>
  <c r="AD202" i="3"/>
  <c r="AC202" i="3"/>
  <c r="AA202" i="3"/>
  <c r="X202" i="3"/>
  <c r="W202" i="3"/>
  <c r="U202" i="3"/>
  <c r="R202" i="3"/>
  <c r="N202" i="3"/>
  <c r="O202" i="3" s="1"/>
  <c r="L202" i="3"/>
  <c r="H202" i="3"/>
  <c r="I202" i="3" s="1"/>
  <c r="F202" i="3"/>
  <c r="C202" i="3"/>
  <c r="AD201" i="3"/>
  <c r="AC201" i="3"/>
  <c r="AA201" i="3"/>
  <c r="X201" i="3"/>
  <c r="W201" i="3"/>
  <c r="U201" i="3"/>
  <c r="R201" i="3"/>
  <c r="N201" i="3"/>
  <c r="O201" i="3" s="1"/>
  <c r="L201" i="3"/>
  <c r="H201" i="3"/>
  <c r="I201" i="3" s="1"/>
  <c r="F201" i="3"/>
  <c r="C201" i="3"/>
  <c r="Z197" i="3"/>
  <c r="AA197" i="3" s="1"/>
  <c r="W197" i="3"/>
  <c r="X197" i="3" s="1"/>
  <c r="U197" i="3"/>
  <c r="T197" i="3"/>
  <c r="Q197" i="3"/>
  <c r="R197" i="3" s="1"/>
  <c r="L197" i="3"/>
  <c r="K197" i="3"/>
  <c r="F197" i="3"/>
  <c r="E197" i="3"/>
  <c r="B197" i="3"/>
  <c r="AA196" i="3"/>
  <c r="Z196" i="3"/>
  <c r="T196" i="3"/>
  <c r="U196" i="3" s="1"/>
  <c r="R196" i="3"/>
  <c r="Q196" i="3"/>
  <c r="K196" i="3"/>
  <c r="L196" i="3" s="1"/>
  <c r="E196" i="3"/>
  <c r="H196" i="3" s="1"/>
  <c r="I196" i="3" s="1"/>
  <c r="C196" i="3"/>
  <c r="B196" i="3"/>
  <c r="N196" i="3" s="1"/>
  <c r="O196" i="3" s="1"/>
  <c r="AD195" i="3"/>
  <c r="AC195" i="3"/>
  <c r="AA195" i="3"/>
  <c r="W195" i="3"/>
  <c r="X195" i="3" s="1"/>
  <c r="U195" i="3"/>
  <c r="R195" i="3"/>
  <c r="N195" i="3"/>
  <c r="O195" i="3" s="1"/>
  <c r="L195" i="3"/>
  <c r="I195" i="3"/>
  <c r="H195" i="3"/>
  <c r="F195" i="3"/>
  <c r="C195" i="3"/>
  <c r="AD194" i="3"/>
  <c r="AC194" i="3"/>
  <c r="AA194" i="3"/>
  <c r="W194" i="3"/>
  <c r="X194" i="3" s="1"/>
  <c r="U194" i="3"/>
  <c r="R194" i="3"/>
  <c r="O194" i="3"/>
  <c r="N194" i="3"/>
  <c r="L194" i="3"/>
  <c r="H194" i="3"/>
  <c r="I194" i="3" s="1"/>
  <c r="F194" i="3"/>
  <c r="C194" i="3"/>
  <c r="AC193" i="3"/>
  <c r="AD193" i="3" s="1"/>
  <c r="AA193" i="3"/>
  <c r="Z193" i="3"/>
  <c r="X193" i="3"/>
  <c r="W193" i="3"/>
  <c r="U193" i="3"/>
  <c r="T193" i="3"/>
  <c r="Q193" i="3"/>
  <c r="R193" i="3" s="1"/>
  <c r="L193" i="3"/>
  <c r="K193" i="3"/>
  <c r="I193" i="3"/>
  <c r="H193" i="3"/>
  <c r="E193" i="3"/>
  <c r="F193" i="3" s="1"/>
  <c r="C193" i="3"/>
  <c r="B193" i="3"/>
  <c r="AC192" i="3"/>
  <c r="AD192" i="3" s="1"/>
  <c r="AA192" i="3"/>
  <c r="X192" i="3"/>
  <c r="W192" i="3"/>
  <c r="U192" i="3"/>
  <c r="R192" i="3"/>
  <c r="N192" i="3"/>
  <c r="L192" i="3"/>
  <c r="I192" i="3"/>
  <c r="H192" i="3"/>
  <c r="F192" i="3"/>
  <c r="C192" i="3"/>
  <c r="AD191" i="3"/>
  <c r="AC191" i="3"/>
  <c r="AA191" i="3"/>
  <c r="W191" i="3"/>
  <c r="X191" i="3" s="1"/>
  <c r="U191" i="3"/>
  <c r="R191" i="3"/>
  <c r="N191" i="3"/>
  <c r="O191" i="3" s="1"/>
  <c r="L191" i="3"/>
  <c r="I191" i="3"/>
  <c r="H191" i="3"/>
  <c r="F191" i="3"/>
  <c r="C191" i="3"/>
  <c r="AD190" i="3"/>
  <c r="AC190" i="3"/>
  <c r="AA190" i="3"/>
  <c r="W190" i="3"/>
  <c r="X190" i="3" s="1"/>
  <c r="U190" i="3"/>
  <c r="R190" i="3"/>
  <c r="N190" i="3"/>
  <c r="O190" i="3" s="1"/>
  <c r="L190" i="3"/>
  <c r="I190" i="3"/>
  <c r="H190" i="3"/>
  <c r="F190" i="3"/>
  <c r="C190" i="3"/>
  <c r="AC189" i="3"/>
  <c r="AD189" i="3" s="1"/>
  <c r="AA189" i="3"/>
  <c r="X189" i="3"/>
  <c r="W189" i="3"/>
  <c r="U189" i="3"/>
  <c r="R189" i="3"/>
  <c r="O189" i="3"/>
  <c r="N189" i="3"/>
  <c r="L189" i="3"/>
  <c r="I189" i="3"/>
  <c r="H189" i="3"/>
  <c r="F189" i="3"/>
  <c r="C189" i="3"/>
  <c r="AC188" i="3"/>
  <c r="AD188" i="3" s="1"/>
  <c r="AA188" i="3"/>
  <c r="W188" i="3"/>
  <c r="X188" i="3" s="1"/>
  <c r="U188" i="3"/>
  <c r="R188" i="3"/>
  <c r="N188" i="3"/>
  <c r="L188" i="3"/>
  <c r="I188" i="3"/>
  <c r="H188" i="3"/>
  <c r="F188" i="3"/>
  <c r="C188" i="3"/>
  <c r="AD187" i="3"/>
  <c r="AC187" i="3"/>
  <c r="AA187" i="3"/>
  <c r="W187" i="3"/>
  <c r="X187" i="3" s="1"/>
  <c r="U187" i="3"/>
  <c r="R187" i="3"/>
  <c r="O187" i="3"/>
  <c r="N187" i="3"/>
  <c r="L187" i="3"/>
  <c r="H187" i="3"/>
  <c r="I187" i="3" s="1"/>
  <c r="F187" i="3"/>
  <c r="C187" i="3"/>
  <c r="AC186" i="3"/>
  <c r="AD186" i="3" s="1"/>
  <c r="AA186" i="3"/>
  <c r="W186" i="3"/>
  <c r="U186" i="3"/>
  <c r="R186" i="3"/>
  <c r="N186" i="3"/>
  <c r="O186" i="3" s="1"/>
  <c r="L186" i="3"/>
  <c r="I186" i="3"/>
  <c r="H186" i="3"/>
  <c r="F186" i="3"/>
  <c r="C186" i="3"/>
  <c r="AC184" i="3"/>
  <c r="AD184" i="3" s="1"/>
  <c r="AA184" i="3"/>
  <c r="W184" i="3"/>
  <c r="X184" i="3" s="1"/>
  <c r="U184" i="3"/>
  <c r="R184" i="3"/>
  <c r="N184" i="3"/>
  <c r="O184" i="3" s="1"/>
  <c r="L184" i="3"/>
  <c r="I184" i="3"/>
  <c r="H184" i="3"/>
  <c r="F184" i="3"/>
  <c r="C184" i="3"/>
  <c r="AC183" i="3"/>
  <c r="AD183" i="3" s="1"/>
  <c r="AA183" i="3"/>
  <c r="X183" i="3"/>
  <c r="W183" i="3"/>
  <c r="U183" i="3"/>
  <c r="R183" i="3"/>
  <c r="N183" i="3"/>
  <c r="L183" i="3"/>
  <c r="H183" i="3"/>
  <c r="I183" i="3" s="1"/>
  <c r="F183" i="3"/>
  <c r="C183" i="3"/>
  <c r="Z182" i="3"/>
  <c r="AA182" i="3" s="1"/>
  <c r="T182" i="3"/>
  <c r="W182" i="3" s="1"/>
  <c r="X182" i="3" s="1"/>
  <c r="R182" i="3"/>
  <c r="Q182" i="3"/>
  <c r="K182" i="3"/>
  <c r="L182" i="3" s="1"/>
  <c r="F182" i="3"/>
  <c r="E182" i="3"/>
  <c r="B182" i="3"/>
  <c r="H182" i="3" s="1"/>
  <c r="I182" i="3" s="1"/>
  <c r="AC181" i="3"/>
  <c r="AD181" i="3" s="1"/>
  <c r="AA181" i="3"/>
  <c r="X181" i="3"/>
  <c r="W181" i="3"/>
  <c r="U181" i="3"/>
  <c r="R181" i="3"/>
  <c r="O181" i="3"/>
  <c r="N181" i="3"/>
  <c r="L181" i="3"/>
  <c r="H181" i="3"/>
  <c r="I181" i="3" s="1"/>
  <c r="F181" i="3"/>
  <c r="C181" i="3"/>
  <c r="AD180" i="3"/>
  <c r="AC180" i="3"/>
  <c r="AA180" i="3"/>
  <c r="W180" i="3"/>
  <c r="X180" i="3" s="1"/>
  <c r="U180" i="3"/>
  <c r="R180" i="3"/>
  <c r="N180" i="3"/>
  <c r="L180" i="3"/>
  <c r="I180" i="3"/>
  <c r="H180" i="3"/>
  <c r="F180" i="3"/>
  <c r="C180" i="3"/>
  <c r="AD179" i="3"/>
  <c r="AC179" i="3"/>
  <c r="AA179" i="3"/>
  <c r="W179" i="3"/>
  <c r="X179" i="3" s="1"/>
  <c r="U179" i="3"/>
  <c r="R179" i="3"/>
  <c r="N179" i="3"/>
  <c r="O179" i="3" s="1"/>
  <c r="L179" i="3"/>
  <c r="H179" i="3"/>
  <c r="I179" i="3" s="1"/>
  <c r="F179" i="3"/>
  <c r="C179" i="3"/>
  <c r="AC178" i="3"/>
  <c r="AD178" i="3" s="1"/>
  <c r="AA178" i="3"/>
  <c r="W178" i="3"/>
  <c r="X178" i="3" s="1"/>
  <c r="U178" i="3"/>
  <c r="R178" i="3"/>
  <c r="O178" i="3"/>
  <c r="N178" i="3"/>
  <c r="L178" i="3"/>
  <c r="I178" i="3"/>
  <c r="H178" i="3"/>
  <c r="F178" i="3"/>
  <c r="C178" i="3"/>
  <c r="AC177" i="3"/>
  <c r="AD177" i="3" s="1"/>
  <c r="AA177" i="3"/>
  <c r="W177" i="3"/>
  <c r="X177" i="3" s="1"/>
  <c r="U177" i="3"/>
  <c r="R177" i="3"/>
  <c r="N177" i="3"/>
  <c r="O177" i="3" s="1"/>
  <c r="L177" i="3"/>
  <c r="H177" i="3"/>
  <c r="I177" i="3" s="1"/>
  <c r="F177" i="3"/>
  <c r="C177" i="3"/>
  <c r="AD175" i="3"/>
  <c r="AC175" i="3"/>
  <c r="AA175" i="3"/>
  <c r="X175" i="3"/>
  <c r="W175" i="3"/>
  <c r="U175" i="3"/>
  <c r="R175" i="3"/>
  <c r="N175" i="3"/>
  <c r="O175" i="3" s="1"/>
  <c r="L175" i="3"/>
  <c r="H175" i="3"/>
  <c r="I175" i="3" s="1"/>
  <c r="F175" i="3"/>
  <c r="C175" i="3"/>
  <c r="Z172" i="3"/>
  <c r="Z198" i="3" s="1"/>
  <c r="K172" i="3"/>
  <c r="L172" i="3" s="1"/>
  <c r="AC171" i="3"/>
  <c r="AD171" i="3" s="1"/>
  <c r="AA171" i="3"/>
  <c r="Z171" i="3"/>
  <c r="U171" i="3"/>
  <c r="T171" i="3"/>
  <c r="Q171" i="3"/>
  <c r="N171" i="3"/>
  <c r="O171" i="3" s="1"/>
  <c r="L171" i="3"/>
  <c r="K171" i="3"/>
  <c r="E171" i="3"/>
  <c r="F171" i="3" s="1"/>
  <c r="B171" i="3"/>
  <c r="Z170" i="3"/>
  <c r="AA170" i="3" s="1"/>
  <c r="T170" i="3"/>
  <c r="W170" i="3" s="1"/>
  <c r="X170" i="3" s="1"/>
  <c r="R170" i="3"/>
  <c r="Q170" i="3"/>
  <c r="K170" i="3"/>
  <c r="L170" i="3" s="1"/>
  <c r="F170" i="3"/>
  <c r="E170" i="3"/>
  <c r="B170" i="3"/>
  <c r="H170" i="3" s="1"/>
  <c r="I170" i="3" s="1"/>
  <c r="AC169" i="3"/>
  <c r="AD169" i="3" s="1"/>
  <c r="AA169" i="3"/>
  <c r="X169" i="3"/>
  <c r="W169" i="3"/>
  <c r="U169" i="3"/>
  <c r="R169" i="3"/>
  <c r="O169" i="3"/>
  <c r="N169" i="3"/>
  <c r="L169" i="3"/>
  <c r="H169" i="3"/>
  <c r="I169" i="3" s="1"/>
  <c r="F169" i="3"/>
  <c r="C169" i="3"/>
  <c r="AD168" i="3"/>
  <c r="AC168" i="3"/>
  <c r="AA168" i="3"/>
  <c r="W168" i="3"/>
  <c r="X168" i="3" s="1"/>
  <c r="U168" i="3"/>
  <c r="R168" i="3"/>
  <c r="N168" i="3"/>
  <c r="L168" i="3"/>
  <c r="I168" i="3"/>
  <c r="H168" i="3"/>
  <c r="F168" i="3"/>
  <c r="C168" i="3"/>
  <c r="AD167" i="3"/>
  <c r="AC167" i="3"/>
  <c r="AA167" i="3"/>
  <c r="W167" i="3"/>
  <c r="X167" i="3" s="1"/>
  <c r="U167" i="3"/>
  <c r="R167" i="3"/>
  <c r="N167" i="3"/>
  <c r="O167" i="3" s="1"/>
  <c r="L167" i="3"/>
  <c r="H167" i="3"/>
  <c r="I167" i="3" s="1"/>
  <c r="F167" i="3"/>
  <c r="C167" i="3"/>
  <c r="AC166" i="3"/>
  <c r="AD166" i="3" s="1"/>
  <c r="AA166" i="3"/>
  <c r="Z166" i="3"/>
  <c r="U166" i="3"/>
  <c r="T166" i="3"/>
  <c r="Q166" i="3"/>
  <c r="R166" i="3" s="1"/>
  <c r="K166" i="3"/>
  <c r="L166" i="3" s="1"/>
  <c r="I166" i="3"/>
  <c r="H166" i="3"/>
  <c r="E166" i="3"/>
  <c r="F166" i="3" s="1"/>
  <c r="C166" i="3"/>
  <c r="B166" i="3"/>
  <c r="AD165" i="3"/>
  <c r="AC165" i="3"/>
  <c r="AA165" i="3"/>
  <c r="X165" i="3"/>
  <c r="W165" i="3"/>
  <c r="U165" i="3"/>
  <c r="R165" i="3"/>
  <c r="N165" i="3"/>
  <c r="O165" i="3" s="1"/>
  <c r="L165" i="3"/>
  <c r="H165" i="3"/>
  <c r="I165" i="3" s="1"/>
  <c r="F165" i="3"/>
  <c r="C165" i="3"/>
  <c r="AD164" i="3"/>
  <c r="AC164" i="3"/>
  <c r="AA164" i="3"/>
  <c r="X164" i="3"/>
  <c r="W164" i="3"/>
  <c r="U164" i="3"/>
  <c r="R164" i="3"/>
  <c r="N164" i="3"/>
  <c r="L164" i="3"/>
  <c r="I164" i="3"/>
  <c r="H164" i="3"/>
  <c r="F164" i="3"/>
  <c r="C164" i="3"/>
  <c r="AD163" i="3"/>
  <c r="AC163" i="3"/>
  <c r="AA163" i="3"/>
  <c r="W163" i="3"/>
  <c r="X163" i="3" s="1"/>
  <c r="U163" i="3"/>
  <c r="R163" i="3"/>
  <c r="O163" i="3"/>
  <c r="N163" i="3"/>
  <c r="L163" i="3"/>
  <c r="I163" i="3"/>
  <c r="H163" i="3"/>
  <c r="F163" i="3"/>
  <c r="C163" i="3"/>
  <c r="AC162" i="3"/>
  <c r="AD162" i="3" s="1"/>
  <c r="AA162" i="3"/>
  <c r="X162" i="3"/>
  <c r="W162" i="3"/>
  <c r="U162" i="3"/>
  <c r="R162" i="3"/>
  <c r="O162" i="3"/>
  <c r="N162" i="3"/>
  <c r="L162" i="3"/>
  <c r="H162" i="3"/>
  <c r="I162" i="3" s="1"/>
  <c r="F162" i="3"/>
  <c r="C162" i="3"/>
  <c r="AC161" i="3"/>
  <c r="AD161" i="3" s="1"/>
  <c r="AA161" i="3"/>
  <c r="X161" i="3"/>
  <c r="W161" i="3"/>
  <c r="U161" i="3"/>
  <c r="R161" i="3"/>
  <c r="N161" i="3"/>
  <c r="L161" i="3"/>
  <c r="I161" i="3"/>
  <c r="H161" i="3"/>
  <c r="F161" i="3"/>
  <c r="C161" i="3"/>
  <c r="AD160" i="3"/>
  <c r="AC160" i="3"/>
  <c r="AA160" i="3"/>
  <c r="W160" i="3"/>
  <c r="X160" i="3" s="1"/>
  <c r="U160" i="3"/>
  <c r="R160" i="3"/>
  <c r="N160" i="3"/>
  <c r="O160" i="3" s="1"/>
  <c r="L160" i="3"/>
  <c r="H160" i="3"/>
  <c r="I160" i="3" s="1"/>
  <c r="F160" i="3"/>
  <c r="C160" i="3"/>
  <c r="AC158" i="3"/>
  <c r="AD158" i="3" s="1"/>
  <c r="AA158" i="3"/>
  <c r="Z158" i="3"/>
  <c r="W158" i="3"/>
  <c r="X158" i="3" s="1"/>
  <c r="T158" i="3"/>
  <c r="U158" i="3" s="1"/>
  <c r="R158" i="3"/>
  <c r="Q158" i="3"/>
  <c r="O158" i="3"/>
  <c r="K158" i="3"/>
  <c r="L158" i="3" s="1"/>
  <c r="I158" i="3"/>
  <c r="H158" i="3"/>
  <c r="E158" i="3"/>
  <c r="F158" i="3" s="1"/>
  <c r="C158" i="3"/>
  <c r="B158" i="3"/>
  <c r="N158" i="3" s="1"/>
  <c r="AC157" i="3"/>
  <c r="AD157" i="3" s="1"/>
  <c r="AA157" i="3"/>
  <c r="X157" i="3"/>
  <c r="W157" i="3"/>
  <c r="U157" i="3"/>
  <c r="R157" i="3"/>
  <c r="N157" i="3"/>
  <c r="O157" i="3" s="1"/>
  <c r="L157" i="3"/>
  <c r="H157" i="3"/>
  <c r="I157" i="3" s="1"/>
  <c r="F157" i="3"/>
  <c r="C157" i="3"/>
  <c r="AD156" i="3"/>
  <c r="AC156" i="3"/>
  <c r="AA156" i="3"/>
  <c r="W156" i="3"/>
  <c r="X156" i="3" s="1"/>
  <c r="U156" i="3"/>
  <c r="R156" i="3"/>
  <c r="N156" i="3"/>
  <c r="O156" i="3" s="1"/>
  <c r="L156" i="3"/>
  <c r="I156" i="3"/>
  <c r="H156" i="3"/>
  <c r="F156" i="3"/>
  <c r="C156" i="3"/>
  <c r="AD155" i="3"/>
  <c r="AC155" i="3"/>
  <c r="AA155" i="3"/>
  <c r="W155" i="3"/>
  <c r="X155" i="3" s="1"/>
  <c r="U155" i="3"/>
  <c r="R155" i="3"/>
  <c r="N155" i="3"/>
  <c r="O155" i="3" s="1"/>
  <c r="L155" i="3"/>
  <c r="I155" i="3"/>
  <c r="H155" i="3"/>
  <c r="F155" i="3"/>
  <c r="C155" i="3"/>
  <c r="AC154" i="3"/>
  <c r="AD154" i="3" s="1"/>
  <c r="AA154" i="3"/>
  <c r="X154" i="3"/>
  <c r="W154" i="3"/>
  <c r="U154" i="3"/>
  <c r="R154" i="3"/>
  <c r="O154" i="3"/>
  <c r="N154" i="3"/>
  <c r="L154" i="3"/>
  <c r="H154" i="3"/>
  <c r="I154" i="3" s="1"/>
  <c r="F154" i="3"/>
  <c r="C154" i="3"/>
  <c r="AC153" i="3"/>
  <c r="AD153" i="3" s="1"/>
  <c r="AA153" i="3"/>
  <c r="W153" i="3"/>
  <c r="U153" i="3"/>
  <c r="R153" i="3"/>
  <c r="N153" i="3"/>
  <c r="O153" i="3" s="1"/>
  <c r="L153" i="3"/>
  <c r="I153" i="3"/>
  <c r="H153" i="3"/>
  <c r="F153" i="3"/>
  <c r="C153" i="3"/>
  <c r="AD151" i="3"/>
  <c r="AC151" i="3"/>
  <c r="AA151" i="3"/>
  <c r="X151" i="3"/>
  <c r="W151" i="3"/>
  <c r="U151" i="3"/>
  <c r="R151" i="3"/>
  <c r="N151" i="3"/>
  <c r="O151" i="3" s="1"/>
  <c r="L151" i="3"/>
  <c r="H151" i="3"/>
  <c r="I151" i="3" s="1"/>
  <c r="F151" i="3"/>
  <c r="C151" i="3"/>
  <c r="AA149" i="3"/>
  <c r="Z149" i="3"/>
  <c r="U149" i="3"/>
  <c r="T149" i="3"/>
  <c r="Q149" i="3"/>
  <c r="AC149" i="3" s="1"/>
  <c r="AD149" i="3" s="1"/>
  <c r="K149" i="3"/>
  <c r="L149" i="3" s="1"/>
  <c r="I149" i="3"/>
  <c r="H149" i="3"/>
  <c r="E149" i="3"/>
  <c r="F149" i="3" s="1"/>
  <c r="C149" i="3"/>
  <c r="B149" i="3"/>
  <c r="N149" i="3" s="1"/>
  <c r="O149" i="3" s="1"/>
  <c r="Z148" i="3"/>
  <c r="AA148" i="3" s="1"/>
  <c r="U148" i="3"/>
  <c r="T148" i="3"/>
  <c r="Q148" i="3"/>
  <c r="K148" i="3"/>
  <c r="L148" i="3" s="1"/>
  <c r="E148" i="3"/>
  <c r="F148" i="3" s="1"/>
  <c r="B148" i="3"/>
  <c r="AD147" i="3"/>
  <c r="AC147" i="3"/>
  <c r="AA147" i="3"/>
  <c r="W147" i="3"/>
  <c r="X147" i="3" s="1"/>
  <c r="U147" i="3"/>
  <c r="R147" i="3"/>
  <c r="N147" i="3"/>
  <c r="O147" i="3" s="1"/>
  <c r="L147" i="3"/>
  <c r="I147" i="3"/>
  <c r="H147" i="3"/>
  <c r="F147" i="3"/>
  <c r="C147" i="3"/>
  <c r="AD146" i="3"/>
  <c r="AC146" i="3"/>
  <c r="AA146" i="3"/>
  <c r="X146" i="3"/>
  <c r="W146" i="3"/>
  <c r="U146" i="3"/>
  <c r="R146" i="3"/>
  <c r="N146" i="3"/>
  <c r="O146" i="3" s="1"/>
  <c r="L146" i="3"/>
  <c r="H146" i="3"/>
  <c r="I146" i="3" s="1"/>
  <c r="F146" i="3"/>
  <c r="C146" i="3"/>
  <c r="AD145" i="3"/>
  <c r="AC145" i="3"/>
  <c r="AA145" i="3"/>
  <c r="W145" i="3"/>
  <c r="X145" i="3" s="1"/>
  <c r="U145" i="3"/>
  <c r="R145" i="3"/>
  <c r="N145" i="3"/>
  <c r="L145" i="3"/>
  <c r="H145" i="3"/>
  <c r="I145" i="3" s="1"/>
  <c r="F145" i="3"/>
  <c r="C145" i="3"/>
  <c r="AD144" i="3"/>
  <c r="AC144" i="3"/>
  <c r="AA144" i="3"/>
  <c r="X144" i="3"/>
  <c r="W144" i="3"/>
  <c r="U144" i="3"/>
  <c r="R144" i="3"/>
  <c r="O144" i="3"/>
  <c r="N144" i="3"/>
  <c r="L144" i="3"/>
  <c r="H144" i="3"/>
  <c r="I144" i="3" s="1"/>
  <c r="F144" i="3"/>
  <c r="C144" i="3"/>
  <c r="AD143" i="3"/>
  <c r="AC143" i="3"/>
  <c r="AA143" i="3"/>
  <c r="W143" i="3"/>
  <c r="U143" i="3"/>
  <c r="R143" i="3"/>
  <c r="O143" i="3"/>
  <c r="N143" i="3"/>
  <c r="L143" i="3"/>
  <c r="I143" i="3"/>
  <c r="H143" i="3"/>
  <c r="F143" i="3"/>
  <c r="C143" i="3"/>
  <c r="Z141" i="3"/>
  <c r="AC141" i="3" s="1"/>
  <c r="AD141" i="3" s="1"/>
  <c r="U141" i="3"/>
  <c r="T141" i="3"/>
  <c r="Q141" i="3"/>
  <c r="N141" i="3"/>
  <c r="O141" i="3" s="1"/>
  <c r="L141" i="3"/>
  <c r="K141" i="3"/>
  <c r="E141" i="3"/>
  <c r="F141" i="3" s="1"/>
  <c r="C141" i="3"/>
  <c r="B141" i="3"/>
  <c r="AD140" i="3"/>
  <c r="AC140" i="3"/>
  <c r="AA140" i="3"/>
  <c r="W140" i="3"/>
  <c r="X140" i="3" s="1"/>
  <c r="U140" i="3"/>
  <c r="R140" i="3"/>
  <c r="O140" i="3"/>
  <c r="N140" i="3"/>
  <c r="L140" i="3"/>
  <c r="I140" i="3"/>
  <c r="H140" i="3"/>
  <c r="F140" i="3"/>
  <c r="C140" i="3"/>
  <c r="AC139" i="3"/>
  <c r="AD139" i="3" s="1"/>
  <c r="AA139" i="3"/>
  <c r="W139" i="3"/>
  <c r="X139" i="3" s="1"/>
  <c r="U139" i="3"/>
  <c r="R139" i="3"/>
  <c r="N139" i="3"/>
  <c r="O139" i="3" s="1"/>
  <c r="L139" i="3"/>
  <c r="I139" i="3"/>
  <c r="H139" i="3"/>
  <c r="F139" i="3"/>
  <c r="C139" i="3"/>
  <c r="AC138" i="3"/>
  <c r="AD138" i="3" s="1"/>
  <c r="AA138" i="3"/>
  <c r="X138" i="3"/>
  <c r="W138" i="3"/>
  <c r="U138" i="3"/>
  <c r="R138" i="3"/>
  <c r="N138" i="3"/>
  <c r="L138" i="3"/>
  <c r="H138" i="3"/>
  <c r="I138" i="3" s="1"/>
  <c r="F138" i="3"/>
  <c r="C138" i="3"/>
  <c r="AD137" i="3"/>
  <c r="AC137" i="3"/>
  <c r="AA137" i="3"/>
  <c r="W137" i="3"/>
  <c r="X137" i="3" s="1"/>
  <c r="U137" i="3"/>
  <c r="R137" i="3"/>
  <c r="N137" i="3"/>
  <c r="O137" i="3" s="1"/>
  <c r="L137" i="3"/>
  <c r="I137" i="3"/>
  <c r="H137" i="3"/>
  <c r="F137" i="3"/>
  <c r="C137" i="3"/>
  <c r="AD136" i="3"/>
  <c r="AC136" i="3"/>
  <c r="AA136" i="3"/>
  <c r="X136" i="3"/>
  <c r="W136" i="3"/>
  <c r="U136" i="3"/>
  <c r="R136" i="3"/>
  <c r="O136" i="3"/>
  <c r="N136" i="3"/>
  <c r="L136" i="3"/>
  <c r="H136" i="3"/>
  <c r="I136" i="3" s="1"/>
  <c r="F136" i="3"/>
  <c r="C136" i="3"/>
  <c r="AC135" i="3"/>
  <c r="AD135" i="3" s="1"/>
  <c r="AA135" i="3"/>
  <c r="W135" i="3"/>
  <c r="X135" i="3" s="1"/>
  <c r="U135" i="3"/>
  <c r="R135" i="3"/>
  <c r="O135" i="3"/>
  <c r="N135" i="3"/>
  <c r="L135" i="3"/>
  <c r="I135" i="3"/>
  <c r="H135" i="3"/>
  <c r="F135" i="3"/>
  <c r="C135" i="3"/>
  <c r="AC134" i="3"/>
  <c r="AD134" i="3" s="1"/>
  <c r="AA134" i="3"/>
  <c r="W134" i="3"/>
  <c r="U134" i="3"/>
  <c r="R134" i="3"/>
  <c r="N134" i="3"/>
  <c r="O134" i="3" s="1"/>
  <c r="L134" i="3"/>
  <c r="H134" i="3"/>
  <c r="I134" i="3" s="1"/>
  <c r="F134" i="3"/>
  <c r="C134" i="3"/>
  <c r="AC133" i="3"/>
  <c r="AD133" i="3" s="1"/>
  <c r="AA133" i="3"/>
  <c r="X133" i="3"/>
  <c r="W133" i="3"/>
  <c r="U133" i="3"/>
  <c r="R133" i="3"/>
  <c r="N133" i="3"/>
  <c r="L133" i="3"/>
  <c r="I133" i="3"/>
  <c r="H133" i="3"/>
  <c r="F133" i="3"/>
  <c r="C133" i="3"/>
  <c r="AD132" i="3"/>
  <c r="AC132" i="3"/>
  <c r="AA132" i="3"/>
  <c r="W132" i="3"/>
  <c r="X132" i="3" s="1"/>
  <c r="U132" i="3"/>
  <c r="R132" i="3"/>
  <c r="N132" i="3"/>
  <c r="O132" i="3" s="1"/>
  <c r="L132" i="3"/>
  <c r="I132" i="3"/>
  <c r="H132" i="3"/>
  <c r="F132" i="3"/>
  <c r="C132" i="3"/>
  <c r="AD131" i="3"/>
  <c r="AC131" i="3"/>
  <c r="AA131" i="3"/>
  <c r="W131" i="3"/>
  <c r="X131" i="3" s="1"/>
  <c r="U131" i="3"/>
  <c r="R131" i="3"/>
  <c r="N131" i="3"/>
  <c r="O131" i="3" s="1"/>
  <c r="L131" i="3"/>
  <c r="I131" i="3"/>
  <c r="H131" i="3"/>
  <c r="F131" i="3"/>
  <c r="C131" i="3"/>
  <c r="AC130" i="3"/>
  <c r="AD130" i="3" s="1"/>
  <c r="AA130" i="3"/>
  <c r="X130" i="3"/>
  <c r="W130" i="3"/>
  <c r="U130" i="3"/>
  <c r="R130" i="3"/>
  <c r="O130" i="3"/>
  <c r="N130" i="3"/>
  <c r="L130" i="3"/>
  <c r="I130" i="3"/>
  <c r="H130" i="3"/>
  <c r="F130" i="3"/>
  <c r="C130" i="3"/>
  <c r="AC129" i="3"/>
  <c r="AD129" i="3" s="1"/>
  <c r="AA129" i="3"/>
  <c r="W129" i="3"/>
  <c r="X129" i="3" s="1"/>
  <c r="U129" i="3"/>
  <c r="R129" i="3"/>
  <c r="N129" i="3"/>
  <c r="L129" i="3"/>
  <c r="I129" i="3"/>
  <c r="H129" i="3"/>
  <c r="F129" i="3"/>
  <c r="C129" i="3"/>
  <c r="AD127" i="3"/>
  <c r="AC127" i="3"/>
  <c r="AA127" i="3"/>
  <c r="X127" i="3"/>
  <c r="W127" i="3"/>
  <c r="U127" i="3"/>
  <c r="R127" i="3"/>
  <c r="O127" i="3"/>
  <c r="N127" i="3"/>
  <c r="L127" i="3"/>
  <c r="H127" i="3"/>
  <c r="I127" i="3" s="1"/>
  <c r="F127" i="3"/>
  <c r="C127" i="3"/>
  <c r="AC124" i="3"/>
  <c r="AD124" i="3" s="1"/>
  <c r="AA124" i="3"/>
  <c r="Z124" i="3"/>
  <c r="T124" i="3"/>
  <c r="R124" i="3"/>
  <c r="Q124" i="3"/>
  <c r="O124" i="3"/>
  <c r="K124" i="3"/>
  <c r="L124" i="3" s="1"/>
  <c r="E124" i="3"/>
  <c r="C124" i="3"/>
  <c r="B124" i="3"/>
  <c r="N124" i="3" s="1"/>
  <c r="AC123" i="3"/>
  <c r="AD123" i="3" s="1"/>
  <c r="AA123" i="3"/>
  <c r="W123" i="3"/>
  <c r="X123" i="3" s="1"/>
  <c r="U123" i="3"/>
  <c r="R123" i="3"/>
  <c r="N123" i="3"/>
  <c r="O123" i="3" s="1"/>
  <c r="L123" i="3"/>
  <c r="H123" i="3"/>
  <c r="I123" i="3" s="1"/>
  <c r="F123" i="3"/>
  <c r="C123" i="3"/>
  <c r="Z122" i="3"/>
  <c r="AA122" i="3" s="1"/>
  <c r="U122" i="3"/>
  <c r="T122" i="3"/>
  <c r="W122" i="3" s="1"/>
  <c r="R122" i="3"/>
  <c r="Q122" i="3"/>
  <c r="N122" i="3"/>
  <c r="O122" i="3" s="1"/>
  <c r="K122" i="3"/>
  <c r="L122" i="3" s="1"/>
  <c r="H122" i="3"/>
  <c r="I122" i="3" s="1"/>
  <c r="E122" i="3"/>
  <c r="F122" i="3" s="1"/>
  <c r="C122" i="3"/>
  <c r="B122" i="3"/>
  <c r="AC121" i="3"/>
  <c r="AD121" i="3" s="1"/>
  <c r="AA121" i="3"/>
  <c r="X121" i="3"/>
  <c r="W121" i="3"/>
  <c r="U121" i="3"/>
  <c r="R121" i="3"/>
  <c r="O121" i="3"/>
  <c r="N121" i="3"/>
  <c r="L121" i="3"/>
  <c r="H121" i="3"/>
  <c r="I121" i="3" s="1"/>
  <c r="F121" i="3"/>
  <c r="C121" i="3"/>
  <c r="AC120" i="3"/>
  <c r="AD120" i="3" s="1"/>
  <c r="AA120" i="3"/>
  <c r="W120" i="3"/>
  <c r="X120" i="3" s="1"/>
  <c r="U120" i="3"/>
  <c r="R120" i="3"/>
  <c r="O120" i="3"/>
  <c r="N120" i="3"/>
  <c r="L120" i="3"/>
  <c r="H120" i="3"/>
  <c r="I120" i="3" s="1"/>
  <c r="F120" i="3"/>
  <c r="C120" i="3"/>
  <c r="AC119" i="3"/>
  <c r="AD119" i="3" s="1"/>
  <c r="AA119" i="3"/>
  <c r="W119" i="3"/>
  <c r="U119" i="3"/>
  <c r="R119" i="3"/>
  <c r="O119" i="3"/>
  <c r="N119" i="3"/>
  <c r="L119" i="3"/>
  <c r="I119" i="3"/>
  <c r="H119" i="3"/>
  <c r="F119" i="3"/>
  <c r="C119" i="3"/>
  <c r="Z118" i="3"/>
  <c r="X118" i="3"/>
  <c r="T118" i="3"/>
  <c r="U118" i="3" s="1"/>
  <c r="R118" i="3"/>
  <c r="Q118" i="3"/>
  <c r="W118" i="3" s="1"/>
  <c r="K118" i="3"/>
  <c r="L118" i="3" s="1"/>
  <c r="E118" i="3"/>
  <c r="F118" i="3" s="1"/>
  <c r="C118" i="3"/>
  <c r="B118" i="3"/>
  <c r="H118" i="3" s="1"/>
  <c r="I118" i="3" s="1"/>
  <c r="AD117" i="3"/>
  <c r="AC117" i="3"/>
  <c r="AA117" i="3"/>
  <c r="W117" i="3"/>
  <c r="X117" i="3" s="1"/>
  <c r="U117" i="3"/>
  <c r="R117" i="3"/>
  <c r="O117" i="3"/>
  <c r="N117" i="3"/>
  <c r="L117" i="3"/>
  <c r="H117" i="3"/>
  <c r="I117" i="3" s="1"/>
  <c r="F117" i="3"/>
  <c r="C117" i="3"/>
  <c r="AC116" i="3"/>
  <c r="AD116" i="3" s="1"/>
  <c r="AA116" i="3"/>
  <c r="X116" i="3"/>
  <c r="W116" i="3"/>
  <c r="U116" i="3"/>
  <c r="R116" i="3"/>
  <c r="O116" i="3"/>
  <c r="N116" i="3"/>
  <c r="L116" i="3"/>
  <c r="I116" i="3"/>
  <c r="H116" i="3"/>
  <c r="F116" i="3"/>
  <c r="C116" i="3"/>
  <c r="AC115" i="3"/>
  <c r="AD115" i="3" s="1"/>
  <c r="AA115" i="3"/>
  <c r="W115" i="3"/>
  <c r="X115" i="3" s="1"/>
  <c r="U115" i="3"/>
  <c r="R115" i="3"/>
  <c r="N115" i="3"/>
  <c r="O115" i="3" s="1"/>
  <c r="L115" i="3"/>
  <c r="I115" i="3"/>
  <c r="H115" i="3"/>
  <c r="F115" i="3"/>
  <c r="C115" i="3"/>
  <c r="AC114" i="3"/>
  <c r="AD114" i="3" s="1"/>
  <c r="AA114" i="3"/>
  <c r="W114" i="3"/>
  <c r="X114" i="3" s="1"/>
  <c r="U114" i="3"/>
  <c r="R114" i="3"/>
  <c r="O114" i="3"/>
  <c r="N114" i="3"/>
  <c r="L114" i="3"/>
  <c r="I114" i="3"/>
  <c r="H114" i="3"/>
  <c r="F114" i="3"/>
  <c r="C114" i="3"/>
  <c r="AC113" i="3"/>
  <c r="AD113" i="3" s="1"/>
  <c r="AA113" i="3"/>
  <c r="W113" i="3"/>
  <c r="X113" i="3" s="1"/>
  <c r="U113" i="3"/>
  <c r="R113" i="3"/>
  <c r="N113" i="3"/>
  <c r="O113" i="3" s="1"/>
  <c r="L113" i="3"/>
  <c r="H113" i="3"/>
  <c r="I113" i="3" s="1"/>
  <c r="F113" i="3"/>
  <c r="C113" i="3"/>
  <c r="AD112" i="3"/>
  <c r="AC112" i="3"/>
  <c r="AA112" i="3"/>
  <c r="X112" i="3"/>
  <c r="W112" i="3"/>
  <c r="U112" i="3"/>
  <c r="R112" i="3"/>
  <c r="N112" i="3"/>
  <c r="O112" i="3" s="1"/>
  <c r="L112" i="3"/>
  <c r="I112" i="3"/>
  <c r="H112" i="3"/>
  <c r="F112" i="3"/>
  <c r="C112" i="3"/>
  <c r="AD111" i="3"/>
  <c r="AC111" i="3"/>
  <c r="AA111" i="3"/>
  <c r="W111" i="3"/>
  <c r="X111" i="3" s="1"/>
  <c r="U111" i="3"/>
  <c r="R111" i="3"/>
  <c r="N111" i="3"/>
  <c r="O111" i="3" s="1"/>
  <c r="L111" i="3"/>
  <c r="H111" i="3"/>
  <c r="I111" i="3" s="1"/>
  <c r="F111" i="3"/>
  <c r="C111" i="3"/>
  <c r="AC110" i="3"/>
  <c r="AD110" i="3" s="1"/>
  <c r="AA110" i="3"/>
  <c r="W110" i="3"/>
  <c r="X110" i="3" s="1"/>
  <c r="U110" i="3"/>
  <c r="R110" i="3"/>
  <c r="O110" i="3"/>
  <c r="N110" i="3"/>
  <c r="L110" i="3"/>
  <c r="H110" i="3"/>
  <c r="I110" i="3" s="1"/>
  <c r="F110" i="3"/>
  <c r="C110" i="3"/>
  <c r="AD109" i="3"/>
  <c r="AC109" i="3"/>
  <c r="AA109" i="3"/>
  <c r="W109" i="3"/>
  <c r="X109" i="3" s="1"/>
  <c r="U109" i="3"/>
  <c r="R109" i="3"/>
  <c r="O109" i="3"/>
  <c r="N109" i="3"/>
  <c r="L109" i="3"/>
  <c r="H109" i="3"/>
  <c r="I109" i="3" s="1"/>
  <c r="F109" i="3"/>
  <c r="C109" i="3"/>
  <c r="AC108" i="3"/>
  <c r="AD108" i="3" s="1"/>
  <c r="AA108" i="3"/>
  <c r="X108" i="3"/>
  <c r="W108" i="3"/>
  <c r="U108" i="3"/>
  <c r="R108" i="3"/>
  <c r="O108" i="3"/>
  <c r="N108" i="3"/>
  <c r="L108" i="3"/>
  <c r="I108" i="3"/>
  <c r="H108" i="3"/>
  <c r="F108" i="3"/>
  <c r="C108" i="3"/>
  <c r="AD107" i="3"/>
  <c r="AC107" i="3"/>
  <c r="AA107" i="3"/>
  <c r="W107" i="3"/>
  <c r="X107" i="3" s="1"/>
  <c r="U107" i="3"/>
  <c r="R107" i="3"/>
  <c r="N107" i="3"/>
  <c r="O107" i="3" s="1"/>
  <c r="L107" i="3"/>
  <c r="I107" i="3"/>
  <c r="H107" i="3"/>
  <c r="F107" i="3"/>
  <c r="C107" i="3"/>
  <c r="AC106" i="3"/>
  <c r="AD106" i="3" s="1"/>
  <c r="AA106" i="3"/>
  <c r="W106" i="3"/>
  <c r="X106" i="3" s="1"/>
  <c r="U106" i="3"/>
  <c r="R106" i="3"/>
  <c r="O106" i="3"/>
  <c r="N106" i="3"/>
  <c r="L106" i="3"/>
  <c r="I106" i="3"/>
  <c r="H106" i="3"/>
  <c r="F106" i="3"/>
  <c r="C106" i="3"/>
  <c r="AC105" i="3"/>
  <c r="AD105" i="3" s="1"/>
  <c r="AA105" i="3"/>
  <c r="W105" i="3"/>
  <c r="X105" i="3" s="1"/>
  <c r="U105" i="3"/>
  <c r="R105" i="3"/>
  <c r="O105" i="3"/>
  <c r="N105" i="3"/>
  <c r="L105" i="3"/>
  <c r="H105" i="3"/>
  <c r="I105" i="3" s="1"/>
  <c r="F105" i="3"/>
  <c r="C105" i="3"/>
  <c r="AD104" i="3"/>
  <c r="AC104" i="3"/>
  <c r="AA104" i="3"/>
  <c r="X104" i="3"/>
  <c r="W104" i="3"/>
  <c r="U104" i="3"/>
  <c r="R104" i="3"/>
  <c r="N104" i="3"/>
  <c r="O104" i="3" s="1"/>
  <c r="L104" i="3"/>
  <c r="H104" i="3"/>
  <c r="I104" i="3" s="1"/>
  <c r="F104" i="3"/>
  <c r="C104" i="3"/>
  <c r="AD103" i="3"/>
  <c r="AC103" i="3"/>
  <c r="AA103" i="3"/>
  <c r="W103" i="3"/>
  <c r="X103" i="3" s="1"/>
  <c r="U103" i="3"/>
  <c r="R103" i="3"/>
  <c r="N103" i="3"/>
  <c r="O103" i="3" s="1"/>
  <c r="L103" i="3"/>
  <c r="H103" i="3"/>
  <c r="I103" i="3" s="1"/>
  <c r="F103" i="3"/>
  <c r="C103" i="3"/>
  <c r="AC102" i="3"/>
  <c r="AD102" i="3" s="1"/>
  <c r="AA102" i="3"/>
  <c r="W102" i="3"/>
  <c r="X102" i="3" s="1"/>
  <c r="U102" i="3"/>
  <c r="R102" i="3"/>
  <c r="O102" i="3"/>
  <c r="N102" i="3"/>
  <c r="L102" i="3"/>
  <c r="H102" i="3"/>
  <c r="I102" i="3" s="1"/>
  <c r="F102" i="3"/>
  <c r="C102" i="3"/>
  <c r="AD101" i="3"/>
  <c r="AC101" i="3"/>
  <c r="AA101" i="3"/>
  <c r="W101" i="3"/>
  <c r="X101" i="3" s="1"/>
  <c r="U101" i="3"/>
  <c r="R101" i="3"/>
  <c r="O101" i="3"/>
  <c r="N101" i="3"/>
  <c r="L101" i="3"/>
  <c r="H101" i="3"/>
  <c r="I101" i="3" s="1"/>
  <c r="F101" i="3"/>
  <c r="C101" i="3"/>
  <c r="AC100" i="3"/>
  <c r="AD100" i="3" s="1"/>
  <c r="AA100" i="3"/>
  <c r="X100" i="3"/>
  <c r="W100" i="3"/>
  <c r="U100" i="3"/>
  <c r="R100" i="3"/>
  <c r="O100" i="3"/>
  <c r="N100" i="3"/>
  <c r="L100" i="3"/>
  <c r="I100" i="3"/>
  <c r="H100" i="3"/>
  <c r="F100" i="3"/>
  <c r="C100" i="3"/>
  <c r="AC99" i="3"/>
  <c r="AD99" i="3" s="1"/>
  <c r="AA99" i="3"/>
  <c r="W99" i="3"/>
  <c r="X99" i="3" s="1"/>
  <c r="U99" i="3"/>
  <c r="R99" i="3"/>
  <c r="N99" i="3"/>
  <c r="O99" i="3" s="1"/>
  <c r="L99" i="3"/>
  <c r="I99" i="3"/>
  <c r="H99" i="3"/>
  <c r="F99" i="3"/>
  <c r="C99" i="3"/>
  <c r="AC98" i="3"/>
  <c r="AD98" i="3" s="1"/>
  <c r="AA98" i="3"/>
  <c r="W98" i="3"/>
  <c r="X98" i="3" s="1"/>
  <c r="U98" i="3"/>
  <c r="R98" i="3"/>
  <c r="O98" i="3"/>
  <c r="N98" i="3"/>
  <c r="L98" i="3"/>
  <c r="I98" i="3"/>
  <c r="H98" i="3"/>
  <c r="F98" i="3"/>
  <c r="C98" i="3"/>
  <c r="AC97" i="3"/>
  <c r="AD97" i="3" s="1"/>
  <c r="AA97" i="3"/>
  <c r="W97" i="3"/>
  <c r="X97" i="3" s="1"/>
  <c r="U97" i="3"/>
  <c r="R97" i="3"/>
  <c r="N97" i="3"/>
  <c r="O97" i="3" s="1"/>
  <c r="L97" i="3"/>
  <c r="H97" i="3"/>
  <c r="I97" i="3" s="1"/>
  <c r="F97" i="3"/>
  <c r="C97" i="3"/>
  <c r="AD96" i="3"/>
  <c r="AC96" i="3"/>
  <c r="AA96" i="3"/>
  <c r="X96" i="3"/>
  <c r="W96" i="3"/>
  <c r="U96" i="3"/>
  <c r="R96" i="3"/>
  <c r="N96" i="3"/>
  <c r="O96" i="3" s="1"/>
  <c r="L96" i="3"/>
  <c r="H96" i="3"/>
  <c r="I96" i="3" s="1"/>
  <c r="F96" i="3"/>
  <c r="C96" i="3"/>
  <c r="AD95" i="3"/>
  <c r="AC95" i="3"/>
  <c r="AA95" i="3"/>
  <c r="W95" i="3"/>
  <c r="X95" i="3" s="1"/>
  <c r="U95" i="3"/>
  <c r="R95" i="3"/>
  <c r="N95" i="3"/>
  <c r="O95" i="3" s="1"/>
  <c r="L95" i="3"/>
  <c r="H95" i="3"/>
  <c r="I95" i="3" s="1"/>
  <c r="F95" i="3"/>
  <c r="C95" i="3"/>
  <c r="AC94" i="3"/>
  <c r="AD94" i="3" s="1"/>
  <c r="AA94" i="3"/>
  <c r="W94" i="3"/>
  <c r="X94" i="3" s="1"/>
  <c r="U94" i="3"/>
  <c r="R94" i="3"/>
  <c r="O94" i="3"/>
  <c r="N94" i="3"/>
  <c r="L94" i="3"/>
  <c r="H94" i="3"/>
  <c r="I94" i="3" s="1"/>
  <c r="F94" i="3"/>
  <c r="C94" i="3"/>
  <c r="AD92" i="3"/>
  <c r="AC92" i="3"/>
  <c r="AA92" i="3"/>
  <c r="W92" i="3"/>
  <c r="X92" i="3" s="1"/>
  <c r="U92" i="3"/>
  <c r="R92" i="3"/>
  <c r="O92" i="3"/>
  <c r="N92" i="3"/>
  <c r="L92" i="3"/>
  <c r="H92" i="3"/>
  <c r="I92" i="3" s="1"/>
  <c r="F92" i="3"/>
  <c r="C92" i="3"/>
  <c r="AC91" i="3"/>
  <c r="AD91" i="3" s="1"/>
  <c r="AA91" i="3"/>
  <c r="X91" i="3"/>
  <c r="W91" i="3"/>
  <c r="U91" i="3"/>
  <c r="R91" i="3"/>
  <c r="O91" i="3"/>
  <c r="N91" i="3"/>
  <c r="L91" i="3"/>
  <c r="I91" i="3"/>
  <c r="H91" i="3"/>
  <c r="F91" i="3"/>
  <c r="C91" i="3"/>
  <c r="AC90" i="3"/>
  <c r="AD90" i="3" s="1"/>
  <c r="AA90" i="3"/>
  <c r="W90" i="3"/>
  <c r="X90" i="3" s="1"/>
  <c r="U90" i="3"/>
  <c r="R90" i="3"/>
  <c r="N90" i="3"/>
  <c r="O90" i="3" s="1"/>
  <c r="L90" i="3"/>
  <c r="I90" i="3"/>
  <c r="H90" i="3"/>
  <c r="F90" i="3"/>
  <c r="C90" i="3"/>
  <c r="AC89" i="3"/>
  <c r="AD89" i="3" s="1"/>
  <c r="AA89" i="3"/>
  <c r="W89" i="3"/>
  <c r="X89" i="3" s="1"/>
  <c r="U89" i="3"/>
  <c r="R89" i="3"/>
  <c r="O89" i="3"/>
  <c r="N89" i="3"/>
  <c r="L89" i="3"/>
  <c r="I89" i="3"/>
  <c r="H89" i="3"/>
  <c r="F89" i="3"/>
  <c r="C89" i="3"/>
  <c r="AC88" i="3"/>
  <c r="AD88" i="3" s="1"/>
  <c r="Z88" i="3"/>
  <c r="AA88" i="3" s="1"/>
  <c r="T88" i="3"/>
  <c r="R88" i="3"/>
  <c r="Q88" i="3"/>
  <c r="K88" i="3"/>
  <c r="L88" i="3" s="1"/>
  <c r="E88" i="3"/>
  <c r="B88" i="3"/>
  <c r="C88" i="3" s="1"/>
  <c r="AC87" i="3"/>
  <c r="AD87" i="3" s="1"/>
  <c r="AA87" i="3"/>
  <c r="W87" i="3"/>
  <c r="X87" i="3" s="1"/>
  <c r="U87" i="3"/>
  <c r="R87" i="3"/>
  <c r="N87" i="3"/>
  <c r="O87" i="3" s="1"/>
  <c r="L87" i="3"/>
  <c r="H87" i="3"/>
  <c r="I87" i="3" s="1"/>
  <c r="F87" i="3"/>
  <c r="C87" i="3"/>
  <c r="AC86" i="3"/>
  <c r="AD86" i="3" s="1"/>
  <c r="AA86" i="3"/>
  <c r="X86" i="3"/>
  <c r="W86" i="3"/>
  <c r="U86" i="3"/>
  <c r="R86" i="3"/>
  <c r="O86" i="3"/>
  <c r="N86" i="3"/>
  <c r="L86" i="3"/>
  <c r="H86" i="3"/>
  <c r="I86" i="3" s="1"/>
  <c r="F86" i="3"/>
  <c r="C86" i="3"/>
  <c r="AD85" i="3"/>
  <c r="AC85" i="3"/>
  <c r="AA85" i="3"/>
  <c r="W85" i="3"/>
  <c r="X85" i="3" s="1"/>
  <c r="U85" i="3"/>
  <c r="R85" i="3"/>
  <c r="N85" i="3"/>
  <c r="O85" i="3" s="1"/>
  <c r="L85" i="3"/>
  <c r="H85" i="3"/>
  <c r="I85" i="3" s="1"/>
  <c r="F85" i="3"/>
  <c r="C85" i="3"/>
  <c r="AD84" i="3"/>
  <c r="AC84" i="3"/>
  <c r="AA84" i="3"/>
  <c r="X84" i="3"/>
  <c r="W84" i="3"/>
  <c r="U84" i="3"/>
  <c r="R84" i="3"/>
  <c r="N84" i="3"/>
  <c r="O84" i="3" s="1"/>
  <c r="L84" i="3"/>
  <c r="H84" i="3"/>
  <c r="I84" i="3" s="1"/>
  <c r="F84" i="3"/>
  <c r="C84" i="3"/>
  <c r="AD83" i="3"/>
  <c r="AC83" i="3"/>
  <c r="AA83" i="3"/>
  <c r="X83" i="3"/>
  <c r="W83" i="3"/>
  <c r="U83" i="3"/>
  <c r="R83" i="3"/>
  <c r="N83" i="3"/>
  <c r="O83" i="3" s="1"/>
  <c r="L83" i="3"/>
  <c r="H83" i="3"/>
  <c r="I83" i="3" s="1"/>
  <c r="F83" i="3"/>
  <c r="C83" i="3"/>
  <c r="AC82" i="3"/>
  <c r="AD82" i="3" s="1"/>
  <c r="AA82" i="3"/>
  <c r="W82" i="3"/>
  <c r="X82" i="3" s="1"/>
  <c r="U82" i="3"/>
  <c r="R82" i="3"/>
  <c r="O82" i="3"/>
  <c r="N82" i="3"/>
  <c r="L82" i="3"/>
  <c r="I82" i="3"/>
  <c r="H82" i="3"/>
  <c r="F82" i="3"/>
  <c r="C82" i="3"/>
  <c r="AC81" i="3"/>
  <c r="AD81" i="3" s="1"/>
  <c r="AA81" i="3"/>
  <c r="W81" i="3"/>
  <c r="X81" i="3" s="1"/>
  <c r="U81" i="3"/>
  <c r="R81" i="3"/>
  <c r="O81" i="3"/>
  <c r="N81" i="3"/>
  <c r="L81" i="3"/>
  <c r="H81" i="3"/>
  <c r="I81" i="3" s="1"/>
  <c r="F81" i="3"/>
  <c r="C81" i="3"/>
  <c r="AD80" i="3"/>
  <c r="AC80" i="3"/>
  <c r="AA80" i="3"/>
  <c r="X80" i="3"/>
  <c r="W80" i="3"/>
  <c r="U80" i="3"/>
  <c r="R80" i="3"/>
  <c r="N80" i="3"/>
  <c r="O80" i="3" s="1"/>
  <c r="L80" i="3"/>
  <c r="I80" i="3"/>
  <c r="H80" i="3"/>
  <c r="F80" i="3"/>
  <c r="C80" i="3"/>
  <c r="AC79" i="3"/>
  <c r="AD79" i="3" s="1"/>
  <c r="AA79" i="3"/>
  <c r="W79" i="3"/>
  <c r="X79" i="3" s="1"/>
  <c r="U79" i="3"/>
  <c r="R79" i="3"/>
  <c r="N79" i="3"/>
  <c r="O79" i="3" s="1"/>
  <c r="L79" i="3"/>
  <c r="H79" i="3"/>
  <c r="I79" i="3" s="1"/>
  <c r="F79" i="3"/>
  <c r="C79" i="3"/>
  <c r="AC78" i="3"/>
  <c r="AD78" i="3" s="1"/>
  <c r="AA78" i="3"/>
  <c r="X78" i="3"/>
  <c r="W78" i="3"/>
  <c r="U78" i="3"/>
  <c r="R78" i="3"/>
  <c r="O78" i="3"/>
  <c r="N78" i="3"/>
  <c r="L78" i="3"/>
  <c r="I78" i="3"/>
  <c r="H78" i="3"/>
  <c r="F78" i="3"/>
  <c r="C78" i="3"/>
  <c r="AD77" i="3"/>
  <c r="AC77" i="3"/>
  <c r="AA77" i="3"/>
  <c r="W77" i="3"/>
  <c r="X77" i="3" s="1"/>
  <c r="U77" i="3"/>
  <c r="R77" i="3"/>
  <c r="N77" i="3"/>
  <c r="O77" i="3" s="1"/>
  <c r="L77" i="3"/>
  <c r="H77" i="3"/>
  <c r="I77" i="3" s="1"/>
  <c r="F77" i="3"/>
  <c r="C77" i="3"/>
  <c r="AC76" i="3"/>
  <c r="AD76" i="3" s="1"/>
  <c r="AA76" i="3"/>
  <c r="X76" i="3"/>
  <c r="W76" i="3"/>
  <c r="U76" i="3"/>
  <c r="R76" i="3"/>
  <c r="N76" i="3"/>
  <c r="O76" i="3" s="1"/>
  <c r="L76" i="3"/>
  <c r="H76" i="3"/>
  <c r="I76" i="3" s="1"/>
  <c r="F76" i="3"/>
  <c r="C76" i="3"/>
  <c r="AD75" i="3"/>
  <c r="AC75" i="3"/>
  <c r="AA75" i="3"/>
  <c r="X75" i="3"/>
  <c r="W75" i="3"/>
  <c r="U75" i="3"/>
  <c r="R75" i="3"/>
  <c r="N75" i="3"/>
  <c r="O75" i="3" s="1"/>
  <c r="L75" i="3"/>
  <c r="H75" i="3"/>
  <c r="I75" i="3" s="1"/>
  <c r="F75" i="3"/>
  <c r="C75" i="3"/>
  <c r="Z73" i="3"/>
  <c r="AA73" i="3" s="1"/>
  <c r="T73" i="3"/>
  <c r="Q73" i="3"/>
  <c r="R73" i="3" s="1"/>
  <c r="L73" i="3"/>
  <c r="K73" i="3"/>
  <c r="N73" i="3" s="1"/>
  <c r="O73" i="3" s="1"/>
  <c r="I73" i="3"/>
  <c r="H73" i="3"/>
  <c r="E73" i="3"/>
  <c r="F73" i="3" s="1"/>
  <c r="C73" i="3"/>
  <c r="B73" i="3"/>
  <c r="AC72" i="3"/>
  <c r="AD72" i="3" s="1"/>
  <c r="AA72" i="3"/>
  <c r="X72" i="3"/>
  <c r="W72" i="3"/>
  <c r="U72" i="3"/>
  <c r="R72" i="3"/>
  <c r="N72" i="3"/>
  <c r="O72" i="3" s="1"/>
  <c r="L72" i="3"/>
  <c r="H72" i="3"/>
  <c r="I72" i="3" s="1"/>
  <c r="F72" i="3"/>
  <c r="C72" i="3"/>
  <c r="AD71" i="3"/>
  <c r="AC71" i="3"/>
  <c r="AA71" i="3"/>
  <c r="X71" i="3"/>
  <c r="W71" i="3"/>
  <c r="U71" i="3"/>
  <c r="R71" i="3"/>
  <c r="N71" i="3"/>
  <c r="O71" i="3" s="1"/>
  <c r="L71" i="3"/>
  <c r="H71" i="3"/>
  <c r="I71" i="3" s="1"/>
  <c r="F71" i="3"/>
  <c r="C71" i="3"/>
  <c r="AC70" i="3"/>
  <c r="AD70" i="3" s="1"/>
  <c r="AA70" i="3"/>
  <c r="W70" i="3"/>
  <c r="X70" i="3" s="1"/>
  <c r="U70" i="3"/>
  <c r="R70" i="3"/>
  <c r="O70" i="3"/>
  <c r="N70" i="3"/>
  <c r="L70" i="3"/>
  <c r="H70" i="3"/>
  <c r="I70" i="3" s="1"/>
  <c r="F70" i="3"/>
  <c r="C70" i="3"/>
  <c r="AC69" i="3"/>
  <c r="AD69" i="3" s="1"/>
  <c r="AA69" i="3"/>
  <c r="W69" i="3"/>
  <c r="X69" i="3" s="1"/>
  <c r="U69" i="3"/>
  <c r="R69" i="3"/>
  <c r="O69" i="3"/>
  <c r="N69" i="3"/>
  <c r="L69" i="3"/>
  <c r="H69" i="3"/>
  <c r="I69" i="3" s="1"/>
  <c r="F69" i="3"/>
  <c r="C69" i="3"/>
  <c r="AC68" i="3"/>
  <c r="AD68" i="3" s="1"/>
  <c r="AA68" i="3"/>
  <c r="W68" i="3"/>
  <c r="U68" i="3"/>
  <c r="R68" i="3"/>
  <c r="O68" i="3"/>
  <c r="N68" i="3"/>
  <c r="L68" i="3"/>
  <c r="I68" i="3"/>
  <c r="H68" i="3"/>
  <c r="F68" i="3"/>
  <c r="C68" i="3"/>
  <c r="AC67" i="3"/>
  <c r="AD67" i="3" s="1"/>
  <c r="AA67" i="3"/>
  <c r="X67" i="3"/>
  <c r="W67" i="3"/>
  <c r="U67" i="3"/>
  <c r="R67" i="3"/>
  <c r="N67" i="3"/>
  <c r="O67" i="3" s="1"/>
  <c r="L67" i="3"/>
  <c r="I67" i="3"/>
  <c r="H67" i="3"/>
  <c r="F67" i="3"/>
  <c r="C67" i="3"/>
  <c r="AC66" i="3"/>
  <c r="AD66" i="3" s="1"/>
  <c r="AA66" i="3"/>
  <c r="X66" i="3"/>
  <c r="W66" i="3"/>
  <c r="U66" i="3"/>
  <c r="R66" i="3"/>
  <c r="O66" i="3"/>
  <c r="N66" i="3"/>
  <c r="L66" i="3"/>
  <c r="H66" i="3"/>
  <c r="I66" i="3" s="1"/>
  <c r="F66" i="3"/>
  <c r="C66" i="3"/>
  <c r="AC65" i="3"/>
  <c r="AD65" i="3" s="1"/>
  <c r="AA65" i="3"/>
  <c r="W65" i="3"/>
  <c r="U65" i="3"/>
  <c r="R65" i="3"/>
  <c r="N65" i="3"/>
  <c r="O65" i="3" s="1"/>
  <c r="L65" i="3"/>
  <c r="H65" i="3"/>
  <c r="I65" i="3" s="1"/>
  <c r="F65" i="3"/>
  <c r="C65" i="3"/>
  <c r="AC64" i="3"/>
  <c r="AD64" i="3" s="1"/>
  <c r="AA64" i="3"/>
  <c r="X64" i="3"/>
  <c r="W64" i="3"/>
  <c r="U64" i="3"/>
  <c r="R64" i="3"/>
  <c r="N64" i="3"/>
  <c r="O64" i="3" s="1"/>
  <c r="L64" i="3"/>
  <c r="H64" i="3"/>
  <c r="I64" i="3" s="1"/>
  <c r="F64" i="3"/>
  <c r="C64" i="3"/>
  <c r="Z62" i="3"/>
  <c r="AA62" i="3" s="1"/>
  <c r="T62" i="3"/>
  <c r="U62" i="3" s="1"/>
  <c r="R62" i="3"/>
  <c r="Q62" i="3"/>
  <c r="L62" i="3"/>
  <c r="K62" i="3"/>
  <c r="F62" i="3"/>
  <c r="E62" i="3"/>
  <c r="B62" i="3"/>
  <c r="AC61" i="3"/>
  <c r="AD61" i="3" s="1"/>
  <c r="Z61" i="3"/>
  <c r="AA61" i="3" s="1"/>
  <c r="T61" i="3"/>
  <c r="R61" i="3"/>
  <c r="Q61" i="3"/>
  <c r="K61" i="3"/>
  <c r="L61" i="3" s="1"/>
  <c r="E61" i="3"/>
  <c r="B61" i="3"/>
  <c r="C61" i="3" s="1"/>
  <c r="AC60" i="3"/>
  <c r="AD60" i="3" s="1"/>
  <c r="AA60" i="3"/>
  <c r="W60" i="3"/>
  <c r="X60" i="3" s="1"/>
  <c r="U60" i="3"/>
  <c r="R60" i="3"/>
  <c r="N60" i="3"/>
  <c r="O60" i="3" s="1"/>
  <c r="L60" i="3"/>
  <c r="H60" i="3"/>
  <c r="I60" i="3" s="1"/>
  <c r="F60" i="3"/>
  <c r="C60" i="3"/>
  <c r="AC59" i="3"/>
  <c r="AD59" i="3" s="1"/>
  <c r="AA59" i="3"/>
  <c r="X59" i="3"/>
  <c r="W59" i="3"/>
  <c r="U59" i="3"/>
  <c r="R59" i="3"/>
  <c r="O59" i="3"/>
  <c r="N59" i="3"/>
  <c r="L59" i="3"/>
  <c r="H59" i="3"/>
  <c r="I59" i="3" s="1"/>
  <c r="F59" i="3"/>
  <c r="C59" i="3"/>
  <c r="AD58" i="3"/>
  <c r="AC58" i="3"/>
  <c r="AA58" i="3"/>
  <c r="W58" i="3"/>
  <c r="X58" i="3" s="1"/>
  <c r="U58" i="3"/>
  <c r="R58" i="3"/>
  <c r="N58" i="3"/>
  <c r="O58" i="3" s="1"/>
  <c r="L58" i="3"/>
  <c r="H58" i="3"/>
  <c r="I58" i="3" s="1"/>
  <c r="F58" i="3"/>
  <c r="C58" i="3"/>
  <c r="AD57" i="3"/>
  <c r="AC57" i="3"/>
  <c r="AA57" i="3"/>
  <c r="X57" i="3"/>
  <c r="W57" i="3"/>
  <c r="U57" i="3"/>
  <c r="R57" i="3"/>
  <c r="N57" i="3"/>
  <c r="O57" i="3" s="1"/>
  <c r="L57" i="3"/>
  <c r="H57" i="3"/>
  <c r="I57" i="3" s="1"/>
  <c r="F57" i="3"/>
  <c r="C57" i="3"/>
  <c r="AD56" i="3"/>
  <c r="AC56" i="3"/>
  <c r="AA56" i="3"/>
  <c r="X56" i="3"/>
  <c r="W56" i="3"/>
  <c r="U56" i="3"/>
  <c r="R56" i="3"/>
  <c r="N56" i="3"/>
  <c r="O56" i="3" s="1"/>
  <c r="L56" i="3"/>
  <c r="H56" i="3"/>
  <c r="I56" i="3" s="1"/>
  <c r="F56" i="3"/>
  <c r="C56" i="3"/>
  <c r="AC55" i="3"/>
  <c r="AD55" i="3" s="1"/>
  <c r="AA55" i="3"/>
  <c r="W55" i="3"/>
  <c r="X55" i="3" s="1"/>
  <c r="U55" i="3"/>
  <c r="R55" i="3"/>
  <c r="O55" i="3"/>
  <c r="N55" i="3"/>
  <c r="L55" i="3"/>
  <c r="I55" i="3"/>
  <c r="H55" i="3"/>
  <c r="F55" i="3"/>
  <c r="C55" i="3"/>
  <c r="AC54" i="3"/>
  <c r="AD54" i="3" s="1"/>
  <c r="AA54" i="3"/>
  <c r="W54" i="3"/>
  <c r="X54" i="3" s="1"/>
  <c r="U54" i="3"/>
  <c r="R54" i="3"/>
  <c r="O54" i="3"/>
  <c r="N54" i="3"/>
  <c r="L54" i="3"/>
  <c r="H54" i="3"/>
  <c r="I54" i="3" s="1"/>
  <c r="F54" i="3"/>
  <c r="C54" i="3"/>
  <c r="AD53" i="3"/>
  <c r="AC53" i="3"/>
  <c r="AA53" i="3"/>
  <c r="X53" i="3"/>
  <c r="W53" i="3"/>
  <c r="U53" i="3"/>
  <c r="R53" i="3"/>
  <c r="N53" i="3"/>
  <c r="O53" i="3" s="1"/>
  <c r="L53" i="3"/>
  <c r="I53" i="3"/>
  <c r="H53" i="3"/>
  <c r="F53" i="3"/>
  <c r="C53" i="3"/>
  <c r="AC52" i="3"/>
  <c r="AD52" i="3" s="1"/>
  <c r="AA52" i="3"/>
  <c r="W52" i="3"/>
  <c r="X52" i="3" s="1"/>
  <c r="U52" i="3"/>
  <c r="R52" i="3"/>
  <c r="N52" i="3"/>
  <c r="O52" i="3" s="1"/>
  <c r="L52" i="3"/>
  <c r="H52" i="3"/>
  <c r="I52" i="3" s="1"/>
  <c r="F52" i="3"/>
  <c r="C52" i="3"/>
  <c r="AC51" i="3"/>
  <c r="AD51" i="3" s="1"/>
  <c r="AA51" i="3"/>
  <c r="X51" i="3"/>
  <c r="W51" i="3"/>
  <c r="U51" i="3"/>
  <c r="R51" i="3"/>
  <c r="O51" i="3"/>
  <c r="N51" i="3"/>
  <c r="L51" i="3"/>
  <c r="I51" i="3"/>
  <c r="H51" i="3"/>
  <c r="F51" i="3"/>
  <c r="C51" i="3"/>
  <c r="AD50" i="3"/>
  <c r="AC50" i="3"/>
  <c r="AA50" i="3"/>
  <c r="W50" i="3"/>
  <c r="X50" i="3" s="1"/>
  <c r="U50" i="3"/>
  <c r="R50" i="3"/>
  <c r="N50" i="3"/>
  <c r="O50" i="3" s="1"/>
  <c r="L50" i="3"/>
  <c r="H50" i="3"/>
  <c r="I50" i="3" s="1"/>
  <c r="F50" i="3"/>
  <c r="C50" i="3"/>
  <c r="AC49" i="3"/>
  <c r="AD49" i="3" s="1"/>
  <c r="AA49" i="3"/>
  <c r="X49" i="3"/>
  <c r="W49" i="3"/>
  <c r="U49" i="3"/>
  <c r="R49" i="3"/>
  <c r="N49" i="3"/>
  <c r="O49" i="3" s="1"/>
  <c r="L49" i="3"/>
  <c r="H49" i="3"/>
  <c r="I49" i="3" s="1"/>
  <c r="F49" i="3"/>
  <c r="C49" i="3"/>
  <c r="AD48" i="3"/>
  <c r="AC48" i="3"/>
  <c r="AA48" i="3"/>
  <c r="X48" i="3"/>
  <c r="W48" i="3"/>
  <c r="U48" i="3"/>
  <c r="R48" i="3"/>
  <c r="N48" i="3"/>
  <c r="O48" i="3" s="1"/>
  <c r="L48" i="3"/>
  <c r="H48" i="3"/>
  <c r="I48" i="3" s="1"/>
  <c r="F48" i="3"/>
  <c r="C48" i="3"/>
  <c r="AC47" i="3"/>
  <c r="AD47" i="3" s="1"/>
  <c r="AA47" i="3"/>
  <c r="W47" i="3"/>
  <c r="X47" i="3" s="1"/>
  <c r="U47" i="3"/>
  <c r="R47" i="3"/>
  <c r="O47" i="3"/>
  <c r="N47" i="3"/>
  <c r="L47" i="3"/>
  <c r="I47" i="3"/>
  <c r="H47" i="3"/>
  <c r="F47" i="3"/>
  <c r="C47" i="3"/>
  <c r="AD46" i="3"/>
  <c r="AC46" i="3"/>
  <c r="AA46" i="3"/>
  <c r="W46" i="3"/>
  <c r="X46" i="3" s="1"/>
  <c r="U46" i="3"/>
  <c r="R46" i="3"/>
  <c r="O46" i="3"/>
  <c r="N46" i="3"/>
  <c r="L46" i="3"/>
  <c r="H46" i="3"/>
  <c r="I46" i="3" s="1"/>
  <c r="F46" i="3"/>
  <c r="C46" i="3"/>
  <c r="AD44" i="3"/>
  <c r="AC44" i="3"/>
  <c r="AA44" i="3"/>
  <c r="X44" i="3"/>
  <c r="W44" i="3"/>
  <c r="U44" i="3"/>
  <c r="R44" i="3"/>
  <c r="N44" i="3"/>
  <c r="O44" i="3" s="1"/>
  <c r="L44" i="3"/>
  <c r="I44" i="3"/>
  <c r="H44" i="3"/>
  <c r="F44" i="3"/>
  <c r="C44" i="3"/>
  <c r="AC43" i="3"/>
  <c r="AD43" i="3" s="1"/>
  <c r="AA43" i="3"/>
  <c r="W43" i="3"/>
  <c r="X43" i="3" s="1"/>
  <c r="U43" i="3"/>
  <c r="R43" i="3"/>
  <c r="N43" i="3"/>
  <c r="O43" i="3" s="1"/>
  <c r="L43" i="3"/>
  <c r="H43" i="3"/>
  <c r="I43" i="3" s="1"/>
  <c r="F43" i="3"/>
  <c r="C43" i="3"/>
  <c r="AC42" i="3"/>
  <c r="AD42" i="3" s="1"/>
  <c r="AA42" i="3"/>
  <c r="X42" i="3"/>
  <c r="W42" i="3"/>
  <c r="U42" i="3"/>
  <c r="R42" i="3"/>
  <c r="O42" i="3"/>
  <c r="N42" i="3"/>
  <c r="L42" i="3"/>
  <c r="H42" i="3"/>
  <c r="I42" i="3" s="1"/>
  <c r="F42" i="3"/>
  <c r="C42" i="3"/>
  <c r="Z40" i="3"/>
  <c r="AA40" i="3" s="1"/>
  <c r="W40" i="3"/>
  <c r="X40" i="3" s="1"/>
  <c r="U40" i="3"/>
  <c r="T40" i="3"/>
  <c r="Q40" i="3"/>
  <c r="R40" i="3" s="1"/>
  <c r="K40" i="3"/>
  <c r="L40" i="3" s="1"/>
  <c r="H40" i="3"/>
  <c r="I40" i="3" s="1"/>
  <c r="F40" i="3"/>
  <c r="E40" i="3"/>
  <c r="B40" i="3"/>
  <c r="C40" i="3" s="1"/>
  <c r="AD39" i="3"/>
  <c r="AC39" i="3"/>
  <c r="AA39" i="3"/>
  <c r="W39" i="3"/>
  <c r="X39" i="3" s="1"/>
  <c r="U39" i="3"/>
  <c r="R39" i="3"/>
  <c r="N39" i="3"/>
  <c r="O39" i="3" s="1"/>
  <c r="L39" i="3"/>
  <c r="H39" i="3"/>
  <c r="I39" i="3" s="1"/>
  <c r="F39" i="3"/>
  <c r="C39" i="3"/>
  <c r="AC38" i="3"/>
  <c r="AD38" i="3" s="1"/>
  <c r="AA38" i="3"/>
  <c r="W38" i="3"/>
  <c r="X38" i="3" s="1"/>
  <c r="U38" i="3"/>
  <c r="R38" i="3"/>
  <c r="O38" i="3"/>
  <c r="N38" i="3"/>
  <c r="L38" i="3"/>
  <c r="H38" i="3"/>
  <c r="I38" i="3" s="1"/>
  <c r="F38" i="3"/>
  <c r="C38" i="3"/>
  <c r="AD37" i="3"/>
  <c r="AC37" i="3"/>
  <c r="AA37" i="3"/>
  <c r="W37" i="3"/>
  <c r="X37" i="3" s="1"/>
  <c r="U37" i="3"/>
  <c r="R37" i="3"/>
  <c r="O37" i="3"/>
  <c r="N37" i="3"/>
  <c r="L37" i="3"/>
  <c r="H37" i="3"/>
  <c r="I37" i="3" s="1"/>
  <c r="F37" i="3"/>
  <c r="C37" i="3"/>
  <c r="AC36" i="3"/>
  <c r="AD36" i="3" s="1"/>
  <c r="AA36" i="3"/>
  <c r="X36" i="3"/>
  <c r="W36" i="3"/>
  <c r="U36" i="3"/>
  <c r="R36" i="3"/>
  <c r="O36" i="3"/>
  <c r="N36" i="3"/>
  <c r="L36" i="3"/>
  <c r="I36" i="3"/>
  <c r="H36" i="3"/>
  <c r="F36" i="3"/>
  <c r="C36" i="3"/>
  <c r="AD35" i="3"/>
  <c r="AC35" i="3"/>
  <c r="AA35" i="3"/>
  <c r="W35" i="3"/>
  <c r="X35" i="3" s="1"/>
  <c r="U35" i="3"/>
  <c r="R35" i="3"/>
  <c r="N35" i="3"/>
  <c r="O35" i="3" s="1"/>
  <c r="L35" i="3"/>
  <c r="I35" i="3"/>
  <c r="H35" i="3"/>
  <c r="F35" i="3"/>
  <c r="C35" i="3"/>
  <c r="AC34" i="3"/>
  <c r="AD34" i="3" s="1"/>
  <c r="AA34" i="3"/>
  <c r="W34" i="3"/>
  <c r="X34" i="3" s="1"/>
  <c r="U34" i="3"/>
  <c r="R34" i="3"/>
  <c r="O34" i="3"/>
  <c r="N34" i="3"/>
  <c r="L34" i="3"/>
  <c r="I34" i="3"/>
  <c r="H34" i="3"/>
  <c r="F34" i="3"/>
  <c r="C34" i="3"/>
  <c r="AC33" i="3"/>
  <c r="AD33" i="3" s="1"/>
  <c r="AA33" i="3"/>
  <c r="W33" i="3"/>
  <c r="X33" i="3" s="1"/>
  <c r="U33" i="3"/>
  <c r="R33" i="3"/>
  <c r="N33" i="3"/>
  <c r="O33" i="3" s="1"/>
  <c r="L33" i="3"/>
  <c r="H33" i="3"/>
  <c r="I33" i="3" s="1"/>
  <c r="F33" i="3"/>
  <c r="C33" i="3"/>
  <c r="AD32" i="3"/>
  <c r="AC32" i="3"/>
  <c r="AA32" i="3"/>
  <c r="X32" i="3"/>
  <c r="W32" i="3"/>
  <c r="U32" i="3"/>
  <c r="R32" i="3"/>
  <c r="N32" i="3"/>
  <c r="O32" i="3" s="1"/>
  <c r="L32" i="3"/>
  <c r="I32" i="3"/>
  <c r="H32" i="3"/>
  <c r="F32" i="3"/>
  <c r="C32" i="3"/>
  <c r="AD31" i="3"/>
  <c r="AC31" i="3"/>
  <c r="AA31" i="3"/>
  <c r="W31" i="3"/>
  <c r="X31" i="3" s="1"/>
  <c r="U31" i="3"/>
  <c r="R31" i="3"/>
  <c r="N31" i="3"/>
  <c r="O31" i="3" s="1"/>
  <c r="L31" i="3"/>
  <c r="H31" i="3"/>
  <c r="I31" i="3" s="1"/>
  <c r="F31" i="3"/>
  <c r="C31" i="3"/>
  <c r="AA29" i="3"/>
  <c r="Z29" i="3"/>
  <c r="T29" i="3"/>
  <c r="W29" i="3" s="1"/>
  <c r="X29" i="3" s="1"/>
  <c r="Q29" i="3"/>
  <c r="R29" i="3" s="1"/>
  <c r="K29" i="3"/>
  <c r="L29" i="3" s="1"/>
  <c r="E29" i="3"/>
  <c r="F29" i="3" s="1"/>
  <c r="B29" i="3"/>
  <c r="AD28" i="3"/>
  <c r="AC28" i="3"/>
  <c r="AA28" i="3"/>
  <c r="X28" i="3"/>
  <c r="W28" i="3"/>
  <c r="U28" i="3"/>
  <c r="R28" i="3"/>
  <c r="O28" i="3"/>
  <c r="N28" i="3"/>
  <c r="L28" i="3"/>
  <c r="H28" i="3"/>
  <c r="I28" i="3" s="1"/>
  <c r="F28" i="3"/>
  <c r="C28" i="3"/>
  <c r="AC27" i="3"/>
  <c r="AD27" i="3" s="1"/>
  <c r="AA27" i="3"/>
  <c r="W27" i="3"/>
  <c r="X27" i="3" s="1"/>
  <c r="U27" i="3"/>
  <c r="R27" i="3"/>
  <c r="N27" i="3"/>
  <c r="O27" i="3" s="1"/>
  <c r="L27" i="3"/>
  <c r="H27" i="3"/>
  <c r="I27" i="3" s="1"/>
  <c r="F27" i="3"/>
  <c r="C27" i="3"/>
  <c r="AC26" i="3"/>
  <c r="AD26" i="3" s="1"/>
  <c r="AA26" i="3"/>
  <c r="X26" i="3"/>
  <c r="W26" i="3"/>
  <c r="U26" i="3"/>
  <c r="R26" i="3"/>
  <c r="O26" i="3"/>
  <c r="N26" i="3"/>
  <c r="L26" i="3"/>
  <c r="H26" i="3"/>
  <c r="I26" i="3" s="1"/>
  <c r="F26" i="3"/>
  <c r="C26" i="3"/>
  <c r="AD25" i="3"/>
  <c r="AC25" i="3"/>
  <c r="AA25" i="3"/>
  <c r="W25" i="3"/>
  <c r="X25" i="3" s="1"/>
  <c r="U25" i="3"/>
  <c r="R25" i="3"/>
  <c r="N25" i="3"/>
  <c r="O25" i="3" s="1"/>
  <c r="L25" i="3"/>
  <c r="H25" i="3"/>
  <c r="I25" i="3" s="1"/>
  <c r="F25" i="3"/>
  <c r="C25" i="3"/>
  <c r="AC24" i="3"/>
  <c r="AD24" i="3" s="1"/>
  <c r="AA24" i="3"/>
  <c r="X24" i="3"/>
  <c r="W24" i="3"/>
  <c r="U24" i="3"/>
  <c r="R24" i="3"/>
  <c r="O24" i="3"/>
  <c r="N24" i="3"/>
  <c r="L24" i="3"/>
  <c r="H24" i="3"/>
  <c r="I24" i="3" s="1"/>
  <c r="F24" i="3"/>
  <c r="C24" i="3"/>
  <c r="AC23" i="3"/>
  <c r="AD23" i="3" s="1"/>
  <c r="AA23" i="3"/>
  <c r="X23" i="3"/>
  <c r="W23" i="3"/>
  <c r="U23" i="3"/>
  <c r="R23" i="3"/>
  <c r="N23" i="3"/>
  <c r="O23" i="3" s="1"/>
  <c r="L23" i="3"/>
  <c r="I23" i="3"/>
  <c r="H23" i="3"/>
  <c r="F23" i="3"/>
  <c r="C23" i="3"/>
  <c r="AC22" i="3"/>
  <c r="AD22" i="3" s="1"/>
  <c r="AA22" i="3"/>
  <c r="W22" i="3"/>
  <c r="X22" i="3" s="1"/>
  <c r="U22" i="3"/>
  <c r="R22" i="3"/>
  <c r="O22" i="3"/>
  <c r="N22" i="3"/>
  <c r="L22" i="3"/>
  <c r="I22" i="3"/>
  <c r="H22" i="3"/>
  <c r="F22" i="3"/>
  <c r="C22" i="3"/>
  <c r="AC21" i="3"/>
  <c r="AD21" i="3" s="1"/>
  <c r="AA21" i="3"/>
  <c r="W21" i="3"/>
  <c r="X21" i="3" s="1"/>
  <c r="U21" i="3"/>
  <c r="R21" i="3"/>
  <c r="N21" i="3"/>
  <c r="O21" i="3" s="1"/>
  <c r="L21" i="3"/>
  <c r="H21" i="3"/>
  <c r="I21" i="3" s="1"/>
  <c r="F21" i="3"/>
  <c r="C21" i="3"/>
  <c r="AD19" i="3"/>
  <c r="AC19" i="3"/>
  <c r="AA19" i="3"/>
  <c r="X19" i="3"/>
  <c r="W19" i="3"/>
  <c r="U19" i="3"/>
  <c r="R19" i="3"/>
  <c r="N19" i="3"/>
  <c r="O19" i="3" s="1"/>
  <c r="L19" i="3"/>
  <c r="H19" i="3"/>
  <c r="I19" i="3" s="1"/>
  <c r="F19" i="3"/>
  <c r="C19" i="3"/>
  <c r="AC18" i="3"/>
  <c r="AD18" i="3" s="1"/>
  <c r="AA18" i="3"/>
  <c r="Z18" i="3"/>
  <c r="W18" i="3"/>
  <c r="X18" i="3" s="1"/>
  <c r="T18" i="3"/>
  <c r="U18" i="3" s="1"/>
  <c r="R18" i="3"/>
  <c r="Q18" i="3"/>
  <c r="N18" i="3"/>
  <c r="O18" i="3" s="1"/>
  <c r="K18" i="3"/>
  <c r="L18" i="3" s="1"/>
  <c r="F18" i="3"/>
  <c r="E18" i="3"/>
  <c r="C18" i="3"/>
  <c r="B18" i="3"/>
  <c r="AD17" i="3"/>
  <c r="AC17" i="3"/>
  <c r="AA17" i="3"/>
  <c r="W17" i="3"/>
  <c r="X17" i="3" s="1"/>
  <c r="U17" i="3"/>
  <c r="R17" i="3"/>
  <c r="O17" i="3"/>
  <c r="N17" i="3"/>
  <c r="L17" i="3"/>
  <c r="H17" i="3"/>
  <c r="I17" i="3" s="1"/>
  <c r="F17" i="3"/>
  <c r="C17" i="3"/>
  <c r="AD16" i="3"/>
  <c r="AC16" i="3"/>
  <c r="AA16" i="3"/>
  <c r="X16" i="3"/>
  <c r="W16" i="3"/>
  <c r="U16" i="3"/>
  <c r="R16" i="3"/>
  <c r="N16" i="3"/>
  <c r="O16" i="3" s="1"/>
  <c r="L16" i="3"/>
  <c r="I16" i="3"/>
  <c r="H16" i="3"/>
  <c r="F16" i="3"/>
  <c r="C16" i="3"/>
  <c r="AC15" i="3"/>
  <c r="AD15" i="3" s="1"/>
  <c r="AA15" i="3"/>
  <c r="W15" i="3"/>
  <c r="X15" i="3" s="1"/>
  <c r="U15" i="3"/>
  <c r="R15" i="3"/>
  <c r="N15" i="3"/>
  <c r="O15" i="3" s="1"/>
  <c r="L15" i="3"/>
  <c r="H15" i="3"/>
  <c r="I15" i="3" s="1"/>
  <c r="F15" i="3"/>
  <c r="C15" i="3"/>
  <c r="AC14" i="3"/>
  <c r="AD14" i="3" s="1"/>
  <c r="AA14" i="3"/>
  <c r="X14" i="3"/>
  <c r="W14" i="3"/>
  <c r="U14" i="3"/>
  <c r="R14" i="3"/>
  <c r="O14" i="3"/>
  <c r="N14" i="3"/>
  <c r="L14" i="3"/>
  <c r="H14" i="3"/>
  <c r="I14" i="3" s="1"/>
  <c r="F14" i="3"/>
  <c r="C14" i="3"/>
  <c r="AD13" i="3"/>
  <c r="AC13" i="3"/>
  <c r="AA13" i="3"/>
  <c r="W13" i="3"/>
  <c r="X13" i="3" s="1"/>
  <c r="U13" i="3"/>
  <c r="R13" i="3"/>
  <c r="N13" i="3"/>
  <c r="O13" i="3" s="1"/>
  <c r="L13" i="3"/>
  <c r="H13" i="3"/>
  <c r="I13" i="3" s="1"/>
  <c r="F13" i="3"/>
  <c r="C13" i="3"/>
  <c r="AD12" i="3"/>
  <c r="AC12" i="3"/>
  <c r="AA12" i="3"/>
  <c r="X12" i="3"/>
  <c r="W12" i="3"/>
  <c r="U12" i="3"/>
  <c r="R12" i="3"/>
  <c r="N12" i="3"/>
  <c r="O12" i="3" s="1"/>
  <c r="L12" i="3"/>
  <c r="H12" i="3"/>
  <c r="I12" i="3" s="1"/>
  <c r="F12" i="3"/>
  <c r="C12" i="3"/>
  <c r="AD11" i="3"/>
  <c r="AC11" i="3"/>
  <c r="AA11" i="3"/>
  <c r="X11" i="3"/>
  <c r="W11" i="3"/>
  <c r="U11" i="3"/>
  <c r="R11" i="3"/>
  <c r="N11" i="3"/>
  <c r="O11" i="3" s="1"/>
  <c r="L11" i="3"/>
  <c r="H11" i="3"/>
  <c r="I11" i="3" s="1"/>
  <c r="F11" i="3"/>
  <c r="C11" i="3"/>
  <c r="AC10" i="3"/>
  <c r="AD10" i="3" s="1"/>
  <c r="AA10" i="3"/>
  <c r="W10" i="3"/>
  <c r="X10" i="3" s="1"/>
  <c r="U10" i="3"/>
  <c r="R10" i="3"/>
  <c r="O10" i="3"/>
  <c r="N10" i="3"/>
  <c r="L10" i="3"/>
  <c r="I10" i="3"/>
  <c r="H10" i="3"/>
  <c r="F10" i="3"/>
  <c r="C10" i="3"/>
  <c r="AC8" i="3"/>
  <c r="AD8" i="3" s="1"/>
  <c r="AA8" i="3"/>
  <c r="W8" i="3"/>
  <c r="X8" i="3" s="1"/>
  <c r="U8" i="3"/>
  <c r="R8" i="3"/>
  <c r="O8" i="3"/>
  <c r="N8" i="3"/>
  <c r="L8" i="3"/>
  <c r="H8" i="3"/>
  <c r="I8" i="3" s="1"/>
  <c r="F8" i="3"/>
  <c r="C8" i="3"/>
  <c r="AC444" i="2"/>
  <c r="W444" i="2"/>
  <c r="X440" i="2" s="1"/>
  <c r="N444" i="2"/>
  <c r="O395" i="2" s="1"/>
  <c r="H444" i="2"/>
  <c r="AA442" i="2"/>
  <c r="Z442" i="2"/>
  <c r="T442" i="2"/>
  <c r="U442" i="2" s="1"/>
  <c r="R442" i="2"/>
  <c r="Q442" i="2"/>
  <c r="W442" i="2" s="1"/>
  <c r="X442" i="2" s="1"/>
  <c r="K442" i="2"/>
  <c r="L442" i="2" s="1"/>
  <c r="E442" i="2"/>
  <c r="F442" i="2" s="1"/>
  <c r="C442" i="2"/>
  <c r="B442" i="2"/>
  <c r="H442" i="2" s="1"/>
  <c r="I442" i="2" s="1"/>
  <c r="Z441" i="2"/>
  <c r="AA441" i="2" s="1"/>
  <c r="T441" i="2"/>
  <c r="W441" i="2" s="1"/>
  <c r="X441" i="2" s="1"/>
  <c r="Q441" i="2"/>
  <c r="R441" i="2" s="1"/>
  <c r="K441" i="2"/>
  <c r="L441" i="2" s="1"/>
  <c r="E441" i="2"/>
  <c r="F441" i="2" s="1"/>
  <c r="C441" i="2"/>
  <c r="B441" i="2"/>
  <c r="H441" i="2" s="1"/>
  <c r="I441" i="2" s="1"/>
  <c r="AC440" i="2"/>
  <c r="AD440" i="2" s="1"/>
  <c r="AA440" i="2"/>
  <c r="W440" i="2"/>
  <c r="U440" i="2"/>
  <c r="R440" i="2"/>
  <c r="O440" i="2"/>
  <c r="N440" i="2"/>
  <c r="L440" i="2"/>
  <c r="I440" i="2"/>
  <c r="H440" i="2"/>
  <c r="F440" i="2"/>
  <c r="C440" i="2"/>
  <c r="AD439" i="2"/>
  <c r="AC439" i="2"/>
  <c r="AA439" i="2"/>
  <c r="W439" i="2"/>
  <c r="X439" i="2" s="1"/>
  <c r="U439" i="2"/>
  <c r="R439" i="2"/>
  <c r="N439" i="2"/>
  <c r="O439" i="2" s="1"/>
  <c r="L439" i="2"/>
  <c r="I439" i="2"/>
  <c r="H439" i="2"/>
  <c r="F439" i="2"/>
  <c r="C439" i="2"/>
  <c r="AC438" i="2"/>
  <c r="AA438" i="2"/>
  <c r="W438" i="2"/>
  <c r="X438" i="2" s="1"/>
  <c r="U438" i="2"/>
  <c r="R438" i="2"/>
  <c r="O438" i="2"/>
  <c r="N438" i="2"/>
  <c r="L438" i="2"/>
  <c r="H438" i="2"/>
  <c r="I438" i="2" s="1"/>
  <c r="F438" i="2"/>
  <c r="C438" i="2"/>
  <c r="AC437" i="2"/>
  <c r="AD437" i="2" s="1"/>
  <c r="AA437" i="2"/>
  <c r="W437" i="2"/>
  <c r="U437" i="2"/>
  <c r="R437" i="2"/>
  <c r="O437" i="2"/>
  <c r="N437" i="2"/>
  <c r="L437" i="2"/>
  <c r="H437" i="2"/>
  <c r="I437" i="2" s="1"/>
  <c r="F437" i="2"/>
  <c r="C437" i="2"/>
  <c r="AC436" i="2"/>
  <c r="AD436" i="2" s="1"/>
  <c r="AA436" i="2"/>
  <c r="X436" i="2"/>
  <c r="W436" i="2"/>
  <c r="U436" i="2"/>
  <c r="R436" i="2"/>
  <c r="N436" i="2"/>
  <c r="O436" i="2" s="1"/>
  <c r="L436" i="2"/>
  <c r="I436" i="2"/>
  <c r="H436" i="2"/>
  <c r="F436" i="2"/>
  <c r="C436" i="2"/>
  <c r="AD435" i="2"/>
  <c r="AC435" i="2"/>
  <c r="AA435" i="2"/>
  <c r="X435" i="2"/>
  <c r="W435" i="2"/>
  <c r="U435" i="2"/>
  <c r="R435" i="2"/>
  <c r="N435" i="2"/>
  <c r="O435" i="2" s="1"/>
  <c r="L435" i="2"/>
  <c r="H435" i="2"/>
  <c r="I435" i="2" s="1"/>
  <c r="F435" i="2"/>
  <c r="C435" i="2"/>
  <c r="AC434" i="2"/>
  <c r="AD434" i="2" s="1"/>
  <c r="AA434" i="2"/>
  <c r="W434" i="2"/>
  <c r="X434" i="2" s="1"/>
  <c r="U434" i="2"/>
  <c r="R434" i="2"/>
  <c r="O434" i="2"/>
  <c r="N434" i="2"/>
  <c r="L434" i="2"/>
  <c r="H434" i="2"/>
  <c r="I434" i="2" s="1"/>
  <c r="F434" i="2"/>
  <c r="C434" i="2"/>
  <c r="AC433" i="2"/>
  <c r="AD433" i="2" s="1"/>
  <c r="AA433" i="2"/>
  <c r="W433" i="2"/>
  <c r="X433" i="2" s="1"/>
  <c r="U433" i="2"/>
  <c r="R433" i="2"/>
  <c r="O433" i="2"/>
  <c r="N433" i="2"/>
  <c r="L433" i="2"/>
  <c r="H433" i="2"/>
  <c r="I433" i="2" s="1"/>
  <c r="F433" i="2"/>
  <c r="C433" i="2"/>
  <c r="AC432" i="2"/>
  <c r="AD432" i="2" s="1"/>
  <c r="AA432" i="2"/>
  <c r="W432" i="2"/>
  <c r="U432" i="2"/>
  <c r="R432" i="2"/>
  <c r="O432" i="2"/>
  <c r="N432" i="2"/>
  <c r="L432" i="2"/>
  <c r="I432" i="2"/>
  <c r="H432" i="2"/>
  <c r="F432" i="2"/>
  <c r="C432" i="2"/>
  <c r="Z429" i="2"/>
  <c r="AA429" i="2" s="1"/>
  <c r="T429" i="2"/>
  <c r="U429" i="2" s="1"/>
  <c r="R429" i="2"/>
  <c r="Q429" i="2"/>
  <c r="W429" i="2" s="1"/>
  <c r="X429" i="2" s="1"/>
  <c r="K429" i="2"/>
  <c r="L429" i="2" s="1"/>
  <c r="E429" i="2"/>
  <c r="F429" i="2" s="1"/>
  <c r="C429" i="2"/>
  <c r="B429" i="2"/>
  <c r="H429" i="2" s="1"/>
  <c r="I429" i="2" s="1"/>
  <c r="Z428" i="2"/>
  <c r="AA428" i="2" s="1"/>
  <c r="X428" i="2"/>
  <c r="T428" i="2"/>
  <c r="U428" i="2" s="1"/>
  <c r="R428" i="2"/>
  <c r="Q428" i="2"/>
  <c r="W428" i="2" s="1"/>
  <c r="K428" i="2"/>
  <c r="L428" i="2" s="1"/>
  <c r="I428" i="2"/>
  <c r="E428" i="2"/>
  <c r="H428" i="2" s="1"/>
  <c r="B428" i="2"/>
  <c r="C428" i="2" s="1"/>
  <c r="AD427" i="2"/>
  <c r="AC427" i="2"/>
  <c r="AA427" i="2"/>
  <c r="X427" i="2"/>
  <c r="W427" i="2"/>
  <c r="U427" i="2"/>
  <c r="R427" i="2"/>
  <c r="N427" i="2"/>
  <c r="O427" i="2" s="1"/>
  <c r="L427" i="2"/>
  <c r="H427" i="2"/>
  <c r="I427" i="2" s="1"/>
  <c r="F427" i="2"/>
  <c r="C427" i="2"/>
  <c r="AC426" i="2"/>
  <c r="AD426" i="2" s="1"/>
  <c r="AA426" i="2"/>
  <c r="X426" i="2"/>
  <c r="W426" i="2"/>
  <c r="U426" i="2"/>
  <c r="R426" i="2"/>
  <c r="O426" i="2"/>
  <c r="N426" i="2"/>
  <c r="L426" i="2"/>
  <c r="H426" i="2"/>
  <c r="I426" i="2" s="1"/>
  <c r="F426" i="2"/>
  <c r="C426" i="2"/>
  <c r="AD425" i="2"/>
  <c r="AC425" i="2"/>
  <c r="AA425" i="2"/>
  <c r="W425" i="2"/>
  <c r="X425" i="2" s="1"/>
  <c r="U425" i="2"/>
  <c r="R425" i="2"/>
  <c r="O425" i="2"/>
  <c r="N425" i="2"/>
  <c r="L425" i="2"/>
  <c r="H425" i="2"/>
  <c r="I425" i="2" s="1"/>
  <c r="F425" i="2"/>
  <c r="C425" i="2"/>
  <c r="AC424" i="2"/>
  <c r="AD424" i="2" s="1"/>
  <c r="AA424" i="2"/>
  <c r="W424" i="2"/>
  <c r="U424" i="2"/>
  <c r="R424" i="2"/>
  <c r="N424" i="2"/>
  <c r="O424" i="2" s="1"/>
  <c r="L424" i="2"/>
  <c r="I424" i="2"/>
  <c r="H424" i="2"/>
  <c r="F424" i="2"/>
  <c r="C424" i="2"/>
  <c r="AC423" i="2"/>
  <c r="AD423" i="2" s="1"/>
  <c r="AA423" i="2"/>
  <c r="X423" i="2"/>
  <c r="W423" i="2"/>
  <c r="U423" i="2"/>
  <c r="R423" i="2"/>
  <c r="N423" i="2"/>
  <c r="O423" i="2" s="1"/>
  <c r="L423" i="2"/>
  <c r="H423" i="2"/>
  <c r="I423" i="2" s="1"/>
  <c r="F423" i="2"/>
  <c r="C423" i="2"/>
  <c r="AC422" i="2"/>
  <c r="AA422" i="2"/>
  <c r="X422" i="2"/>
  <c r="W422" i="2"/>
  <c r="U422" i="2"/>
  <c r="R422" i="2"/>
  <c r="O422" i="2"/>
  <c r="N422" i="2"/>
  <c r="L422" i="2"/>
  <c r="H422" i="2"/>
  <c r="I422" i="2" s="1"/>
  <c r="F422" i="2"/>
  <c r="C422" i="2"/>
  <c r="AC421" i="2"/>
  <c r="AD421" i="2" s="1"/>
  <c r="AA421" i="2"/>
  <c r="W421" i="2"/>
  <c r="U421" i="2"/>
  <c r="R421" i="2"/>
  <c r="N421" i="2"/>
  <c r="O421" i="2" s="1"/>
  <c r="L421" i="2"/>
  <c r="H421" i="2"/>
  <c r="I421" i="2" s="1"/>
  <c r="F421" i="2"/>
  <c r="C421" i="2"/>
  <c r="AC420" i="2"/>
  <c r="AD420" i="2" s="1"/>
  <c r="AA420" i="2"/>
  <c r="X420" i="2"/>
  <c r="W420" i="2"/>
  <c r="U420" i="2"/>
  <c r="R420" i="2"/>
  <c r="N420" i="2"/>
  <c r="O420" i="2" s="1"/>
  <c r="L420" i="2"/>
  <c r="H420" i="2"/>
  <c r="I420" i="2" s="1"/>
  <c r="F420" i="2"/>
  <c r="C420" i="2"/>
  <c r="AD419" i="2"/>
  <c r="AC419" i="2"/>
  <c r="AA419" i="2"/>
  <c r="X419" i="2"/>
  <c r="W419" i="2"/>
  <c r="U419" i="2"/>
  <c r="R419" i="2"/>
  <c r="N419" i="2"/>
  <c r="O419" i="2" s="1"/>
  <c r="L419" i="2"/>
  <c r="H419" i="2"/>
  <c r="I419" i="2" s="1"/>
  <c r="F419" i="2"/>
  <c r="C419" i="2"/>
  <c r="AC418" i="2"/>
  <c r="AD418" i="2" s="1"/>
  <c r="AA418" i="2"/>
  <c r="X418" i="2"/>
  <c r="W418" i="2"/>
  <c r="U418" i="2"/>
  <c r="R418" i="2"/>
  <c r="O418" i="2"/>
  <c r="N418" i="2"/>
  <c r="L418" i="2"/>
  <c r="H418" i="2"/>
  <c r="I418" i="2" s="1"/>
  <c r="F418" i="2"/>
  <c r="C418" i="2"/>
  <c r="AD417" i="2"/>
  <c r="AC417" i="2"/>
  <c r="AA417" i="2"/>
  <c r="W417" i="2"/>
  <c r="X417" i="2" s="1"/>
  <c r="U417" i="2"/>
  <c r="R417" i="2"/>
  <c r="O417" i="2"/>
  <c r="N417" i="2"/>
  <c r="L417" i="2"/>
  <c r="H417" i="2"/>
  <c r="I417" i="2" s="1"/>
  <c r="F417" i="2"/>
  <c r="C417" i="2"/>
  <c r="AC416" i="2"/>
  <c r="AD416" i="2" s="1"/>
  <c r="AA416" i="2"/>
  <c r="W416" i="2"/>
  <c r="U416" i="2"/>
  <c r="R416" i="2"/>
  <c r="N416" i="2"/>
  <c r="O416" i="2" s="1"/>
  <c r="L416" i="2"/>
  <c r="I416" i="2"/>
  <c r="H416" i="2"/>
  <c r="F416" i="2"/>
  <c r="C416" i="2"/>
  <c r="AC415" i="2"/>
  <c r="AD415" i="2" s="1"/>
  <c r="AA415" i="2"/>
  <c r="X415" i="2"/>
  <c r="W415" i="2"/>
  <c r="U415" i="2"/>
  <c r="R415" i="2"/>
  <c r="N415" i="2"/>
  <c r="O415" i="2" s="1"/>
  <c r="L415" i="2"/>
  <c r="H415" i="2"/>
  <c r="I415" i="2" s="1"/>
  <c r="F415" i="2"/>
  <c r="C415" i="2"/>
  <c r="AC414" i="2"/>
  <c r="AA414" i="2"/>
  <c r="X414" i="2"/>
  <c r="W414" i="2"/>
  <c r="U414" i="2"/>
  <c r="R414" i="2"/>
  <c r="O414" i="2"/>
  <c r="N414" i="2"/>
  <c r="L414" i="2"/>
  <c r="I414" i="2"/>
  <c r="H414" i="2"/>
  <c r="F414" i="2"/>
  <c r="C414" i="2"/>
  <c r="AC413" i="2"/>
  <c r="AD413" i="2" s="1"/>
  <c r="AA413" i="2"/>
  <c r="W413" i="2"/>
  <c r="U413" i="2"/>
  <c r="R413" i="2"/>
  <c r="N413" i="2"/>
  <c r="O413" i="2" s="1"/>
  <c r="L413" i="2"/>
  <c r="H413" i="2"/>
  <c r="I413" i="2" s="1"/>
  <c r="F413" i="2"/>
  <c r="C413" i="2"/>
  <c r="AC412" i="2"/>
  <c r="AD412" i="2" s="1"/>
  <c r="AA412" i="2"/>
  <c r="X412" i="2"/>
  <c r="W412" i="2"/>
  <c r="U412" i="2"/>
  <c r="R412" i="2"/>
  <c r="N412" i="2"/>
  <c r="O412" i="2" s="1"/>
  <c r="L412" i="2"/>
  <c r="H412" i="2"/>
  <c r="I412" i="2" s="1"/>
  <c r="F412" i="2"/>
  <c r="C412" i="2"/>
  <c r="AD411" i="2"/>
  <c r="AC411" i="2"/>
  <c r="AA411" i="2"/>
  <c r="X411" i="2"/>
  <c r="W411" i="2"/>
  <c r="U411" i="2"/>
  <c r="R411" i="2"/>
  <c r="N411" i="2"/>
  <c r="O411" i="2" s="1"/>
  <c r="L411" i="2"/>
  <c r="H411" i="2"/>
  <c r="I411" i="2" s="1"/>
  <c r="F411" i="2"/>
  <c r="C411" i="2"/>
  <c r="AC410" i="2"/>
  <c r="AD410" i="2" s="1"/>
  <c r="AA410" i="2"/>
  <c r="X410" i="2"/>
  <c r="W410" i="2"/>
  <c r="U410" i="2"/>
  <c r="R410" i="2"/>
  <c r="O410" i="2"/>
  <c r="N410" i="2"/>
  <c r="L410" i="2"/>
  <c r="H410" i="2"/>
  <c r="I410" i="2" s="1"/>
  <c r="F410" i="2"/>
  <c r="C410" i="2"/>
  <c r="AC409" i="2"/>
  <c r="AD409" i="2" s="1"/>
  <c r="AA409" i="2"/>
  <c r="W409" i="2"/>
  <c r="X409" i="2" s="1"/>
  <c r="U409" i="2"/>
  <c r="R409" i="2"/>
  <c r="O409" i="2"/>
  <c r="N409" i="2"/>
  <c r="L409" i="2"/>
  <c r="H409" i="2"/>
  <c r="I409" i="2" s="1"/>
  <c r="F409" i="2"/>
  <c r="C409" i="2"/>
  <c r="AC408" i="2"/>
  <c r="AD408" i="2" s="1"/>
  <c r="AA408" i="2"/>
  <c r="W408" i="2"/>
  <c r="U408" i="2"/>
  <c r="R408" i="2"/>
  <c r="N408" i="2"/>
  <c r="O408" i="2" s="1"/>
  <c r="L408" i="2"/>
  <c r="I408" i="2"/>
  <c r="H408" i="2"/>
  <c r="F408" i="2"/>
  <c r="C408" i="2"/>
  <c r="AC407" i="2"/>
  <c r="AD407" i="2" s="1"/>
  <c r="AA407" i="2"/>
  <c r="X407" i="2"/>
  <c r="W407" i="2"/>
  <c r="U407" i="2"/>
  <c r="R407" i="2"/>
  <c r="N407" i="2"/>
  <c r="O407" i="2" s="1"/>
  <c r="L407" i="2"/>
  <c r="H407" i="2"/>
  <c r="I407" i="2" s="1"/>
  <c r="F407" i="2"/>
  <c r="C407" i="2"/>
  <c r="Z403" i="2"/>
  <c r="U403" i="2"/>
  <c r="T403" i="2"/>
  <c r="Q403" i="2"/>
  <c r="W403" i="2" s="1"/>
  <c r="X403" i="2" s="1"/>
  <c r="K403" i="2"/>
  <c r="L403" i="2" s="1"/>
  <c r="I403" i="2"/>
  <c r="H403" i="2"/>
  <c r="E403" i="2"/>
  <c r="F403" i="2" s="1"/>
  <c r="B403" i="2"/>
  <c r="C403" i="2" s="1"/>
  <c r="AC402" i="2"/>
  <c r="AD402" i="2" s="1"/>
  <c r="AA402" i="2"/>
  <c r="W402" i="2"/>
  <c r="X402" i="2" s="1"/>
  <c r="U402" i="2"/>
  <c r="R402" i="2"/>
  <c r="O402" i="2"/>
  <c r="N402" i="2"/>
  <c r="L402" i="2"/>
  <c r="H402" i="2"/>
  <c r="I402" i="2" s="1"/>
  <c r="F402" i="2"/>
  <c r="C402" i="2"/>
  <c r="AC401" i="2"/>
  <c r="AD401" i="2" s="1"/>
  <c r="AA401" i="2"/>
  <c r="W401" i="2"/>
  <c r="X401" i="2" s="1"/>
  <c r="U401" i="2"/>
  <c r="R401" i="2"/>
  <c r="O401" i="2"/>
  <c r="N401" i="2"/>
  <c r="L401" i="2"/>
  <c r="H401" i="2"/>
  <c r="I401" i="2" s="1"/>
  <c r="F401" i="2"/>
  <c r="C401" i="2"/>
  <c r="AC400" i="2"/>
  <c r="AD400" i="2" s="1"/>
  <c r="AA400" i="2"/>
  <c r="W400" i="2"/>
  <c r="U400" i="2"/>
  <c r="R400" i="2"/>
  <c r="O400" i="2"/>
  <c r="N400" i="2"/>
  <c r="L400" i="2"/>
  <c r="I400" i="2"/>
  <c r="H400" i="2"/>
  <c r="F400" i="2"/>
  <c r="C400" i="2"/>
  <c r="AD399" i="2"/>
  <c r="AC399" i="2"/>
  <c r="AA399" i="2"/>
  <c r="W399" i="2"/>
  <c r="X399" i="2" s="1"/>
  <c r="U399" i="2"/>
  <c r="R399" i="2"/>
  <c r="N399" i="2"/>
  <c r="O399" i="2" s="1"/>
  <c r="L399" i="2"/>
  <c r="I399" i="2"/>
  <c r="H399" i="2"/>
  <c r="F399" i="2"/>
  <c r="C399" i="2"/>
  <c r="AC398" i="2"/>
  <c r="AA398" i="2"/>
  <c r="W398" i="2"/>
  <c r="X398" i="2" s="1"/>
  <c r="U398" i="2"/>
  <c r="R398" i="2"/>
  <c r="O398" i="2"/>
  <c r="N398" i="2"/>
  <c r="L398" i="2"/>
  <c r="H398" i="2"/>
  <c r="I398" i="2" s="1"/>
  <c r="F398" i="2"/>
  <c r="C398" i="2"/>
  <c r="AC397" i="2"/>
  <c r="AD397" i="2" s="1"/>
  <c r="AA397" i="2"/>
  <c r="W397" i="2"/>
  <c r="U397" i="2"/>
  <c r="R397" i="2"/>
  <c r="O397" i="2"/>
  <c r="N397" i="2"/>
  <c r="L397" i="2"/>
  <c r="H397" i="2"/>
  <c r="I397" i="2" s="1"/>
  <c r="F397" i="2"/>
  <c r="C397" i="2"/>
  <c r="AA396" i="2"/>
  <c r="Z396" i="2"/>
  <c r="AC396" i="2" s="1"/>
  <c r="AD396" i="2" s="1"/>
  <c r="T396" i="2"/>
  <c r="U396" i="2" s="1"/>
  <c r="R396" i="2"/>
  <c r="Q396" i="2"/>
  <c r="K396" i="2"/>
  <c r="L396" i="2" s="1"/>
  <c r="F396" i="2"/>
  <c r="E396" i="2"/>
  <c r="B396" i="2"/>
  <c r="C396" i="2" s="1"/>
  <c r="AC395" i="2"/>
  <c r="AD395" i="2" s="1"/>
  <c r="AA395" i="2"/>
  <c r="X395" i="2"/>
  <c r="W395" i="2"/>
  <c r="U395" i="2"/>
  <c r="R395" i="2"/>
  <c r="N395" i="2"/>
  <c r="L395" i="2"/>
  <c r="I395" i="2"/>
  <c r="H395" i="2"/>
  <c r="F395" i="2"/>
  <c r="C395" i="2"/>
  <c r="AD394" i="2"/>
  <c r="AC394" i="2"/>
  <c r="AA394" i="2"/>
  <c r="W394" i="2"/>
  <c r="X394" i="2" s="1"/>
  <c r="U394" i="2"/>
  <c r="R394" i="2"/>
  <c r="N394" i="2"/>
  <c r="O394" i="2" s="1"/>
  <c r="L394" i="2"/>
  <c r="H394" i="2"/>
  <c r="F394" i="2"/>
  <c r="C394" i="2"/>
  <c r="Z393" i="2"/>
  <c r="AA393" i="2" s="1"/>
  <c r="U393" i="2"/>
  <c r="T393" i="2"/>
  <c r="Q393" i="2"/>
  <c r="W393" i="2" s="1"/>
  <c r="X393" i="2" s="1"/>
  <c r="K393" i="2"/>
  <c r="L393" i="2" s="1"/>
  <c r="H393" i="2"/>
  <c r="I393" i="2" s="1"/>
  <c r="E393" i="2"/>
  <c r="F393" i="2" s="1"/>
  <c r="B393" i="2"/>
  <c r="C393" i="2" s="1"/>
  <c r="AC392" i="2"/>
  <c r="AD392" i="2" s="1"/>
  <c r="AA392" i="2"/>
  <c r="W392" i="2"/>
  <c r="X392" i="2" s="1"/>
  <c r="U392" i="2"/>
  <c r="R392" i="2"/>
  <c r="O392" i="2"/>
  <c r="N392" i="2"/>
  <c r="L392" i="2"/>
  <c r="H392" i="2"/>
  <c r="I392" i="2" s="1"/>
  <c r="F392" i="2"/>
  <c r="C392" i="2"/>
  <c r="AC391" i="2"/>
  <c r="AD391" i="2" s="1"/>
  <c r="AA391" i="2"/>
  <c r="W391" i="2"/>
  <c r="X391" i="2" s="1"/>
  <c r="U391" i="2"/>
  <c r="R391" i="2"/>
  <c r="O391" i="2"/>
  <c r="N391" i="2"/>
  <c r="L391" i="2"/>
  <c r="H391" i="2"/>
  <c r="I391" i="2" s="1"/>
  <c r="F391" i="2"/>
  <c r="C391" i="2"/>
  <c r="AC390" i="2"/>
  <c r="AD390" i="2" s="1"/>
  <c r="AA390" i="2"/>
  <c r="W390" i="2"/>
  <c r="U390" i="2"/>
  <c r="R390" i="2"/>
  <c r="O390" i="2"/>
  <c r="N390" i="2"/>
  <c r="L390" i="2"/>
  <c r="I390" i="2"/>
  <c r="H390" i="2"/>
  <c r="F390" i="2"/>
  <c r="C390" i="2"/>
  <c r="AD389" i="2"/>
  <c r="AC389" i="2"/>
  <c r="AA389" i="2"/>
  <c r="W389" i="2"/>
  <c r="X389" i="2" s="1"/>
  <c r="U389" i="2"/>
  <c r="R389" i="2"/>
  <c r="N389" i="2"/>
  <c r="O389" i="2" s="1"/>
  <c r="L389" i="2"/>
  <c r="H389" i="2"/>
  <c r="I389" i="2" s="1"/>
  <c r="F389" i="2"/>
  <c r="C389" i="2"/>
  <c r="AC388" i="2"/>
  <c r="AD388" i="2" s="1"/>
  <c r="AA388" i="2"/>
  <c r="X388" i="2"/>
  <c r="W388" i="2"/>
  <c r="U388" i="2"/>
  <c r="R388" i="2"/>
  <c r="O388" i="2"/>
  <c r="N388" i="2"/>
  <c r="L388" i="2"/>
  <c r="H388" i="2"/>
  <c r="I388" i="2" s="1"/>
  <c r="F388" i="2"/>
  <c r="C388" i="2"/>
  <c r="AC386" i="2"/>
  <c r="AD386" i="2" s="1"/>
  <c r="AA386" i="2"/>
  <c r="W386" i="2"/>
  <c r="X386" i="2" s="1"/>
  <c r="U386" i="2"/>
  <c r="R386" i="2"/>
  <c r="N386" i="2"/>
  <c r="O386" i="2" s="1"/>
  <c r="L386" i="2"/>
  <c r="H386" i="2"/>
  <c r="F386" i="2"/>
  <c r="C386" i="2"/>
  <c r="AD385" i="2"/>
  <c r="AC385" i="2"/>
  <c r="AA385" i="2"/>
  <c r="X385" i="2"/>
  <c r="W385" i="2"/>
  <c r="U385" i="2"/>
  <c r="R385" i="2"/>
  <c r="N385" i="2"/>
  <c r="O385" i="2" s="1"/>
  <c r="L385" i="2"/>
  <c r="H385" i="2"/>
  <c r="I385" i="2" s="1"/>
  <c r="F385" i="2"/>
  <c r="C385" i="2"/>
  <c r="AC383" i="2"/>
  <c r="AD383" i="2" s="1"/>
  <c r="AA383" i="2"/>
  <c r="X383" i="2"/>
  <c r="W383" i="2"/>
  <c r="U383" i="2"/>
  <c r="R383" i="2"/>
  <c r="N383" i="2"/>
  <c r="O383" i="2" s="1"/>
  <c r="L383" i="2"/>
  <c r="I383" i="2"/>
  <c r="H383" i="2"/>
  <c r="F383" i="2"/>
  <c r="C383" i="2"/>
  <c r="AC382" i="2"/>
  <c r="AD382" i="2" s="1"/>
  <c r="AA382" i="2"/>
  <c r="W382" i="2"/>
  <c r="X382" i="2" s="1"/>
  <c r="U382" i="2"/>
  <c r="R382" i="2"/>
  <c r="N382" i="2"/>
  <c r="L382" i="2"/>
  <c r="H382" i="2"/>
  <c r="I382" i="2" s="1"/>
  <c r="F382" i="2"/>
  <c r="C382" i="2"/>
  <c r="AD381" i="2"/>
  <c r="AC381" i="2"/>
  <c r="AA381" i="2"/>
  <c r="X381" i="2"/>
  <c r="W381" i="2"/>
  <c r="U381" i="2"/>
  <c r="R381" i="2"/>
  <c r="O381" i="2"/>
  <c r="N381" i="2"/>
  <c r="L381" i="2"/>
  <c r="H381" i="2"/>
  <c r="I381" i="2" s="1"/>
  <c r="F381" i="2"/>
  <c r="C381" i="2"/>
  <c r="AC380" i="2"/>
  <c r="AD380" i="2" s="1"/>
  <c r="AA380" i="2"/>
  <c r="X380" i="2"/>
  <c r="W380" i="2"/>
  <c r="U380" i="2"/>
  <c r="R380" i="2"/>
  <c r="N380" i="2"/>
  <c r="O380" i="2" s="1"/>
  <c r="L380" i="2"/>
  <c r="I380" i="2"/>
  <c r="H380" i="2"/>
  <c r="F380" i="2"/>
  <c r="C380" i="2"/>
  <c r="AD379" i="2"/>
  <c r="AC379" i="2"/>
  <c r="AA379" i="2"/>
  <c r="W379" i="2"/>
  <c r="X379" i="2" s="1"/>
  <c r="U379" i="2"/>
  <c r="R379" i="2"/>
  <c r="N379" i="2"/>
  <c r="O379" i="2" s="1"/>
  <c r="L379" i="2"/>
  <c r="H379" i="2"/>
  <c r="I379" i="2" s="1"/>
  <c r="F379" i="2"/>
  <c r="C379" i="2"/>
  <c r="AC378" i="2"/>
  <c r="AA378" i="2"/>
  <c r="X378" i="2"/>
  <c r="W378" i="2"/>
  <c r="U378" i="2"/>
  <c r="R378" i="2"/>
  <c r="O378" i="2"/>
  <c r="N378" i="2"/>
  <c r="L378" i="2"/>
  <c r="H378" i="2"/>
  <c r="I378" i="2" s="1"/>
  <c r="F378" i="2"/>
  <c r="C378" i="2"/>
  <c r="AC377" i="2"/>
  <c r="AD377" i="2" s="1"/>
  <c r="AA377" i="2"/>
  <c r="W377" i="2"/>
  <c r="X377" i="2" s="1"/>
  <c r="U377" i="2"/>
  <c r="R377" i="2"/>
  <c r="N377" i="2"/>
  <c r="O377" i="2" s="1"/>
  <c r="L377" i="2"/>
  <c r="H377" i="2"/>
  <c r="I377" i="2" s="1"/>
  <c r="F377" i="2"/>
  <c r="C377" i="2"/>
  <c r="AD376" i="2"/>
  <c r="AC376" i="2"/>
  <c r="AA376" i="2"/>
  <c r="X376" i="2"/>
  <c r="W376" i="2"/>
  <c r="U376" i="2"/>
  <c r="R376" i="2"/>
  <c r="N376" i="2"/>
  <c r="O376" i="2" s="1"/>
  <c r="L376" i="2"/>
  <c r="H376" i="2"/>
  <c r="I376" i="2" s="1"/>
  <c r="F376" i="2"/>
  <c r="C376" i="2"/>
  <c r="AC375" i="2"/>
  <c r="AD375" i="2" s="1"/>
  <c r="AA375" i="2"/>
  <c r="W375" i="2"/>
  <c r="X375" i="2" s="1"/>
  <c r="U375" i="2"/>
  <c r="R375" i="2"/>
  <c r="O375" i="2"/>
  <c r="N375" i="2"/>
  <c r="L375" i="2"/>
  <c r="I375" i="2"/>
  <c r="H375" i="2"/>
  <c r="F375" i="2"/>
  <c r="C375" i="2"/>
  <c r="AC374" i="2"/>
  <c r="AD374" i="2" s="1"/>
  <c r="AA374" i="2"/>
  <c r="W374" i="2"/>
  <c r="X374" i="2" s="1"/>
  <c r="U374" i="2"/>
  <c r="R374" i="2"/>
  <c r="O374" i="2"/>
  <c r="N374" i="2"/>
  <c r="L374" i="2"/>
  <c r="I374" i="2"/>
  <c r="H374" i="2"/>
  <c r="F374" i="2"/>
  <c r="C374" i="2"/>
  <c r="AC373" i="2"/>
  <c r="AD373" i="2" s="1"/>
  <c r="AA373" i="2"/>
  <c r="X373" i="2"/>
  <c r="W373" i="2"/>
  <c r="U373" i="2"/>
  <c r="R373" i="2"/>
  <c r="O373" i="2"/>
  <c r="N373" i="2"/>
  <c r="L373" i="2"/>
  <c r="H373" i="2"/>
  <c r="I373" i="2" s="1"/>
  <c r="F373" i="2"/>
  <c r="C373" i="2"/>
  <c r="AC372" i="2"/>
  <c r="AD372" i="2" s="1"/>
  <c r="AA372" i="2"/>
  <c r="W372" i="2"/>
  <c r="U372" i="2"/>
  <c r="R372" i="2"/>
  <c r="O372" i="2"/>
  <c r="N372" i="2"/>
  <c r="L372" i="2"/>
  <c r="I372" i="2"/>
  <c r="H372" i="2"/>
  <c r="F372" i="2"/>
  <c r="C372" i="2"/>
  <c r="AD371" i="2"/>
  <c r="AC371" i="2"/>
  <c r="AA371" i="2"/>
  <c r="W371" i="2"/>
  <c r="X371" i="2" s="1"/>
  <c r="U371" i="2"/>
  <c r="R371" i="2"/>
  <c r="N371" i="2"/>
  <c r="O371" i="2" s="1"/>
  <c r="L371" i="2"/>
  <c r="H371" i="2"/>
  <c r="I371" i="2" s="1"/>
  <c r="F371" i="2"/>
  <c r="C371" i="2"/>
  <c r="AC370" i="2"/>
  <c r="AD370" i="2" s="1"/>
  <c r="AA370" i="2"/>
  <c r="X370" i="2"/>
  <c r="W370" i="2"/>
  <c r="U370" i="2"/>
  <c r="R370" i="2"/>
  <c r="O370" i="2"/>
  <c r="N370" i="2"/>
  <c r="L370" i="2"/>
  <c r="H370" i="2"/>
  <c r="I370" i="2" s="1"/>
  <c r="F370" i="2"/>
  <c r="C370" i="2"/>
  <c r="AC369" i="2"/>
  <c r="AD369" i="2" s="1"/>
  <c r="AA369" i="2"/>
  <c r="W369" i="2"/>
  <c r="X369" i="2" s="1"/>
  <c r="U369" i="2"/>
  <c r="R369" i="2"/>
  <c r="N369" i="2"/>
  <c r="O369" i="2" s="1"/>
  <c r="L369" i="2"/>
  <c r="H369" i="2"/>
  <c r="F369" i="2"/>
  <c r="C369" i="2"/>
  <c r="Z368" i="2"/>
  <c r="AA368" i="2" s="1"/>
  <c r="W368" i="2"/>
  <c r="X368" i="2" s="1"/>
  <c r="T368" i="2"/>
  <c r="U368" i="2" s="1"/>
  <c r="Q368" i="2"/>
  <c r="R368" i="2" s="1"/>
  <c r="K368" i="2"/>
  <c r="L368" i="2" s="1"/>
  <c r="E368" i="2"/>
  <c r="F368" i="2" s="1"/>
  <c r="C368" i="2"/>
  <c r="B368" i="2"/>
  <c r="H368" i="2" s="1"/>
  <c r="I368" i="2" s="1"/>
  <c r="AC367" i="2"/>
  <c r="AA367" i="2"/>
  <c r="X367" i="2"/>
  <c r="W367" i="2"/>
  <c r="U367" i="2"/>
  <c r="R367" i="2"/>
  <c r="O367" i="2"/>
  <c r="N367" i="2"/>
  <c r="L367" i="2"/>
  <c r="H367" i="2"/>
  <c r="I367" i="2" s="1"/>
  <c r="F367" i="2"/>
  <c r="C367" i="2"/>
  <c r="AC366" i="2"/>
  <c r="AD366" i="2" s="1"/>
  <c r="AA366" i="2"/>
  <c r="W366" i="2"/>
  <c r="X366" i="2" s="1"/>
  <c r="U366" i="2"/>
  <c r="R366" i="2"/>
  <c r="N366" i="2"/>
  <c r="O366" i="2" s="1"/>
  <c r="L366" i="2"/>
  <c r="H366" i="2"/>
  <c r="I366" i="2" s="1"/>
  <c r="F366" i="2"/>
  <c r="C366" i="2"/>
  <c r="AD365" i="2"/>
  <c r="AC365" i="2"/>
  <c r="AA365" i="2"/>
  <c r="X365" i="2"/>
  <c r="W365" i="2"/>
  <c r="U365" i="2"/>
  <c r="R365" i="2"/>
  <c r="N365" i="2"/>
  <c r="O365" i="2" s="1"/>
  <c r="L365" i="2"/>
  <c r="H365" i="2"/>
  <c r="I365" i="2" s="1"/>
  <c r="F365" i="2"/>
  <c r="C365" i="2"/>
  <c r="AC364" i="2"/>
  <c r="AD364" i="2" s="1"/>
  <c r="AA364" i="2"/>
  <c r="W364" i="2"/>
  <c r="X364" i="2" s="1"/>
  <c r="U364" i="2"/>
  <c r="R364" i="2"/>
  <c r="O364" i="2"/>
  <c r="N364" i="2"/>
  <c r="L364" i="2"/>
  <c r="I364" i="2"/>
  <c r="H364" i="2"/>
  <c r="F364" i="2"/>
  <c r="C364" i="2"/>
  <c r="AC363" i="2"/>
  <c r="AD363" i="2" s="1"/>
  <c r="AA363" i="2"/>
  <c r="W363" i="2"/>
  <c r="X363" i="2" s="1"/>
  <c r="U363" i="2"/>
  <c r="R363" i="2"/>
  <c r="O363" i="2"/>
  <c r="N363" i="2"/>
  <c r="L363" i="2"/>
  <c r="I363" i="2"/>
  <c r="H363" i="2"/>
  <c r="F363" i="2"/>
  <c r="C363" i="2"/>
  <c r="AC362" i="2"/>
  <c r="AD362" i="2" s="1"/>
  <c r="AA362" i="2"/>
  <c r="W362" i="2"/>
  <c r="X362" i="2" s="1"/>
  <c r="U362" i="2"/>
  <c r="R362" i="2"/>
  <c r="O362" i="2"/>
  <c r="N362" i="2"/>
  <c r="L362" i="2"/>
  <c r="H362" i="2"/>
  <c r="I362" i="2" s="1"/>
  <c r="F362" i="2"/>
  <c r="C362" i="2"/>
  <c r="AC361" i="2"/>
  <c r="AD361" i="2" s="1"/>
  <c r="AA361" i="2"/>
  <c r="W361" i="2"/>
  <c r="U361" i="2"/>
  <c r="R361" i="2"/>
  <c r="O361" i="2"/>
  <c r="N361" i="2"/>
  <c r="L361" i="2"/>
  <c r="I361" i="2"/>
  <c r="H361" i="2"/>
  <c r="F361" i="2"/>
  <c r="C361" i="2"/>
  <c r="AC360" i="2"/>
  <c r="AD360" i="2" s="1"/>
  <c r="AA360" i="2"/>
  <c r="W360" i="2"/>
  <c r="X360" i="2" s="1"/>
  <c r="U360" i="2"/>
  <c r="R360" i="2"/>
  <c r="N360" i="2"/>
  <c r="O360" i="2" s="1"/>
  <c r="L360" i="2"/>
  <c r="H360" i="2"/>
  <c r="I360" i="2" s="1"/>
  <c r="F360" i="2"/>
  <c r="C360" i="2"/>
  <c r="Z358" i="2"/>
  <c r="AC358" i="2" s="1"/>
  <c r="AD358" i="2" s="1"/>
  <c r="T358" i="2"/>
  <c r="W358" i="2" s="1"/>
  <c r="X358" i="2" s="1"/>
  <c r="Q358" i="2"/>
  <c r="R358" i="2" s="1"/>
  <c r="K358" i="2"/>
  <c r="L358" i="2" s="1"/>
  <c r="H358" i="2"/>
  <c r="I358" i="2" s="1"/>
  <c r="E358" i="2"/>
  <c r="F358" i="2" s="1"/>
  <c r="B358" i="2"/>
  <c r="C358" i="2" s="1"/>
  <c r="AC357" i="2"/>
  <c r="AD357" i="2" s="1"/>
  <c r="AA357" i="2"/>
  <c r="W357" i="2"/>
  <c r="U357" i="2"/>
  <c r="R357" i="2"/>
  <c r="N357" i="2"/>
  <c r="O357" i="2" s="1"/>
  <c r="L357" i="2"/>
  <c r="I357" i="2"/>
  <c r="H357" i="2"/>
  <c r="F357" i="2"/>
  <c r="C357" i="2"/>
  <c r="AC356" i="2"/>
  <c r="AD356" i="2" s="1"/>
  <c r="AA356" i="2"/>
  <c r="W356" i="2"/>
  <c r="X356" i="2" s="1"/>
  <c r="U356" i="2"/>
  <c r="R356" i="2"/>
  <c r="O356" i="2"/>
  <c r="N356" i="2"/>
  <c r="L356" i="2"/>
  <c r="H356" i="2"/>
  <c r="I356" i="2" s="1"/>
  <c r="F356" i="2"/>
  <c r="C356" i="2"/>
  <c r="AC355" i="2"/>
  <c r="AD355" i="2" s="1"/>
  <c r="AA355" i="2"/>
  <c r="W355" i="2"/>
  <c r="X355" i="2" s="1"/>
  <c r="U355" i="2"/>
  <c r="R355" i="2"/>
  <c r="O355" i="2"/>
  <c r="N355" i="2"/>
  <c r="L355" i="2"/>
  <c r="I355" i="2"/>
  <c r="H355" i="2"/>
  <c r="F355" i="2"/>
  <c r="C355" i="2"/>
  <c r="AC354" i="2"/>
  <c r="AD354" i="2" s="1"/>
  <c r="AA354" i="2"/>
  <c r="X354" i="2"/>
  <c r="W354" i="2"/>
  <c r="U354" i="2"/>
  <c r="R354" i="2"/>
  <c r="N354" i="2"/>
  <c r="O354" i="2" s="1"/>
  <c r="L354" i="2"/>
  <c r="H354" i="2"/>
  <c r="I354" i="2" s="1"/>
  <c r="F354" i="2"/>
  <c r="C354" i="2"/>
  <c r="AC353" i="2"/>
  <c r="AD353" i="2" s="1"/>
  <c r="AA353" i="2"/>
  <c r="X353" i="2"/>
  <c r="W353" i="2"/>
  <c r="U353" i="2"/>
  <c r="R353" i="2"/>
  <c r="O353" i="2"/>
  <c r="N353" i="2"/>
  <c r="L353" i="2"/>
  <c r="H353" i="2"/>
  <c r="I353" i="2" s="1"/>
  <c r="F353" i="2"/>
  <c r="C353" i="2"/>
  <c r="AC352" i="2"/>
  <c r="AD352" i="2" s="1"/>
  <c r="AA352" i="2"/>
  <c r="W352" i="2"/>
  <c r="X352" i="2" s="1"/>
  <c r="U352" i="2"/>
  <c r="R352" i="2"/>
  <c r="N352" i="2"/>
  <c r="O352" i="2" s="1"/>
  <c r="L352" i="2"/>
  <c r="H352" i="2"/>
  <c r="I352" i="2" s="1"/>
  <c r="F352" i="2"/>
  <c r="C352" i="2"/>
  <c r="AC351" i="2"/>
  <c r="AD351" i="2" s="1"/>
  <c r="AA351" i="2"/>
  <c r="W351" i="2"/>
  <c r="X351" i="2" s="1"/>
  <c r="U351" i="2"/>
  <c r="R351" i="2"/>
  <c r="O351" i="2"/>
  <c r="N351" i="2"/>
  <c r="L351" i="2"/>
  <c r="H351" i="2"/>
  <c r="I351" i="2" s="1"/>
  <c r="F351" i="2"/>
  <c r="C351" i="2"/>
  <c r="AC350" i="2"/>
  <c r="AD350" i="2" s="1"/>
  <c r="AA350" i="2"/>
  <c r="X350" i="2"/>
  <c r="W350" i="2"/>
  <c r="U350" i="2"/>
  <c r="R350" i="2"/>
  <c r="N350" i="2"/>
  <c r="O350" i="2" s="1"/>
  <c r="L350" i="2"/>
  <c r="H350" i="2"/>
  <c r="I350" i="2" s="1"/>
  <c r="F350" i="2"/>
  <c r="C350" i="2"/>
  <c r="AC349" i="2"/>
  <c r="AD349" i="2" s="1"/>
  <c r="AA349" i="2"/>
  <c r="X349" i="2"/>
  <c r="W349" i="2"/>
  <c r="U349" i="2"/>
  <c r="R349" i="2"/>
  <c r="N349" i="2"/>
  <c r="O349" i="2" s="1"/>
  <c r="L349" i="2"/>
  <c r="H349" i="2"/>
  <c r="I349" i="2" s="1"/>
  <c r="F349" i="2"/>
  <c r="C349" i="2"/>
  <c r="AD347" i="2"/>
  <c r="AC347" i="2"/>
  <c r="AA347" i="2"/>
  <c r="X347" i="2"/>
  <c r="W347" i="2"/>
  <c r="U347" i="2"/>
  <c r="R347" i="2"/>
  <c r="N347" i="2"/>
  <c r="O347" i="2" s="1"/>
  <c r="L347" i="2"/>
  <c r="H347" i="2"/>
  <c r="I347" i="2" s="1"/>
  <c r="F347" i="2"/>
  <c r="C347" i="2"/>
  <c r="U345" i="2"/>
  <c r="Z344" i="2"/>
  <c r="AA344" i="2" s="1"/>
  <c r="W344" i="2"/>
  <c r="X344" i="2" s="1"/>
  <c r="T344" i="2"/>
  <c r="U344" i="2" s="1"/>
  <c r="Q344" i="2"/>
  <c r="R344" i="2" s="1"/>
  <c r="K344" i="2"/>
  <c r="L344" i="2" s="1"/>
  <c r="I344" i="2"/>
  <c r="F344" i="2"/>
  <c r="E344" i="2"/>
  <c r="B344" i="2"/>
  <c r="H344" i="2" s="1"/>
  <c r="AA343" i="2"/>
  <c r="Z343" i="2"/>
  <c r="T343" i="2"/>
  <c r="U343" i="2" s="1"/>
  <c r="Q343" i="2"/>
  <c r="R343" i="2" s="1"/>
  <c r="N343" i="2"/>
  <c r="O343" i="2" s="1"/>
  <c r="L343" i="2"/>
  <c r="K343" i="2"/>
  <c r="E343" i="2"/>
  <c r="F343" i="2" s="1"/>
  <c r="C343" i="2"/>
  <c r="B343" i="2"/>
  <c r="AC342" i="2"/>
  <c r="AD342" i="2" s="1"/>
  <c r="Z342" i="2"/>
  <c r="AA342" i="2" s="1"/>
  <c r="T342" i="2"/>
  <c r="U342" i="2" s="1"/>
  <c r="Q342" i="2"/>
  <c r="K342" i="2"/>
  <c r="L342" i="2" s="1"/>
  <c r="F342" i="2"/>
  <c r="E342" i="2"/>
  <c r="C342" i="2"/>
  <c r="B342" i="2"/>
  <c r="AC341" i="2"/>
  <c r="AA341" i="2"/>
  <c r="W341" i="2"/>
  <c r="X341" i="2" s="1"/>
  <c r="U341" i="2"/>
  <c r="R341" i="2"/>
  <c r="O341" i="2"/>
  <c r="N341" i="2"/>
  <c r="L341" i="2"/>
  <c r="I341" i="2"/>
  <c r="H341" i="2"/>
  <c r="F341" i="2"/>
  <c r="C341" i="2"/>
  <c r="AC340" i="2"/>
  <c r="AD340" i="2" s="1"/>
  <c r="AA340" i="2"/>
  <c r="W340" i="2"/>
  <c r="X340" i="2" s="1"/>
  <c r="U340" i="2"/>
  <c r="R340" i="2"/>
  <c r="O340" i="2"/>
  <c r="N340" i="2"/>
  <c r="L340" i="2"/>
  <c r="H340" i="2"/>
  <c r="I340" i="2" s="1"/>
  <c r="F340" i="2"/>
  <c r="C340" i="2"/>
  <c r="AC339" i="2"/>
  <c r="AD339" i="2" s="1"/>
  <c r="AA339" i="2"/>
  <c r="X339" i="2"/>
  <c r="W339" i="2"/>
  <c r="U339" i="2"/>
  <c r="R339" i="2"/>
  <c r="O339" i="2"/>
  <c r="N339" i="2"/>
  <c r="L339" i="2"/>
  <c r="I339" i="2"/>
  <c r="H339" i="2"/>
  <c r="F339" i="2"/>
  <c r="C339" i="2"/>
  <c r="AC338" i="2"/>
  <c r="AD338" i="2" s="1"/>
  <c r="AA338" i="2"/>
  <c r="W338" i="2"/>
  <c r="X338" i="2" s="1"/>
  <c r="U338" i="2"/>
  <c r="R338" i="2"/>
  <c r="O338" i="2"/>
  <c r="N338" i="2"/>
  <c r="L338" i="2"/>
  <c r="H338" i="2"/>
  <c r="I338" i="2" s="1"/>
  <c r="F338" i="2"/>
  <c r="C338" i="2"/>
  <c r="AC337" i="2"/>
  <c r="AD337" i="2" s="1"/>
  <c r="AA337" i="2"/>
  <c r="W337" i="2"/>
  <c r="X337" i="2" s="1"/>
  <c r="U337" i="2"/>
  <c r="R337" i="2"/>
  <c r="O337" i="2"/>
  <c r="N337" i="2"/>
  <c r="L337" i="2"/>
  <c r="I337" i="2"/>
  <c r="H337" i="2"/>
  <c r="F337" i="2"/>
  <c r="C337" i="2"/>
  <c r="AC335" i="2"/>
  <c r="AD335" i="2" s="1"/>
  <c r="AA335" i="2"/>
  <c r="W335" i="2"/>
  <c r="X335" i="2" s="1"/>
  <c r="U335" i="2"/>
  <c r="R335" i="2"/>
  <c r="N335" i="2"/>
  <c r="O335" i="2" s="1"/>
  <c r="L335" i="2"/>
  <c r="H335" i="2"/>
  <c r="I335" i="2" s="1"/>
  <c r="F335" i="2"/>
  <c r="C335" i="2"/>
  <c r="AC334" i="2"/>
  <c r="AD334" i="2" s="1"/>
  <c r="AA334" i="2"/>
  <c r="X334" i="2"/>
  <c r="W334" i="2"/>
  <c r="U334" i="2"/>
  <c r="R334" i="2"/>
  <c r="O334" i="2"/>
  <c r="N334" i="2"/>
  <c r="L334" i="2"/>
  <c r="H334" i="2"/>
  <c r="I334" i="2" s="1"/>
  <c r="F334" i="2"/>
  <c r="C334" i="2"/>
  <c r="AC333" i="2"/>
  <c r="AD333" i="2" s="1"/>
  <c r="AA333" i="2"/>
  <c r="X333" i="2"/>
  <c r="W333" i="2"/>
  <c r="U333" i="2"/>
  <c r="R333" i="2"/>
  <c r="N333" i="2"/>
  <c r="O333" i="2" s="1"/>
  <c r="L333" i="2"/>
  <c r="H333" i="2"/>
  <c r="I333" i="2" s="1"/>
  <c r="F333" i="2"/>
  <c r="C333" i="2"/>
  <c r="AC332" i="2"/>
  <c r="AD332" i="2" s="1"/>
  <c r="AA332" i="2"/>
  <c r="W332" i="2"/>
  <c r="X332" i="2" s="1"/>
  <c r="U332" i="2"/>
  <c r="R332" i="2"/>
  <c r="O332" i="2"/>
  <c r="N332" i="2"/>
  <c r="L332" i="2"/>
  <c r="H332" i="2"/>
  <c r="I332" i="2" s="1"/>
  <c r="F332" i="2"/>
  <c r="C332" i="2"/>
  <c r="AD331" i="2"/>
  <c r="AC331" i="2"/>
  <c r="AA331" i="2"/>
  <c r="X331" i="2"/>
  <c r="W331" i="2"/>
  <c r="U331" i="2"/>
  <c r="R331" i="2"/>
  <c r="N331" i="2"/>
  <c r="O331" i="2" s="1"/>
  <c r="L331" i="2"/>
  <c r="H331" i="2"/>
  <c r="I331" i="2" s="1"/>
  <c r="F331" i="2"/>
  <c r="C331" i="2"/>
  <c r="AC330" i="2"/>
  <c r="AD330" i="2" s="1"/>
  <c r="AA330" i="2"/>
  <c r="X330" i="2"/>
  <c r="W330" i="2"/>
  <c r="U330" i="2"/>
  <c r="R330" i="2"/>
  <c r="N330" i="2"/>
  <c r="O330" i="2" s="1"/>
  <c r="L330" i="2"/>
  <c r="H330" i="2"/>
  <c r="I330" i="2" s="1"/>
  <c r="F330" i="2"/>
  <c r="C330" i="2"/>
  <c r="AD329" i="2"/>
  <c r="AC329" i="2"/>
  <c r="AA329" i="2"/>
  <c r="X329" i="2"/>
  <c r="W329" i="2"/>
  <c r="U329" i="2"/>
  <c r="R329" i="2"/>
  <c r="N329" i="2"/>
  <c r="O329" i="2" s="1"/>
  <c r="L329" i="2"/>
  <c r="H329" i="2"/>
  <c r="I329" i="2" s="1"/>
  <c r="F329" i="2"/>
  <c r="C329" i="2"/>
  <c r="AC328" i="2"/>
  <c r="AD328" i="2" s="1"/>
  <c r="AA328" i="2"/>
  <c r="X328" i="2"/>
  <c r="W328" i="2"/>
  <c r="U328" i="2"/>
  <c r="R328" i="2"/>
  <c r="N328" i="2"/>
  <c r="L328" i="2"/>
  <c r="H328" i="2"/>
  <c r="I328" i="2" s="1"/>
  <c r="F328" i="2"/>
  <c r="C328" i="2"/>
  <c r="Z325" i="2"/>
  <c r="AA325" i="2" s="1"/>
  <c r="U325" i="2"/>
  <c r="T325" i="2"/>
  <c r="Q325" i="2"/>
  <c r="K325" i="2"/>
  <c r="L325" i="2" s="1"/>
  <c r="E325" i="2"/>
  <c r="F325" i="2" s="1"/>
  <c r="B325" i="2"/>
  <c r="Z324" i="2"/>
  <c r="AC324" i="2" s="1"/>
  <c r="AD324" i="2" s="1"/>
  <c r="T324" i="2"/>
  <c r="R324" i="2"/>
  <c r="Q324" i="2"/>
  <c r="K324" i="2"/>
  <c r="N324" i="2" s="1"/>
  <c r="O324" i="2" s="1"/>
  <c r="E324" i="2"/>
  <c r="F324" i="2" s="1"/>
  <c r="B324" i="2"/>
  <c r="C324" i="2" s="1"/>
  <c r="AC323" i="2"/>
  <c r="AD323" i="2" s="1"/>
  <c r="AA323" i="2"/>
  <c r="W323" i="2"/>
  <c r="X323" i="2" s="1"/>
  <c r="U323" i="2"/>
  <c r="R323" i="2"/>
  <c r="N323" i="2"/>
  <c r="O323" i="2" s="1"/>
  <c r="L323" i="2"/>
  <c r="H323" i="2"/>
  <c r="I323" i="2" s="1"/>
  <c r="F323" i="2"/>
  <c r="C323" i="2"/>
  <c r="AD322" i="2"/>
  <c r="AC322" i="2"/>
  <c r="AA322" i="2"/>
  <c r="X322" i="2"/>
  <c r="W322" i="2"/>
  <c r="U322" i="2"/>
  <c r="R322" i="2"/>
  <c r="O322" i="2"/>
  <c r="N322" i="2"/>
  <c r="L322" i="2"/>
  <c r="H322" i="2"/>
  <c r="I322" i="2" s="1"/>
  <c r="F322" i="2"/>
  <c r="C322" i="2"/>
  <c r="AC321" i="2"/>
  <c r="AD321" i="2" s="1"/>
  <c r="AA321" i="2"/>
  <c r="W321" i="2"/>
  <c r="X321" i="2" s="1"/>
  <c r="U321" i="2"/>
  <c r="R321" i="2"/>
  <c r="O321" i="2"/>
  <c r="N321" i="2"/>
  <c r="L321" i="2"/>
  <c r="I321" i="2"/>
  <c r="H321" i="2"/>
  <c r="F321" i="2"/>
  <c r="C321" i="2"/>
  <c r="AC320" i="2"/>
  <c r="AD320" i="2" s="1"/>
  <c r="AA320" i="2"/>
  <c r="W320" i="2"/>
  <c r="X320" i="2" s="1"/>
  <c r="U320" i="2"/>
  <c r="R320" i="2"/>
  <c r="O320" i="2"/>
  <c r="N320" i="2"/>
  <c r="L320" i="2"/>
  <c r="I320" i="2"/>
  <c r="H320" i="2"/>
  <c r="F320" i="2"/>
  <c r="C320" i="2"/>
  <c r="AC319" i="2"/>
  <c r="AD319" i="2" s="1"/>
  <c r="AA319" i="2"/>
  <c r="W319" i="2"/>
  <c r="X319" i="2" s="1"/>
  <c r="U319" i="2"/>
  <c r="R319" i="2"/>
  <c r="O319" i="2"/>
  <c r="N319" i="2"/>
  <c r="L319" i="2"/>
  <c r="H319" i="2"/>
  <c r="I319" i="2" s="1"/>
  <c r="F319" i="2"/>
  <c r="C319" i="2"/>
  <c r="AC318" i="2"/>
  <c r="AD318" i="2" s="1"/>
  <c r="AA318" i="2"/>
  <c r="W318" i="2"/>
  <c r="U318" i="2"/>
  <c r="R318" i="2"/>
  <c r="O318" i="2"/>
  <c r="N318" i="2"/>
  <c r="L318" i="2"/>
  <c r="I318" i="2"/>
  <c r="H318" i="2"/>
  <c r="F318" i="2"/>
  <c r="C318" i="2"/>
  <c r="AC317" i="2"/>
  <c r="AD317" i="2" s="1"/>
  <c r="AA317" i="2"/>
  <c r="W317" i="2"/>
  <c r="X317" i="2" s="1"/>
  <c r="U317" i="2"/>
  <c r="R317" i="2"/>
  <c r="N317" i="2"/>
  <c r="O317" i="2" s="1"/>
  <c r="L317" i="2"/>
  <c r="H317" i="2"/>
  <c r="I317" i="2" s="1"/>
  <c r="F317" i="2"/>
  <c r="C317" i="2"/>
  <c r="AC316" i="2"/>
  <c r="AD316" i="2" s="1"/>
  <c r="AA316" i="2"/>
  <c r="W316" i="2"/>
  <c r="X316" i="2" s="1"/>
  <c r="U316" i="2"/>
  <c r="R316" i="2"/>
  <c r="O316" i="2"/>
  <c r="N316" i="2"/>
  <c r="L316" i="2"/>
  <c r="H316" i="2"/>
  <c r="I316" i="2" s="1"/>
  <c r="F316" i="2"/>
  <c r="C316" i="2"/>
  <c r="AD315" i="2"/>
  <c r="AC315" i="2"/>
  <c r="AA315" i="2"/>
  <c r="W315" i="2"/>
  <c r="X315" i="2" s="1"/>
  <c r="U315" i="2"/>
  <c r="R315" i="2"/>
  <c r="N315" i="2"/>
  <c r="O315" i="2" s="1"/>
  <c r="L315" i="2"/>
  <c r="H315" i="2"/>
  <c r="F315" i="2"/>
  <c r="C315" i="2"/>
  <c r="AC314" i="2"/>
  <c r="AD314" i="2" s="1"/>
  <c r="AA314" i="2"/>
  <c r="X314" i="2"/>
  <c r="W314" i="2"/>
  <c r="U314" i="2"/>
  <c r="R314" i="2"/>
  <c r="N314" i="2"/>
  <c r="O314" i="2" s="1"/>
  <c r="L314" i="2"/>
  <c r="H314" i="2"/>
  <c r="I314" i="2" s="1"/>
  <c r="F314" i="2"/>
  <c r="C314" i="2"/>
  <c r="AC313" i="2"/>
  <c r="AD313" i="2" s="1"/>
  <c r="AA313" i="2"/>
  <c r="X313" i="2"/>
  <c r="W313" i="2"/>
  <c r="U313" i="2"/>
  <c r="R313" i="2"/>
  <c r="N313" i="2"/>
  <c r="O313" i="2" s="1"/>
  <c r="L313" i="2"/>
  <c r="H313" i="2"/>
  <c r="I313" i="2" s="1"/>
  <c r="F313" i="2"/>
  <c r="C313" i="2"/>
  <c r="AC312" i="2"/>
  <c r="AD312" i="2" s="1"/>
  <c r="AA312" i="2"/>
  <c r="W312" i="2"/>
  <c r="X312" i="2" s="1"/>
  <c r="U312" i="2"/>
  <c r="R312" i="2"/>
  <c r="O312" i="2"/>
  <c r="N312" i="2"/>
  <c r="L312" i="2"/>
  <c r="H312" i="2"/>
  <c r="I312" i="2" s="1"/>
  <c r="F312" i="2"/>
  <c r="C312" i="2"/>
  <c r="AD311" i="2"/>
  <c r="AC311" i="2"/>
  <c r="AA311" i="2"/>
  <c r="X311" i="2"/>
  <c r="W311" i="2"/>
  <c r="U311" i="2"/>
  <c r="R311" i="2"/>
  <c r="N311" i="2"/>
  <c r="O311" i="2" s="1"/>
  <c r="L311" i="2"/>
  <c r="H311" i="2"/>
  <c r="I311" i="2" s="1"/>
  <c r="F311" i="2"/>
  <c r="C311" i="2"/>
  <c r="AC310" i="2"/>
  <c r="AD310" i="2" s="1"/>
  <c r="AA310" i="2"/>
  <c r="X310" i="2"/>
  <c r="W310" i="2"/>
  <c r="U310" i="2"/>
  <c r="R310" i="2"/>
  <c r="N310" i="2"/>
  <c r="O310" i="2" s="1"/>
  <c r="L310" i="2"/>
  <c r="H310" i="2"/>
  <c r="I310" i="2" s="1"/>
  <c r="F310" i="2"/>
  <c r="C310" i="2"/>
  <c r="AD309" i="2"/>
  <c r="AC309" i="2"/>
  <c r="AA309" i="2"/>
  <c r="X309" i="2"/>
  <c r="W309" i="2"/>
  <c r="U309" i="2"/>
  <c r="R309" i="2"/>
  <c r="N309" i="2"/>
  <c r="O309" i="2" s="1"/>
  <c r="L309" i="2"/>
  <c r="H309" i="2"/>
  <c r="I309" i="2" s="1"/>
  <c r="F309" i="2"/>
  <c r="C309" i="2"/>
  <c r="AC308" i="2"/>
  <c r="AD308" i="2" s="1"/>
  <c r="AA308" i="2"/>
  <c r="X308" i="2"/>
  <c r="W308" i="2"/>
  <c r="U308" i="2"/>
  <c r="R308" i="2"/>
  <c r="O308" i="2"/>
  <c r="N308" i="2"/>
  <c r="L308" i="2"/>
  <c r="H308" i="2"/>
  <c r="I308" i="2" s="1"/>
  <c r="F308" i="2"/>
  <c r="C308" i="2"/>
  <c r="AD307" i="2"/>
  <c r="AC307" i="2"/>
  <c r="AA307" i="2"/>
  <c r="W307" i="2"/>
  <c r="X307" i="2" s="1"/>
  <c r="U307" i="2"/>
  <c r="R307" i="2"/>
  <c r="N307" i="2"/>
  <c r="O307" i="2" s="1"/>
  <c r="L307" i="2"/>
  <c r="H307" i="2"/>
  <c r="I307" i="2" s="1"/>
  <c r="F307" i="2"/>
  <c r="C307" i="2"/>
  <c r="AD306" i="2"/>
  <c r="AC306" i="2"/>
  <c r="AA306" i="2"/>
  <c r="X306" i="2"/>
  <c r="W306" i="2"/>
  <c r="U306" i="2"/>
  <c r="R306" i="2"/>
  <c r="N306" i="2"/>
  <c r="O306" i="2" s="1"/>
  <c r="L306" i="2"/>
  <c r="H306" i="2"/>
  <c r="I306" i="2" s="1"/>
  <c r="F306" i="2"/>
  <c r="C306" i="2"/>
  <c r="AC305" i="2"/>
  <c r="AD305" i="2" s="1"/>
  <c r="AA305" i="2"/>
  <c r="W305" i="2"/>
  <c r="X305" i="2" s="1"/>
  <c r="U305" i="2"/>
  <c r="R305" i="2"/>
  <c r="O305" i="2"/>
  <c r="N305" i="2"/>
  <c r="L305" i="2"/>
  <c r="I305" i="2"/>
  <c r="H305" i="2"/>
  <c r="F305" i="2"/>
  <c r="C305" i="2"/>
  <c r="AC304" i="2"/>
  <c r="AD304" i="2" s="1"/>
  <c r="AA304" i="2"/>
  <c r="W304" i="2"/>
  <c r="X304" i="2" s="1"/>
  <c r="U304" i="2"/>
  <c r="R304" i="2"/>
  <c r="O304" i="2"/>
  <c r="N304" i="2"/>
  <c r="L304" i="2"/>
  <c r="I304" i="2"/>
  <c r="H304" i="2"/>
  <c r="F304" i="2"/>
  <c r="C304" i="2"/>
  <c r="AC303" i="2"/>
  <c r="AD303" i="2" s="1"/>
  <c r="AA303" i="2"/>
  <c r="W303" i="2"/>
  <c r="X303" i="2" s="1"/>
  <c r="U303" i="2"/>
  <c r="R303" i="2"/>
  <c r="O303" i="2"/>
  <c r="N303" i="2"/>
  <c r="L303" i="2"/>
  <c r="H303" i="2"/>
  <c r="I303" i="2" s="1"/>
  <c r="F303" i="2"/>
  <c r="C303" i="2"/>
  <c r="AC302" i="2"/>
  <c r="AD302" i="2" s="1"/>
  <c r="AA302" i="2"/>
  <c r="W302" i="2"/>
  <c r="U302" i="2"/>
  <c r="R302" i="2"/>
  <c r="O302" i="2"/>
  <c r="N302" i="2"/>
  <c r="L302" i="2"/>
  <c r="I302" i="2"/>
  <c r="H302" i="2"/>
  <c r="F302" i="2"/>
  <c r="C302" i="2"/>
  <c r="AC301" i="2"/>
  <c r="AD301" i="2" s="1"/>
  <c r="AA301" i="2"/>
  <c r="W301" i="2"/>
  <c r="X301" i="2" s="1"/>
  <c r="U301" i="2"/>
  <c r="R301" i="2"/>
  <c r="O301" i="2"/>
  <c r="N301" i="2"/>
  <c r="L301" i="2"/>
  <c r="H301" i="2"/>
  <c r="I301" i="2" s="1"/>
  <c r="F301" i="2"/>
  <c r="C301" i="2"/>
  <c r="AC300" i="2"/>
  <c r="AD300" i="2" s="1"/>
  <c r="AA300" i="2"/>
  <c r="W300" i="2"/>
  <c r="X300" i="2" s="1"/>
  <c r="U300" i="2"/>
  <c r="R300" i="2"/>
  <c r="O300" i="2"/>
  <c r="N300" i="2"/>
  <c r="L300" i="2"/>
  <c r="H300" i="2"/>
  <c r="I300" i="2" s="1"/>
  <c r="F300" i="2"/>
  <c r="C300" i="2"/>
  <c r="AD299" i="2"/>
  <c r="AC299" i="2"/>
  <c r="AA299" i="2"/>
  <c r="W299" i="2"/>
  <c r="X299" i="2" s="1"/>
  <c r="U299" i="2"/>
  <c r="R299" i="2"/>
  <c r="N299" i="2"/>
  <c r="O299" i="2" s="1"/>
  <c r="L299" i="2"/>
  <c r="H299" i="2"/>
  <c r="F299" i="2"/>
  <c r="C299" i="2"/>
  <c r="AC298" i="2"/>
  <c r="AD298" i="2" s="1"/>
  <c r="AA298" i="2"/>
  <c r="X298" i="2"/>
  <c r="W298" i="2"/>
  <c r="U298" i="2"/>
  <c r="R298" i="2"/>
  <c r="N298" i="2"/>
  <c r="O298" i="2" s="1"/>
  <c r="L298" i="2"/>
  <c r="H298" i="2"/>
  <c r="I298" i="2" s="1"/>
  <c r="F298" i="2"/>
  <c r="C298" i="2"/>
  <c r="AC297" i="2"/>
  <c r="AD297" i="2" s="1"/>
  <c r="AA297" i="2"/>
  <c r="X297" i="2"/>
  <c r="W297" i="2"/>
  <c r="U297" i="2"/>
  <c r="R297" i="2"/>
  <c r="N297" i="2"/>
  <c r="O297" i="2" s="1"/>
  <c r="L297" i="2"/>
  <c r="H297" i="2"/>
  <c r="I297" i="2" s="1"/>
  <c r="F297" i="2"/>
  <c r="C297" i="2"/>
  <c r="Z295" i="2"/>
  <c r="AA295" i="2" s="1"/>
  <c r="U295" i="2"/>
  <c r="T295" i="2"/>
  <c r="Q295" i="2"/>
  <c r="K295" i="2"/>
  <c r="L295" i="2" s="1"/>
  <c r="E295" i="2"/>
  <c r="F295" i="2" s="1"/>
  <c r="B295" i="2"/>
  <c r="AC294" i="2"/>
  <c r="AD294" i="2" s="1"/>
  <c r="AA294" i="2"/>
  <c r="X294" i="2"/>
  <c r="W294" i="2"/>
  <c r="U294" i="2"/>
  <c r="R294" i="2"/>
  <c r="O294" i="2"/>
  <c r="N294" i="2"/>
  <c r="L294" i="2"/>
  <c r="H294" i="2"/>
  <c r="I294" i="2" s="1"/>
  <c r="F294" i="2"/>
  <c r="C294" i="2"/>
  <c r="AC293" i="2"/>
  <c r="AD293" i="2" s="1"/>
  <c r="AA293" i="2"/>
  <c r="W293" i="2"/>
  <c r="X293" i="2" s="1"/>
  <c r="U293" i="2"/>
  <c r="R293" i="2"/>
  <c r="N293" i="2"/>
  <c r="O293" i="2" s="1"/>
  <c r="L293" i="2"/>
  <c r="H293" i="2"/>
  <c r="I293" i="2" s="1"/>
  <c r="F293" i="2"/>
  <c r="C293" i="2"/>
  <c r="AC292" i="2"/>
  <c r="AD292" i="2" s="1"/>
  <c r="AA292" i="2"/>
  <c r="X292" i="2"/>
  <c r="W292" i="2"/>
  <c r="U292" i="2"/>
  <c r="R292" i="2"/>
  <c r="O292" i="2"/>
  <c r="N292" i="2"/>
  <c r="L292" i="2"/>
  <c r="H292" i="2"/>
  <c r="I292" i="2" s="1"/>
  <c r="F292" i="2"/>
  <c r="C292" i="2"/>
  <c r="AC291" i="2"/>
  <c r="AD291" i="2" s="1"/>
  <c r="AA291" i="2"/>
  <c r="X291" i="2"/>
  <c r="W291" i="2"/>
  <c r="U291" i="2"/>
  <c r="R291" i="2"/>
  <c r="N291" i="2"/>
  <c r="O291" i="2" s="1"/>
  <c r="L291" i="2"/>
  <c r="H291" i="2"/>
  <c r="I291" i="2" s="1"/>
  <c r="F291" i="2"/>
  <c r="C291" i="2"/>
  <c r="AC290" i="2"/>
  <c r="AD290" i="2" s="1"/>
  <c r="AA290" i="2"/>
  <c r="X290" i="2"/>
  <c r="W290" i="2"/>
  <c r="U290" i="2"/>
  <c r="R290" i="2"/>
  <c r="N290" i="2"/>
  <c r="O290" i="2" s="1"/>
  <c r="L290" i="2"/>
  <c r="H290" i="2"/>
  <c r="I290" i="2" s="1"/>
  <c r="F290" i="2"/>
  <c r="C290" i="2"/>
  <c r="AD289" i="2"/>
  <c r="AC289" i="2"/>
  <c r="AA289" i="2"/>
  <c r="X289" i="2"/>
  <c r="W289" i="2"/>
  <c r="U289" i="2"/>
  <c r="R289" i="2"/>
  <c r="O289" i="2"/>
  <c r="N289" i="2"/>
  <c r="L289" i="2"/>
  <c r="H289" i="2"/>
  <c r="I289" i="2" s="1"/>
  <c r="F289" i="2"/>
  <c r="C289" i="2"/>
  <c r="AC288" i="2"/>
  <c r="AD288" i="2" s="1"/>
  <c r="AA288" i="2"/>
  <c r="X288" i="2"/>
  <c r="W288" i="2"/>
  <c r="U288" i="2"/>
  <c r="R288" i="2"/>
  <c r="N288" i="2"/>
  <c r="L288" i="2"/>
  <c r="I288" i="2"/>
  <c r="H288" i="2"/>
  <c r="F288" i="2"/>
  <c r="C288" i="2"/>
  <c r="AD287" i="2"/>
  <c r="AC287" i="2"/>
  <c r="AA287" i="2"/>
  <c r="W287" i="2"/>
  <c r="X287" i="2" s="1"/>
  <c r="U287" i="2"/>
  <c r="R287" i="2"/>
  <c r="O287" i="2"/>
  <c r="N287" i="2"/>
  <c r="L287" i="2"/>
  <c r="H287" i="2"/>
  <c r="I287" i="2" s="1"/>
  <c r="F287" i="2"/>
  <c r="C287" i="2"/>
  <c r="AD286" i="2"/>
  <c r="AC286" i="2"/>
  <c r="AA286" i="2"/>
  <c r="X286" i="2"/>
  <c r="W286" i="2"/>
  <c r="U286" i="2"/>
  <c r="R286" i="2"/>
  <c r="O286" i="2"/>
  <c r="N286" i="2"/>
  <c r="L286" i="2"/>
  <c r="I286" i="2"/>
  <c r="H286" i="2"/>
  <c r="F286" i="2"/>
  <c r="C286" i="2"/>
  <c r="AC284" i="2"/>
  <c r="AD284" i="2" s="1"/>
  <c r="AA284" i="2"/>
  <c r="Z284" i="2"/>
  <c r="T284" i="2"/>
  <c r="U284" i="2" s="1"/>
  <c r="Q284" i="2"/>
  <c r="R284" i="2" s="1"/>
  <c r="N284" i="2"/>
  <c r="O284" i="2" s="1"/>
  <c r="K284" i="2"/>
  <c r="L284" i="2" s="1"/>
  <c r="H284" i="2"/>
  <c r="I284" i="2" s="1"/>
  <c r="E284" i="2"/>
  <c r="F284" i="2" s="1"/>
  <c r="B284" i="2"/>
  <c r="C284" i="2" s="1"/>
  <c r="AD283" i="2"/>
  <c r="AC283" i="2"/>
  <c r="AA283" i="2"/>
  <c r="X283" i="2"/>
  <c r="W283" i="2"/>
  <c r="U283" i="2"/>
  <c r="R283" i="2"/>
  <c r="N283" i="2"/>
  <c r="O283" i="2" s="1"/>
  <c r="L283" i="2"/>
  <c r="H283" i="2"/>
  <c r="I283" i="2" s="1"/>
  <c r="F283" i="2"/>
  <c r="C283" i="2"/>
  <c r="AC282" i="2"/>
  <c r="AD282" i="2" s="1"/>
  <c r="AA282" i="2"/>
  <c r="X282" i="2"/>
  <c r="W282" i="2"/>
  <c r="U282" i="2"/>
  <c r="R282" i="2"/>
  <c r="N282" i="2"/>
  <c r="O282" i="2" s="1"/>
  <c r="L282" i="2"/>
  <c r="I282" i="2"/>
  <c r="H282" i="2"/>
  <c r="F282" i="2"/>
  <c r="C282" i="2"/>
  <c r="AD281" i="2"/>
  <c r="AC281" i="2"/>
  <c r="AA281" i="2"/>
  <c r="W281" i="2"/>
  <c r="X281" i="2" s="1"/>
  <c r="U281" i="2"/>
  <c r="R281" i="2"/>
  <c r="O281" i="2"/>
  <c r="N281" i="2"/>
  <c r="L281" i="2"/>
  <c r="H281" i="2"/>
  <c r="I281" i="2" s="1"/>
  <c r="F281" i="2"/>
  <c r="C281" i="2"/>
  <c r="AC280" i="2"/>
  <c r="AD280" i="2" s="1"/>
  <c r="AA280" i="2"/>
  <c r="X280" i="2"/>
  <c r="W280" i="2"/>
  <c r="U280" i="2"/>
  <c r="R280" i="2"/>
  <c r="O280" i="2"/>
  <c r="N280" i="2"/>
  <c r="L280" i="2"/>
  <c r="H280" i="2"/>
  <c r="I280" i="2" s="1"/>
  <c r="F280" i="2"/>
  <c r="C280" i="2"/>
  <c r="AC279" i="2"/>
  <c r="AD279" i="2" s="1"/>
  <c r="AA279" i="2"/>
  <c r="W279" i="2"/>
  <c r="X279" i="2" s="1"/>
  <c r="U279" i="2"/>
  <c r="R279" i="2"/>
  <c r="N279" i="2"/>
  <c r="O279" i="2" s="1"/>
  <c r="L279" i="2"/>
  <c r="H279" i="2"/>
  <c r="I279" i="2" s="1"/>
  <c r="F279" i="2"/>
  <c r="C279" i="2"/>
  <c r="AD278" i="2"/>
  <c r="AC278" i="2"/>
  <c r="AA278" i="2"/>
  <c r="X278" i="2"/>
  <c r="W278" i="2"/>
  <c r="U278" i="2"/>
  <c r="R278" i="2"/>
  <c r="O278" i="2"/>
  <c r="N278" i="2"/>
  <c r="L278" i="2"/>
  <c r="H278" i="2"/>
  <c r="I278" i="2" s="1"/>
  <c r="F278" i="2"/>
  <c r="C278" i="2"/>
  <c r="AC277" i="2"/>
  <c r="AD277" i="2" s="1"/>
  <c r="AA277" i="2"/>
  <c r="W277" i="2"/>
  <c r="X277" i="2" s="1"/>
  <c r="U277" i="2"/>
  <c r="R277" i="2"/>
  <c r="O277" i="2"/>
  <c r="N277" i="2"/>
  <c r="L277" i="2"/>
  <c r="I277" i="2"/>
  <c r="H277" i="2"/>
  <c r="F277" i="2"/>
  <c r="C277" i="2"/>
  <c r="AC276" i="2"/>
  <c r="AD276" i="2" s="1"/>
  <c r="AA276" i="2"/>
  <c r="W276" i="2"/>
  <c r="X276" i="2" s="1"/>
  <c r="U276" i="2"/>
  <c r="R276" i="2"/>
  <c r="O276" i="2"/>
  <c r="N276" i="2"/>
  <c r="L276" i="2"/>
  <c r="I276" i="2"/>
  <c r="H276" i="2"/>
  <c r="F276" i="2"/>
  <c r="C276" i="2"/>
  <c r="AC275" i="2"/>
  <c r="AD275" i="2" s="1"/>
  <c r="AA275" i="2"/>
  <c r="X275" i="2"/>
  <c r="W275" i="2"/>
  <c r="U275" i="2"/>
  <c r="R275" i="2"/>
  <c r="O275" i="2"/>
  <c r="N275" i="2"/>
  <c r="L275" i="2"/>
  <c r="H275" i="2"/>
  <c r="I275" i="2" s="1"/>
  <c r="F275" i="2"/>
  <c r="C275" i="2"/>
  <c r="AC273" i="2"/>
  <c r="AD273" i="2" s="1"/>
  <c r="AA273" i="2"/>
  <c r="Z273" i="2"/>
  <c r="U273" i="2"/>
  <c r="T273" i="2"/>
  <c r="W273" i="2" s="1"/>
  <c r="X273" i="2" s="1"/>
  <c r="R273" i="2"/>
  <c r="Q273" i="2"/>
  <c r="K273" i="2"/>
  <c r="L273" i="2" s="1"/>
  <c r="F273" i="2"/>
  <c r="E273" i="2"/>
  <c r="B273" i="2"/>
  <c r="AC272" i="2"/>
  <c r="AD272" i="2" s="1"/>
  <c r="AA272" i="2"/>
  <c r="W272" i="2"/>
  <c r="X272" i="2" s="1"/>
  <c r="U272" i="2"/>
  <c r="R272" i="2"/>
  <c r="O272" i="2"/>
  <c r="N272" i="2"/>
  <c r="L272" i="2"/>
  <c r="H272" i="2"/>
  <c r="I272" i="2" s="1"/>
  <c r="F272" i="2"/>
  <c r="C272" i="2"/>
  <c r="AD271" i="2"/>
  <c r="AC271" i="2"/>
  <c r="AA271" i="2"/>
  <c r="X271" i="2"/>
  <c r="W271" i="2"/>
  <c r="U271" i="2"/>
  <c r="R271" i="2"/>
  <c r="N271" i="2"/>
  <c r="O271" i="2" s="1"/>
  <c r="L271" i="2"/>
  <c r="H271" i="2"/>
  <c r="I271" i="2" s="1"/>
  <c r="F271" i="2"/>
  <c r="C271" i="2"/>
  <c r="AC270" i="2"/>
  <c r="AD270" i="2" s="1"/>
  <c r="AA270" i="2"/>
  <c r="X270" i="2"/>
  <c r="W270" i="2"/>
  <c r="U270" i="2"/>
  <c r="R270" i="2"/>
  <c r="N270" i="2"/>
  <c r="O270" i="2" s="1"/>
  <c r="L270" i="2"/>
  <c r="I270" i="2"/>
  <c r="H270" i="2"/>
  <c r="F270" i="2"/>
  <c r="C270" i="2"/>
  <c r="AD269" i="2"/>
  <c r="AC269" i="2"/>
  <c r="AA269" i="2"/>
  <c r="W269" i="2"/>
  <c r="X269" i="2" s="1"/>
  <c r="U269" i="2"/>
  <c r="R269" i="2"/>
  <c r="O269" i="2"/>
  <c r="N269" i="2"/>
  <c r="L269" i="2"/>
  <c r="H269" i="2"/>
  <c r="I269" i="2" s="1"/>
  <c r="F269" i="2"/>
  <c r="C269" i="2"/>
  <c r="Z267" i="2"/>
  <c r="AA267" i="2" s="1"/>
  <c r="U267" i="2"/>
  <c r="T267" i="2"/>
  <c r="Q267" i="2"/>
  <c r="N267" i="2"/>
  <c r="O267" i="2" s="1"/>
  <c r="L267" i="2"/>
  <c r="K267" i="2"/>
  <c r="E267" i="2"/>
  <c r="F267" i="2" s="1"/>
  <c r="C267" i="2"/>
  <c r="B267" i="2"/>
  <c r="AD266" i="2"/>
  <c r="AC266" i="2"/>
  <c r="AA266" i="2"/>
  <c r="X266" i="2"/>
  <c r="W266" i="2"/>
  <c r="U266" i="2"/>
  <c r="R266" i="2"/>
  <c r="N266" i="2"/>
  <c r="O266" i="2" s="1"/>
  <c r="L266" i="2"/>
  <c r="H266" i="2"/>
  <c r="I266" i="2" s="1"/>
  <c r="F266" i="2"/>
  <c r="C266" i="2"/>
  <c r="AD265" i="2"/>
  <c r="AC265" i="2"/>
  <c r="AA265" i="2"/>
  <c r="X265" i="2"/>
  <c r="W265" i="2"/>
  <c r="U265" i="2"/>
  <c r="R265" i="2"/>
  <c r="O265" i="2"/>
  <c r="N265" i="2"/>
  <c r="L265" i="2"/>
  <c r="I265" i="2"/>
  <c r="H265" i="2"/>
  <c r="F265" i="2"/>
  <c r="C265" i="2"/>
  <c r="AC263" i="2"/>
  <c r="AD263" i="2" s="1"/>
  <c r="AA263" i="2"/>
  <c r="Z263" i="2"/>
  <c r="W263" i="2"/>
  <c r="X263" i="2" s="1"/>
  <c r="U263" i="2"/>
  <c r="T263" i="2"/>
  <c r="Q263" i="2"/>
  <c r="R263" i="2" s="1"/>
  <c r="N263" i="2"/>
  <c r="O263" i="2" s="1"/>
  <c r="L263" i="2"/>
  <c r="K263" i="2"/>
  <c r="E263" i="2"/>
  <c r="F263" i="2" s="1"/>
  <c r="B263" i="2"/>
  <c r="C263" i="2" s="1"/>
  <c r="Z262" i="2"/>
  <c r="AA262" i="2" s="1"/>
  <c r="T262" i="2"/>
  <c r="U262" i="2" s="1"/>
  <c r="Q262" i="2"/>
  <c r="W262" i="2" s="1"/>
  <c r="X262" i="2" s="1"/>
  <c r="K262" i="2"/>
  <c r="L262" i="2" s="1"/>
  <c r="E262" i="2"/>
  <c r="F262" i="2" s="1"/>
  <c r="B262" i="2"/>
  <c r="AC261" i="2"/>
  <c r="AD261" i="2" s="1"/>
  <c r="AA261" i="2"/>
  <c r="X261" i="2"/>
  <c r="W261" i="2"/>
  <c r="U261" i="2"/>
  <c r="R261" i="2"/>
  <c r="O261" i="2"/>
  <c r="N261" i="2"/>
  <c r="L261" i="2"/>
  <c r="H261" i="2"/>
  <c r="I261" i="2" s="1"/>
  <c r="F261" i="2"/>
  <c r="C261" i="2"/>
  <c r="AD260" i="2"/>
  <c r="AC260" i="2"/>
  <c r="AA260" i="2"/>
  <c r="W260" i="2"/>
  <c r="X260" i="2" s="1"/>
  <c r="U260" i="2"/>
  <c r="R260" i="2"/>
  <c r="N260" i="2"/>
  <c r="O260" i="2" s="1"/>
  <c r="L260" i="2"/>
  <c r="H260" i="2"/>
  <c r="I260" i="2" s="1"/>
  <c r="F260" i="2"/>
  <c r="C260" i="2"/>
  <c r="AD259" i="2"/>
  <c r="AC259" i="2"/>
  <c r="AA259" i="2"/>
  <c r="X259" i="2"/>
  <c r="W259" i="2"/>
  <c r="U259" i="2"/>
  <c r="R259" i="2"/>
  <c r="N259" i="2"/>
  <c r="O259" i="2" s="1"/>
  <c r="L259" i="2"/>
  <c r="H259" i="2"/>
  <c r="I259" i="2" s="1"/>
  <c r="F259" i="2"/>
  <c r="C259" i="2"/>
  <c r="AC258" i="2"/>
  <c r="AD258" i="2" s="1"/>
  <c r="AA258" i="2"/>
  <c r="W258" i="2"/>
  <c r="X258" i="2" s="1"/>
  <c r="U258" i="2"/>
  <c r="R258" i="2"/>
  <c r="O258" i="2"/>
  <c r="N258" i="2"/>
  <c r="L258" i="2"/>
  <c r="I258" i="2"/>
  <c r="H258" i="2"/>
  <c r="F258" i="2"/>
  <c r="C258" i="2"/>
  <c r="AC257" i="2"/>
  <c r="AD257" i="2" s="1"/>
  <c r="AA257" i="2"/>
  <c r="W257" i="2"/>
  <c r="X257" i="2" s="1"/>
  <c r="U257" i="2"/>
  <c r="R257" i="2"/>
  <c r="O257" i="2"/>
  <c r="N257" i="2"/>
  <c r="L257" i="2"/>
  <c r="I257" i="2"/>
  <c r="H257" i="2"/>
  <c r="F257" i="2"/>
  <c r="C257" i="2"/>
  <c r="AC256" i="2"/>
  <c r="AD256" i="2" s="1"/>
  <c r="AA256" i="2"/>
  <c r="W256" i="2"/>
  <c r="X256" i="2" s="1"/>
  <c r="U256" i="2"/>
  <c r="R256" i="2"/>
  <c r="O256" i="2"/>
  <c r="N256" i="2"/>
  <c r="L256" i="2"/>
  <c r="H256" i="2"/>
  <c r="I256" i="2" s="1"/>
  <c r="F256" i="2"/>
  <c r="C256" i="2"/>
  <c r="AC255" i="2"/>
  <c r="AD255" i="2" s="1"/>
  <c r="AA255" i="2"/>
  <c r="W255" i="2"/>
  <c r="U255" i="2"/>
  <c r="R255" i="2"/>
  <c r="O255" i="2"/>
  <c r="N255" i="2"/>
  <c r="L255" i="2"/>
  <c r="I255" i="2"/>
  <c r="H255" i="2"/>
  <c r="F255" i="2"/>
  <c r="C255" i="2"/>
  <c r="AD254" i="2"/>
  <c r="AC254" i="2"/>
  <c r="AA254" i="2"/>
  <c r="W254" i="2"/>
  <c r="X254" i="2" s="1"/>
  <c r="U254" i="2"/>
  <c r="R254" i="2"/>
  <c r="N254" i="2"/>
  <c r="O254" i="2" s="1"/>
  <c r="L254" i="2"/>
  <c r="H254" i="2"/>
  <c r="I254" i="2" s="1"/>
  <c r="F254" i="2"/>
  <c r="C254" i="2"/>
  <c r="AC253" i="2"/>
  <c r="AD253" i="2" s="1"/>
  <c r="AA253" i="2"/>
  <c r="W253" i="2"/>
  <c r="X253" i="2" s="1"/>
  <c r="U253" i="2"/>
  <c r="R253" i="2"/>
  <c r="O253" i="2"/>
  <c r="N253" i="2"/>
  <c r="L253" i="2"/>
  <c r="H253" i="2"/>
  <c r="I253" i="2" s="1"/>
  <c r="F253" i="2"/>
  <c r="C253" i="2"/>
  <c r="AC252" i="2"/>
  <c r="AD252" i="2" s="1"/>
  <c r="AA252" i="2"/>
  <c r="X252" i="2"/>
  <c r="W252" i="2"/>
  <c r="U252" i="2"/>
  <c r="R252" i="2"/>
  <c r="N252" i="2"/>
  <c r="O252" i="2" s="1"/>
  <c r="L252" i="2"/>
  <c r="H252" i="2"/>
  <c r="F252" i="2"/>
  <c r="C252" i="2"/>
  <c r="AC251" i="2"/>
  <c r="AD251" i="2" s="1"/>
  <c r="AA251" i="2"/>
  <c r="X251" i="2"/>
  <c r="W251" i="2"/>
  <c r="U251" i="2"/>
  <c r="R251" i="2"/>
  <c r="O251" i="2"/>
  <c r="N251" i="2"/>
  <c r="L251" i="2"/>
  <c r="H251" i="2"/>
  <c r="I251" i="2" s="1"/>
  <c r="F251" i="2"/>
  <c r="C251" i="2"/>
  <c r="AC250" i="2"/>
  <c r="AD250" i="2" s="1"/>
  <c r="AA250" i="2"/>
  <c r="X250" i="2"/>
  <c r="W250" i="2"/>
  <c r="U250" i="2"/>
  <c r="R250" i="2"/>
  <c r="N250" i="2"/>
  <c r="O250" i="2" s="1"/>
  <c r="L250" i="2"/>
  <c r="H250" i="2"/>
  <c r="I250" i="2" s="1"/>
  <c r="F250" i="2"/>
  <c r="C250" i="2"/>
  <c r="AC249" i="2"/>
  <c r="AD249" i="2" s="1"/>
  <c r="AA249" i="2"/>
  <c r="W249" i="2"/>
  <c r="X249" i="2" s="1"/>
  <c r="U249" i="2"/>
  <c r="R249" i="2"/>
  <c r="O249" i="2"/>
  <c r="N249" i="2"/>
  <c r="L249" i="2"/>
  <c r="H249" i="2"/>
  <c r="I249" i="2" s="1"/>
  <c r="F249" i="2"/>
  <c r="C249" i="2"/>
  <c r="AD248" i="2"/>
  <c r="AC248" i="2"/>
  <c r="AA248" i="2"/>
  <c r="X248" i="2"/>
  <c r="W248" i="2"/>
  <c r="U248" i="2"/>
  <c r="R248" i="2"/>
  <c r="N248" i="2"/>
  <c r="O248" i="2" s="1"/>
  <c r="L248" i="2"/>
  <c r="H248" i="2"/>
  <c r="I248" i="2" s="1"/>
  <c r="F248" i="2"/>
  <c r="C248" i="2"/>
  <c r="AC247" i="2"/>
  <c r="AD247" i="2" s="1"/>
  <c r="AA247" i="2"/>
  <c r="X247" i="2"/>
  <c r="W247" i="2"/>
  <c r="U247" i="2"/>
  <c r="R247" i="2"/>
  <c r="N247" i="2"/>
  <c r="O247" i="2" s="1"/>
  <c r="L247" i="2"/>
  <c r="H247" i="2"/>
  <c r="I247" i="2" s="1"/>
  <c r="F247" i="2"/>
  <c r="C247" i="2"/>
  <c r="AD246" i="2"/>
  <c r="AC246" i="2"/>
  <c r="AA246" i="2"/>
  <c r="W246" i="2"/>
  <c r="X246" i="2" s="1"/>
  <c r="U246" i="2"/>
  <c r="R246" i="2"/>
  <c r="O246" i="2"/>
  <c r="N246" i="2"/>
  <c r="L246" i="2"/>
  <c r="I246" i="2"/>
  <c r="H246" i="2"/>
  <c r="F246" i="2"/>
  <c r="C246" i="2"/>
  <c r="AC245" i="2"/>
  <c r="AD245" i="2" s="1"/>
  <c r="AA245" i="2"/>
  <c r="X245" i="2"/>
  <c r="W245" i="2"/>
  <c r="U245" i="2"/>
  <c r="R245" i="2"/>
  <c r="O245" i="2"/>
  <c r="N245" i="2"/>
  <c r="L245" i="2"/>
  <c r="I245" i="2"/>
  <c r="H245" i="2"/>
  <c r="F245" i="2"/>
  <c r="C245" i="2"/>
  <c r="AC244" i="2"/>
  <c r="AD244" i="2" s="1"/>
  <c r="AA244" i="2"/>
  <c r="W244" i="2"/>
  <c r="X244" i="2" s="1"/>
  <c r="U244" i="2"/>
  <c r="R244" i="2"/>
  <c r="O244" i="2"/>
  <c r="N244" i="2"/>
  <c r="L244" i="2"/>
  <c r="H244" i="2"/>
  <c r="I244" i="2" s="1"/>
  <c r="F244" i="2"/>
  <c r="C244" i="2"/>
  <c r="AD243" i="2"/>
  <c r="AC243" i="2"/>
  <c r="AA243" i="2"/>
  <c r="X243" i="2"/>
  <c r="W243" i="2"/>
  <c r="U243" i="2"/>
  <c r="R243" i="2"/>
  <c r="N243" i="2"/>
  <c r="O243" i="2" s="1"/>
  <c r="L243" i="2"/>
  <c r="H243" i="2"/>
  <c r="I243" i="2" s="1"/>
  <c r="F243" i="2"/>
  <c r="C243" i="2"/>
  <c r="AC242" i="2"/>
  <c r="AD242" i="2" s="1"/>
  <c r="AA242" i="2"/>
  <c r="W242" i="2"/>
  <c r="X242" i="2" s="1"/>
  <c r="U242" i="2"/>
  <c r="R242" i="2"/>
  <c r="O242" i="2"/>
  <c r="N242" i="2"/>
  <c r="L242" i="2"/>
  <c r="I242" i="2"/>
  <c r="H242" i="2"/>
  <c r="F242" i="2"/>
  <c r="C242" i="2"/>
  <c r="AC241" i="2"/>
  <c r="AD241" i="2" s="1"/>
  <c r="AA241" i="2"/>
  <c r="W241" i="2"/>
  <c r="X241" i="2" s="1"/>
  <c r="U241" i="2"/>
  <c r="R241" i="2"/>
  <c r="O241" i="2"/>
  <c r="N241" i="2"/>
  <c r="L241" i="2"/>
  <c r="I241" i="2"/>
  <c r="H241" i="2"/>
  <c r="F241" i="2"/>
  <c r="C241" i="2"/>
  <c r="AC240" i="2"/>
  <c r="AD240" i="2" s="1"/>
  <c r="AA240" i="2"/>
  <c r="X240" i="2"/>
  <c r="W240" i="2"/>
  <c r="U240" i="2"/>
  <c r="R240" i="2"/>
  <c r="O240" i="2"/>
  <c r="N240" i="2"/>
  <c r="L240" i="2"/>
  <c r="H240" i="2"/>
  <c r="I240" i="2" s="1"/>
  <c r="F240" i="2"/>
  <c r="C240" i="2"/>
  <c r="AC238" i="2"/>
  <c r="AD238" i="2" s="1"/>
  <c r="AA238" i="2"/>
  <c r="W238" i="2"/>
  <c r="U238" i="2"/>
  <c r="R238" i="2"/>
  <c r="O238" i="2"/>
  <c r="N238" i="2"/>
  <c r="L238" i="2"/>
  <c r="I238" i="2"/>
  <c r="H238" i="2"/>
  <c r="F238" i="2"/>
  <c r="C238" i="2"/>
  <c r="Z236" i="2"/>
  <c r="AA236" i="2" s="1"/>
  <c r="T236" i="2"/>
  <c r="U236" i="2" s="1"/>
  <c r="R236" i="2"/>
  <c r="Q236" i="2"/>
  <c r="K236" i="2"/>
  <c r="L236" i="2" s="1"/>
  <c r="F236" i="2"/>
  <c r="E236" i="2"/>
  <c r="B236" i="2"/>
  <c r="AC235" i="2"/>
  <c r="AD235" i="2" s="1"/>
  <c r="AA235" i="2"/>
  <c r="W235" i="2"/>
  <c r="X235" i="2" s="1"/>
  <c r="U235" i="2"/>
  <c r="R235" i="2"/>
  <c r="O235" i="2"/>
  <c r="N235" i="2"/>
  <c r="L235" i="2"/>
  <c r="H235" i="2"/>
  <c r="I235" i="2" s="1"/>
  <c r="F235" i="2"/>
  <c r="C235" i="2"/>
  <c r="AC234" i="2"/>
  <c r="AD234" i="2" s="1"/>
  <c r="AA234" i="2"/>
  <c r="X234" i="2"/>
  <c r="W234" i="2"/>
  <c r="U234" i="2"/>
  <c r="R234" i="2"/>
  <c r="N234" i="2"/>
  <c r="O234" i="2" s="1"/>
  <c r="L234" i="2"/>
  <c r="I234" i="2"/>
  <c r="H234" i="2"/>
  <c r="F234" i="2"/>
  <c r="C234" i="2"/>
  <c r="AC233" i="2"/>
  <c r="AD233" i="2" s="1"/>
  <c r="AA233" i="2"/>
  <c r="W233" i="2"/>
  <c r="X233" i="2" s="1"/>
  <c r="U233" i="2"/>
  <c r="R233" i="2"/>
  <c r="O233" i="2"/>
  <c r="N233" i="2"/>
  <c r="L233" i="2"/>
  <c r="H233" i="2"/>
  <c r="I233" i="2" s="1"/>
  <c r="F233" i="2"/>
  <c r="C233" i="2"/>
  <c r="AC232" i="2"/>
  <c r="AD232" i="2" s="1"/>
  <c r="AA232" i="2"/>
  <c r="W232" i="2"/>
  <c r="X232" i="2" s="1"/>
  <c r="U232" i="2"/>
  <c r="R232" i="2"/>
  <c r="O232" i="2"/>
  <c r="N232" i="2"/>
  <c r="L232" i="2"/>
  <c r="I232" i="2"/>
  <c r="H232" i="2"/>
  <c r="F232" i="2"/>
  <c r="C232" i="2"/>
  <c r="AC231" i="2"/>
  <c r="AD231" i="2" s="1"/>
  <c r="AA231" i="2"/>
  <c r="W231" i="2"/>
  <c r="X231" i="2" s="1"/>
  <c r="U231" i="2"/>
  <c r="R231" i="2"/>
  <c r="N231" i="2"/>
  <c r="O231" i="2" s="1"/>
  <c r="L231" i="2"/>
  <c r="H231" i="2"/>
  <c r="I231" i="2" s="1"/>
  <c r="F231" i="2"/>
  <c r="C231" i="2"/>
  <c r="AC230" i="2"/>
  <c r="AD230" i="2" s="1"/>
  <c r="AA230" i="2"/>
  <c r="X230" i="2"/>
  <c r="W230" i="2"/>
  <c r="U230" i="2"/>
  <c r="R230" i="2"/>
  <c r="O230" i="2"/>
  <c r="N230" i="2"/>
  <c r="L230" i="2"/>
  <c r="H230" i="2"/>
  <c r="I230" i="2" s="1"/>
  <c r="F230" i="2"/>
  <c r="C230" i="2"/>
  <c r="AD229" i="2"/>
  <c r="AC229" i="2"/>
  <c r="AA229" i="2"/>
  <c r="X229" i="2"/>
  <c r="W229" i="2"/>
  <c r="U229" i="2"/>
  <c r="R229" i="2"/>
  <c r="N229" i="2"/>
  <c r="O229" i="2" s="1"/>
  <c r="L229" i="2"/>
  <c r="H229" i="2"/>
  <c r="I229" i="2" s="1"/>
  <c r="F229" i="2"/>
  <c r="C229" i="2"/>
  <c r="Z227" i="2"/>
  <c r="AA227" i="2" s="1"/>
  <c r="T227" i="2"/>
  <c r="U227" i="2" s="1"/>
  <c r="Q227" i="2"/>
  <c r="O227" i="2"/>
  <c r="L227" i="2"/>
  <c r="K227" i="2"/>
  <c r="E227" i="2"/>
  <c r="F227" i="2" s="1"/>
  <c r="B227" i="2"/>
  <c r="N227" i="2" s="1"/>
  <c r="AC226" i="2"/>
  <c r="AD226" i="2" s="1"/>
  <c r="AA226" i="2"/>
  <c r="W226" i="2"/>
  <c r="U226" i="2"/>
  <c r="R226" i="2"/>
  <c r="O226" i="2"/>
  <c r="N226" i="2"/>
  <c r="L226" i="2"/>
  <c r="I226" i="2"/>
  <c r="H226" i="2"/>
  <c r="F226" i="2"/>
  <c r="C226" i="2"/>
  <c r="AC225" i="2"/>
  <c r="AD225" i="2" s="1"/>
  <c r="AA225" i="2"/>
  <c r="X225" i="2"/>
  <c r="W225" i="2"/>
  <c r="U225" i="2"/>
  <c r="R225" i="2"/>
  <c r="N225" i="2"/>
  <c r="O225" i="2" s="1"/>
  <c r="L225" i="2"/>
  <c r="H225" i="2"/>
  <c r="I225" i="2" s="1"/>
  <c r="F225" i="2"/>
  <c r="C225" i="2"/>
  <c r="AC224" i="2"/>
  <c r="AD224" i="2" s="1"/>
  <c r="AA224" i="2"/>
  <c r="W224" i="2"/>
  <c r="X224" i="2" s="1"/>
  <c r="U224" i="2"/>
  <c r="R224" i="2"/>
  <c r="O224" i="2"/>
  <c r="N224" i="2"/>
  <c r="L224" i="2"/>
  <c r="I224" i="2"/>
  <c r="H224" i="2"/>
  <c r="F224" i="2"/>
  <c r="C224" i="2"/>
  <c r="AC223" i="2"/>
  <c r="AD223" i="2" s="1"/>
  <c r="AA223" i="2"/>
  <c r="W223" i="2"/>
  <c r="X223" i="2" s="1"/>
  <c r="U223" i="2"/>
  <c r="R223" i="2"/>
  <c r="N223" i="2"/>
  <c r="O223" i="2" s="1"/>
  <c r="L223" i="2"/>
  <c r="H223" i="2"/>
  <c r="F223" i="2"/>
  <c r="C223" i="2"/>
  <c r="AD222" i="2"/>
  <c r="AC222" i="2"/>
  <c r="AA222" i="2"/>
  <c r="X222" i="2"/>
  <c r="W222" i="2"/>
  <c r="U222" i="2"/>
  <c r="R222" i="2"/>
  <c r="N222" i="2"/>
  <c r="O222" i="2" s="1"/>
  <c r="L222" i="2"/>
  <c r="H222" i="2"/>
  <c r="I222" i="2" s="1"/>
  <c r="F222" i="2"/>
  <c r="C222" i="2"/>
  <c r="AD221" i="2"/>
  <c r="AC221" i="2"/>
  <c r="AA221" i="2"/>
  <c r="X221" i="2"/>
  <c r="W221" i="2"/>
  <c r="U221" i="2"/>
  <c r="R221" i="2"/>
  <c r="N221" i="2"/>
  <c r="O221" i="2" s="1"/>
  <c r="L221" i="2"/>
  <c r="H221" i="2"/>
  <c r="I221" i="2" s="1"/>
  <c r="F221" i="2"/>
  <c r="C221" i="2"/>
  <c r="AC220" i="2"/>
  <c r="AD220" i="2" s="1"/>
  <c r="AA220" i="2"/>
  <c r="W220" i="2"/>
  <c r="X220" i="2" s="1"/>
  <c r="U220" i="2"/>
  <c r="R220" i="2"/>
  <c r="O220" i="2"/>
  <c r="N220" i="2"/>
  <c r="L220" i="2"/>
  <c r="H220" i="2"/>
  <c r="I220" i="2" s="1"/>
  <c r="F220" i="2"/>
  <c r="C220" i="2"/>
  <c r="AD219" i="2"/>
  <c r="AC219" i="2"/>
  <c r="AA219" i="2"/>
  <c r="X219" i="2"/>
  <c r="W219" i="2"/>
  <c r="U219" i="2"/>
  <c r="R219" i="2"/>
  <c r="O219" i="2"/>
  <c r="N219" i="2"/>
  <c r="L219" i="2"/>
  <c r="H219" i="2"/>
  <c r="I219" i="2" s="1"/>
  <c r="F219" i="2"/>
  <c r="C219" i="2"/>
  <c r="AC218" i="2"/>
  <c r="AD218" i="2" s="1"/>
  <c r="AA218" i="2"/>
  <c r="Z218" i="2"/>
  <c r="U218" i="2"/>
  <c r="T218" i="2"/>
  <c r="Q218" i="2"/>
  <c r="K218" i="2"/>
  <c r="L218" i="2" s="1"/>
  <c r="H218" i="2"/>
  <c r="I218" i="2" s="1"/>
  <c r="F218" i="2"/>
  <c r="E218" i="2"/>
  <c r="C218" i="2"/>
  <c r="B218" i="2"/>
  <c r="AC217" i="2"/>
  <c r="AD217" i="2" s="1"/>
  <c r="AA217" i="2"/>
  <c r="W217" i="2"/>
  <c r="X217" i="2" s="1"/>
  <c r="U217" i="2"/>
  <c r="R217" i="2"/>
  <c r="O217" i="2"/>
  <c r="N217" i="2"/>
  <c r="L217" i="2"/>
  <c r="I217" i="2"/>
  <c r="H217" i="2"/>
  <c r="F217" i="2"/>
  <c r="C217" i="2"/>
  <c r="AC216" i="2"/>
  <c r="AD216" i="2" s="1"/>
  <c r="AA216" i="2"/>
  <c r="X216" i="2"/>
  <c r="W216" i="2"/>
  <c r="U216" i="2"/>
  <c r="R216" i="2"/>
  <c r="O216" i="2"/>
  <c r="N216" i="2"/>
  <c r="L216" i="2"/>
  <c r="H216" i="2"/>
  <c r="I216" i="2" s="1"/>
  <c r="F216" i="2"/>
  <c r="C216" i="2"/>
  <c r="AC215" i="2"/>
  <c r="AD215" i="2" s="1"/>
  <c r="AA215" i="2"/>
  <c r="W215" i="2"/>
  <c r="U215" i="2"/>
  <c r="R215" i="2"/>
  <c r="O215" i="2"/>
  <c r="N215" i="2"/>
  <c r="L215" i="2"/>
  <c r="I215" i="2"/>
  <c r="H215" i="2"/>
  <c r="F215" i="2"/>
  <c r="C215" i="2"/>
  <c r="AC214" i="2"/>
  <c r="AD214" i="2" s="1"/>
  <c r="AA214" i="2"/>
  <c r="W214" i="2"/>
  <c r="X214" i="2" s="1"/>
  <c r="U214" i="2"/>
  <c r="R214" i="2"/>
  <c r="O214" i="2"/>
  <c r="N214" i="2"/>
  <c r="L214" i="2"/>
  <c r="H214" i="2"/>
  <c r="I214" i="2" s="1"/>
  <c r="F214" i="2"/>
  <c r="C214" i="2"/>
  <c r="AC213" i="2"/>
  <c r="AD213" i="2" s="1"/>
  <c r="AA213" i="2"/>
  <c r="X213" i="2"/>
  <c r="W213" i="2"/>
  <c r="U213" i="2"/>
  <c r="R213" i="2"/>
  <c r="O213" i="2"/>
  <c r="N213" i="2"/>
  <c r="L213" i="2"/>
  <c r="H213" i="2"/>
  <c r="I213" i="2" s="1"/>
  <c r="F213" i="2"/>
  <c r="C213" i="2"/>
  <c r="AD211" i="2"/>
  <c r="AC211" i="2"/>
  <c r="AA211" i="2"/>
  <c r="W211" i="2"/>
  <c r="X211" i="2" s="1"/>
  <c r="U211" i="2"/>
  <c r="R211" i="2"/>
  <c r="N211" i="2"/>
  <c r="O211" i="2" s="1"/>
  <c r="L211" i="2"/>
  <c r="H211" i="2"/>
  <c r="F211" i="2"/>
  <c r="C211" i="2"/>
  <c r="AC209" i="2"/>
  <c r="AD209" i="2" s="1"/>
  <c r="Z209" i="2"/>
  <c r="AA209" i="2" s="1"/>
  <c r="T209" i="2"/>
  <c r="U209" i="2" s="1"/>
  <c r="Q209" i="2"/>
  <c r="R209" i="2" s="1"/>
  <c r="K209" i="2"/>
  <c r="L209" i="2" s="1"/>
  <c r="E209" i="2"/>
  <c r="F209" i="2" s="1"/>
  <c r="C209" i="2"/>
  <c r="B209" i="2"/>
  <c r="AC208" i="2"/>
  <c r="AD208" i="2" s="1"/>
  <c r="AA208" i="2"/>
  <c r="X208" i="2"/>
  <c r="W208" i="2"/>
  <c r="U208" i="2"/>
  <c r="R208" i="2"/>
  <c r="O208" i="2"/>
  <c r="N208" i="2"/>
  <c r="L208" i="2"/>
  <c r="H208" i="2"/>
  <c r="I208" i="2" s="1"/>
  <c r="F208" i="2"/>
  <c r="C208" i="2"/>
  <c r="AC207" i="2"/>
  <c r="AD207" i="2" s="1"/>
  <c r="AA207" i="2"/>
  <c r="W207" i="2"/>
  <c r="X207" i="2" s="1"/>
  <c r="U207" i="2"/>
  <c r="R207" i="2"/>
  <c r="O207" i="2"/>
  <c r="N207" i="2"/>
  <c r="L207" i="2"/>
  <c r="H207" i="2"/>
  <c r="I207" i="2" s="1"/>
  <c r="F207" i="2"/>
  <c r="C207" i="2"/>
  <c r="AD206" i="2"/>
  <c r="AC206" i="2"/>
  <c r="AA206" i="2"/>
  <c r="X206" i="2"/>
  <c r="W206" i="2"/>
  <c r="U206" i="2"/>
  <c r="R206" i="2"/>
  <c r="N206" i="2"/>
  <c r="O206" i="2" s="1"/>
  <c r="L206" i="2"/>
  <c r="I206" i="2"/>
  <c r="H206" i="2"/>
  <c r="F206" i="2"/>
  <c r="C206" i="2"/>
  <c r="AC205" i="2"/>
  <c r="AD205" i="2" s="1"/>
  <c r="AA205" i="2"/>
  <c r="W205" i="2"/>
  <c r="X205" i="2" s="1"/>
  <c r="U205" i="2"/>
  <c r="R205" i="2"/>
  <c r="O205" i="2"/>
  <c r="N205" i="2"/>
  <c r="L205" i="2"/>
  <c r="I205" i="2"/>
  <c r="H205" i="2"/>
  <c r="F205" i="2"/>
  <c r="C205" i="2"/>
  <c r="AC204" i="2"/>
  <c r="AD204" i="2" s="1"/>
  <c r="AA204" i="2"/>
  <c r="W204" i="2"/>
  <c r="X204" i="2" s="1"/>
  <c r="U204" i="2"/>
  <c r="R204" i="2"/>
  <c r="O204" i="2"/>
  <c r="N204" i="2"/>
  <c r="L204" i="2"/>
  <c r="I204" i="2"/>
  <c r="H204" i="2"/>
  <c r="F204" i="2"/>
  <c r="C204" i="2"/>
  <c r="AC203" i="2"/>
  <c r="AD203" i="2" s="1"/>
  <c r="AA203" i="2"/>
  <c r="W203" i="2"/>
  <c r="X203" i="2" s="1"/>
  <c r="U203" i="2"/>
  <c r="R203" i="2"/>
  <c r="O203" i="2"/>
  <c r="N203" i="2"/>
  <c r="L203" i="2"/>
  <c r="H203" i="2"/>
  <c r="I203" i="2" s="1"/>
  <c r="F203" i="2"/>
  <c r="C203" i="2"/>
  <c r="AC202" i="2"/>
  <c r="AD202" i="2" s="1"/>
  <c r="AA202" i="2"/>
  <c r="W202" i="2"/>
  <c r="U202" i="2"/>
  <c r="R202" i="2"/>
  <c r="O202" i="2"/>
  <c r="N202" i="2"/>
  <c r="L202" i="2"/>
  <c r="I202" i="2"/>
  <c r="H202" i="2"/>
  <c r="F202" i="2"/>
  <c r="C202" i="2"/>
  <c r="AC201" i="2"/>
  <c r="AD201" i="2" s="1"/>
  <c r="AA201" i="2"/>
  <c r="W201" i="2"/>
  <c r="X201" i="2" s="1"/>
  <c r="U201" i="2"/>
  <c r="R201" i="2"/>
  <c r="O201" i="2"/>
  <c r="N201" i="2"/>
  <c r="L201" i="2"/>
  <c r="H201" i="2"/>
  <c r="I201" i="2" s="1"/>
  <c r="F201" i="2"/>
  <c r="C201" i="2"/>
  <c r="T198" i="2"/>
  <c r="T345" i="2" s="1"/>
  <c r="T404" i="2" s="1"/>
  <c r="K198" i="2"/>
  <c r="AA197" i="2"/>
  <c r="Z197" i="2"/>
  <c r="W197" i="2"/>
  <c r="X197" i="2" s="1"/>
  <c r="U197" i="2"/>
  <c r="T197" i="2"/>
  <c r="Q197" i="2"/>
  <c r="R197" i="2" s="1"/>
  <c r="K197" i="2"/>
  <c r="L197" i="2" s="1"/>
  <c r="I197" i="2"/>
  <c r="H197" i="2"/>
  <c r="E197" i="2"/>
  <c r="F197" i="2" s="1"/>
  <c r="B197" i="2"/>
  <c r="C197" i="2" s="1"/>
  <c r="Z196" i="2"/>
  <c r="AA196" i="2" s="1"/>
  <c r="U196" i="2"/>
  <c r="T196" i="2"/>
  <c r="Q196" i="2"/>
  <c r="L196" i="2"/>
  <c r="K196" i="2"/>
  <c r="E196" i="2"/>
  <c r="F196" i="2" s="1"/>
  <c r="C196" i="2"/>
  <c r="B196" i="2"/>
  <c r="AC195" i="2"/>
  <c r="AD195" i="2" s="1"/>
  <c r="AA195" i="2"/>
  <c r="W195" i="2"/>
  <c r="U195" i="2"/>
  <c r="R195" i="2"/>
  <c r="O195" i="2"/>
  <c r="N195" i="2"/>
  <c r="L195" i="2"/>
  <c r="I195" i="2"/>
  <c r="H195" i="2"/>
  <c r="F195" i="2"/>
  <c r="C195" i="2"/>
  <c r="AD194" i="2"/>
  <c r="AC194" i="2"/>
  <c r="AA194" i="2"/>
  <c r="X194" i="2"/>
  <c r="W194" i="2"/>
  <c r="U194" i="2"/>
  <c r="R194" i="2"/>
  <c r="N194" i="2"/>
  <c r="O194" i="2" s="1"/>
  <c r="L194" i="2"/>
  <c r="H194" i="2"/>
  <c r="I194" i="2" s="1"/>
  <c r="F194" i="2"/>
  <c r="C194" i="2"/>
  <c r="AA193" i="2"/>
  <c r="Z193" i="2"/>
  <c r="AC193" i="2" s="1"/>
  <c r="AD193" i="2" s="1"/>
  <c r="T193" i="2"/>
  <c r="Q193" i="2"/>
  <c r="R193" i="2" s="1"/>
  <c r="L193" i="2"/>
  <c r="K193" i="2"/>
  <c r="E193" i="2"/>
  <c r="F193" i="2" s="1"/>
  <c r="B193" i="2"/>
  <c r="AD192" i="2"/>
  <c r="AC192" i="2"/>
  <c r="AA192" i="2"/>
  <c r="X192" i="2"/>
  <c r="W192" i="2"/>
  <c r="U192" i="2"/>
  <c r="R192" i="2"/>
  <c r="N192" i="2"/>
  <c r="O192" i="2" s="1"/>
  <c r="L192" i="2"/>
  <c r="I192" i="2"/>
  <c r="H192" i="2"/>
  <c r="F192" i="2"/>
  <c r="C192" i="2"/>
  <c r="AC191" i="2"/>
  <c r="AD191" i="2" s="1"/>
  <c r="AA191" i="2"/>
  <c r="X191" i="2"/>
  <c r="W191" i="2"/>
  <c r="U191" i="2"/>
  <c r="R191" i="2"/>
  <c r="O191" i="2"/>
  <c r="N191" i="2"/>
  <c r="L191" i="2"/>
  <c r="H191" i="2"/>
  <c r="I191" i="2" s="1"/>
  <c r="F191" i="2"/>
  <c r="C191" i="2"/>
  <c r="AC190" i="2"/>
  <c r="AD190" i="2" s="1"/>
  <c r="AA190" i="2"/>
  <c r="W190" i="2"/>
  <c r="X190" i="2" s="1"/>
  <c r="U190" i="2"/>
  <c r="R190" i="2"/>
  <c r="O190" i="2"/>
  <c r="N190" i="2"/>
  <c r="L190" i="2"/>
  <c r="I190" i="2"/>
  <c r="H190" i="2"/>
  <c r="F190" i="2"/>
  <c r="C190" i="2"/>
  <c r="AC189" i="2"/>
  <c r="AD189" i="2" s="1"/>
  <c r="AA189" i="2"/>
  <c r="W189" i="2"/>
  <c r="X189" i="2" s="1"/>
  <c r="U189" i="2"/>
  <c r="R189" i="2"/>
  <c r="N189" i="2"/>
  <c r="O189" i="2" s="1"/>
  <c r="L189" i="2"/>
  <c r="H189" i="2"/>
  <c r="I189" i="2" s="1"/>
  <c r="F189" i="2"/>
  <c r="C189" i="2"/>
  <c r="AC188" i="2"/>
  <c r="AD188" i="2" s="1"/>
  <c r="AA188" i="2"/>
  <c r="X188" i="2"/>
  <c r="W188" i="2"/>
  <c r="U188" i="2"/>
  <c r="R188" i="2"/>
  <c r="O188" i="2"/>
  <c r="N188" i="2"/>
  <c r="L188" i="2"/>
  <c r="I188" i="2"/>
  <c r="H188" i="2"/>
  <c r="F188" i="2"/>
  <c r="C188" i="2"/>
  <c r="AC187" i="2"/>
  <c r="AD187" i="2" s="1"/>
  <c r="AA187" i="2"/>
  <c r="W187" i="2"/>
  <c r="X187" i="2" s="1"/>
  <c r="U187" i="2"/>
  <c r="R187" i="2"/>
  <c r="N187" i="2"/>
  <c r="O187" i="2" s="1"/>
  <c r="L187" i="2"/>
  <c r="H187" i="2"/>
  <c r="I187" i="2" s="1"/>
  <c r="F187" i="2"/>
  <c r="C187" i="2"/>
  <c r="AC186" i="2"/>
  <c r="AD186" i="2" s="1"/>
  <c r="AA186" i="2"/>
  <c r="W186" i="2"/>
  <c r="X186" i="2" s="1"/>
  <c r="U186" i="2"/>
  <c r="R186" i="2"/>
  <c r="O186" i="2"/>
  <c r="N186" i="2"/>
  <c r="L186" i="2"/>
  <c r="H186" i="2"/>
  <c r="I186" i="2" s="1"/>
  <c r="F186" i="2"/>
  <c r="C186" i="2"/>
  <c r="AC184" i="2"/>
  <c r="AD184" i="2" s="1"/>
  <c r="AA184" i="2"/>
  <c r="X184" i="2"/>
  <c r="W184" i="2"/>
  <c r="U184" i="2"/>
  <c r="R184" i="2"/>
  <c r="N184" i="2"/>
  <c r="O184" i="2" s="1"/>
  <c r="L184" i="2"/>
  <c r="H184" i="2"/>
  <c r="I184" i="2" s="1"/>
  <c r="F184" i="2"/>
  <c r="C184" i="2"/>
  <c r="AD183" i="2"/>
  <c r="AC183" i="2"/>
  <c r="AA183" i="2"/>
  <c r="X183" i="2"/>
  <c r="W183" i="2"/>
  <c r="U183" i="2"/>
  <c r="R183" i="2"/>
  <c r="N183" i="2"/>
  <c r="O183" i="2" s="1"/>
  <c r="L183" i="2"/>
  <c r="H183" i="2"/>
  <c r="I183" i="2" s="1"/>
  <c r="F183" i="2"/>
  <c r="C183" i="2"/>
  <c r="Z182" i="2"/>
  <c r="AA182" i="2" s="1"/>
  <c r="T182" i="2"/>
  <c r="U182" i="2" s="1"/>
  <c r="Q182" i="2"/>
  <c r="N182" i="2"/>
  <c r="O182" i="2" s="1"/>
  <c r="L182" i="2"/>
  <c r="K182" i="2"/>
  <c r="E182" i="2"/>
  <c r="H182" i="2" s="1"/>
  <c r="I182" i="2" s="1"/>
  <c r="C182" i="2"/>
  <c r="B182" i="2"/>
  <c r="AD181" i="2"/>
  <c r="AC181" i="2"/>
  <c r="AA181" i="2"/>
  <c r="W181" i="2"/>
  <c r="X181" i="2" s="1"/>
  <c r="U181" i="2"/>
  <c r="R181" i="2"/>
  <c r="N181" i="2"/>
  <c r="O181" i="2" s="1"/>
  <c r="L181" i="2"/>
  <c r="H181" i="2"/>
  <c r="F181" i="2"/>
  <c r="C181" i="2"/>
  <c r="AC180" i="2"/>
  <c r="AD180" i="2" s="1"/>
  <c r="AA180" i="2"/>
  <c r="X180" i="2"/>
  <c r="W180" i="2"/>
  <c r="U180" i="2"/>
  <c r="R180" i="2"/>
  <c r="N180" i="2"/>
  <c r="O180" i="2" s="1"/>
  <c r="L180" i="2"/>
  <c r="H180" i="2"/>
  <c r="I180" i="2" s="1"/>
  <c r="F180" i="2"/>
  <c r="C180" i="2"/>
  <c r="AC179" i="2"/>
  <c r="AD179" i="2" s="1"/>
  <c r="AA179" i="2"/>
  <c r="X179" i="2"/>
  <c r="W179" i="2"/>
  <c r="U179" i="2"/>
  <c r="R179" i="2"/>
  <c r="N179" i="2"/>
  <c r="O179" i="2" s="1"/>
  <c r="L179" i="2"/>
  <c r="H179" i="2"/>
  <c r="I179" i="2" s="1"/>
  <c r="F179" i="2"/>
  <c r="C179" i="2"/>
  <c r="AC178" i="2"/>
  <c r="AD178" i="2" s="1"/>
  <c r="AA178" i="2"/>
  <c r="X178" i="2"/>
  <c r="W178" i="2"/>
  <c r="U178" i="2"/>
  <c r="R178" i="2"/>
  <c r="O178" i="2"/>
  <c r="N178" i="2"/>
  <c r="L178" i="2"/>
  <c r="H178" i="2"/>
  <c r="I178" i="2" s="1"/>
  <c r="F178" i="2"/>
  <c r="C178" i="2"/>
  <c r="AD177" i="2"/>
  <c r="AC177" i="2"/>
  <c r="AA177" i="2"/>
  <c r="X177" i="2"/>
  <c r="W177" i="2"/>
  <c r="U177" i="2"/>
  <c r="R177" i="2"/>
  <c r="N177" i="2"/>
  <c r="O177" i="2" s="1"/>
  <c r="L177" i="2"/>
  <c r="H177" i="2"/>
  <c r="I177" i="2" s="1"/>
  <c r="F177" i="2"/>
  <c r="C177" i="2"/>
  <c r="AD175" i="2"/>
  <c r="AC175" i="2"/>
  <c r="AA175" i="2"/>
  <c r="X175" i="2"/>
  <c r="W175" i="2"/>
  <c r="U175" i="2"/>
  <c r="R175" i="2"/>
  <c r="N175" i="2"/>
  <c r="O175" i="2" s="1"/>
  <c r="L175" i="2"/>
  <c r="I175" i="2"/>
  <c r="H175" i="2"/>
  <c r="F175" i="2"/>
  <c r="C175" i="2"/>
  <c r="K172" i="2"/>
  <c r="N172" i="2" s="1"/>
  <c r="O172" i="2" s="1"/>
  <c r="E172" i="2"/>
  <c r="C172" i="2"/>
  <c r="Z171" i="2"/>
  <c r="AA171" i="2" s="1"/>
  <c r="U171" i="2"/>
  <c r="T171" i="2"/>
  <c r="T172" i="2" s="1"/>
  <c r="U172" i="2" s="1"/>
  <c r="Q171" i="2"/>
  <c r="N171" i="2"/>
  <c r="O171" i="2" s="1"/>
  <c r="K171" i="2"/>
  <c r="L171" i="2" s="1"/>
  <c r="H171" i="2"/>
  <c r="I171" i="2" s="1"/>
  <c r="F171" i="2"/>
  <c r="E171" i="2"/>
  <c r="B171" i="2"/>
  <c r="C171" i="2" s="1"/>
  <c r="AD170" i="2"/>
  <c r="AC170" i="2"/>
  <c r="AA170" i="2"/>
  <c r="Z170" i="2"/>
  <c r="T170" i="2"/>
  <c r="U170" i="2" s="1"/>
  <c r="Q170" i="2"/>
  <c r="O170" i="2"/>
  <c r="K170" i="2"/>
  <c r="L170" i="2" s="1"/>
  <c r="H170" i="2"/>
  <c r="I170" i="2" s="1"/>
  <c r="E170" i="2"/>
  <c r="F170" i="2" s="1"/>
  <c r="C170" i="2"/>
  <c r="B170" i="2"/>
  <c r="N170" i="2" s="1"/>
  <c r="AD169" i="2"/>
  <c r="AC169" i="2"/>
  <c r="AA169" i="2"/>
  <c r="X169" i="2"/>
  <c r="W169" i="2"/>
  <c r="U169" i="2"/>
  <c r="R169" i="2"/>
  <c r="N169" i="2"/>
  <c r="O169" i="2" s="1"/>
  <c r="L169" i="2"/>
  <c r="H169" i="2"/>
  <c r="I169" i="2" s="1"/>
  <c r="F169" i="2"/>
  <c r="C169" i="2"/>
  <c r="AC168" i="2"/>
  <c r="AD168" i="2" s="1"/>
  <c r="AA168" i="2"/>
  <c r="X168" i="2"/>
  <c r="W168" i="2"/>
  <c r="U168" i="2"/>
  <c r="R168" i="2"/>
  <c r="N168" i="2"/>
  <c r="O168" i="2" s="1"/>
  <c r="L168" i="2"/>
  <c r="I168" i="2"/>
  <c r="H168" i="2"/>
  <c r="F168" i="2"/>
  <c r="C168" i="2"/>
  <c r="AD167" i="2"/>
  <c r="AC167" i="2"/>
  <c r="AA167" i="2"/>
  <c r="W167" i="2"/>
  <c r="X167" i="2" s="1"/>
  <c r="U167" i="2"/>
  <c r="R167" i="2"/>
  <c r="O167" i="2"/>
  <c r="N167" i="2"/>
  <c r="L167" i="2"/>
  <c r="I167" i="2"/>
  <c r="H167" i="2"/>
  <c r="F167" i="2"/>
  <c r="C167" i="2"/>
  <c r="AA166" i="2"/>
  <c r="Z166" i="2"/>
  <c r="T166" i="2"/>
  <c r="U166" i="2" s="1"/>
  <c r="Q166" i="2"/>
  <c r="N166" i="2"/>
  <c r="O166" i="2" s="1"/>
  <c r="L166" i="2"/>
  <c r="K166" i="2"/>
  <c r="E166" i="2"/>
  <c r="F166" i="2" s="1"/>
  <c r="C166" i="2"/>
  <c r="B166" i="2"/>
  <c r="AD165" i="2"/>
  <c r="AC165" i="2"/>
  <c r="AA165" i="2"/>
  <c r="X165" i="2"/>
  <c r="W165" i="2"/>
  <c r="U165" i="2"/>
  <c r="R165" i="2"/>
  <c r="N165" i="2"/>
  <c r="O165" i="2" s="1"/>
  <c r="L165" i="2"/>
  <c r="H165" i="2"/>
  <c r="I165" i="2" s="1"/>
  <c r="F165" i="2"/>
  <c r="C165" i="2"/>
  <c r="AD164" i="2"/>
  <c r="AC164" i="2"/>
  <c r="AA164" i="2"/>
  <c r="X164" i="2"/>
  <c r="W164" i="2"/>
  <c r="U164" i="2"/>
  <c r="R164" i="2"/>
  <c r="O164" i="2"/>
  <c r="N164" i="2"/>
  <c r="L164" i="2"/>
  <c r="H164" i="2"/>
  <c r="I164" i="2" s="1"/>
  <c r="F164" i="2"/>
  <c r="C164" i="2"/>
  <c r="AC163" i="2"/>
  <c r="AD163" i="2" s="1"/>
  <c r="AA163" i="2"/>
  <c r="X163" i="2"/>
  <c r="W163" i="2"/>
  <c r="U163" i="2"/>
  <c r="R163" i="2"/>
  <c r="N163" i="2"/>
  <c r="L163" i="2"/>
  <c r="H163" i="2"/>
  <c r="I163" i="2" s="1"/>
  <c r="F163" i="2"/>
  <c r="C163" i="2"/>
  <c r="AD162" i="2"/>
  <c r="AC162" i="2"/>
  <c r="AA162" i="2"/>
  <c r="W162" i="2"/>
  <c r="X162" i="2" s="1"/>
  <c r="U162" i="2"/>
  <c r="R162" i="2"/>
  <c r="N162" i="2"/>
  <c r="O162" i="2" s="1"/>
  <c r="L162" i="2"/>
  <c r="H162" i="2"/>
  <c r="I162" i="2" s="1"/>
  <c r="F162" i="2"/>
  <c r="C162" i="2"/>
  <c r="AD161" i="2"/>
  <c r="AC161" i="2"/>
  <c r="AA161" i="2"/>
  <c r="X161" i="2"/>
  <c r="W161" i="2"/>
  <c r="U161" i="2"/>
  <c r="R161" i="2"/>
  <c r="N161" i="2"/>
  <c r="O161" i="2" s="1"/>
  <c r="L161" i="2"/>
  <c r="H161" i="2"/>
  <c r="I161" i="2" s="1"/>
  <c r="F161" i="2"/>
  <c r="C161" i="2"/>
  <c r="AC160" i="2"/>
  <c r="AD160" i="2" s="1"/>
  <c r="AA160" i="2"/>
  <c r="W160" i="2"/>
  <c r="X160" i="2" s="1"/>
  <c r="U160" i="2"/>
  <c r="R160" i="2"/>
  <c r="N160" i="2"/>
  <c r="O160" i="2" s="1"/>
  <c r="L160" i="2"/>
  <c r="I160" i="2"/>
  <c r="H160" i="2"/>
  <c r="F160" i="2"/>
  <c r="C160" i="2"/>
  <c r="AA158" i="2"/>
  <c r="Z158" i="2"/>
  <c r="T158" i="2"/>
  <c r="U158" i="2" s="1"/>
  <c r="Q158" i="2"/>
  <c r="K158" i="2"/>
  <c r="N158" i="2" s="1"/>
  <c r="O158" i="2" s="1"/>
  <c r="E158" i="2"/>
  <c r="C158" i="2"/>
  <c r="B158" i="2"/>
  <c r="AD157" i="2"/>
  <c r="AC157" i="2"/>
  <c r="AA157" i="2"/>
  <c r="X157" i="2"/>
  <c r="W157" i="2"/>
  <c r="U157" i="2"/>
  <c r="R157" i="2"/>
  <c r="N157" i="2"/>
  <c r="O157" i="2" s="1"/>
  <c r="L157" i="2"/>
  <c r="H157" i="2"/>
  <c r="I157" i="2" s="1"/>
  <c r="F157" i="2"/>
  <c r="C157" i="2"/>
  <c r="AD156" i="2"/>
  <c r="AC156" i="2"/>
  <c r="AA156" i="2"/>
  <c r="X156" i="2"/>
  <c r="W156" i="2"/>
  <c r="U156" i="2"/>
  <c r="R156" i="2"/>
  <c r="N156" i="2"/>
  <c r="O156" i="2" s="1"/>
  <c r="L156" i="2"/>
  <c r="I156" i="2"/>
  <c r="H156" i="2"/>
  <c r="F156" i="2"/>
  <c r="C156" i="2"/>
  <c r="AC155" i="2"/>
  <c r="AD155" i="2" s="1"/>
  <c r="AA155" i="2"/>
  <c r="X155" i="2"/>
  <c r="W155" i="2"/>
  <c r="U155" i="2"/>
  <c r="R155" i="2"/>
  <c r="O155" i="2"/>
  <c r="N155" i="2"/>
  <c r="L155" i="2"/>
  <c r="H155" i="2"/>
  <c r="I155" i="2" s="1"/>
  <c r="F155" i="2"/>
  <c r="C155" i="2"/>
  <c r="AD154" i="2"/>
  <c r="AC154" i="2"/>
  <c r="AA154" i="2"/>
  <c r="W154" i="2"/>
  <c r="X154" i="2" s="1"/>
  <c r="U154" i="2"/>
  <c r="R154" i="2"/>
  <c r="N154" i="2"/>
  <c r="O154" i="2" s="1"/>
  <c r="L154" i="2"/>
  <c r="H154" i="2"/>
  <c r="I154" i="2" s="1"/>
  <c r="F154" i="2"/>
  <c r="C154" i="2"/>
  <c r="AD153" i="2"/>
  <c r="AC153" i="2"/>
  <c r="AA153" i="2"/>
  <c r="X153" i="2"/>
  <c r="W153" i="2"/>
  <c r="U153" i="2"/>
  <c r="R153" i="2"/>
  <c r="N153" i="2"/>
  <c r="O153" i="2" s="1"/>
  <c r="L153" i="2"/>
  <c r="H153" i="2"/>
  <c r="I153" i="2" s="1"/>
  <c r="F153" i="2"/>
  <c r="C153" i="2"/>
  <c r="AC151" i="2"/>
  <c r="AD151" i="2" s="1"/>
  <c r="AA151" i="2"/>
  <c r="W151" i="2"/>
  <c r="X151" i="2" s="1"/>
  <c r="U151" i="2"/>
  <c r="R151" i="2"/>
  <c r="O151" i="2"/>
  <c r="N151" i="2"/>
  <c r="L151" i="2"/>
  <c r="I151" i="2"/>
  <c r="H151" i="2"/>
  <c r="F151" i="2"/>
  <c r="C151" i="2"/>
  <c r="AA149" i="2"/>
  <c r="Z149" i="2"/>
  <c r="T149" i="2"/>
  <c r="U149" i="2" s="1"/>
  <c r="Q149" i="2"/>
  <c r="R149" i="2" s="1"/>
  <c r="K149" i="2"/>
  <c r="L149" i="2" s="1"/>
  <c r="I149" i="2"/>
  <c r="E149" i="2"/>
  <c r="F149" i="2" s="1"/>
  <c r="B149" i="2"/>
  <c r="H149" i="2" s="1"/>
  <c r="AA148" i="2"/>
  <c r="Z148" i="2"/>
  <c r="U148" i="2"/>
  <c r="T148" i="2"/>
  <c r="Q148" i="2"/>
  <c r="K148" i="2"/>
  <c r="L148" i="2" s="1"/>
  <c r="E148" i="2"/>
  <c r="C148" i="2"/>
  <c r="B148" i="2"/>
  <c r="AC147" i="2"/>
  <c r="AD147" i="2" s="1"/>
  <c r="AA147" i="2"/>
  <c r="W147" i="2"/>
  <c r="X147" i="2" s="1"/>
  <c r="U147" i="2"/>
  <c r="R147" i="2"/>
  <c r="O147" i="2"/>
  <c r="N147" i="2"/>
  <c r="L147" i="2"/>
  <c r="I147" i="2"/>
  <c r="H147" i="2"/>
  <c r="F147" i="2"/>
  <c r="C147" i="2"/>
  <c r="AC146" i="2"/>
  <c r="AD146" i="2" s="1"/>
  <c r="AA146" i="2"/>
  <c r="W146" i="2"/>
  <c r="X146" i="2" s="1"/>
  <c r="U146" i="2"/>
  <c r="R146" i="2"/>
  <c r="O146" i="2"/>
  <c r="N146" i="2"/>
  <c r="L146" i="2"/>
  <c r="H146" i="2"/>
  <c r="I146" i="2" s="1"/>
  <c r="F146" i="2"/>
  <c r="C146" i="2"/>
  <c r="AC145" i="2"/>
  <c r="AD145" i="2" s="1"/>
  <c r="AA145" i="2"/>
  <c r="X145" i="2"/>
  <c r="W145" i="2"/>
  <c r="U145" i="2"/>
  <c r="R145" i="2"/>
  <c r="O145" i="2"/>
  <c r="N145" i="2"/>
  <c r="L145" i="2"/>
  <c r="I145" i="2"/>
  <c r="H145" i="2"/>
  <c r="F145" i="2"/>
  <c r="C145" i="2"/>
  <c r="AD144" i="2"/>
  <c r="AC144" i="2"/>
  <c r="AA144" i="2"/>
  <c r="W144" i="2"/>
  <c r="X144" i="2" s="1"/>
  <c r="U144" i="2"/>
  <c r="R144" i="2"/>
  <c r="N144" i="2"/>
  <c r="O144" i="2" s="1"/>
  <c r="L144" i="2"/>
  <c r="H144" i="2"/>
  <c r="I144" i="2" s="1"/>
  <c r="F144" i="2"/>
  <c r="C144" i="2"/>
  <c r="AC143" i="2"/>
  <c r="AD143" i="2" s="1"/>
  <c r="AA143" i="2"/>
  <c r="W143" i="2"/>
  <c r="X143" i="2" s="1"/>
  <c r="U143" i="2"/>
  <c r="R143" i="2"/>
  <c r="O143" i="2"/>
  <c r="N143" i="2"/>
  <c r="L143" i="2"/>
  <c r="H143" i="2"/>
  <c r="I143" i="2" s="1"/>
  <c r="F143" i="2"/>
  <c r="C143" i="2"/>
  <c r="Z141" i="2"/>
  <c r="AA141" i="2" s="1"/>
  <c r="U141" i="2"/>
  <c r="T141" i="2"/>
  <c r="Q141" i="2"/>
  <c r="N141" i="2"/>
  <c r="O141" i="2" s="1"/>
  <c r="L141" i="2"/>
  <c r="K141" i="2"/>
  <c r="F141" i="2"/>
  <c r="E141" i="2"/>
  <c r="B141" i="2"/>
  <c r="C141" i="2" s="1"/>
  <c r="AC140" i="2"/>
  <c r="AD140" i="2" s="1"/>
  <c r="AA140" i="2"/>
  <c r="W140" i="2"/>
  <c r="X140" i="2" s="1"/>
  <c r="U140" i="2"/>
  <c r="R140" i="2"/>
  <c r="O140" i="2"/>
  <c r="N140" i="2"/>
  <c r="L140" i="2"/>
  <c r="I140" i="2"/>
  <c r="H140" i="2"/>
  <c r="F140" i="2"/>
  <c r="C140" i="2"/>
  <c r="AC139" i="2"/>
  <c r="AA139" i="2"/>
  <c r="X139" i="2"/>
  <c r="W139" i="2"/>
  <c r="U139" i="2"/>
  <c r="R139" i="2"/>
  <c r="O139" i="2"/>
  <c r="N139" i="2"/>
  <c r="L139" i="2"/>
  <c r="I139" i="2"/>
  <c r="H139" i="2"/>
  <c r="F139" i="2"/>
  <c r="C139" i="2"/>
  <c r="AC138" i="2"/>
  <c r="AD138" i="2" s="1"/>
  <c r="AA138" i="2"/>
  <c r="W138" i="2"/>
  <c r="X138" i="2" s="1"/>
  <c r="U138" i="2"/>
  <c r="R138" i="2"/>
  <c r="O138" i="2"/>
  <c r="N138" i="2"/>
  <c r="L138" i="2"/>
  <c r="H138" i="2"/>
  <c r="I138" i="2" s="1"/>
  <c r="F138" i="2"/>
  <c r="C138" i="2"/>
  <c r="AC137" i="2"/>
  <c r="AD137" i="2" s="1"/>
  <c r="AA137" i="2"/>
  <c r="X137" i="2"/>
  <c r="W137" i="2"/>
  <c r="U137" i="2"/>
  <c r="R137" i="2"/>
  <c r="N137" i="2"/>
  <c r="O137" i="2" s="1"/>
  <c r="L137" i="2"/>
  <c r="I137" i="2"/>
  <c r="H137" i="2"/>
  <c r="F137" i="2"/>
  <c r="C137" i="2"/>
  <c r="AC136" i="2"/>
  <c r="AD136" i="2" s="1"/>
  <c r="AA136" i="2"/>
  <c r="W136" i="2"/>
  <c r="X136" i="2" s="1"/>
  <c r="U136" i="2"/>
  <c r="R136" i="2"/>
  <c r="O136" i="2"/>
  <c r="N136" i="2"/>
  <c r="L136" i="2"/>
  <c r="H136" i="2"/>
  <c r="I136" i="2" s="1"/>
  <c r="F136" i="2"/>
  <c r="C136" i="2"/>
  <c r="AC135" i="2"/>
  <c r="AD135" i="2" s="1"/>
  <c r="AA135" i="2"/>
  <c r="W135" i="2"/>
  <c r="X135" i="2" s="1"/>
  <c r="U135" i="2"/>
  <c r="R135" i="2"/>
  <c r="O135" i="2"/>
  <c r="N135" i="2"/>
  <c r="L135" i="2"/>
  <c r="I135" i="2"/>
  <c r="H135" i="2"/>
  <c r="F135" i="2"/>
  <c r="C135" i="2"/>
  <c r="AC134" i="2"/>
  <c r="AD134" i="2" s="1"/>
  <c r="AA134" i="2"/>
  <c r="X134" i="2"/>
  <c r="W134" i="2"/>
  <c r="U134" i="2"/>
  <c r="R134" i="2"/>
  <c r="N134" i="2"/>
  <c r="O134" i="2" s="1"/>
  <c r="L134" i="2"/>
  <c r="H134" i="2"/>
  <c r="I134" i="2" s="1"/>
  <c r="F134" i="2"/>
  <c r="C134" i="2"/>
  <c r="AC133" i="2"/>
  <c r="AD133" i="2" s="1"/>
  <c r="AA133" i="2"/>
  <c r="X133" i="2"/>
  <c r="W133" i="2"/>
  <c r="U133" i="2"/>
  <c r="R133" i="2"/>
  <c r="O133" i="2"/>
  <c r="N133" i="2"/>
  <c r="L133" i="2"/>
  <c r="I133" i="2"/>
  <c r="H133" i="2"/>
  <c r="F133" i="2"/>
  <c r="C133" i="2"/>
  <c r="AC132" i="2"/>
  <c r="AD132" i="2" s="1"/>
  <c r="AA132" i="2"/>
  <c r="W132" i="2"/>
  <c r="X132" i="2" s="1"/>
  <c r="U132" i="2"/>
  <c r="R132" i="2"/>
  <c r="N132" i="2"/>
  <c r="O132" i="2" s="1"/>
  <c r="L132" i="2"/>
  <c r="H132" i="2"/>
  <c r="I132" i="2" s="1"/>
  <c r="F132" i="2"/>
  <c r="C132" i="2"/>
  <c r="AC131" i="2"/>
  <c r="AD131" i="2" s="1"/>
  <c r="AA131" i="2"/>
  <c r="W131" i="2"/>
  <c r="X131" i="2" s="1"/>
  <c r="U131" i="2"/>
  <c r="R131" i="2"/>
  <c r="O131" i="2"/>
  <c r="N131" i="2"/>
  <c r="L131" i="2"/>
  <c r="H131" i="2"/>
  <c r="I131" i="2" s="1"/>
  <c r="F131" i="2"/>
  <c r="C131" i="2"/>
  <c r="AC130" i="2"/>
  <c r="AD130" i="2" s="1"/>
  <c r="AA130" i="2"/>
  <c r="X130" i="2"/>
  <c r="W130" i="2"/>
  <c r="U130" i="2"/>
  <c r="R130" i="2"/>
  <c r="N130" i="2"/>
  <c r="O130" i="2" s="1"/>
  <c r="L130" i="2"/>
  <c r="H130" i="2"/>
  <c r="I130" i="2" s="1"/>
  <c r="F130" i="2"/>
  <c r="C130" i="2"/>
  <c r="AD129" i="2"/>
  <c r="AC129" i="2"/>
  <c r="AA129" i="2"/>
  <c r="X129" i="2"/>
  <c r="W129" i="2"/>
  <c r="U129" i="2"/>
  <c r="R129" i="2"/>
  <c r="N129" i="2"/>
  <c r="O129" i="2" s="1"/>
  <c r="L129" i="2"/>
  <c r="H129" i="2"/>
  <c r="I129" i="2" s="1"/>
  <c r="F129" i="2"/>
  <c r="C129" i="2"/>
  <c r="AD127" i="2"/>
  <c r="AC127" i="2"/>
  <c r="AA127" i="2"/>
  <c r="X127" i="2"/>
  <c r="W127" i="2"/>
  <c r="U127" i="2"/>
  <c r="R127" i="2"/>
  <c r="N127" i="2"/>
  <c r="O127" i="2" s="1"/>
  <c r="L127" i="2"/>
  <c r="H127" i="2"/>
  <c r="I127" i="2" s="1"/>
  <c r="F127" i="2"/>
  <c r="C127" i="2"/>
  <c r="Z124" i="2"/>
  <c r="AA124" i="2" s="1"/>
  <c r="U124" i="2"/>
  <c r="T124" i="2"/>
  <c r="Q124" i="2"/>
  <c r="L124" i="2"/>
  <c r="K124" i="2"/>
  <c r="E124" i="2"/>
  <c r="F124" i="2" s="1"/>
  <c r="C124" i="2"/>
  <c r="B124" i="2"/>
  <c r="B172" i="2" s="1"/>
  <c r="B198" i="2" s="1"/>
  <c r="AC123" i="2"/>
  <c r="AD123" i="2" s="1"/>
  <c r="AA123" i="2"/>
  <c r="X123" i="2"/>
  <c r="W123" i="2"/>
  <c r="U123" i="2"/>
  <c r="R123" i="2"/>
  <c r="O123" i="2"/>
  <c r="N123" i="2"/>
  <c r="L123" i="2"/>
  <c r="H123" i="2"/>
  <c r="I123" i="2" s="1"/>
  <c r="F123" i="2"/>
  <c r="C123" i="2"/>
  <c r="AC122" i="2"/>
  <c r="AD122" i="2" s="1"/>
  <c r="Z122" i="2"/>
  <c r="AA122" i="2" s="1"/>
  <c r="T122" i="2"/>
  <c r="U122" i="2" s="1"/>
  <c r="Q122" i="2"/>
  <c r="R122" i="2" s="1"/>
  <c r="N122" i="2"/>
  <c r="O122" i="2" s="1"/>
  <c r="L122" i="2"/>
  <c r="K122" i="2"/>
  <c r="H122" i="2"/>
  <c r="I122" i="2" s="1"/>
  <c r="F122" i="2"/>
  <c r="E122" i="2"/>
  <c r="C122" i="2"/>
  <c r="B122" i="2"/>
  <c r="AD121" i="2"/>
  <c r="AC121" i="2"/>
  <c r="AA121" i="2"/>
  <c r="W121" i="2"/>
  <c r="X121" i="2" s="1"/>
  <c r="U121" i="2"/>
  <c r="R121" i="2"/>
  <c r="N121" i="2"/>
  <c r="O121" i="2" s="1"/>
  <c r="L121" i="2"/>
  <c r="H121" i="2"/>
  <c r="I121" i="2" s="1"/>
  <c r="F121" i="2"/>
  <c r="C121" i="2"/>
  <c r="AC120" i="2"/>
  <c r="AD120" i="2" s="1"/>
  <c r="AA120" i="2"/>
  <c r="X120" i="2"/>
  <c r="W120" i="2"/>
  <c r="U120" i="2"/>
  <c r="R120" i="2"/>
  <c r="O120" i="2"/>
  <c r="N120" i="2"/>
  <c r="L120" i="2"/>
  <c r="I120" i="2"/>
  <c r="H120" i="2"/>
  <c r="F120" i="2"/>
  <c r="C120" i="2"/>
  <c r="AC119" i="2"/>
  <c r="AD119" i="2" s="1"/>
  <c r="AA119" i="2"/>
  <c r="X119" i="2"/>
  <c r="W119" i="2"/>
  <c r="U119" i="2"/>
  <c r="R119" i="2"/>
  <c r="N119" i="2"/>
  <c r="O119" i="2" s="1"/>
  <c r="L119" i="2"/>
  <c r="H119" i="2"/>
  <c r="I119" i="2" s="1"/>
  <c r="F119" i="2"/>
  <c r="C119" i="2"/>
  <c r="AC118" i="2"/>
  <c r="AD118" i="2" s="1"/>
  <c r="Z118" i="2"/>
  <c r="AA118" i="2" s="1"/>
  <c r="U118" i="2"/>
  <c r="T118" i="2"/>
  <c r="Q118" i="2"/>
  <c r="L118" i="2"/>
  <c r="K118" i="2"/>
  <c r="E118" i="2"/>
  <c r="F118" i="2" s="1"/>
  <c r="C118" i="2"/>
  <c r="B118" i="2"/>
  <c r="H118" i="2" s="1"/>
  <c r="I118" i="2" s="1"/>
  <c r="AC117" i="2"/>
  <c r="AD117" i="2" s="1"/>
  <c r="AA117" i="2"/>
  <c r="W117" i="2"/>
  <c r="X117" i="2" s="1"/>
  <c r="U117" i="2"/>
  <c r="R117" i="2"/>
  <c r="O117" i="2"/>
  <c r="N117" i="2"/>
  <c r="L117" i="2"/>
  <c r="I117" i="2"/>
  <c r="H117" i="2"/>
  <c r="F117" i="2"/>
  <c r="C117" i="2"/>
  <c r="AC116" i="2"/>
  <c r="AD116" i="2" s="1"/>
  <c r="AA116" i="2"/>
  <c r="W116" i="2"/>
  <c r="X116" i="2" s="1"/>
  <c r="U116" i="2"/>
  <c r="R116" i="2"/>
  <c r="O116" i="2"/>
  <c r="N116" i="2"/>
  <c r="L116" i="2"/>
  <c r="H116" i="2"/>
  <c r="I116" i="2" s="1"/>
  <c r="F116" i="2"/>
  <c r="C116" i="2"/>
  <c r="AC115" i="2"/>
  <c r="AD115" i="2" s="1"/>
  <c r="AA115" i="2"/>
  <c r="X115" i="2"/>
  <c r="W115" i="2"/>
  <c r="U115" i="2"/>
  <c r="R115" i="2"/>
  <c r="N115" i="2"/>
  <c r="O115" i="2" s="1"/>
  <c r="L115" i="2"/>
  <c r="I115" i="2"/>
  <c r="H115" i="2"/>
  <c r="F115" i="2"/>
  <c r="C115" i="2"/>
  <c r="AD114" i="2"/>
  <c r="AC114" i="2"/>
  <c r="AA114" i="2"/>
  <c r="W114" i="2"/>
  <c r="X114" i="2" s="1"/>
  <c r="U114" i="2"/>
  <c r="R114" i="2"/>
  <c r="N114" i="2"/>
  <c r="O114" i="2" s="1"/>
  <c r="L114" i="2"/>
  <c r="H114" i="2"/>
  <c r="I114" i="2" s="1"/>
  <c r="F114" i="2"/>
  <c r="C114" i="2"/>
  <c r="AC113" i="2"/>
  <c r="AD113" i="2" s="1"/>
  <c r="AA113" i="2"/>
  <c r="W113" i="2"/>
  <c r="X113" i="2" s="1"/>
  <c r="U113" i="2"/>
  <c r="R113" i="2"/>
  <c r="O113" i="2"/>
  <c r="N113" i="2"/>
  <c r="L113" i="2"/>
  <c r="I113" i="2"/>
  <c r="H113" i="2"/>
  <c r="F113" i="2"/>
  <c r="C113" i="2"/>
  <c r="AC112" i="2"/>
  <c r="AD112" i="2" s="1"/>
  <c r="AA112" i="2"/>
  <c r="X112" i="2"/>
  <c r="W112" i="2"/>
  <c r="U112" i="2"/>
  <c r="R112" i="2"/>
  <c r="N112" i="2"/>
  <c r="O112" i="2" s="1"/>
  <c r="L112" i="2"/>
  <c r="H112" i="2"/>
  <c r="I112" i="2" s="1"/>
  <c r="F112" i="2"/>
  <c r="C112" i="2"/>
  <c r="AD111" i="2"/>
  <c r="AC111" i="2"/>
  <c r="AA111" i="2"/>
  <c r="X111" i="2"/>
  <c r="W111" i="2"/>
  <c r="U111" i="2"/>
  <c r="R111" i="2"/>
  <c r="N111" i="2"/>
  <c r="O111" i="2" s="1"/>
  <c r="L111" i="2"/>
  <c r="I111" i="2"/>
  <c r="H111" i="2"/>
  <c r="F111" i="2"/>
  <c r="C111" i="2"/>
  <c r="AD110" i="2"/>
  <c r="AC110" i="2"/>
  <c r="AA110" i="2"/>
  <c r="X110" i="2"/>
  <c r="W110" i="2"/>
  <c r="U110" i="2"/>
  <c r="R110" i="2"/>
  <c r="N110" i="2"/>
  <c r="O110" i="2" s="1"/>
  <c r="L110" i="2"/>
  <c r="H110" i="2"/>
  <c r="I110" i="2" s="1"/>
  <c r="F110" i="2"/>
  <c r="C110" i="2"/>
  <c r="AC109" i="2"/>
  <c r="AD109" i="2" s="1"/>
  <c r="AA109" i="2"/>
  <c r="W109" i="2"/>
  <c r="X109" i="2" s="1"/>
  <c r="U109" i="2"/>
  <c r="R109" i="2"/>
  <c r="O109" i="2"/>
  <c r="N109" i="2"/>
  <c r="L109" i="2"/>
  <c r="I109" i="2"/>
  <c r="H109" i="2"/>
  <c r="F109" i="2"/>
  <c r="C109" i="2"/>
  <c r="AC108" i="2"/>
  <c r="AD108" i="2" s="1"/>
  <c r="AA108" i="2"/>
  <c r="W108" i="2"/>
  <c r="X108" i="2" s="1"/>
  <c r="U108" i="2"/>
  <c r="R108" i="2"/>
  <c r="O108" i="2"/>
  <c r="N108" i="2"/>
  <c r="L108" i="2"/>
  <c r="H108" i="2"/>
  <c r="I108" i="2" s="1"/>
  <c r="F108" i="2"/>
  <c r="C108" i="2"/>
  <c r="AC107" i="2"/>
  <c r="AD107" i="2" s="1"/>
  <c r="AA107" i="2"/>
  <c r="X107" i="2"/>
  <c r="W107" i="2"/>
  <c r="U107" i="2"/>
  <c r="R107" i="2"/>
  <c r="N107" i="2"/>
  <c r="O107" i="2" s="1"/>
  <c r="L107" i="2"/>
  <c r="I107" i="2"/>
  <c r="H107" i="2"/>
  <c r="F107" i="2"/>
  <c r="C107" i="2"/>
  <c r="AD106" i="2"/>
  <c r="AC106" i="2"/>
  <c r="AA106" i="2"/>
  <c r="W106" i="2"/>
  <c r="X106" i="2" s="1"/>
  <c r="U106" i="2"/>
  <c r="R106" i="2"/>
  <c r="N106" i="2"/>
  <c r="O106" i="2" s="1"/>
  <c r="L106" i="2"/>
  <c r="H106" i="2"/>
  <c r="I106" i="2" s="1"/>
  <c r="F106" i="2"/>
  <c r="C106" i="2"/>
  <c r="AC105" i="2"/>
  <c r="AD105" i="2" s="1"/>
  <c r="AA105" i="2"/>
  <c r="W105" i="2"/>
  <c r="X105" i="2" s="1"/>
  <c r="U105" i="2"/>
  <c r="R105" i="2"/>
  <c r="O105" i="2"/>
  <c r="N105" i="2"/>
  <c r="L105" i="2"/>
  <c r="I105" i="2"/>
  <c r="H105" i="2"/>
  <c r="F105" i="2"/>
  <c r="C105" i="2"/>
  <c r="AC104" i="2"/>
  <c r="AD104" i="2" s="1"/>
  <c r="AA104" i="2"/>
  <c r="X104" i="2"/>
  <c r="W104" i="2"/>
  <c r="U104" i="2"/>
  <c r="R104" i="2"/>
  <c r="N104" i="2"/>
  <c r="O104" i="2" s="1"/>
  <c r="L104" i="2"/>
  <c r="H104" i="2"/>
  <c r="I104" i="2" s="1"/>
  <c r="F104" i="2"/>
  <c r="C104" i="2"/>
  <c r="AC103" i="2"/>
  <c r="AD103" i="2" s="1"/>
  <c r="AA103" i="2"/>
  <c r="X103" i="2"/>
  <c r="W103" i="2"/>
  <c r="U103" i="2"/>
  <c r="R103" i="2"/>
  <c r="N103" i="2"/>
  <c r="O103" i="2" s="1"/>
  <c r="L103" i="2"/>
  <c r="I103" i="2"/>
  <c r="H103" i="2"/>
  <c r="F103" i="2"/>
  <c r="C103" i="2"/>
  <c r="AD102" i="2"/>
  <c r="AC102" i="2"/>
  <c r="AA102" i="2"/>
  <c r="W102" i="2"/>
  <c r="X102" i="2" s="1"/>
  <c r="U102" i="2"/>
  <c r="R102" i="2"/>
  <c r="N102" i="2"/>
  <c r="O102" i="2" s="1"/>
  <c r="L102" i="2"/>
  <c r="H102" i="2"/>
  <c r="I102" i="2" s="1"/>
  <c r="F102" i="2"/>
  <c r="C102" i="2"/>
  <c r="AC101" i="2"/>
  <c r="AD101" i="2" s="1"/>
  <c r="AA101" i="2"/>
  <c r="W101" i="2"/>
  <c r="X101" i="2" s="1"/>
  <c r="U101" i="2"/>
  <c r="R101" i="2"/>
  <c r="O101" i="2"/>
  <c r="N101" i="2"/>
  <c r="L101" i="2"/>
  <c r="I101" i="2"/>
  <c r="H101" i="2"/>
  <c r="F101" i="2"/>
  <c r="C101" i="2"/>
  <c r="AC100" i="2"/>
  <c r="AD100" i="2" s="1"/>
  <c r="AA100" i="2"/>
  <c r="X100" i="2"/>
  <c r="W100" i="2"/>
  <c r="U100" i="2"/>
  <c r="R100" i="2"/>
  <c r="O100" i="2"/>
  <c r="N100" i="2"/>
  <c r="L100" i="2"/>
  <c r="H100" i="2"/>
  <c r="I100" i="2" s="1"/>
  <c r="F100" i="2"/>
  <c r="C100" i="2"/>
  <c r="AC99" i="2"/>
  <c r="AD99" i="2" s="1"/>
  <c r="AA99" i="2"/>
  <c r="X99" i="2"/>
  <c r="W99" i="2"/>
  <c r="U99" i="2"/>
  <c r="R99" i="2"/>
  <c r="N99" i="2"/>
  <c r="O99" i="2" s="1"/>
  <c r="L99" i="2"/>
  <c r="I99" i="2"/>
  <c r="H99" i="2"/>
  <c r="F99" i="2"/>
  <c r="C99" i="2"/>
  <c r="AD98" i="2"/>
  <c r="AC98" i="2"/>
  <c r="AA98" i="2"/>
  <c r="W98" i="2"/>
  <c r="X98" i="2" s="1"/>
  <c r="U98" i="2"/>
  <c r="R98" i="2"/>
  <c r="N98" i="2"/>
  <c r="O98" i="2" s="1"/>
  <c r="L98" i="2"/>
  <c r="H98" i="2"/>
  <c r="I98" i="2" s="1"/>
  <c r="F98" i="2"/>
  <c r="C98" i="2"/>
  <c r="AC97" i="2"/>
  <c r="AD97" i="2" s="1"/>
  <c r="AA97" i="2"/>
  <c r="W97" i="2"/>
  <c r="X97" i="2" s="1"/>
  <c r="U97" i="2"/>
  <c r="R97" i="2"/>
  <c r="O97" i="2"/>
  <c r="N97" i="2"/>
  <c r="L97" i="2"/>
  <c r="I97" i="2"/>
  <c r="H97" i="2"/>
  <c r="F97" i="2"/>
  <c r="C97" i="2"/>
  <c r="AC96" i="2"/>
  <c r="AD96" i="2" s="1"/>
  <c r="AA96" i="2"/>
  <c r="X96" i="2"/>
  <c r="W96" i="2"/>
  <c r="U96" i="2"/>
  <c r="R96" i="2"/>
  <c r="O96" i="2"/>
  <c r="N96" i="2"/>
  <c r="L96" i="2"/>
  <c r="H96" i="2"/>
  <c r="I96" i="2" s="1"/>
  <c r="F96" i="2"/>
  <c r="C96" i="2"/>
  <c r="AD95" i="2"/>
  <c r="AC95" i="2"/>
  <c r="AA95" i="2"/>
  <c r="X95" i="2"/>
  <c r="W95" i="2"/>
  <c r="U95" i="2"/>
  <c r="R95" i="2"/>
  <c r="N95" i="2"/>
  <c r="O95" i="2" s="1"/>
  <c r="L95" i="2"/>
  <c r="I95" i="2"/>
  <c r="H95" i="2"/>
  <c r="F95" i="2"/>
  <c r="C95" i="2"/>
  <c r="AD94" i="2"/>
  <c r="AC94" i="2"/>
  <c r="AA94" i="2"/>
  <c r="X94" i="2"/>
  <c r="W94" i="2"/>
  <c r="U94" i="2"/>
  <c r="R94" i="2"/>
  <c r="N94" i="2"/>
  <c r="O94" i="2" s="1"/>
  <c r="L94" i="2"/>
  <c r="H94" i="2"/>
  <c r="I94" i="2" s="1"/>
  <c r="F94" i="2"/>
  <c r="C94" i="2"/>
  <c r="AC92" i="2"/>
  <c r="AD92" i="2" s="1"/>
  <c r="AA92" i="2"/>
  <c r="W92" i="2"/>
  <c r="X92" i="2" s="1"/>
  <c r="U92" i="2"/>
  <c r="R92" i="2"/>
  <c r="O92" i="2"/>
  <c r="N92" i="2"/>
  <c r="L92" i="2"/>
  <c r="I92" i="2"/>
  <c r="H92" i="2"/>
  <c r="F92" i="2"/>
  <c r="C92" i="2"/>
  <c r="AC91" i="2"/>
  <c r="AD91" i="2" s="1"/>
  <c r="AA91" i="2"/>
  <c r="X91" i="2"/>
  <c r="W91" i="2"/>
  <c r="U91" i="2"/>
  <c r="R91" i="2"/>
  <c r="O91" i="2"/>
  <c r="N91" i="2"/>
  <c r="L91" i="2"/>
  <c r="H91" i="2"/>
  <c r="I91" i="2" s="1"/>
  <c r="F91" i="2"/>
  <c r="C91" i="2"/>
  <c r="AC90" i="2"/>
  <c r="AD90" i="2" s="1"/>
  <c r="AA90" i="2"/>
  <c r="X90" i="2"/>
  <c r="W90" i="2"/>
  <c r="U90" i="2"/>
  <c r="R90" i="2"/>
  <c r="N90" i="2"/>
  <c r="O90" i="2" s="1"/>
  <c r="L90" i="2"/>
  <c r="I90" i="2"/>
  <c r="H90" i="2"/>
  <c r="F90" i="2"/>
  <c r="C90" i="2"/>
  <c r="AD89" i="2"/>
  <c r="AC89" i="2"/>
  <c r="AA89" i="2"/>
  <c r="W89" i="2"/>
  <c r="X89" i="2" s="1"/>
  <c r="U89" i="2"/>
  <c r="R89" i="2"/>
  <c r="N89" i="2"/>
  <c r="O89" i="2" s="1"/>
  <c r="L89" i="2"/>
  <c r="H89" i="2"/>
  <c r="I89" i="2" s="1"/>
  <c r="F89" i="2"/>
  <c r="C89" i="2"/>
  <c r="AA88" i="2"/>
  <c r="Z88" i="2"/>
  <c r="T88" i="2"/>
  <c r="U88" i="2" s="1"/>
  <c r="Q88" i="2"/>
  <c r="R88" i="2" s="1"/>
  <c r="K88" i="2"/>
  <c r="L88" i="2" s="1"/>
  <c r="E88" i="2"/>
  <c r="F88" i="2" s="1"/>
  <c r="C88" i="2"/>
  <c r="B88" i="2"/>
  <c r="AC87" i="2"/>
  <c r="AD87" i="2" s="1"/>
  <c r="AA87" i="2"/>
  <c r="X87" i="2"/>
  <c r="W87" i="2"/>
  <c r="U87" i="2"/>
  <c r="R87" i="2"/>
  <c r="N87" i="2"/>
  <c r="O87" i="2" s="1"/>
  <c r="L87" i="2"/>
  <c r="H87" i="2"/>
  <c r="I87" i="2" s="1"/>
  <c r="F87" i="2"/>
  <c r="C87" i="2"/>
  <c r="AD86" i="2"/>
  <c r="AC86" i="2"/>
  <c r="AA86" i="2"/>
  <c r="W86" i="2"/>
  <c r="X86" i="2" s="1"/>
  <c r="U86" i="2"/>
  <c r="R86" i="2"/>
  <c r="N86" i="2"/>
  <c r="O86" i="2" s="1"/>
  <c r="L86" i="2"/>
  <c r="I86" i="2"/>
  <c r="H86" i="2"/>
  <c r="F86" i="2"/>
  <c r="C86" i="2"/>
  <c r="AC85" i="2"/>
  <c r="AD85" i="2" s="1"/>
  <c r="AA85" i="2"/>
  <c r="W85" i="2"/>
  <c r="X85" i="2" s="1"/>
  <c r="U85" i="2"/>
  <c r="R85" i="2"/>
  <c r="O85" i="2"/>
  <c r="N85" i="2"/>
  <c r="L85" i="2"/>
  <c r="I85" i="2"/>
  <c r="H85" i="2"/>
  <c r="F85" i="2"/>
  <c r="C85" i="2"/>
  <c r="AD84" i="2"/>
  <c r="AC84" i="2"/>
  <c r="AA84" i="2"/>
  <c r="X84" i="2"/>
  <c r="W84" i="2"/>
  <c r="U84" i="2"/>
  <c r="R84" i="2"/>
  <c r="O84" i="2"/>
  <c r="N84" i="2"/>
  <c r="L84" i="2"/>
  <c r="H84" i="2"/>
  <c r="I84" i="2" s="1"/>
  <c r="F84" i="2"/>
  <c r="C84" i="2"/>
  <c r="AC83" i="2"/>
  <c r="AD83" i="2" s="1"/>
  <c r="AA83" i="2"/>
  <c r="X83" i="2"/>
  <c r="W83" i="2"/>
  <c r="U83" i="2"/>
  <c r="R83" i="2"/>
  <c r="N83" i="2"/>
  <c r="O83" i="2" s="1"/>
  <c r="L83" i="2"/>
  <c r="H83" i="2"/>
  <c r="I83" i="2" s="1"/>
  <c r="F83" i="2"/>
  <c r="C83" i="2"/>
  <c r="AD82" i="2"/>
  <c r="AC82" i="2"/>
  <c r="AA82" i="2"/>
  <c r="W82" i="2"/>
  <c r="X82" i="2" s="1"/>
  <c r="U82" i="2"/>
  <c r="R82" i="2"/>
  <c r="N82" i="2"/>
  <c r="O82" i="2" s="1"/>
  <c r="L82" i="2"/>
  <c r="I82" i="2"/>
  <c r="H82" i="2"/>
  <c r="F82" i="2"/>
  <c r="C82" i="2"/>
  <c r="AC81" i="2"/>
  <c r="AD81" i="2" s="1"/>
  <c r="AA81" i="2"/>
  <c r="W81" i="2"/>
  <c r="X81" i="2" s="1"/>
  <c r="U81" i="2"/>
  <c r="R81" i="2"/>
  <c r="O81" i="2"/>
  <c r="N81" i="2"/>
  <c r="L81" i="2"/>
  <c r="I81" i="2"/>
  <c r="H81" i="2"/>
  <c r="F81" i="2"/>
  <c r="C81" i="2"/>
  <c r="AD80" i="2"/>
  <c r="AC80" i="2"/>
  <c r="AA80" i="2"/>
  <c r="X80" i="2"/>
  <c r="W80" i="2"/>
  <c r="U80" i="2"/>
  <c r="R80" i="2"/>
  <c r="O80" i="2"/>
  <c r="N80" i="2"/>
  <c r="L80" i="2"/>
  <c r="H80" i="2"/>
  <c r="I80" i="2" s="1"/>
  <c r="F80" i="2"/>
  <c r="C80" i="2"/>
  <c r="AC79" i="2"/>
  <c r="AD79" i="2" s="1"/>
  <c r="AA79" i="2"/>
  <c r="X79" i="2"/>
  <c r="W79" i="2"/>
  <c r="U79" i="2"/>
  <c r="R79" i="2"/>
  <c r="N79" i="2"/>
  <c r="O79" i="2" s="1"/>
  <c r="L79" i="2"/>
  <c r="H79" i="2"/>
  <c r="I79" i="2" s="1"/>
  <c r="F79" i="2"/>
  <c r="C79" i="2"/>
  <c r="AD78" i="2"/>
  <c r="AC78" i="2"/>
  <c r="AA78" i="2"/>
  <c r="W78" i="2"/>
  <c r="X78" i="2" s="1"/>
  <c r="U78" i="2"/>
  <c r="R78" i="2"/>
  <c r="N78" i="2"/>
  <c r="O78" i="2" s="1"/>
  <c r="L78" i="2"/>
  <c r="I78" i="2"/>
  <c r="H78" i="2"/>
  <c r="F78" i="2"/>
  <c r="C78" i="2"/>
  <c r="AC77" i="2"/>
  <c r="AD77" i="2" s="1"/>
  <c r="AA77" i="2"/>
  <c r="W77" i="2"/>
  <c r="X77" i="2" s="1"/>
  <c r="U77" i="2"/>
  <c r="R77" i="2"/>
  <c r="O77" i="2"/>
  <c r="N77" i="2"/>
  <c r="L77" i="2"/>
  <c r="I77" i="2"/>
  <c r="H77" i="2"/>
  <c r="F77" i="2"/>
  <c r="C77" i="2"/>
  <c r="AD76" i="2"/>
  <c r="AC76" i="2"/>
  <c r="AA76" i="2"/>
  <c r="X76" i="2"/>
  <c r="W76" i="2"/>
  <c r="U76" i="2"/>
  <c r="R76" i="2"/>
  <c r="O76" i="2"/>
  <c r="N76" i="2"/>
  <c r="L76" i="2"/>
  <c r="H76" i="2"/>
  <c r="I76" i="2" s="1"/>
  <c r="F76" i="2"/>
  <c r="C76" i="2"/>
  <c r="AC75" i="2"/>
  <c r="AD75" i="2" s="1"/>
  <c r="AA75" i="2"/>
  <c r="X75" i="2"/>
  <c r="W75" i="2"/>
  <c r="U75" i="2"/>
  <c r="R75" i="2"/>
  <c r="N75" i="2"/>
  <c r="O75" i="2" s="1"/>
  <c r="L75" i="2"/>
  <c r="H75" i="2"/>
  <c r="I75" i="2" s="1"/>
  <c r="F75" i="2"/>
  <c r="C75" i="2"/>
  <c r="AA73" i="2"/>
  <c r="Z73" i="2"/>
  <c r="T73" i="2"/>
  <c r="R73" i="2"/>
  <c r="Q73" i="2"/>
  <c r="N73" i="2"/>
  <c r="O73" i="2" s="1"/>
  <c r="L73" i="2"/>
  <c r="K73" i="2"/>
  <c r="F73" i="2"/>
  <c r="E73" i="2"/>
  <c r="B73" i="2"/>
  <c r="AD72" i="2"/>
  <c r="AC72" i="2"/>
  <c r="AA72" i="2"/>
  <c r="W72" i="2"/>
  <c r="X72" i="2" s="1"/>
  <c r="U72" i="2"/>
  <c r="R72" i="2"/>
  <c r="O72" i="2"/>
  <c r="N72" i="2"/>
  <c r="L72" i="2"/>
  <c r="H72" i="2"/>
  <c r="I72" i="2" s="1"/>
  <c r="F72" i="2"/>
  <c r="C72" i="2"/>
  <c r="AD71" i="2"/>
  <c r="AC71" i="2"/>
  <c r="AA71" i="2"/>
  <c r="X71" i="2"/>
  <c r="W71" i="2"/>
  <c r="U71" i="2"/>
  <c r="R71" i="2"/>
  <c r="N71" i="2"/>
  <c r="O71" i="2" s="1"/>
  <c r="L71" i="2"/>
  <c r="H71" i="2"/>
  <c r="I71" i="2" s="1"/>
  <c r="F71" i="2"/>
  <c r="C71" i="2"/>
  <c r="AD70" i="2"/>
  <c r="AC70" i="2"/>
  <c r="AA70" i="2"/>
  <c r="X70" i="2"/>
  <c r="W70" i="2"/>
  <c r="U70" i="2"/>
  <c r="R70" i="2"/>
  <c r="O70" i="2"/>
  <c r="N70" i="2"/>
  <c r="L70" i="2"/>
  <c r="I70" i="2"/>
  <c r="H70" i="2"/>
  <c r="F70" i="2"/>
  <c r="C70" i="2"/>
  <c r="AC69" i="2"/>
  <c r="AD69" i="2" s="1"/>
  <c r="AA69" i="2"/>
  <c r="W69" i="2"/>
  <c r="X69" i="2" s="1"/>
  <c r="U69" i="2"/>
  <c r="R69" i="2"/>
  <c r="O69" i="2"/>
  <c r="N69" i="2"/>
  <c r="L69" i="2"/>
  <c r="I69" i="2"/>
  <c r="H69" i="2"/>
  <c r="F69" i="2"/>
  <c r="C69" i="2"/>
  <c r="AD68" i="2"/>
  <c r="AC68" i="2"/>
  <c r="AA68" i="2"/>
  <c r="X68" i="2"/>
  <c r="W68" i="2"/>
  <c r="U68" i="2"/>
  <c r="R68" i="2"/>
  <c r="N68" i="2"/>
  <c r="O68" i="2" s="1"/>
  <c r="L68" i="2"/>
  <c r="H68" i="2"/>
  <c r="I68" i="2" s="1"/>
  <c r="F68" i="2"/>
  <c r="C68" i="2"/>
  <c r="AD67" i="2"/>
  <c r="AC67" i="2"/>
  <c r="AA67" i="2"/>
  <c r="X67" i="2"/>
  <c r="W67" i="2"/>
  <c r="U67" i="2"/>
  <c r="R67" i="2"/>
  <c r="N67" i="2"/>
  <c r="O67" i="2" s="1"/>
  <c r="L67" i="2"/>
  <c r="H67" i="2"/>
  <c r="I67" i="2" s="1"/>
  <c r="F67" i="2"/>
  <c r="C67" i="2"/>
  <c r="AD66" i="2"/>
  <c r="AC66" i="2"/>
  <c r="AA66" i="2"/>
  <c r="X66" i="2"/>
  <c r="W66" i="2"/>
  <c r="U66" i="2"/>
  <c r="R66" i="2"/>
  <c r="O66" i="2"/>
  <c r="N66" i="2"/>
  <c r="L66" i="2"/>
  <c r="I66" i="2"/>
  <c r="H66" i="2"/>
  <c r="F66" i="2"/>
  <c r="C66" i="2"/>
  <c r="AC65" i="2"/>
  <c r="AD65" i="2" s="1"/>
  <c r="AA65" i="2"/>
  <c r="W65" i="2"/>
  <c r="X65" i="2" s="1"/>
  <c r="U65" i="2"/>
  <c r="R65" i="2"/>
  <c r="O65" i="2"/>
  <c r="N65" i="2"/>
  <c r="L65" i="2"/>
  <c r="I65" i="2"/>
  <c r="H65" i="2"/>
  <c r="F65" i="2"/>
  <c r="C65" i="2"/>
  <c r="AD64" i="2"/>
  <c r="AC64" i="2"/>
  <c r="AA64" i="2"/>
  <c r="W64" i="2"/>
  <c r="X64" i="2" s="1"/>
  <c r="U64" i="2"/>
  <c r="R64" i="2"/>
  <c r="O64" i="2"/>
  <c r="N64" i="2"/>
  <c r="L64" i="2"/>
  <c r="H64" i="2"/>
  <c r="I64" i="2" s="1"/>
  <c r="F64" i="2"/>
  <c r="C64" i="2"/>
  <c r="Z62" i="2"/>
  <c r="AA62" i="2" s="1"/>
  <c r="U62" i="2"/>
  <c r="T62" i="2"/>
  <c r="R62" i="2"/>
  <c r="Q62" i="2"/>
  <c r="K62" i="2"/>
  <c r="L62" i="2" s="1"/>
  <c r="E62" i="2"/>
  <c r="F62" i="2" s="1"/>
  <c r="C62" i="2"/>
  <c r="B62" i="2"/>
  <c r="H62" i="2" s="1"/>
  <c r="I62" i="2" s="1"/>
  <c r="AA61" i="2"/>
  <c r="Z61" i="2"/>
  <c r="T61" i="2"/>
  <c r="U61" i="2" s="1"/>
  <c r="Q61" i="2"/>
  <c r="L61" i="2"/>
  <c r="K61" i="2"/>
  <c r="E61" i="2"/>
  <c r="F61" i="2" s="1"/>
  <c r="C61" i="2"/>
  <c r="B61" i="2"/>
  <c r="N61" i="2" s="1"/>
  <c r="O61" i="2" s="1"/>
  <c r="AC60" i="2"/>
  <c r="AD60" i="2" s="1"/>
  <c r="AA60" i="2"/>
  <c r="X60" i="2"/>
  <c r="W60" i="2"/>
  <c r="U60" i="2"/>
  <c r="R60" i="2"/>
  <c r="N60" i="2"/>
  <c r="O60" i="2" s="1"/>
  <c r="L60" i="2"/>
  <c r="I60" i="2"/>
  <c r="H60" i="2"/>
  <c r="F60" i="2"/>
  <c r="C60" i="2"/>
  <c r="AD59" i="2"/>
  <c r="AC59" i="2"/>
  <c r="AA59" i="2"/>
  <c r="W59" i="2"/>
  <c r="X59" i="2" s="1"/>
  <c r="U59" i="2"/>
  <c r="R59" i="2"/>
  <c r="N59" i="2"/>
  <c r="O59" i="2" s="1"/>
  <c r="L59" i="2"/>
  <c r="I59" i="2"/>
  <c r="H59" i="2"/>
  <c r="F59" i="2"/>
  <c r="C59" i="2"/>
  <c r="AC58" i="2"/>
  <c r="AD58" i="2" s="1"/>
  <c r="AA58" i="2"/>
  <c r="W58" i="2"/>
  <c r="X58" i="2" s="1"/>
  <c r="U58" i="2"/>
  <c r="R58" i="2"/>
  <c r="O58" i="2"/>
  <c r="N58" i="2"/>
  <c r="L58" i="2"/>
  <c r="I58" i="2"/>
  <c r="H58" i="2"/>
  <c r="F58" i="2"/>
  <c r="C58" i="2"/>
  <c r="AD57" i="2"/>
  <c r="AC57" i="2"/>
  <c r="AA57" i="2"/>
  <c r="X57" i="2"/>
  <c r="W57" i="2"/>
  <c r="U57" i="2"/>
  <c r="R57" i="2"/>
  <c r="O57" i="2"/>
  <c r="N57" i="2"/>
  <c r="L57" i="2"/>
  <c r="H57" i="2"/>
  <c r="I57" i="2" s="1"/>
  <c r="F57" i="2"/>
  <c r="C57" i="2"/>
  <c r="AC56" i="2"/>
  <c r="AD56" i="2" s="1"/>
  <c r="AA56" i="2"/>
  <c r="X56" i="2"/>
  <c r="W56" i="2"/>
  <c r="U56" i="2"/>
  <c r="R56" i="2"/>
  <c r="N56" i="2"/>
  <c r="O56" i="2" s="1"/>
  <c r="L56" i="2"/>
  <c r="H56" i="2"/>
  <c r="I56" i="2" s="1"/>
  <c r="F56" i="2"/>
  <c r="C56" i="2"/>
  <c r="AD55" i="2"/>
  <c r="AC55" i="2"/>
  <c r="AA55" i="2"/>
  <c r="W55" i="2"/>
  <c r="X55" i="2" s="1"/>
  <c r="U55" i="2"/>
  <c r="R55" i="2"/>
  <c r="N55" i="2"/>
  <c r="O55" i="2" s="1"/>
  <c r="L55" i="2"/>
  <c r="I55" i="2"/>
  <c r="H55" i="2"/>
  <c r="F55" i="2"/>
  <c r="C55" i="2"/>
  <c r="AC54" i="2"/>
  <c r="AD54" i="2" s="1"/>
  <c r="AA54" i="2"/>
  <c r="W54" i="2"/>
  <c r="X54" i="2" s="1"/>
  <c r="U54" i="2"/>
  <c r="R54" i="2"/>
  <c r="O54" i="2"/>
  <c r="N54" i="2"/>
  <c r="L54" i="2"/>
  <c r="I54" i="2"/>
  <c r="H54" i="2"/>
  <c r="F54" i="2"/>
  <c r="C54" i="2"/>
  <c r="AD53" i="2"/>
  <c r="AC53" i="2"/>
  <c r="AA53" i="2"/>
  <c r="X53" i="2"/>
  <c r="W53" i="2"/>
  <c r="U53" i="2"/>
  <c r="R53" i="2"/>
  <c r="O53" i="2"/>
  <c r="N53" i="2"/>
  <c r="L53" i="2"/>
  <c r="H53" i="2"/>
  <c r="I53" i="2" s="1"/>
  <c r="F53" i="2"/>
  <c r="C53" i="2"/>
  <c r="AC52" i="2"/>
  <c r="AD52" i="2" s="1"/>
  <c r="AA52" i="2"/>
  <c r="X52" i="2"/>
  <c r="W52" i="2"/>
  <c r="U52" i="2"/>
  <c r="R52" i="2"/>
  <c r="N52" i="2"/>
  <c r="O52" i="2" s="1"/>
  <c r="L52" i="2"/>
  <c r="H52" i="2"/>
  <c r="I52" i="2" s="1"/>
  <c r="F52" i="2"/>
  <c r="C52" i="2"/>
  <c r="AD51" i="2"/>
  <c r="AC51" i="2"/>
  <c r="AA51" i="2"/>
  <c r="W51" i="2"/>
  <c r="X51" i="2" s="1"/>
  <c r="U51" i="2"/>
  <c r="R51" i="2"/>
  <c r="N51" i="2"/>
  <c r="O51" i="2" s="1"/>
  <c r="L51" i="2"/>
  <c r="I51" i="2"/>
  <c r="H51" i="2"/>
  <c r="F51" i="2"/>
  <c r="C51" i="2"/>
  <c r="AC50" i="2"/>
  <c r="AD50" i="2" s="1"/>
  <c r="AA50" i="2"/>
  <c r="W50" i="2"/>
  <c r="X50" i="2" s="1"/>
  <c r="U50" i="2"/>
  <c r="R50" i="2"/>
  <c r="O50" i="2"/>
  <c r="N50" i="2"/>
  <c r="L50" i="2"/>
  <c r="I50" i="2"/>
  <c r="H50" i="2"/>
  <c r="F50" i="2"/>
  <c r="C50" i="2"/>
  <c r="AD49" i="2"/>
  <c r="AC49" i="2"/>
  <c r="AA49" i="2"/>
  <c r="X49" i="2"/>
  <c r="W49" i="2"/>
  <c r="U49" i="2"/>
  <c r="R49" i="2"/>
  <c r="N49" i="2"/>
  <c r="O49" i="2" s="1"/>
  <c r="L49" i="2"/>
  <c r="H49" i="2"/>
  <c r="I49" i="2" s="1"/>
  <c r="F49" i="2"/>
  <c r="C49" i="2"/>
  <c r="AC48" i="2"/>
  <c r="AD48" i="2" s="1"/>
  <c r="AA48" i="2"/>
  <c r="X48" i="2"/>
  <c r="W48" i="2"/>
  <c r="U48" i="2"/>
  <c r="R48" i="2"/>
  <c r="N48" i="2"/>
  <c r="O48" i="2" s="1"/>
  <c r="L48" i="2"/>
  <c r="H48" i="2"/>
  <c r="I48" i="2" s="1"/>
  <c r="F48" i="2"/>
  <c r="C48" i="2"/>
  <c r="AD47" i="2"/>
  <c r="AC47" i="2"/>
  <c r="AA47" i="2"/>
  <c r="W47" i="2"/>
  <c r="X47" i="2" s="1"/>
  <c r="U47" i="2"/>
  <c r="R47" i="2"/>
  <c r="N47" i="2"/>
  <c r="O47" i="2" s="1"/>
  <c r="L47" i="2"/>
  <c r="I47" i="2"/>
  <c r="H47" i="2"/>
  <c r="F47" i="2"/>
  <c r="C47" i="2"/>
  <c r="AC46" i="2"/>
  <c r="AD46" i="2" s="1"/>
  <c r="AA46" i="2"/>
  <c r="W46" i="2"/>
  <c r="X46" i="2" s="1"/>
  <c r="U46" i="2"/>
  <c r="R46" i="2"/>
  <c r="O46" i="2"/>
  <c r="N46" i="2"/>
  <c r="L46" i="2"/>
  <c r="I46" i="2"/>
  <c r="H46" i="2"/>
  <c r="F46" i="2"/>
  <c r="C46" i="2"/>
  <c r="AD44" i="2"/>
  <c r="AC44" i="2"/>
  <c r="AA44" i="2"/>
  <c r="W44" i="2"/>
  <c r="X44" i="2" s="1"/>
  <c r="U44" i="2"/>
  <c r="R44" i="2"/>
  <c r="O44" i="2"/>
  <c r="N44" i="2"/>
  <c r="L44" i="2"/>
  <c r="H44" i="2"/>
  <c r="I44" i="2" s="1"/>
  <c r="F44" i="2"/>
  <c r="C44" i="2"/>
  <c r="AC43" i="2"/>
  <c r="AD43" i="2" s="1"/>
  <c r="AA43" i="2"/>
  <c r="X43" i="2"/>
  <c r="W43" i="2"/>
  <c r="U43" i="2"/>
  <c r="R43" i="2"/>
  <c r="N43" i="2"/>
  <c r="O43" i="2" s="1"/>
  <c r="L43" i="2"/>
  <c r="I43" i="2"/>
  <c r="H43" i="2"/>
  <c r="F43" i="2"/>
  <c r="C43" i="2"/>
  <c r="AD42" i="2"/>
  <c r="AC42" i="2"/>
  <c r="AA42" i="2"/>
  <c r="W42" i="2"/>
  <c r="X42" i="2" s="1"/>
  <c r="U42" i="2"/>
  <c r="R42" i="2"/>
  <c r="N42" i="2"/>
  <c r="O42" i="2" s="1"/>
  <c r="L42" i="2"/>
  <c r="I42" i="2"/>
  <c r="H42" i="2"/>
  <c r="F42" i="2"/>
  <c r="C42" i="2"/>
  <c r="AA40" i="2"/>
  <c r="Z40" i="2"/>
  <c r="T40" i="2"/>
  <c r="U40" i="2" s="1"/>
  <c r="Q40" i="2"/>
  <c r="K40" i="2"/>
  <c r="L40" i="2" s="1"/>
  <c r="H40" i="2"/>
  <c r="I40" i="2" s="1"/>
  <c r="E40" i="2"/>
  <c r="F40" i="2" s="1"/>
  <c r="C40" i="2"/>
  <c r="B40" i="2"/>
  <c r="AD39" i="2"/>
  <c r="AC39" i="2"/>
  <c r="AA39" i="2"/>
  <c r="X39" i="2"/>
  <c r="W39" i="2"/>
  <c r="U39" i="2"/>
  <c r="R39" i="2"/>
  <c r="N39" i="2"/>
  <c r="O39" i="2" s="1"/>
  <c r="L39" i="2"/>
  <c r="H39" i="2"/>
  <c r="I39" i="2" s="1"/>
  <c r="F39" i="2"/>
  <c r="C39" i="2"/>
  <c r="AD38" i="2"/>
  <c r="AC38" i="2"/>
  <c r="AA38" i="2"/>
  <c r="X38" i="2"/>
  <c r="W38" i="2"/>
  <c r="U38" i="2"/>
  <c r="R38" i="2"/>
  <c r="O38" i="2"/>
  <c r="N38" i="2"/>
  <c r="L38" i="2"/>
  <c r="I38" i="2"/>
  <c r="H38" i="2"/>
  <c r="F38" i="2"/>
  <c r="C38" i="2"/>
  <c r="AC37" i="2"/>
  <c r="AD37" i="2" s="1"/>
  <c r="AA37" i="2"/>
  <c r="W37" i="2"/>
  <c r="X37" i="2" s="1"/>
  <c r="U37" i="2"/>
  <c r="R37" i="2"/>
  <c r="O37" i="2"/>
  <c r="N37" i="2"/>
  <c r="L37" i="2"/>
  <c r="I37" i="2"/>
  <c r="H37" i="2"/>
  <c r="F37" i="2"/>
  <c r="C37" i="2"/>
  <c r="AD36" i="2"/>
  <c r="AC36" i="2"/>
  <c r="AA36" i="2"/>
  <c r="X36" i="2"/>
  <c r="W36" i="2"/>
  <c r="U36" i="2"/>
  <c r="R36" i="2"/>
  <c r="N36" i="2"/>
  <c r="O36" i="2" s="1"/>
  <c r="L36" i="2"/>
  <c r="H36" i="2"/>
  <c r="I36" i="2" s="1"/>
  <c r="F36" i="2"/>
  <c r="C36" i="2"/>
  <c r="AD35" i="2"/>
  <c r="AC35" i="2"/>
  <c r="AA35" i="2"/>
  <c r="X35" i="2"/>
  <c r="W35" i="2"/>
  <c r="U35" i="2"/>
  <c r="R35" i="2"/>
  <c r="N35" i="2"/>
  <c r="O35" i="2" s="1"/>
  <c r="L35" i="2"/>
  <c r="H35" i="2"/>
  <c r="I35" i="2" s="1"/>
  <c r="F35" i="2"/>
  <c r="C35" i="2"/>
  <c r="AD34" i="2"/>
  <c r="AC34" i="2"/>
  <c r="AA34" i="2"/>
  <c r="X34" i="2"/>
  <c r="W34" i="2"/>
  <c r="U34" i="2"/>
  <c r="R34" i="2"/>
  <c r="O34" i="2"/>
  <c r="N34" i="2"/>
  <c r="L34" i="2"/>
  <c r="I34" i="2"/>
  <c r="H34" i="2"/>
  <c r="F34" i="2"/>
  <c r="C34" i="2"/>
  <c r="AC33" i="2"/>
  <c r="AD33" i="2" s="1"/>
  <c r="AA33" i="2"/>
  <c r="W33" i="2"/>
  <c r="X33" i="2" s="1"/>
  <c r="U33" i="2"/>
  <c r="R33" i="2"/>
  <c r="O33" i="2"/>
  <c r="N33" i="2"/>
  <c r="L33" i="2"/>
  <c r="I33" i="2"/>
  <c r="H33" i="2"/>
  <c r="F33" i="2"/>
  <c r="C33" i="2"/>
  <c r="AD32" i="2"/>
  <c r="AC32" i="2"/>
  <c r="AA32" i="2"/>
  <c r="X32" i="2"/>
  <c r="W32" i="2"/>
  <c r="U32" i="2"/>
  <c r="R32" i="2"/>
  <c r="O32" i="2"/>
  <c r="N32" i="2"/>
  <c r="L32" i="2"/>
  <c r="H32" i="2"/>
  <c r="I32" i="2" s="1"/>
  <c r="F32" i="2"/>
  <c r="C32" i="2"/>
  <c r="AD31" i="2"/>
  <c r="AC31" i="2"/>
  <c r="AA31" i="2"/>
  <c r="X31" i="2"/>
  <c r="W31" i="2"/>
  <c r="U31" i="2"/>
  <c r="R31" i="2"/>
  <c r="N31" i="2"/>
  <c r="O31" i="2" s="1"/>
  <c r="L31" i="2"/>
  <c r="H31" i="2"/>
  <c r="I31" i="2" s="1"/>
  <c r="F31" i="2"/>
  <c r="C31" i="2"/>
  <c r="AA29" i="2"/>
  <c r="Z29" i="2"/>
  <c r="T29" i="2"/>
  <c r="R29" i="2"/>
  <c r="Q29" i="2"/>
  <c r="AC29" i="2" s="1"/>
  <c r="AD29" i="2" s="1"/>
  <c r="N29" i="2"/>
  <c r="O29" i="2" s="1"/>
  <c r="L29" i="2"/>
  <c r="K29" i="2"/>
  <c r="H29" i="2"/>
  <c r="I29" i="2" s="1"/>
  <c r="F29" i="2"/>
  <c r="E29" i="2"/>
  <c r="C29" i="2"/>
  <c r="B29" i="2"/>
  <c r="AC28" i="2"/>
  <c r="AD28" i="2" s="1"/>
  <c r="AA28" i="2"/>
  <c r="W28" i="2"/>
  <c r="X28" i="2" s="1"/>
  <c r="U28" i="2"/>
  <c r="R28" i="2"/>
  <c r="N28" i="2"/>
  <c r="O28" i="2" s="1"/>
  <c r="L28" i="2"/>
  <c r="H28" i="2"/>
  <c r="I28" i="2" s="1"/>
  <c r="F28" i="2"/>
  <c r="C28" i="2"/>
  <c r="AD27" i="2"/>
  <c r="AC27" i="2"/>
  <c r="AA27" i="2"/>
  <c r="X27" i="2"/>
  <c r="W27" i="2"/>
  <c r="U27" i="2"/>
  <c r="R27" i="2"/>
  <c r="N27" i="2"/>
  <c r="O27" i="2" s="1"/>
  <c r="L27" i="2"/>
  <c r="I27" i="2"/>
  <c r="H27" i="2"/>
  <c r="F27" i="2"/>
  <c r="C27" i="2"/>
  <c r="AD26" i="2"/>
  <c r="AC26" i="2"/>
  <c r="AA26" i="2"/>
  <c r="X26" i="2"/>
  <c r="W26" i="2"/>
  <c r="U26" i="2"/>
  <c r="R26" i="2"/>
  <c r="O26" i="2"/>
  <c r="N26" i="2"/>
  <c r="L26" i="2"/>
  <c r="I26" i="2"/>
  <c r="H26" i="2"/>
  <c r="F26" i="2"/>
  <c r="C26" i="2"/>
  <c r="AC25" i="2"/>
  <c r="AD25" i="2" s="1"/>
  <c r="AA25" i="2"/>
  <c r="W25" i="2"/>
  <c r="X25" i="2" s="1"/>
  <c r="U25" i="2"/>
  <c r="R25" i="2"/>
  <c r="O25" i="2"/>
  <c r="N25" i="2"/>
  <c r="L25" i="2"/>
  <c r="I25" i="2"/>
  <c r="H25" i="2"/>
  <c r="F25" i="2"/>
  <c r="C25" i="2"/>
  <c r="AD24" i="2"/>
  <c r="AC24" i="2"/>
  <c r="AA24" i="2"/>
  <c r="W24" i="2"/>
  <c r="X24" i="2" s="1"/>
  <c r="U24" i="2"/>
  <c r="R24" i="2"/>
  <c r="N24" i="2"/>
  <c r="O24" i="2" s="1"/>
  <c r="L24" i="2"/>
  <c r="I24" i="2"/>
  <c r="H24" i="2"/>
  <c r="F24" i="2"/>
  <c r="C24" i="2"/>
  <c r="AD23" i="2"/>
  <c r="AC23" i="2"/>
  <c r="AA23" i="2"/>
  <c r="X23" i="2"/>
  <c r="W23" i="2"/>
  <c r="U23" i="2"/>
  <c r="R23" i="2"/>
  <c r="N23" i="2"/>
  <c r="O23" i="2" s="1"/>
  <c r="L23" i="2"/>
  <c r="H23" i="2"/>
  <c r="I23" i="2" s="1"/>
  <c r="F23" i="2"/>
  <c r="C23" i="2"/>
  <c r="AD22" i="2"/>
  <c r="AC22" i="2"/>
  <c r="AA22" i="2"/>
  <c r="X22" i="2"/>
  <c r="W22" i="2"/>
  <c r="U22" i="2"/>
  <c r="R22" i="2"/>
  <c r="O22" i="2"/>
  <c r="N22" i="2"/>
  <c r="L22" i="2"/>
  <c r="I22" i="2"/>
  <c r="H22" i="2"/>
  <c r="F22" i="2"/>
  <c r="C22" i="2"/>
  <c r="AC21" i="2"/>
  <c r="AD21" i="2" s="1"/>
  <c r="AA21" i="2"/>
  <c r="W21" i="2"/>
  <c r="X21" i="2" s="1"/>
  <c r="U21" i="2"/>
  <c r="R21" i="2"/>
  <c r="N21" i="2"/>
  <c r="O21" i="2" s="1"/>
  <c r="L21" i="2"/>
  <c r="I21" i="2"/>
  <c r="H21" i="2"/>
  <c r="F21" i="2"/>
  <c r="C21" i="2"/>
  <c r="AD19" i="2"/>
  <c r="AC19" i="2"/>
  <c r="AA19" i="2"/>
  <c r="X19" i="2"/>
  <c r="W19" i="2"/>
  <c r="U19" i="2"/>
  <c r="R19" i="2"/>
  <c r="O19" i="2"/>
  <c r="N19" i="2"/>
  <c r="L19" i="2"/>
  <c r="H19" i="2"/>
  <c r="I19" i="2" s="1"/>
  <c r="F19" i="2"/>
  <c r="C19" i="2"/>
  <c r="AA18" i="2"/>
  <c r="Z18" i="2"/>
  <c r="W18" i="2"/>
  <c r="X18" i="2" s="1"/>
  <c r="U18" i="2"/>
  <c r="T18" i="2"/>
  <c r="R18" i="2"/>
  <c r="Q18" i="2"/>
  <c r="AC18" i="2" s="1"/>
  <c r="AD18" i="2" s="1"/>
  <c r="K18" i="2"/>
  <c r="L18" i="2" s="1"/>
  <c r="E18" i="2"/>
  <c r="F18" i="2" s="1"/>
  <c r="C18" i="2"/>
  <c r="B18" i="2"/>
  <c r="N18" i="2" s="1"/>
  <c r="O18" i="2" s="1"/>
  <c r="AC17" i="2"/>
  <c r="AD17" i="2" s="1"/>
  <c r="AA17" i="2"/>
  <c r="W17" i="2"/>
  <c r="X17" i="2" s="1"/>
  <c r="U17" i="2"/>
  <c r="R17" i="2"/>
  <c r="O17" i="2"/>
  <c r="N17" i="2"/>
  <c r="L17" i="2"/>
  <c r="I17" i="2"/>
  <c r="H17" i="2"/>
  <c r="F17" i="2"/>
  <c r="C17" i="2"/>
  <c r="AC16" i="2"/>
  <c r="AD16" i="2" s="1"/>
  <c r="AA16" i="2"/>
  <c r="W16" i="2"/>
  <c r="X16" i="2" s="1"/>
  <c r="U16" i="2"/>
  <c r="R16" i="2"/>
  <c r="N16" i="2"/>
  <c r="O16" i="2" s="1"/>
  <c r="L16" i="2"/>
  <c r="I16" i="2"/>
  <c r="H16" i="2"/>
  <c r="F16" i="2"/>
  <c r="C16" i="2"/>
  <c r="AD15" i="2"/>
  <c r="AC15" i="2"/>
  <c r="AA15" i="2"/>
  <c r="X15" i="2"/>
  <c r="W15" i="2"/>
  <c r="U15" i="2"/>
  <c r="R15" i="2"/>
  <c r="N15" i="2"/>
  <c r="O15" i="2" s="1"/>
  <c r="L15" i="2"/>
  <c r="H15" i="2"/>
  <c r="I15" i="2" s="1"/>
  <c r="F15" i="2"/>
  <c r="C15" i="2"/>
  <c r="AD14" i="2"/>
  <c r="AC14" i="2"/>
  <c r="AA14" i="2"/>
  <c r="X14" i="2"/>
  <c r="W14" i="2"/>
  <c r="U14" i="2"/>
  <c r="R14" i="2"/>
  <c r="O14" i="2"/>
  <c r="N14" i="2"/>
  <c r="L14" i="2"/>
  <c r="H14" i="2"/>
  <c r="I14" i="2" s="1"/>
  <c r="F14" i="2"/>
  <c r="C14" i="2"/>
  <c r="AD13" i="2"/>
  <c r="AC13" i="2"/>
  <c r="AA13" i="2"/>
  <c r="W13" i="2"/>
  <c r="X13" i="2" s="1"/>
  <c r="U13" i="2"/>
  <c r="R13" i="2"/>
  <c r="N13" i="2"/>
  <c r="O13" i="2" s="1"/>
  <c r="L13" i="2"/>
  <c r="I13" i="2"/>
  <c r="H13" i="2"/>
  <c r="F13" i="2"/>
  <c r="C13" i="2"/>
  <c r="AD12" i="2"/>
  <c r="AC12" i="2"/>
  <c r="AA12" i="2"/>
  <c r="X12" i="2"/>
  <c r="W12" i="2"/>
  <c r="U12" i="2"/>
  <c r="R12" i="2"/>
  <c r="O12" i="2"/>
  <c r="N12" i="2"/>
  <c r="L12" i="2"/>
  <c r="I12" i="2"/>
  <c r="H12" i="2"/>
  <c r="F12" i="2"/>
  <c r="C12" i="2"/>
  <c r="AC11" i="2"/>
  <c r="AD11" i="2" s="1"/>
  <c r="AA11" i="2"/>
  <c r="W11" i="2"/>
  <c r="X11" i="2" s="1"/>
  <c r="U11" i="2"/>
  <c r="R11" i="2"/>
  <c r="N11" i="2"/>
  <c r="O11" i="2" s="1"/>
  <c r="L11" i="2"/>
  <c r="H11" i="2"/>
  <c r="I11" i="2" s="1"/>
  <c r="F11" i="2"/>
  <c r="C11" i="2"/>
  <c r="AD10" i="2"/>
  <c r="AC10" i="2"/>
  <c r="AA10" i="2"/>
  <c r="X10" i="2"/>
  <c r="W10" i="2"/>
  <c r="U10" i="2"/>
  <c r="R10" i="2"/>
  <c r="O10" i="2"/>
  <c r="N10" i="2"/>
  <c r="L10" i="2"/>
  <c r="H10" i="2"/>
  <c r="I10" i="2" s="1"/>
  <c r="F10" i="2"/>
  <c r="C10" i="2"/>
  <c r="AC8" i="2"/>
  <c r="AD8" i="2" s="1"/>
  <c r="AA8" i="2"/>
  <c r="W8" i="2"/>
  <c r="X8" i="2" s="1"/>
  <c r="U8" i="2"/>
  <c r="R8" i="2"/>
  <c r="N8" i="2"/>
  <c r="O8" i="2" s="1"/>
  <c r="L8" i="2"/>
  <c r="I8" i="2"/>
  <c r="H8" i="2"/>
  <c r="F8" i="2"/>
  <c r="C8" i="2"/>
  <c r="AC444" i="1"/>
  <c r="AD220" i="1" s="1"/>
  <c r="W444" i="1"/>
  <c r="X390" i="1" s="1"/>
  <c r="N444" i="1"/>
  <c r="O378" i="1" s="1"/>
  <c r="H444" i="1"/>
  <c r="Z442" i="1"/>
  <c r="AA442" i="1" s="1"/>
  <c r="U442" i="1"/>
  <c r="T442" i="1"/>
  <c r="R442" i="1"/>
  <c r="Q442" i="1"/>
  <c r="L442" i="1"/>
  <c r="K442" i="1"/>
  <c r="E442" i="1"/>
  <c r="F442" i="1" s="1"/>
  <c r="C442" i="1"/>
  <c r="B442" i="1"/>
  <c r="N442" i="1" s="1"/>
  <c r="O442" i="1" s="1"/>
  <c r="AA441" i="1"/>
  <c r="Z441" i="1"/>
  <c r="W441" i="1"/>
  <c r="X441" i="1" s="1"/>
  <c r="U441" i="1"/>
  <c r="T441" i="1"/>
  <c r="R441" i="1"/>
  <c r="Q441" i="1"/>
  <c r="AC441" i="1" s="1"/>
  <c r="AD441" i="1" s="1"/>
  <c r="K441" i="1"/>
  <c r="L441" i="1" s="1"/>
  <c r="F441" i="1"/>
  <c r="E441" i="1"/>
  <c r="B441" i="1"/>
  <c r="H441" i="1" s="1"/>
  <c r="I441" i="1" s="1"/>
  <c r="AC440" i="1"/>
  <c r="AA440" i="1"/>
  <c r="W440" i="1"/>
  <c r="U440" i="1"/>
  <c r="R440" i="1"/>
  <c r="O440" i="1"/>
  <c r="N440" i="1"/>
  <c r="L440" i="1"/>
  <c r="I440" i="1"/>
  <c r="H440" i="1"/>
  <c r="F440" i="1"/>
  <c r="C440" i="1"/>
  <c r="AC439" i="1"/>
  <c r="AD439" i="1" s="1"/>
  <c r="AA439" i="1"/>
  <c r="X439" i="1"/>
  <c r="W439" i="1"/>
  <c r="U439" i="1"/>
  <c r="R439" i="1"/>
  <c r="N439" i="1"/>
  <c r="O439" i="1" s="1"/>
  <c r="L439" i="1"/>
  <c r="I439" i="1"/>
  <c r="H439" i="1"/>
  <c r="F439" i="1"/>
  <c r="C439" i="1"/>
  <c r="AC438" i="1"/>
  <c r="AA438" i="1"/>
  <c r="X438" i="1"/>
  <c r="W438" i="1"/>
  <c r="U438" i="1"/>
  <c r="R438" i="1"/>
  <c r="O438" i="1"/>
  <c r="N438" i="1"/>
  <c r="L438" i="1"/>
  <c r="I438" i="1"/>
  <c r="H438" i="1"/>
  <c r="F438" i="1"/>
  <c r="C438" i="1"/>
  <c r="AC437" i="1"/>
  <c r="AD437" i="1" s="1"/>
  <c r="AA437" i="1"/>
  <c r="W437" i="1"/>
  <c r="U437" i="1"/>
  <c r="R437" i="1"/>
  <c r="O437" i="1"/>
  <c r="N437" i="1"/>
  <c r="L437" i="1"/>
  <c r="I437" i="1"/>
  <c r="H437" i="1"/>
  <c r="F437" i="1"/>
  <c r="C437" i="1"/>
  <c r="AD436" i="1"/>
  <c r="AC436" i="1"/>
  <c r="AA436" i="1"/>
  <c r="W436" i="1"/>
  <c r="X436" i="1" s="1"/>
  <c r="U436" i="1"/>
  <c r="R436" i="1"/>
  <c r="O436" i="1"/>
  <c r="N436" i="1"/>
  <c r="L436" i="1"/>
  <c r="H436" i="1"/>
  <c r="I436" i="1" s="1"/>
  <c r="F436" i="1"/>
  <c r="C436" i="1"/>
  <c r="AC435" i="1"/>
  <c r="AA435" i="1"/>
  <c r="X435" i="1"/>
  <c r="W435" i="1"/>
  <c r="U435" i="1"/>
  <c r="R435" i="1"/>
  <c r="N435" i="1"/>
  <c r="L435" i="1"/>
  <c r="H435" i="1"/>
  <c r="I435" i="1" s="1"/>
  <c r="F435" i="1"/>
  <c r="C435" i="1"/>
  <c r="AD434" i="1"/>
  <c r="AC434" i="1"/>
  <c r="AA434" i="1"/>
  <c r="W434" i="1"/>
  <c r="X434" i="1" s="1"/>
  <c r="U434" i="1"/>
  <c r="R434" i="1"/>
  <c r="N434" i="1"/>
  <c r="O434" i="1" s="1"/>
  <c r="L434" i="1"/>
  <c r="I434" i="1"/>
  <c r="H434" i="1"/>
  <c r="F434" i="1"/>
  <c r="C434" i="1"/>
  <c r="AC433" i="1"/>
  <c r="AA433" i="1"/>
  <c r="W433" i="1"/>
  <c r="X433" i="1" s="1"/>
  <c r="U433" i="1"/>
  <c r="R433" i="1"/>
  <c r="N433" i="1"/>
  <c r="O433" i="1" s="1"/>
  <c r="L433" i="1"/>
  <c r="I433" i="1"/>
  <c r="H433" i="1"/>
  <c r="F433" i="1"/>
  <c r="C433" i="1"/>
  <c r="AC432" i="1"/>
  <c r="AD432" i="1" s="1"/>
  <c r="AA432" i="1"/>
  <c r="X432" i="1"/>
  <c r="W432" i="1"/>
  <c r="U432" i="1"/>
  <c r="R432" i="1"/>
  <c r="N432" i="1"/>
  <c r="L432" i="1"/>
  <c r="I432" i="1"/>
  <c r="H432" i="1"/>
  <c r="F432" i="1"/>
  <c r="C432" i="1"/>
  <c r="Z429" i="1"/>
  <c r="AA429" i="1" s="1"/>
  <c r="X429" i="1"/>
  <c r="W429" i="1"/>
  <c r="U429" i="1"/>
  <c r="T429" i="1"/>
  <c r="R429" i="1"/>
  <c r="Q429" i="1"/>
  <c r="N429" i="1"/>
  <c r="O429" i="1" s="1"/>
  <c r="L429" i="1"/>
  <c r="K429" i="1"/>
  <c r="E429" i="1"/>
  <c r="F429" i="1" s="1"/>
  <c r="C429" i="1"/>
  <c r="B429" i="1"/>
  <c r="AA428" i="1"/>
  <c r="Z428" i="1"/>
  <c r="U428" i="1"/>
  <c r="T428" i="1"/>
  <c r="Q428" i="1"/>
  <c r="R428" i="1" s="1"/>
  <c r="K428" i="1"/>
  <c r="L428" i="1" s="1"/>
  <c r="E428" i="1"/>
  <c r="C428" i="1"/>
  <c r="B428" i="1"/>
  <c r="N428" i="1" s="1"/>
  <c r="O428" i="1" s="1"/>
  <c r="AC427" i="1"/>
  <c r="AA427" i="1"/>
  <c r="W427" i="1"/>
  <c r="U427" i="1"/>
  <c r="R427" i="1"/>
  <c r="N427" i="1"/>
  <c r="O427" i="1" s="1"/>
  <c r="L427" i="1"/>
  <c r="I427" i="1"/>
  <c r="H427" i="1"/>
  <c r="F427" i="1"/>
  <c r="C427" i="1"/>
  <c r="AD426" i="1"/>
  <c r="AC426" i="1"/>
  <c r="AA426" i="1"/>
  <c r="W426" i="1"/>
  <c r="U426" i="1"/>
  <c r="R426" i="1"/>
  <c r="N426" i="1"/>
  <c r="O426" i="1" s="1"/>
  <c r="L426" i="1"/>
  <c r="I426" i="1"/>
  <c r="H426" i="1"/>
  <c r="F426" i="1"/>
  <c r="C426" i="1"/>
  <c r="AC425" i="1"/>
  <c r="AA425" i="1"/>
  <c r="W425" i="1"/>
  <c r="X425" i="1" s="1"/>
  <c r="U425" i="1"/>
  <c r="R425" i="1"/>
  <c r="N425" i="1"/>
  <c r="O425" i="1" s="1"/>
  <c r="L425" i="1"/>
  <c r="I425" i="1"/>
  <c r="H425" i="1"/>
  <c r="F425" i="1"/>
  <c r="C425" i="1"/>
  <c r="AC424" i="1"/>
  <c r="AD424" i="1" s="1"/>
  <c r="AA424" i="1"/>
  <c r="W424" i="1"/>
  <c r="U424" i="1"/>
  <c r="R424" i="1"/>
  <c r="N424" i="1"/>
  <c r="L424" i="1"/>
  <c r="I424" i="1"/>
  <c r="H424" i="1"/>
  <c r="F424" i="1"/>
  <c r="C424" i="1"/>
  <c r="AD423" i="1"/>
  <c r="AC423" i="1"/>
  <c r="AA423" i="1"/>
  <c r="X423" i="1"/>
  <c r="W423" i="1"/>
  <c r="U423" i="1"/>
  <c r="R423" i="1"/>
  <c r="N423" i="1"/>
  <c r="L423" i="1"/>
  <c r="I423" i="1"/>
  <c r="H423" i="1"/>
  <c r="F423" i="1"/>
  <c r="C423" i="1"/>
  <c r="AC422" i="1"/>
  <c r="AA422" i="1"/>
  <c r="W422" i="1"/>
  <c r="X422" i="1" s="1"/>
  <c r="U422" i="1"/>
  <c r="R422" i="1"/>
  <c r="O422" i="1"/>
  <c r="N422" i="1"/>
  <c r="L422" i="1"/>
  <c r="I422" i="1"/>
  <c r="H422" i="1"/>
  <c r="F422" i="1"/>
  <c r="C422" i="1"/>
  <c r="AD421" i="1"/>
  <c r="AC421" i="1"/>
  <c r="AA421" i="1"/>
  <c r="W421" i="1"/>
  <c r="U421" i="1"/>
  <c r="R421" i="1"/>
  <c r="O421" i="1"/>
  <c r="N421" i="1"/>
  <c r="L421" i="1"/>
  <c r="I421" i="1"/>
  <c r="H421" i="1"/>
  <c r="F421" i="1"/>
  <c r="C421" i="1"/>
  <c r="AC420" i="1"/>
  <c r="AD420" i="1" s="1"/>
  <c r="AA420" i="1"/>
  <c r="X420" i="1"/>
  <c r="W420" i="1"/>
  <c r="U420" i="1"/>
  <c r="R420" i="1"/>
  <c r="O420" i="1"/>
  <c r="N420" i="1"/>
  <c r="L420" i="1"/>
  <c r="H420" i="1"/>
  <c r="I420" i="1" s="1"/>
  <c r="F420" i="1"/>
  <c r="C420" i="1"/>
  <c r="AC419" i="1"/>
  <c r="AD419" i="1" s="1"/>
  <c r="AA419" i="1"/>
  <c r="X419" i="1"/>
  <c r="W419" i="1"/>
  <c r="U419" i="1"/>
  <c r="R419" i="1"/>
  <c r="N419" i="1"/>
  <c r="L419" i="1"/>
  <c r="I419" i="1"/>
  <c r="H419" i="1"/>
  <c r="F419" i="1"/>
  <c r="C419" i="1"/>
  <c r="AD418" i="1"/>
  <c r="AC418" i="1"/>
  <c r="AA418" i="1"/>
  <c r="W418" i="1"/>
  <c r="X418" i="1" s="1"/>
  <c r="U418" i="1"/>
  <c r="R418" i="1"/>
  <c r="N418" i="1"/>
  <c r="O418" i="1" s="1"/>
  <c r="L418" i="1"/>
  <c r="I418" i="1"/>
  <c r="H418" i="1"/>
  <c r="F418" i="1"/>
  <c r="C418" i="1"/>
  <c r="AD417" i="1"/>
  <c r="AC417" i="1"/>
  <c r="AA417" i="1"/>
  <c r="W417" i="1"/>
  <c r="U417" i="1"/>
  <c r="R417" i="1"/>
  <c r="O417" i="1"/>
  <c r="N417" i="1"/>
  <c r="L417" i="1"/>
  <c r="I417" i="1"/>
  <c r="H417" i="1"/>
  <c r="F417" i="1"/>
  <c r="C417" i="1"/>
  <c r="AC416" i="1"/>
  <c r="AA416" i="1"/>
  <c r="X416" i="1"/>
  <c r="W416" i="1"/>
  <c r="U416" i="1"/>
  <c r="R416" i="1"/>
  <c r="N416" i="1"/>
  <c r="L416" i="1"/>
  <c r="H416" i="1"/>
  <c r="I416" i="1" s="1"/>
  <c r="F416" i="1"/>
  <c r="C416" i="1"/>
  <c r="AD415" i="1"/>
  <c r="AC415" i="1"/>
  <c r="AA415" i="1"/>
  <c r="X415" i="1"/>
  <c r="W415" i="1"/>
  <c r="U415" i="1"/>
  <c r="R415" i="1"/>
  <c r="N415" i="1"/>
  <c r="O415" i="1" s="1"/>
  <c r="L415" i="1"/>
  <c r="I415" i="1"/>
  <c r="H415" i="1"/>
  <c r="F415" i="1"/>
  <c r="C415" i="1"/>
  <c r="AD414" i="1"/>
  <c r="AC414" i="1"/>
  <c r="AA414" i="1"/>
  <c r="X414" i="1"/>
  <c r="W414" i="1"/>
  <c r="U414" i="1"/>
  <c r="R414" i="1"/>
  <c r="N414" i="1"/>
  <c r="O414" i="1" s="1"/>
  <c r="L414" i="1"/>
  <c r="I414" i="1"/>
  <c r="H414" i="1"/>
  <c r="F414" i="1"/>
  <c r="C414" i="1"/>
  <c r="AD413" i="1"/>
  <c r="AC413" i="1"/>
  <c r="AA413" i="1"/>
  <c r="W413" i="1"/>
  <c r="U413" i="1"/>
  <c r="R413" i="1"/>
  <c r="N413" i="1"/>
  <c r="L413" i="1"/>
  <c r="I413" i="1"/>
  <c r="H413" i="1"/>
  <c r="F413" i="1"/>
  <c r="C413" i="1"/>
  <c r="AD412" i="1"/>
  <c r="AC412" i="1"/>
  <c r="AA412" i="1"/>
  <c r="W412" i="1"/>
  <c r="X412" i="1" s="1"/>
  <c r="U412" i="1"/>
  <c r="R412" i="1"/>
  <c r="O412" i="1"/>
  <c r="N412" i="1"/>
  <c r="L412" i="1"/>
  <c r="H412" i="1"/>
  <c r="I412" i="1" s="1"/>
  <c r="F412" i="1"/>
  <c r="C412" i="1"/>
  <c r="AC411" i="1"/>
  <c r="AA411" i="1"/>
  <c r="W411" i="1"/>
  <c r="U411" i="1"/>
  <c r="R411" i="1"/>
  <c r="N411" i="1"/>
  <c r="O411" i="1" s="1"/>
  <c r="L411" i="1"/>
  <c r="I411" i="1"/>
  <c r="H411" i="1"/>
  <c r="F411" i="1"/>
  <c r="C411" i="1"/>
  <c r="AD410" i="1"/>
  <c r="AC410" i="1"/>
  <c r="AA410" i="1"/>
  <c r="W410" i="1"/>
  <c r="U410" i="1"/>
  <c r="R410" i="1"/>
  <c r="N410" i="1"/>
  <c r="O410" i="1" s="1"/>
  <c r="L410" i="1"/>
  <c r="I410" i="1"/>
  <c r="H410" i="1"/>
  <c r="F410" i="1"/>
  <c r="C410" i="1"/>
  <c r="AC409" i="1"/>
  <c r="AA409" i="1"/>
  <c r="W409" i="1"/>
  <c r="X409" i="1" s="1"/>
  <c r="U409" i="1"/>
  <c r="R409" i="1"/>
  <c r="N409" i="1"/>
  <c r="O409" i="1" s="1"/>
  <c r="L409" i="1"/>
  <c r="I409" i="1"/>
  <c r="H409" i="1"/>
  <c r="F409" i="1"/>
  <c r="C409" i="1"/>
  <c r="AC408" i="1"/>
  <c r="AD408" i="1" s="1"/>
  <c r="AA408" i="1"/>
  <c r="W408" i="1"/>
  <c r="U408" i="1"/>
  <c r="R408" i="1"/>
  <c r="N408" i="1"/>
  <c r="L408" i="1"/>
  <c r="I408" i="1"/>
  <c r="H408" i="1"/>
  <c r="F408" i="1"/>
  <c r="C408" i="1"/>
  <c r="AD407" i="1"/>
  <c r="AC407" i="1"/>
  <c r="AA407" i="1"/>
  <c r="X407" i="1"/>
  <c r="W407" i="1"/>
  <c r="U407" i="1"/>
  <c r="R407" i="1"/>
  <c r="N407" i="1"/>
  <c r="L407" i="1"/>
  <c r="I407" i="1"/>
  <c r="H407" i="1"/>
  <c r="F407" i="1"/>
  <c r="C407" i="1"/>
  <c r="AC403" i="1"/>
  <c r="AA403" i="1"/>
  <c r="Z403" i="1"/>
  <c r="U403" i="1"/>
  <c r="T403" i="1"/>
  <c r="R403" i="1"/>
  <c r="Q403" i="1"/>
  <c r="L403" i="1"/>
  <c r="K403" i="1"/>
  <c r="I403" i="1"/>
  <c r="H403" i="1"/>
  <c r="F403" i="1"/>
  <c r="E403" i="1"/>
  <c r="C403" i="1"/>
  <c r="B403" i="1"/>
  <c r="N403" i="1" s="1"/>
  <c r="O403" i="1" s="1"/>
  <c r="AD402" i="1"/>
  <c r="AC402" i="1"/>
  <c r="AA402" i="1"/>
  <c r="X402" i="1"/>
  <c r="W402" i="1"/>
  <c r="U402" i="1"/>
  <c r="R402" i="1"/>
  <c r="N402" i="1"/>
  <c r="O402" i="1" s="1"/>
  <c r="L402" i="1"/>
  <c r="I402" i="1"/>
  <c r="H402" i="1"/>
  <c r="F402" i="1"/>
  <c r="C402" i="1"/>
  <c r="AD401" i="1"/>
  <c r="AC401" i="1"/>
  <c r="AA401" i="1"/>
  <c r="W401" i="1"/>
  <c r="U401" i="1"/>
  <c r="R401" i="1"/>
  <c r="N401" i="1"/>
  <c r="L401" i="1"/>
  <c r="I401" i="1"/>
  <c r="H401" i="1"/>
  <c r="F401" i="1"/>
  <c r="C401" i="1"/>
  <c r="AD400" i="1"/>
  <c r="AC400" i="1"/>
  <c r="AA400" i="1"/>
  <c r="W400" i="1"/>
  <c r="X400" i="1" s="1"/>
  <c r="U400" i="1"/>
  <c r="R400" i="1"/>
  <c r="N400" i="1"/>
  <c r="O400" i="1" s="1"/>
  <c r="L400" i="1"/>
  <c r="H400" i="1"/>
  <c r="I400" i="1" s="1"/>
  <c r="F400" i="1"/>
  <c r="C400" i="1"/>
  <c r="AC399" i="1"/>
  <c r="AA399" i="1"/>
  <c r="W399" i="1"/>
  <c r="U399" i="1"/>
  <c r="R399" i="1"/>
  <c r="N399" i="1"/>
  <c r="O399" i="1" s="1"/>
  <c r="L399" i="1"/>
  <c r="I399" i="1"/>
  <c r="H399" i="1"/>
  <c r="F399" i="1"/>
  <c r="C399" i="1"/>
  <c r="AD398" i="1"/>
  <c r="AC398" i="1"/>
  <c r="AA398" i="1"/>
  <c r="W398" i="1"/>
  <c r="X398" i="1" s="1"/>
  <c r="U398" i="1"/>
  <c r="R398" i="1"/>
  <c r="N398" i="1"/>
  <c r="O398" i="1" s="1"/>
  <c r="L398" i="1"/>
  <c r="I398" i="1"/>
  <c r="H398" i="1"/>
  <c r="F398" i="1"/>
  <c r="C398" i="1"/>
  <c r="AC397" i="1"/>
  <c r="AA397" i="1"/>
  <c r="W397" i="1"/>
  <c r="X397" i="1" s="1"/>
  <c r="U397" i="1"/>
  <c r="R397" i="1"/>
  <c r="O397" i="1"/>
  <c r="N397" i="1"/>
  <c r="L397" i="1"/>
  <c r="I397" i="1"/>
  <c r="H397" i="1"/>
  <c r="F397" i="1"/>
  <c r="C397" i="1"/>
  <c r="AC396" i="1"/>
  <c r="AD396" i="1" s="1"/>
  <c r="AA396" i="1"/>
  <c r="Z396" i="1"/>
  <c r="T396" i="1"/>
  <c r="U396" i="1" s="1"/>
  <c r="R396" i="1"/>
  <c r="Q396" i="1"/>
  <c r="L396" i="1"/>
  <c r="K396" i="1"/>
  <c r="F396" i="1"/>
  <c r="E396" i="1"/>
  <c r="B396" i="1"/>
  <c r="C396" i="1" s="1"/>
  <c r="AC395" i="1"/>
  <c r="AA395" i="1"/>
  <c r="W395" i="1"/>
  <c r="X395" i="1" s="1"/>
  <c r="U395" i="1"/>
  <c r="R395" i="1"/>
  <c r="N395" i="1"/>
  <c r="L395" i="1"/>
  <c r="I395" i="1"/>
  <c r="H395" i="1"/>
  <c r="F395" i="1"/>
  <c r="C395" i="1"/>
  <c r="AD394" i="1"/>
  <c r="AC394" i="1"/>
  <c r="AA394" i="1"/>
  <c r="W394" i="1"/>
  <c r="U394" i="1"/>
  <c r="R394" i="1"/>
  <c r="O394" i="1"/>
  <c r="N394" i="1"/>
  <c r="L394" i="1"/>
  <c r="I394" i="1"/>
  <c r="H394" i="1"/>
  <c r="F394" i="1"/>
  <c r="C394" i="1"/>
  <c r="Z393" i="1"/>
  <c r="AA393" i="1" s="1"/>
  <c r="X393" i="1"/>
  <c r="U393" i="1"/>
  <c r="T393" i="1"/>
  <c r="R393" i="1"/>
  <c r="Q393" i="1"/>
  <c r="W393" i="1" s="1"/>
  <c r="L393" i="1"/>
  <c r="K393" i="1"/>
  <c r="F393" i="1"/>
  <c r="E393" i="1"/>
  <c r="H393" i="1" s="1"/>
  <c r="I393" i="1" s="1"/>
  <c r="C393" i="1"/>
  <c r="B393" i="1"/>
  <c r="N393" i="1" s="1"/>
  <c r="O393" i="1" s="1"/>
  <c r="AD392" i="1"/>
  <c r="AC392" i="1"/>
  <c r="AA392" i="1"/>
  <c r="W392" i="1"/>
  <c r="U392" i="1"/>
  <c r="R392" i="1"/>
  <c r="N392" i="1"/>
  <c r="O392" i="1" s="1"/>
  <c r="L392" i="1"/>
  <c r="I392" i="1"/>
  <c r="H392" i="1"/>
  <c r="F392" i="1"/>
  <c r="C392" i="1"/>
  <c r="AD391" i="1"/>
  <c r="AC391" i="1"/>
  <c r="AA391" i="1"/>
  <c r="W391" i="1"/>
  <c r="X391" i="1" s="1"/>
  <c r="U391" i="1"/>
  <c r="R391" i="1"/>
  <c r="O391" i="1"/>
  <c r="N391" i="1"/>
  <c r="L391" i="1"/>
  <c r="I391" i="1"/>
  <c r="H391" i="1"/>
  <c r="F391" i="1"/>
  <c r="C391" i="1"/>
  <c r="AC390" i="1"/>
  <c r="AD390" i="1" s="1"/>
  <c r="AA390" i="1"/>
  <c r="W390" i="1"/>
  <c r="U390" i="1"/>
  <c r="R390" i="1"/>
  <c r="N390" i="1"/>
  <c r="L390" i="1"/>
  <c r="H390" i="1"/>
  <c r="I390" i="1" s="1"/>
  <c r="F390" i="1"/>
  <c r="C390" i="1"/>
  <c r="AC389" i="1"/>
  <c r="AA389" i="1"/>
  <c r="W389" i="1"/>
  <c r="X389" i="1" s="1"/>
  <c r="U389" i="1"/>
  <c r="R389" i="1"/>
  <c r="N389" i="1"/>
  <c r="O389" i="1" s="1"/>
  <c r="L389" i="1"/>
  <c r="I389" i="1"/>
  <c r="H389" i="1"/>
  <c r="F389" i="1"/>
  <c r="C389" i="1"/>
  <c r="AD388" i="1"/>
  <c r="AC388" i="1"/>
  <c r="AA388" i="1"/>
  <c r="W388" i="1"/>
  <c r="U388" i="1"/>
  <c r="R388" i="1"/>
  <c r="O388" i="1"/>
  <c r="N388" i="1"/>
  <c r="L388" i="1"/>
  <c r="I388" i="1"/>
  <c r="H388" i="1"/>
  <c r="F388" i="1"/>
  <c r="C388" i="1"/>
  <c r="AC386" i="1"/>
  <c r="AD386" i="1" s="1"/>
  <c r="AA386" i="1"/>
  <c r="W386" i="1"/>
  <c r="U386" i="1"/>
  <c r="R386" i="1"/>
  <c r="N386" i="1"/>
  <c r="L386" i="1"/>
  <c r="I386" i="1"/>
  <c r="H386" i="1"/>
  <c r="F386" i="1"/>
  <c r="C386" i="1"/>
  <c r="AD385" i="1"/>
  <c r="AC385" i="1"/>
  <c r="AA385" i="1"/>
  <c r="X385" i="1"/>
  <c r="W385" i="1"/>
  <c r="U385" i="1"/>
  <c r="R385" i="1"/>
  <c r="N385" i="1"/>
  <c r="O385" i="1" s="1"/>
  <c r="L385" i="1"/>
  <c r="H385" i="1"/>
  <c r="I385" i="1" s="1"/>
  <c r="F385" i="1"/>
  <c r="C385" i="1"/>
  <c r="AC383" i="1"/>
  <c r="AD383" i="1" s="1"/>
  <c r="AA383" i="1"/>
  <c r="W383" i="1"/>
  <c r="U383" i="1"/>
  <c r="R383" i="1"/>
  <c r="N383" i="1"/>
  <c r="O383" i="1" s="1"/>
  <c r="L383" i="1"/>
  <c r="H383" i="1"/>
  <c r="I383" i="1" s="1"/>
  <c r="F383" i="1"/>
  <c r="C383" i="1"/>
  <c r="AD382" i="1"/>
  <c r="AC382" i="1"/>
  <c r="AA382" i="1"/>
  <c r="W382" i="1"/>
  <c r="X382" i="1" s="1"/>
  <c r="U382" i="1"/>
  <c r="R382" i="1"/>
  <c r="N382" i="1"/>
  <c r="O382" i="1" s="1"/>
  <c r="L382" i="1"/>
  <c r="I382" i="1"/>
  <c r="H382" i="1"/>
  <c r="F382" i="1"/>
  <c r="C382" i="1"/>
  <c r="AC381" i="1"/>
  <c r="AA381" i="1"/>
  <c r="W381" i="1"/>
  <c r="X381" i="1" s="1"/>
  <c r="U381" i="1"/>
  <c r="R381" i="1"/>
  <c r="N381" i="1"/>
  <c r="O381" i="1" s="1"/>
  <c r="L381" i="1"/>
  <c r="I381" i="1"/>
  <c r="H381" i="1"/>
  <c r="F381" i="1"/>
  <c r="C381" i="1"/>
  <c r="AC380" i="1"/>
  <c r="AD380" i="1" s="1"/>
  <c r="AA380" i="1"/>
  <c r="W380" i="1"/>
  <c r="U380" i="1"/>
  <c r="R380" i="1"/>
  <c r="O380" i="1"/>
  <c r="N380" i="1"/>
  <c r="L380" i="1"/>
  <c r="I380" i="1"/>
  <c r="H380" i="1"/>
  <c r="F380" i="1"/>
  <c r="C380" i="1"/>
  <c r="AC379" i="1"/>
  <c r="AD379" i="1" s="1"/>
  <c r="AA379" i="1"/>
  <c r="W379" i="1"/>
  <c r="X379" i="1" s="1"/>
  <c r="U379" i="1"/>
  <c r="R379" i="1"/>
  <c r="N379" i="1"/>
  <c r="O379" i="1" s="1"/>
  <c r="L379" i="1"/>
  <c r="I379" i="1"/>
  <c r="H379" i="1"/>
  <c r="F379" i="1"/>
  <c r="C379" i="1"/>
  <c r="AC378" i="1"/>
  <c r="AA378" i="1"/>
  <c r="X378" i="1"/>
  <c r="W378" i="1"/>
  <c r="U378" i="1"/>
  <c r="R378" i="1"/>
  <c r="N378" i="1"/>
  <c r="L378" i="1"/>
  <c r="I378" i="1"/>
  <c r="H378" i="1"/>
  <c r="F378" i="1"/>
  <c r="C378" i="1"/>
  <c r="AD377" i="1"/>
  <c r="AC377" i="1"/>
  <c r="AA377" i="1"/>
  <c r="W377" i="1"/>
  <c r="U377" i="1"/>
  <c r="R377" i="1"/>
  <c r="O377" i="1"/>
  <c r="N377" i="1"/>
  <c r="L377" i="1"/>
  <c r="I377" i="1"/>
  <c r="H377" i="1"/>
  <c r="F377" i="1"/>
  <c r="C377" i="1"/>
  <c r="AD376" i="1"/>
  <c r="AC376" i="1"/>
  <c r="AA376" i="1"/>
  <c r="X376" i="1"/>
  <c r="W376" i="1"/>
  <c r="U376" i="1"/>
  <c r="R376" i="1"/>
  <c r="O376" i="1"/>
  <c r="N376" i="1"/>
  <c r="L376" i="1"/>
  <c r="H376" i="1"/>
  <c r="I376" i="1" s="1"/>
  <c r="F376" i="1"/>
  <c r="C376" i="1"/>
  <c r="AC375" i="1"/>
  <c r="AD375" i="1" s="1"/>
  <c r="AA375" i="1"/>
  <c r="X375" i="1"/>
  <c r="W375" i="1"/>
  <c r="U375" i="1"/>
  <c r="R375" i="1"/>
  <c r="N375" i="1"/>
  <c r="L375" i="1"/>
  <c r="I375" i="1"/>
  <c r="H375" i="1"/>
  <c r="F375" i="1"/>
  <c r="C375" i="1"/>
  <c r="AD374" i="1"/>
  <c r="AC374" i="1"/>
  <c r="AA374" i="1"/>
  <c r="W374" i="1"/>
  <c r="U374" i="1"/>
  <c r="R374" i="1"/>
  <c r="N374" i="1"/>
  <c r="O374" i="1" s="1"/>
  <c r="L374" i="1"/>
  <c r="I374" i="1"/>
  <c r="H374" i="1"/>
  <c r="F374" i="1"/>
  <c r="C374" i="1"/>
  <c r="AD373" i="1"/>
  <c r="AC373" i="1"/>
  <c r="AA373" i="1"/>
  <c r="W373" i="1"/>
  <c r="X373" i="1" s="1"/>
  <c r="U373" i="1"/>
  <c r="R373" i="1"/>
  <c r="O373" i="1"/>
  <c r="N373" i="1"/>
  <c r="L373" i="1"/>
  <c r="I373" i="1"/>
  <c r="H373" i="1"/>
  <c r="F373" i="1"/>
  <c r="C373" i="1"/>
  <c r="AC372" i="1"/>
  <c r="AD372" i="1" s="1"/>
  <c r="AA372" i="1"/>
  <c r="W372" i="1"/>
  <c r="U372" i="1"/>
  <c r="R372" i="1"/>
  <c r="N372" i="1"/>
  <c r="L372" i="1"/>
  <c r="I372" i="1"/>
  <c r="H372" i="1"/>
  <c r="F372" i="1"/>
  <c r="C372" i="1"/>
  <c r="AC371" i="1"/>
  <c r="AA371" i="1"/>
  <c r="W371" i="1"/>
  <c r="X371" i="1" s="1"/>
  <c r="U371" i="1"/>
  <c r="R371" i="1"/>
  <c r="N371" i="1"/>
  <c r="O371" i="1" s="1"/>
  <c r="L371" i="1"/>
  <c r="I371" i="1"/>
  <c r="H371" i="1"/>
  <c r="F371" i="1"/>
  <c r="C371" i="1"/>
  <c r="AD370" i="1"/>
  <c r="AC370" i="1"/>
  <c r="AA370" i="1"/>
  <c r="W370" i="1"/>
  <c r="U370" i="1"/>
  <c r="R370" i="1"/>
  <c r="N370" i="1"/>
  <c r="O370" i="1" s="1"/>
  <c r="L370" i="1"/>
  <c r="I370" i="1"/>
  <c r="H370" i="1"/>
  <c r="F370" i="1"/>
  <c r="C370" i="1"/>
  <c r="AC369" i="1"/>
  <c r="AD369" i="1" s="1"/>
  <c r="AA369" i="1"/>
  <c r="W369" i="1"/>
  <c r="U369" i="1"/>
  <c r="R369" i="1"/>
  <c r="N369" i="1"/>
  <c r="L369" i="1"/>
  <c r="I369" i="1"/>
  <c r="H369" i="1"/>
  <c r="F369" i="1"/>
  <c r="C369" i="1"/>
  <c r="Z368" i="1"/>
  <c r="AA368" i="1" s="1"/>
  <c r="U368" i="1"/>
  <c r="T368" i="1"/>
  <c r="Q368" i="1"/>
  <c r="L368" i="1"/>
  <c r="K368" i="1"/>
  <c r="F368" i="1"/>
  <c r="E368" i="1"/>
  <c r="C368" i="1"/>
  <c r="B368" i="1"/>
  <c r="N368" i="1" s="1"/>
  <c r="O368" i="1" s="1"/>
  <c r="AD367" i="1"/>
  <c r="AC367" i="1"/>
  <c r="AA367" i="1"/>
  <c r="W367" i="1"/>
  <c r="U367" i="1"/>
  <c r="R367" i="1"/>
  <c r="N367" i="1"/>
  <c r="O367" i="1" s="1"/>
  <c r="L367" i="1"/>
  <c r="I367" i="1"/>
  <c r="H367" i="1"/>
  <c r="F367" i="1"/>
  <c r="C367" i="1"/>
  <c r="AC366" i="1"/>
  <c r="AA366" i="1"/>
  <c r="W366" i="1"/>
  <c r="X366" i="1" s="1"/>
  <c r="U366" i="1"/>
  <c r="R366" i="1"/>
  <c r="N366" i="1"/>
  <c r="O366" i="1" s="1"/>
  <c r="L366" i="1"/>
  <c r="I366" i="1"/>
  <c r="H366" i="1"/>
  <c r="F366" i="1"/>
  <c r="C366" i="1"/>
  <c r="AC365" i="1"/>
  <c r="AD365" i="1" s="1"/>
  <c r="AA365" i="1"/>
  <c r="W365" i="1"/>
  <c r="U365" i="1"/>
  <c r="R365" i="1"/>
  <c r="O365" i="1"/>
  <c r="N365" i="1"/>
  <c r="L365" i="1"/>
  <c r="I365" i="1"/>
  <c r="H365" i="1"/>
  <c r="F365" i="1"/>
  <c r="C365" i="1"/>
  <c r="AD364" i="1"/>
  <c r="AC364" i="1"/>
  <c r="AA364" i="1"/>
  <c r="W364" i="1"/>
  <c r="X364" i="1" s="1"/>
  <c r="U364" i="1"/>
  <c r="R364" i="1"/>
  <c r="N364" i="1"/>
  <c r="L364" i="1"/>
  <c r="I364" i="1"/>
  <c r="H364" i="1"/>
  <c r="F364" i="1"/>
  <c r="C364" i="1"/>
  <c r="AC363" i="1"/>
  <c r="AA363" i="1"/>
  <c r="W363" i="1"/>
  <c r="X363" i="1" s="1"/>
  <c r="U363" i="1"/>
  <c r="R363" i="1"/>
  <c r="O363" i="1"/>
  <c r="N363" i="1"/>
  <c r="L363" i="1"/>
  <c r="I363" i="1"/>
  <c r="H363" i="1"/>
  <c r="F363" i="1"/>
  <c r="C363" i="1"/>
  <c r="AC362" i="1"/>
  <c r="AD362" i="1" s="1"/>
  <c r="AA362" i="1"/>
  <c r="W362" i="1"/>
  <c r="U362" i="1"/>
  <c r="R362" i="1"/>
  <c r="O362" i="1"/>
  <c r="N362" i="1"/>
  <c r="L362" i="1"/>
  <c r="I362" i="1"/>
  <c r="H362" i="1"/>
  <c r="F362" i="1"/>
  <c r="C362" i="1"/>
  <c r="AC361" i="1"/>
  <c r="AD361" i="1" s="1"/>
  <c r="AA361" i="1"/>
  <c r="W361" i="1"/>
  <c r="X361" i="1" s="1"/>
  <c r="U361" i="1"/>
  <c r="R361" i="1"/>
  <c r="O361" i="1"/>
  <c r="N361" i="1"/>
  <c r="L361" i="1"/>
  <c r="H361" i="1"/>
  <c r="I361" i="1" s="1"/>
  <c r="F361" i="1"/>
  <c r="C361" i="1"/>
  <c r="AC360" i="1"/>
  <c r="AD360" i="1" s="1"/>
  <c r="AA360" i="1"/>
  <c r="X360" i="1"/>
  <c r="W360" i="1"/>
  <c r="U360" i="1"/>
  <c r="R360" i="1"/>
  <c r="N360" i="1"/>
  <c r="L360" i="1"/>
  <c r="I360" i="1"/>
  <c r="H360" i="1"/>
  <c r="F360" i="1"/>
  <c r="C360" i="1"/>
  <c r="AD358" i="1"/>
  <c r="AA358" i="1"/>
  <c r="Z358" i="1"/>
  <c r="W358" i="1"/>
  <c r="X358" i="1" s="1"/>
  <c r="U358" i="1"/>
  <c r="T358" i="1"/>
  <c r="R358" i="1"/>
  <c r="Q358" i="1"/>
  <c r="AC358" i="1" s="1"/>
  <c r="K358" i="1"/>
  <c r="L358" i="1" s="1"/>
  <c r="H358" i="1"/>
  <c r="I358" i="1" s="1"/>
  <c r="F358" i="1"/>
  <c r="E358" i="1"/>
  <c r="C358" i="1"/>
  <c r="B358" i="1"/>
  <c r="AC357" i="1"/>
  <c r="AD357" i="1" s="1"/>
  <c r="AA357" i="1"/>
  <c r="X357" i="1"/>
  <c r="W357" i="1"/>
  <c r="U357" i="1"/>
  <c r="R357" i="1"/>
  <c r="N357" i="1"/>
  <c r="L357" i="1"/>
  <c r="I357" i="1"/>
  <c r="H357" i="1"/>
  <c r="F357" i="1"/>
  <c r="C357" i="1"/>
  <c r="AD356" i="1"/>
  <c r="AC356" i="1"/>
  <c r="AA356" i="1"/>
  <c r="W356" i="1"/>
  <c r="X356" i="1" s="1"/>
  <c r="U356" i="1"/>
  <c r="R356" i="1"/>
  <c r="N356" i="1"/>
  <c r="O356" i="1" s="1"/>
  <c r="L356" i="1"/>
  <c r="I356" i="1"/>
  <c r="H356" i="1"/>
  <c r="F356" i="1"/>
  <c r="C356" i="1"/>
  <c r="AD355" i="1"/>
  <c r="AC355" i="1"/>
  <c r="AA355" i="1"/>
  <c r="X355" i="1"/>
  <c r="W355" i="1"/>
  <c r="U355" i="1"/>
  <c r="R355" i="1"/>
  <c r="O355" i="1"/>
  <c r="N355" i="1"/>
  <c r="L355" i="1"/>
  <c r="I355" i="1"/>
  <c r="H355" i="1"/>
  <c r="F355" i="1"/>
  <c r="C355" i="1"/>
  <c r="AC354" i="1"/>
  <c r="AD354" i="1" s="1"/>
  <c r="AA354" i="1"/>
  <c r="W354" i="1"/>
  <c r="U354" i="1"/>
  <c r="R354" i="1"/>
  <c r="N354" i="1"/>
  <c r="L354" i="1"/>
  <c r="I354" i="1"/>
  <c r="H354" i="1"/>
  <c r="F354" i="1"/>
  <c r="C354" i="1"/>
  <c r="AD353" i="1"/>
  <c r="AC353" i="1"/>
  <c r="AA353" i="1"/>
  <c r="X353" i="1"/>
  <c r="W353" i="1"/>
  <c r="U353" i="1"/>
  <c r="R353" i="1"/>
  <c r="N353" i="1"/>
  <c r="O353" i="1" s="1"/>
  <c r="L353" i="1"/>
  <c r="H353" i="1"/>
  <c r="I353" i="1" s="1"/>
  <c r="F353" i="1"/>
  <c r="C353" i="1"/>
  <c r="AC352" i="1"/>
  <c r="AD352" i="1" s="1"/>
  <c r="AA352" i="1"/>
  <c r="W352" i="1"/>
  <c r="U352" i="1"/>
  <c r="R352" i="1"/>
  <c r="N352" i="1"/>
  <c r="L352" i="1"/>
  <c r="H352" i="1"/>
  <c r="I352" i="1" s="1"/>
  <c r="F352" i="1"/>
  <c r="C352" i="1"/>
  <c r="AD351" i="1"/>
  <c r="AC351" i="1"/>
  <c r="AA351" i="1"/>
  <c r="W351" i="1"/>
  <c r="X351" i="1" s="1"/>
  <c r="U351" i="1"/>
  <c r="R351" i="1"/>
  <c r="N351" i="1"/>
  <c r="O351" i="1" s="1"/>
  <c r="L351" i="1"/>
  <c r="I351" i="1"/>
  <c r="H351" i="1"/>
  <c r="F351" i="1"/>
  <c r="C351" i="1"/>
  <c r="AC350" i="1"/>
  <c r="AA350" i="1"/>
  <c r="W350" i="1"/>
  <c r="X350" i="1" s="1"/>
  <c r="U350" i="1"/>
  <c r="R350" i="1"/>
  <c r="O350" i="1"/>
  <c r="N350" i="1"/>
  <c r="L350" i="1"/>
  <c r="I350" i="1"/>
  <c r="H350" i="1"/>
  <c r="F350" i="1"/>
  <c r="C350" i="1"/>
  <c r="AC349" i="1"/>
  <c r="AD349" i="1" s="1"/>
  <c r="AA349" i="1"/>
  <c r="W349" i="1"/>
  <c r="U349" i="1"/>
  <c r="R349" i="1"/>
  <c r="O349" i="1"/>
  <c r="N349" i="1"/>
  <c r="L349" i="1"/>
  <c r="I349" i="1"/>
  <c r="H349" i="1"/>
  <c r="F349" i="1"/>
  <c r="C349" i="1"/>
  <c r="AC347" i="1"/>
  <c r="AD347" i="1" s="1"/>
  <c r="AA347" i="1"/>
  <c r="W347" i="1"/>
  <c r="X347" i="1" s="1"/>
  <c r="U347" i="1"/>
  <c r="R347" i="1"/>
  <c r="N347" i="1"/>
  <c r="O347" i="1" s="1"/>
  <c r="L347" i="1"/>
  <c r="I347" i="1"/>
  <c r="H347" i="1"/>
  <c r="F347" i="1"/>
  <c r="C347" i="1"/>
  <c r="AC344" i="1"/>
  <c r="AD344" i="1" s="1"/>
  <c r="Z344" i="1"/>
  <c r="AA344" i="1" s="1"/>
  <c r="U344" i="1"/>
  <c r="T344" i="1"/>
  <c r="R344" i="1"/>
  <c r="Q344" i="1"/>
  <c r="L344" i="1"/>
  <c r="K344" i="1"/>
  <c r="F344" i="1"/>
  <c r="E344" i="1"/>
  <c r="B344" i="1"/>
  <c r="N344" i="1" s="1"/>
  <c r="O344" i="1" s="1"/>
  <c r="Z343" i="1"/>
  <c r="AA343" i="1" s="1"/>
  <c r="T343" i="1"/>
  <c r="R343" i="1"/>
  <c r="Q343" i="1"/>
  <c r="L343" i="1"/>
  <c r="K343" i="1"/>
  <c r="H343" i="1"/>
  <c r="I343" i="1" s="1"/>
  <c r="F343" i="1"/>
  <c r="E343" i="1"/>
  <c r="B343" i="1"/>
  <c r="C343" i="1" s="1"/>
  <c r="Z342" i="1"/>
  <c r="AA342" i="1" s="1"/>
  <c r="U342" i="1"/>
  <c r="T342" i="1"/>
  <c r="R342" i="1"/>
  <c r="Q342" i="1"/>
  <c r="L342" i="1"/>
  <c r="K342" i="1"/>
  <c r="F342" i="1"/>
  <c r="E342" i="1"/>
  <c r="C342" i="1"/>
  <c r="B342" i="1"/>
  <c r="N342" i="1" s="1"/>
  <c r="O342" i="1" s="1"/>
  <c r="AD341" i="1"/>
  <c r="AC341" i="1"/>
  <c r="AA341" i="1"/>
  <c r="W341" i="1"/>
  <c r="U341" i="1"/>
  <c r="R341" i="1"/>
  <c r="N341" i="1"/>
  <c r="O341" i="1" s="1"/>
  <c r="L341" i="1"/>
  <c r="I341" i="1"/>
  <c r="H341" i="1"/>
  <c r="F341" i="1"/>
  <c r="C341" i="1"/>
  <c r="AC340" i="1"/>
  <c r="AA340" i="1"/>
  <c r="W340" i="1"/>
  <c r="X340" i="1" s="1"/>
  <c r="U340" i="1"/>
  <c r="R340" i="1"/>
  <c r="O340" i="1"/>
  <c r="N340" i="1"/>
  <c r="L340" i="1"/>
  <c r="I340" i="1"/>
  <c r="H340" i="1"/>
  <c r="F340" i="1"/>
  <c r="C340" i="1"/>
  <c r="AC339" i="1"/>
  <c r="AD339" i="1" s="1"/>
  <c r="AA339" i="1"/>
  <c r="W339" i="1"/>
  <c r="U339" i="1"/>
  <c r="R339" i="1"/>
  <c r="N339" i="1"/>
  <c r="L339" i="1"/>
  <c r="I339" i="1"/>
  <c r="H339" i="1"/>
  <c r="F339" i="1"/>
  <c r="C339" i="1"/>
  <c r="AD338" i="1"/>
  <c r="AC338" i="1"/>
  <c r="AA338" i="1"/>
  <c r="X338" i="1"/>
  <c r="W338" i="1"/>
  <c r="U338" i="1"/>
  <c r="R338" i="1"/>
  <c r="N338" i="1"/>
  <c r="L338" i="1"/>
  <c r="I338" i="1"/>
  <c r="H338" i="1"/>
  <c r="F338" i="1"/>
  <c r="C338" i="1"/>
  <c r="AC337" i="1"/>
  <c r="AA337" i="1"/>
  <c r="W337" i="1"/>
  <c r="X337" i="1" s="1"/>
  <c r="U337" i="1"/>
  <c r="R337" i="1"/>
  <c r="O337" i="1"/>
  <c r="N337" i="1"/>
  <c r="L337" i="1"/>
  <c r="I337" i="1"/>
  <c r="H337" i="1"/>
  <c r="F337" i="1"/>
  <c r="C337" i="1"/>
  <c r="AD335" i="1"/>
  <c r="AC335" i="1"/>
  <c r="AA335" i="1"/>
  <c r="W335" i="1"/>
  <c r="U335" i="1"/>
  <c r="R335" i="1"/>
  <c r="O335" i="1"/>
  <c r="N335" i="1"/>
  <c r="L335" i="1"/>
  <c r="I335" i="1"/>
  <c r="H335" i="1"/>
  <c r="F335" i="1"/>
  <c r="C335" i="1"/>
  <c r="AC334" i="1"/>
  <c r="AD334" i="1" s="1"/>
  <c r="AA334" i="1"/>
  <c r="X334" i="1"/>
  <c r="W334" i="1"/>
  <c r="U334" i="1"/>
  <c r="R334" i="1"/>
  <c r="O334" i="1"/>
  <c r="N334" i="1"/>
  <c r="L334" i="1"/>
  <c r="H334" i="1"/>
  <c r="I334" i="1" s="1"/>
  <c r="F334" i="1"/>
  <c r="C334" i="1"/>
  <c r="AC333" i="1"/>
  <c r="AD333" i="1" s="1"/>
  <c r="AA333" i="1"/>
  <c r="X333" i="1"/>
  <c r="W333" i="1"/>
  <c r="U333" i="1"/>
  <c r="R333" i="1"/>
  <c r="N333" i="1"/>
  <c r="L333" i="1"/>
  <c r="I333" i="1"/>
  <c r="H333" i="1"/>
  <c r="F333" i="1"/>
  <c r="C333" i="1"/>
  <c r="AD332" i="1"/>
  <c r="AC332" i="1"/>
  <c r="AA332" i="1"/>
  <c r="W332" i="1"/>
  <c r="X332" i="1" s="1"/>
  <c r="U332" i="1"/>
  <c r="R332" i="1"/>
  <c r="N332" i="1"/>
  <c r="O332" i="1" s="1"/>
  <c r="L332" i="1"/>
  <c r="I332" i="1"/>
  <c r="H332" i="1"/>
  <c r="F332" i="1"/>
  <c r="C332" i="1"/>
  <c r="AD331" i="1"/>
  <c r="AC331" i="1"/>
  <c r="AA331" i="1"/>
  <c r="W331" i="1"/>
  <c r="U331" i="1"/>
  <c r="R331" i="1"/>
  <c r="O331" i="1"/>
  <c r="N331" i="1"/>
  <c r="L331" i="1"/>
  <c r="I331" i="1"/>
  <c r="H331" i="1"/>
  <c r="F331" i="1"/>
  <c r="C331" i="1"/>
  <c r="AC330" i="1"/>
  <c r="AA330" i="1"/>
  <c r="X330" i="1"/>
  <c r="W330" i="1"/>
  <c r="U330" i="1"/>
  <c r="R330" i="1"/>
  <c r="N330" i="1"/>
  <c r="L330" i="1"/>
  <c r="H330" i="1"/>
  <c r="I330" i="1" s="1"/>
  <c r="F330" i="1"/>
  <c r="C330" i="1"/>
  <c r="AD329" i="1"/>
  <c r="AC329" i="1"/>
  <c r="AA329" i="1"/>
  <c r="X329" i="1"/>
  <c r="W329" i="1"/>
  <c r="U329" i="1"/>
  <c r="R329" i="1"/>
  <c r="N329" i="1"/>
  <c r="O329" i="1" s="1"/>
  <c r="L329" i="1"/>
  <c r="I329" i="1"/>
  <c r="H329" i="1"/>
  <c r="F329" i="1"/>
  <c r="C329" i="1"/>
  <c r="AD328" i="1"/>
  <c r="AC328" i="1"/>
  <c r="AA328" i="1"/>
  <c r="X328" i="1"/>
  <c r="W328" i="1"/>
  <c r="U328" i="1"/>
  <c r="R328" i="1"/>
  <c r="N328" i="1"/>
  <c r="O328" i="1" s="1"/>
  <c r="L328" i="1"/>
  <c r="I328" i="1"/>
  <c r="H328" i="1"/>
  <c r="F328" i="1"/>
  <c r="C328" i="1"/>
  <c r="AA325" i="1"/>
  <c r="Z325" i="1"/>
  <c r="X325" i="1"/>
  <c r="W325" i="1"/>
  <c r="U325" i="1"/>
  <c r="T325" i="1"/>
  <c r="R325" i="1"/>
  <c r="Q325" i="1"/>
  <c r="AC325" i="1" s="1"/>
  <c r="AD325" i="1" s="1"/>
  <c r="K325" i="1"/>
  <c r="L325" i="1" s="1"/>
  <c r="E325" i="1"/>
  <c r="C325" i="1"/>
  <c r="B325" i="1"/>
  <c r="AC324" i="1"/>
  <c r="AD324" i="1" s="1"/>
  <c r="AA324" i="1"/>
  <c r="Z324" i="1"/>
  <c r="W324" i="1"/>
  <c r="X324" i="1" s="1"/>
  <c r="U324" i="1"/>
  <c r="T324" i="1"/>
  <c r="Q324" i="1"/>
  <c r="R324" i="1" s="1"/>
  <c r="K324" i="1"/>
  <c r="L324" i="1" s="1"/>
  <c r="F324" i="1"/>
  <c r="E324" i="1"/>
  <c r="B324" i="1"/>
  <c r="AC323" i="1"/>
  <c r="AA323" i="1"/>
  <c r="W323" i="1"/>
  <c r="X323" i="1" s="1"/>
  <c r="U323" i="1"/>
  <c r="R323" i="1"/>
  <c r="O323" i="1"/>
  <c r="N323" i="1"/>
  <c r="L323" i="1"/>
  <c r="I323" i="1"/>
  <c r="H323" i="1"/>
  <c r="F323" i="1"/>
  <c r="C323" i="1"/>
  <c r="AC322" i="1"/>
  <c r="AD322" i="1" s="1"/>
  <c r="AA322" i="1"/>
  <c r="W322" i="1"/>
  <c r="U322" i="1"/>
  <c r="R322" i="1"/>
  <c r="N322" i="1"/>
  <c r="L322" i="1"/>
  <c r="I322" i="1"/>
  <c r="H322" i="1"/>
  <c r="F322" i="1"/>
  <c r="C322" i="1"/>
  <c r="AD321" i="1"/>
  <c r="AC321" i="1"/>
  <c r="AA321" i="1"/>
  <c r="W321" i="1"/>
  <c r="X321" i="1" s="1"/>
  <c r="U321" i="1"/>
  <c r="R321" i="1"/>
  <c r="N321" i="1"/>
  <c r="O321" i="1" s="1"/>
  <c r="L321" i="1"/>
  <c r="I321" i="1"/>
  <c r="H321" i="1"/>
  <c r="F321" i="1"/>
  <c r="C321" i="1"/>
  <c r="AC320" i="1"/>
  <c r="AA320" i="1"/>
  <c r="X320" i="1"/>
  <c r="W320" i="1"/>
  <c r="U320" i="1"/>
  <c r="R320" i="1"/>
  <c r="N320" i="1"/>
  <c r="L320" i="1"/>
  <c r="H320" i="1"/>
  <c r="I320" i="1" s="1"/>
  <c r="F320" i="1"/>
  <c r="C320" i="1"/>
  <c r="AD319" i="1"/>
  <c r="AC319" i="1"/>
  <c r="AA319" i="1"/>
  <c r="W319" i="1"/>
  <c r="U319" i="1"/>
  <c r="R319" i="1"/>
  <c r="O319" i="1"/>
  <c r="N319" i="1"/>
  <c r="L319" i="1"/>
  <c r="I319" i="1"/>
  <c r="H319" i="1"/>
  <c r="F319" i="1"/>
  <c r="C319" i="1"/>
  <c r="AD318" i="1"/>
  <c r="AC318" i="1"/>
  <c r="AA318" i="1"/>
  <c r="X318" i="1"/>
  <c r="W318" i="1"/>
  <c r="U318" i="1"/>
  <c r="R318" i="1"/>
  <c r="N318" i="1"/>
  <c r="O318" i="1" s="1"/>
  <c r="L318" i="1"/>
  <c r="H318" i="1"/>
  <c r="I318" i="1" s="1"/>
  <c r="F318" i="1"/>
  <c r="C318" i="1"/>
  <c r="AC317" i="1"/>
  <c r="AD317" i="1" s="1"/>
  <c r="AA317" i="1"/>
  <c r="X317" i="1"/>
  <c r="W317" i="1"/>
  <c r="U317" i="1"/>
  <c r="R317" i="1"/>
  <c r="N317" i="1"/>
  <c r="L317" i="1"/>
  <c r="I317" i="1"/>
  <c r="H317" i="1"/>
  <c r="F317" i="1"/>
  <c r="C317" i="1"/>
  <c r="AD316" i="1"/>
  <c r="AC316" i="1"/>
  <c r="AA316" i="1"/>
  <c r="W316" i="1"/>
  <c r="U316" i="1"/>
  <c r="R316" i="1"/>
  <c r="N316" i="1"/>
  <c r="O316" i="1" s="1"/>
  <c r="L316" i="1"/>
  <c r="I316" i="1"/>
  <c r="H316" i="1"/>
  <c r="F316" i="1"/>
  <c r="C316" i="1"/>
  <c r="AD315" i="1"/>
  <c r="AC315" i="1"/>
  <c r="AA315" i="1"/>
  <c r="W315" i="1"/>
  <c r="X315" i="1" s="1"/>
  <c r="U315" i="1"/>
  <c r="R315" i="1"/>
  <c r="O315" i="1"/>
  <c r="N315" i="1"/>
  <c r="L315" i="1"/>
  <c r="I315" i="1"/>
  <c r="H315" i="1"/>
  <c r="F315" i="1"/>
  <c r="C315" i="1"/>
  <c r="AC314" i="1"/>
  <c r="AA314" i="1"/>
  <c r="W314" i="1"/>
  <c r="U314" i="1"/>
  <c r="R314" i="1"/>
  <c r="N314" i="1"/>
  <c r="L314" i="1"/>
  <c r="H314" i="1"/>
  <c r="I314" i="1" s="1"/>
  <c r="F314" i="1"/>
  <c r="C314" i="1"/>
  <c r="AD313" i="1"/>
  <c r="AC313" i="1"/>
  <c r="AA313" i="1"/>
  <c r="X313" i="1"/>
  <c r="W313" i="1"/>
  <c r="U313" i="1"/>
  <c r="R313" i="1"/>
  <c r="N313" i="1"/>
  <c r="O313" i="1" s="1"/>
  <c r="L313" i="1"/>
  <c r="I313" i="1"/>
  <c r="H313" i="1"/>
  <c r="F313" i="1"/>
  <c r="C313" i="1"/>
  <c r="AD312" i="1"/>
  <c r="AC312" i="1"/>
  <c r="AA312" i="1"/>
  <c r="X312" i="1"/>
  <c r="W312" i="1"/>
  <c r="U312" i="1"/>
  <c r="R312" i="1"/>
  <c r="N312" i="1"/>
  <c r="O312" i="1" s="1"/>
  <c r="L312" i="1"/>
  <c r="I312" i="1"/>
  <c r="H312" i="1"/>
  <c r="F312" i="1"/>
  <c r="C312" i="1"/>
  <c r="AD311" i="1"/>
  <c r="AC311" i="1"/>
  <c r="AA311" i="1"/>
  <c r="W311" i="1"/>
  <c r="U311" i="1"/>
  <c r="R311" i="1"/>
  <c r="N311" i="1"/>
  <c r="L311" i="1"/>
  <c r="I311" i="1"/>
  <c r="H311" i="1"/>
  <c r="F311" i="1"/>
  <c r="C311" i="1"/>
  <c r="AD310" i="1"/>
  <c r="AC310" i="1"/>
  <c r="AA310" i="1"/>
  <c r="X310" i="1"/>
  <c r="W310" i="1"/>
  <c r="U310" i="1"/>
  <c r="R310" i="1"/>
  <c r="N310" i="1"/>
  <c r="O310" i="1" s="1"/>
  <c r="L310" i="1"/>
  <c r="H310" i="1"/>
  <c r="I310" i="1" s="1"/>
  <c r="F310" i="1"/>
  <c r="C310" i="1"/>
  <c r="AC309" i="1"/>
  <c r="AA309" i="1"/>
  <c r="W309" i="1"/>
  <c r="U309" i="1"/>
  <c r="R309" i="1"/>
  <c r="N309" i="1"/>
  <c r="O309" i="1" s="1"/>
  <c r="L309" i="1"/>
  <c r="I309" i="1"/>
  <c r="H309" i="1"/>
  <c r="F309" i="1"/>
  <c r="C309" i="1"/>
  <c r="AD308" i="1"/>
  <c r="AC308" i="1"/>
  <c r="AA308" i="1"/>
  <c r="W308" i="1"/>
  <c r="X308" i="1" s="1"/>
  <c r="U308" i="1"/>
  <c r="R308" i="1"/>
  <c r="N308" i="1"/>
  <c r="O308" i="1" s="1"/>
  <c r="L308" i="1"/>
  <c r="I308" i="1"/>
  <c r="H308" i="1"/>
  <c r="F308" i="1"/>
  <c r="C308" i="1"/>
  <c r="AC307" i="1"/>
  <c r="AA307" i="1"/>
  <c r="W307" i="1"/>
  <c r="X307" i="1" s="1"/>
  <c r="U307" i="1"/>
  <c r="R307" i="1"/>
  <c r="O307" i="1"/>
  <c r="N307" i="1"/>
  <c r="L307" i="1"/>
  <c r="I307" i="1"/>
  <c r="H307" i="1"/>
  <c r="F307" i="1"/>
  <c r="C307" i="1"/>
  <c r="AC306" i="1"/>
  <c r="AD306" i="1" s="1"/>
  <c r="AA306" i="1"/>
  <c r="W306" i="1"/>
  <c r="U306" i="1"/>
  <c r="R306" i="1"/>
  <c r="N306" i="1"/>
  <c r="L306" i="1"/>
  <c r="I306" i="1"/>
  <c r="H306" i="1"/>
  <c r="F306" i="1"/>
  <c r="C306" i="1"/>
  <c r="AD305" i="1"/>
  <c r="AC305" i="1"/>
  <c r="AA305" i="1"/>
  <c r="W305" i="1"/>
  <c r="X305" i="1" s="1"/>
  <c r="U305" i="1"/>
  <c r="R305" i="1"/>
  <c r="N305" i="1"/>
  <c r="O305" i="1" s="1"/>
  <c r="L305" i="1"/>
  <c r="I305" i="1"/>
  <c r="H305" i="1"/>
  <c r="F305" i="1"/>
  <c r="C305" i="1"/>
  <c r="AC304" i="1"/>
  <c r="AA304" i="1"/>
  <c r="X304" i="1"/>
  <c r="W304" i="1"/>
  <c r="U304" i="1"/>
  <c r="R304" i="1"/>
  <c r="N304" i="1"/>
  <c r="L304" i="1"/>
  <c r="H304" i="1"/>
  <c r="I304" i="1" s="1"/>
  <c r="F304" i="1"/>
  <c r="C304" i="1"/>
  <c r="AD303" i="1"/>
  <c r="AC303" i="1"/>
  <c r="AA303" i="1"/>
  <c r="W303" i="1"/>
  <c r="U303" i="1"/>
  <c r="R303" i="1"/>
  <c r="O303" i="1"/>
  <c r="N303" i="1"/>
  <c r="L303" i="1"/>
  <c r="I303" i="1"/>
  <c r="H303" i="1"/>
  <c r="F303" i="1"/>
  <c r="C303" i="1"/>
  <c r="AD302" i="1"/>
  <c r="AC302" i="1"/>
  <c r="AA302" i="1"/>
  <c r="X302" i="1"/>
  <c r="W302" i="1"/>
  <c r="U302" i="1"/>
  <c r="R302" i="1"/>
  <c r="N302" i="1"/>
  <c r="O302" i="1" s="1"/>
  <c r="L302" i="1"/>
  <c r="H302" i="1"/>
  <c r="I302" i="1" s="1"/>
  <c r="F302" i="1"/>
  <c r="C302" i="1"/>
  <c r="AC301" i="1"/>
  <c r="AD301" i="1" s="1"/>
  <c r="AA301" i="1"/>
  <c r="X301" i="1"/>
  <c r="W301" i="1"/>
  <c r="U301" i="1"/>
  <c r="R301" i="1"/>
  <c r="N301" i="1"/>
  <c r="L301" i="1"/>
  <c r="I301" i="1"/>
  <c r="H301" i="1"/>
  <c r="F301" i="1"/>
  <c r="C301" i="1"/>
  <c r="AD300" i="1"/>
  <c r="AC300" i="1"/>
  <c r="AA300" i="1"/>
  <c r="W300" i="1"/>
  <c r="U300" i="1"/>
  <c r="R300" i="1"/>
  <c r="N300" i="1"/>
  <c r="O300" i="1" s="1"/>
  <c r="L300" i="1"/>
  <c r="I300" i="1"/>
  <c r="H300" i="1"/>
  <c r="F300" i="1"/>
  <c r="C300" i="1"/>
  <c r="AD299" i="1"/>
  <c r="AC299" i="1"/>
  <c r="AA299" i="1"/>
  <c r="W299" i="1"/>
  <c r="X299" i="1" s="1"/>
  <c r="U299" i="1"/>
  <c r="R299" i="1"/>
  <c r="O299" i="1"/>
  <c r="N299" i="1"/>
  <c r="L299" i="1"/>
  <c r="I299" i="1"/>
  <c r="H299" i="1"/>
  <c r="F299" i="1"/>
  <c r="C299" i="1"/>
  <c r="AC298" i="1"/>
  <c r="AA298" i="1"/>
  <c r="W298" i="1"/>
  <c r="U298" i="1"/>
  <c r="R298" i="1"/>
  <c r="N298" i="1"/>
  <c r="L298" i="1"/>
  <c r="H298" i="1"/>
  <c r="I298" i="1" s="1"/>
  <c r="F298" i="1"/>
  <c r="C298" i="1"/>
  <c r="AD297" i="1"/>
  <c r="AC297" i="1"/>
  <c r="AA297" i="1"/>
  <c r="X297" i="1"/>
  <c r="W297" i="1"/>
  <c r="U297" i="1"/>
  <c r="R297" i="1"/>
  <c r="N297" i="1"/>
  <c r="O297" i="1" s="1"/>
  <c r="L297" i="1"/>
  <c r="I297" i="1"/>
  <c r="H297" i="1"/>
  <c r="F297" i="1"/>
  <c r="C297" i="1"/>
  <c r="AD295" i="1"/>
  <c r="Z295" i="1"/>
  <c r="AA295" i="1" s="1"/>
  <c r="T295" i="1"/>
  <c r="R295" i="1"/>
  <c r="Q295" i="1"/>
  <c r="AC295" i="1" s="1"/>
  <c r="L295" i="1"/>
  <c r="K295" i="1"/>
  <c r="F295" i="1"/>
  <c r="E295" i="1"/>
  <c r="B295" i="1"/>
  <c r="C295" i="1" s="1"/>
  <c r="AD294" i="1"/>
  <c r="AC294" i="1"/>
  <c r="AA294" i="1"/>
  <c r="X294" i="1"/>
  <c r="W294" i="1"/>
  <c r="U294" i="1"/>
  <c r="R294" i="1"/>
  <c r="N294" i="1"/>
  <c r="O294" i="1" s="1"/>
  <c r="L294" i="1"/>
  <c r="H294" i="1"/>
  <c r="I294" i="1" s="1"/>
  <c r="F294" i="1"/>
  <c r="C294" i="1"/>
  <c r="AC293" i="1"/>
  <c r="AD293" i="1" s="1"/>
  <c r="AA293" i="1"/>
  <c r="W293" i="1"/>
  <c r="U293" i="1"/>
  <c r="R293" i="1"/>
  <c r="N293" i="1"/>
  <c r="L293" i="1"/>
  <c r="H293" i="1"/>
  <c r="I293" i="1" s="1"/>
  <c r="F293" i="1"/>
  <c r="C293" i="1"/>
  <c r="AD292" i="1"/>
  <c r="AC292" i="1"/>
  <c r="AA292" i="1"/>
  <c r="W292" i="1"/>
  <c r="X292" i="1" s="1"/>
  <c r="U292" i="1"/>
  <c r="R292" i="1"/>
  <c r="N292" i="1"/>
  <c r="O292" i="1" s="1"/>
  <c r="L292" i="1"/>
  <c r="I292" i="1"/>
  <c r="H292" i="1"/>
  <c r="F292" i="1"/>
  <c r="C292" i="1"/>
  <c r="AC291" i="1"/>
  <c r="AA291" i="1"/>
  <c r="W291" i="1"/>
  <c r="X291" i="1" s="1"/>
  <c r="U291" i="1"/>
  <c r="R291" i="1"/>
  <c r="O291" i="1"/>
  <c r="N291" i="1"/>
  <c r="L291" i="1"/>
  <c r="I291" i="1"/>
  <c r="H291" i="1"/>
  <c r="F291" i="1"/>
  <c r="C291" i="1"/>
  <c r="AC290" i="1"/>
  <c r="AD290" i="1" s="1"/>
  <c r="AA290" i="1"/>
  <c r="W290" i="1"/>
  <c r="U290" i="1"/>
  <c r="R290" i="1"/>
  <c r="O290" i="1"/>
  <c r="N290" i="1"/>
  <c r="L290" i="1"/>
  <c r="I290" i="1"/>
  <c r="H290" i="1"/>
  <c r="F290" i="1"/>
  <c r="C290" i="1"/>
  <c r="AC289" i="1"/>
  <c r="AD289" i="1" s="1"/>
  <c r="AA289" i="1"/>
  <c r="W289" i="1"/>
  <c r="X289" i="1" s="1"/>
  <c r="U289" i="1"/>
  <c r="R289" i="1"/>
  <c r="N289" i="1"/>
  <c r="O289" i="1" s="1"/>
  <c r="L289" i="1"/>
  <c r="I289" i="1"/>
  <c r="H289" i="1"/>
  <c r="F289" i="1"/>
  <c r="C289" i="1"/>
  <c r="AC288" i="1"/>
  <c r="AA288" i="1"/>
  <c r="X288" i="1"/>
  <c r="W288" i="1"/>
  <c r="U288" i="1"/>
  <c r="R288" i="1"/>
  <c r="O288" i="1"/>
  <c r="N288" i="1"/>
  <c r="L288" i="1"/>
  <c r="H288" i="1"/>
  <c r="I288" i="1" s="1"/>
  <c r="F288" i="1"/>
  <c r="C288" i="1"/>
  <c r="AD287" i="1"/>
  <c r="AC287" i="1"/>
  <c r="AA287" i="1"/>
  <c r="W287" i="1"/>
  <c r="U287" i="1"/>
  <c r="R287" i="1"/>
  <c r="N287" i="1"/>
  <c r="L287" i="1"/>
  <c r="I287" i="1"/>
  <c r="H287" i="1"/>
  <c r="F287" i="1"/>
  <c r="C287" i="1"/>
  <c r="AD286" i="1"/>
  <c r="AC286" i="1"/>
  <c r="AA286" i="1"/>
  <c r="X286" i="1"/>
  <c r="W286" i="1"/>
  <c r="U286" i="1"/>
  <c r="R286" i="1"/>
  <c r="N286" i="1"/>
  <c r="O286" i="1" s="1"/>
  <c r="L286" i="1"/>
  <c r="H286" i="1"/>
  <c r="I286" i="1" s="1"/>
  <c r="F286" i="1"/>
  <c r="C286" i="1"/>
  <c r="AA284" i="1"/>
  <c r="Z284" i="1"/>
  <c r="W284" i="1"/>
  <c r="X284" i="1" s="1"/>
  <c r="U284" i="1"/>
  <c r="T284" i="1"/>
  <c r="Q284" i="1"/>
  <c r="R284" i="1" s="1"/>
  <c r="K284" i="1"/>
  <c r="L284" i="1" s="1"/>
  <c r="F284" i="1"/>
  <c r="E284" i="1"/>
  <c r="C284" i="1"/>
  <c r="B284" i="1"/>
  <c r="H284" i="1" s="1"/>
  <c r="I284" i="1" s="1"/>
  <c r="AD283" i="1"/>
  <c r="AC283" i="1"/>
  <c r="AA283" i="1"/>
  <c r="W283" i="1"/>
  <c r="U283" i="1"/>
  <c r="R283" i="1"/>
  <c r="O283" i="1"/>
  <c r="N283" i="1"/>
  <c r="L283" i="1"/>
  <c r="I283" i="1"/>
  <c r="H283" i="1"/>
  <c r="F283" i="1"/>
  <c r="C283" i="1"/>
  <c r="AC282" i="1"/>
  <c r="AA282" i="1"/>
  <c r="X282" i="1"/>
  <c r="W282" i="1"/>
  <c r="U282" i="1"/>
  <c r="R282" i="1"/>
  <c r="N282" i="1"/>
  <c r="L282" i="1"/>
  <c r="H282" i="1"/>
  <c r="I282" i="1" s="1"/>
  <c r="F282" i="1"/>
  <c r="C282" i="1"/>
  <c r="AD281" i="1"/>
  <c r="AC281" i="1"/>
  <c r="AA281" i="1"/>
  <c r="X281" i="1"/>
  <c r="W281" i="1"/>
  <c r="U281" i="1"/>
  <c r="R281" i="1"/>
  <c r="N281" i="1"/>
  <c r="O281" i="1" s="1"/>
  <c r="L281" i="1"/>
  <c r="I281" i="1"/>
  <c r="H281" i="1"/>
  <c r="F281" i="1"/>
  <c r="C281" i="1"/>
  <c r="AD280" i="1"/>
  <c r="AC280" i="1"/>
  <c r="AA280" i="1"/>
  <c r="X280" i="1"/>
  <c r="W280" i="1"/>
  <c r="U280" i="1"/>
  <c r="R280" i="1"/>
  <c r="N280" i="1"/>
  <c r="O280" i="1" s="1"/>
  <c r="L280" i="1"/>
  <c r="H280" i="1"/>
  <c r="I280" i="1" s="1"/>
  <c r="F280" i="1"/>
  <c r="C280" i="1"/>
  <c r="AD279" i="1"/>
  <c r="AC279" i="1"/>
  <c r="AA279" i="1"/>
  <c r="W279" i="1"/>
  <c r="U279" i="1"/>
  <c r="R279" i="1"/>
  <c r="N279" i="1"/>
  <c r="L279" i="1"/>
  <c r="I279" i="1"/>
  <c r="H279" i="1"/>
  <c r="F279" i="1"/>
  <c r="C279" i="1"/>
  <c r="AD278" i="1"/>
  <c r="AC278" i="1"/>
  <c r="AA278" i="1"/>
  <c r="W278" i="1"/>
  <c r="X278" i="1" s="1"/>
  <c r="U278" i="1"/>
  <c r="R278" i="1"/>
  <c r="O278" i="1"/>
  <c r="N278" i="1"/>
  <c r="L278" i="1"/>
  <c r="H278" i="1"/>
  <c r="I278" i="1" s="1"/>
  <c r="F278" i="1"/>
  <c r="C278" i="1"/>
  <c r="AC277" i="1"/>
  <c r="AA277" i="1"/>
  <c r="W277" i="1"/>
  <c r="U277" i="1"/>
  <c r="R277" i="1"/>
  <c r="N277" i="1"/>
  <c r="O277" i="1" s="1"/>
  <c r="L277" i="1"/>
  <c r="I277" i="1"/>
  <c r="H277" i="1"/>
  <c r="F277" i="1"/>
  <c r="C277" i="1"/>
  <c r="AD276" i="1"/>
  <c r="AC276" i="1"/>
  <c r="AA276" i="1"/>
  <c r="W276" i="1"/>
  <c r="U276" i="1"/>
  <c r="R276" i="1"/>
  <c r="N276" i="1"/>
  <c r="O276" i="1" s="1"/>
  <c r="L276" i="1"/>
  <c r="I276" i="1"/>
  <c r="H276" i="1"/>
  <c r="F276" i="1"/>
  <c r="C276" i="1"/>
  <c r="AC275" i="1"/>
  <c r="AA275" i="1"/>
  <c r="W275" i="1"/>
  <c r="X275" i="1" s="1"/>
  <c r="U275" i="1"/>
  <c r="R275" i="1"/>
  <c r="O275" i="1"/>
  <c r="N275" i="1"/>
  <c r="L275" i="1"/>
  <c r="I275" i="1"/>
  <c r="H275" i="1"/>
  <c r="F275" i="1"/>
  <c r="C275" i="1"/>
  <c r="AC273" i="1"/>
  <c r="AD273" i="1" s="1"/>
  <c r="AA273" i="1"/>
  <c r="Z273" i="1"/>
  <c r="T273" i="1"/>
  <c r="U273" i="1" s="1"/>
  <c r="R273" i="1"/>
  <c r="Q273" i="1"/>
  <c r="L273" i="1"/>
  <c r="K273" i="1"/>
  <c r="H273" i="1"/>
  <c r="I273" i="1" s="1"/>
  <c r="F273" i="1"/>
  <c r="E273" i="1"/>
  <c r="C273" i="1"/>
  <c r="B273" i="1"/>
  <c r="N273" i="1" s="1"/>
  <c r="O273" i="1" s="1"/>
  <c r="AC272" i="1"/>
  <c r="AA272" i="1"/>
  <c r="W272" i="1"/>
  <c r="X272" i="1" s="1"/>
  <c r="U272" i="1"/>
  <c r="R272" i="1"/>
  <c r="O272" i="1"/>
  <c r="N272" i="1"/>
  <c r="L272" i="1"/>
  <c r="I272" i="1"/>
  <c r="H272" i="1"/>
  <c r="F272" i="1"/>
  <c r="C272" i="1"/>
  <c r="AD271" i="1"/>
  <c r="AC271" i="1"/>
  <c r="AA271" i="1"/>
  <c r="W271" i="1"/>
  <c r="U271" i="1"/>
  <c r="R271" i="1"/>
  <c r="O271" i="1"/>
  <c r="N271" i="1"/>
  <c r="L271" i="1"/>
  <c r="I271" i="1"/>
  <c r="H271" i="1"/>
  <c r="F271" i="1"/>
  <c r="C271" i="1"/>
  <c r="AC270" i="1"/>
  <c r="AD270" i="1" s="1"/>
  <c r="AA270" i="1"/>
  <c r="X270" i="1"/>
  <c r="W270" i="1"/>
  <c r="U270" i="1"/>
  <c r="R270" i="1"/>
  <c r="O270" i="1"/>
  <c r="N270" i="1"/>
  <c r="L270" i="1"/>
  <c r="H270" i="1"/>
  <c r="I270" i="1" s="1"/>
  <c r="F270" i="1"/>
  <c r="C270" i="1"/>
  <c r="AC269" i="1"/>
  <c r="AD269" i="1" s="1"/>
  <c r="AA269" i="1"/>
  <c r="X269" i="1"/>
  <c r="W269" i="1"/>
  <c r="U269" i="1"/>
  <c r="R269" i="1"/>
  <c r="N269" i="1"/>
  <c r="L269" i="1"/>
  <c r="I269" i="1"/>
  <c r="H269" i="1"/>
  <c r="F269" i="1"/>
  <c r="C269" i="1"/>
  <c r="AD267" i="1"/>
  <c r="AA267" i="1"/>
  <c r="Z267" i="1"/>
  <c r="W267" i="1"/>
  <c r="X267" i="1" s="1"/>
  <c r="U267" i="1"/>
  <c r="T267" i="1"/>
  <c r="R267" i="1"/>
  <c r="Q267" i="1"/>
  <c r="AC267" i="1" s="1"/>
  <c r="O267" i="1"/>
  <c r="K267" i="1"/>
  <c r="L267" i="1" s="1"/>
  <c r="I267" i="1"/>
  <c r="H267" i="1"/>
  <c r="F267" i="1"/>
  <c r="E267" i="1"/>
  <c r="C267" i="1"/>
  <c r="B267" i="1"/>
  <c r="N267" i="1" s="1"/>
  <c r="AC266" i="1"/>
  <c r="AD266" i="1" s="1"/>
  <c r="AA266" i="1"/>
  <c r="X266" i="1"/>
  <c r="W266" i="1"/>
  <c r="U266" i="1"/>
  <c r="R266" i="1"/>
  <c r="N266" i="1"/>
  <c r="L266" i="1"/>
  <c r="I266" i="1"/>
  <c r="H266" i="1"/>
  <c r="F266" i="1"/>
  <c r="C266" i="1"/>
  <c r="AD265" i="1"/>
  <c r="AC265" i="1"/>
  <c r="AA265" i="1"/>
  <c r="W265" i="1"/>
  <c r="X265" i="1" s="1"/>
  <c r="U265" i="1"/>
  <c r="R265" i="1"/>
  <c r="N265" i="1"/>
  <c r="O265" i="1" s="1"/>
  <c r="L265" i="1"/>
  <c r="I265" i="1"/>
  <c r="H265" i="1"/>
  <c r="F265" i="1"/>
  <c r="C265" i="1"/>
  <c r="Z263" i="1"/>
  <c r="AA263" i="1" s="1"/>
  <c r="T263" i="1"/>
  <c r="R263" i="1"/>
  <c r="Q263" i="1"/>
  <c r="L263" i="1"/>
  <c r="K263" i="1"/>
  <c r="H263" i="1"/>
  <c r="I263" i="1" s="1"/>
  <c r="F263" i="1"/>
  <c r="E263" i="1"/>
  <c r="B263" i="1"/>
  <c r="C263" i="1" s="1"/>
  <c r="Z262" i="1"/>
  <c r="AA262" i="1" s="1"/>
  <c r="U262" i="1"/>
  <c r="T262" i="1"/>
  <c r="R262" i="1"/>
  <c r="Q262" i="1"/>
  <c r="L262" i="1"/>
  <c r="K262" i="1"/>
  <c r="F262" i="1"/>
  <c r="E262" i="1"/>
  <c r="C262" i="1"/>
  <c r="B262" i="1"/>
  <c r="N262" i="1" s="1"/>
  <c r="O262" i="1" s="1"/>
  <c r="AD261" i="1"/>
  <c r="AC261" i="1"/>
  <c r="AA261" i="1"/>
  <c r="W261" i="1"/>
  <c r="U261" i="1"/>
  <c r="R261" i="1"/>
  <c r="N261" i="1"/>
  <c r="O261" i="1" s="1"/>
  <c r="L261" i="1"/>
  <c r="I261" i="1"/>
  <c r="H261" i="1"/>
  <c r="F261" i="1"/>
  <c r="C261" i="1"/>
  <c r="AC260" i="1"/>
  <c r="AA260" i="1"/>
  <c r="W260" i="1"/>
  <c r="X260" i="1" s="1"/>
  <c r="U260" i="1"/>
  <c r="R260" i="1"/>
  <c r="O260" i="1"/>
  <c r="N260" i="1"/>
  <c r="L260" i="1"/>
  <c r="I260" i="1"/>
  <c r="H260" i="1"/>
  <c r="F260" i="1"/>
  <c r="C260" i="1"/>
  <c r="AC259" i="1"/>
  <c r="AD259" i="1" s="1"/>
  <c r="AA259" i="1"/>
  <c r="W259" i="1"/>
  <c r="U259" i="1"/>
  <c r="R259" i="1"/>
  <c r="N259" i="1"/>
  <c r="L259" i="1"/>
  <c r="I259" i="1"/>
  <c r="H259" i="1"/>
  <c r="F259" i="1"/>
  <c r="C259" i="1"/>
  <c r="AD258" i="1"/>
  <c r="AC258" i="1"/>
  <c r="AA258" i="1"/>
  <c r="X258" i="1"/>
  <c r="W258" i="1"/>
  <c r="U258" i="1"/>
  <c r="R258" i="1"/>
  <c r="N258" i="1"/>
  <c r="L258" i="1"/>
  <c r="I258" i="1"/>
  <c r="H258" i="1"/>
  <c r="F258" i="1"/>
  <c r="C258" i="1"/>
  <c r="AC257" i="1"/>
  <c r="AA257" i="1"/>
  <c r="W257" i="1"/>
  <c r="X257" i="1" s="1"/>
  <c r="U257" i="1"/>
  <c r="R257" i="1"/>
  <c r="O257" i="1"/>
  <c r="N257" i="1"/>
  <c r="L257" i="1"/>
  <c r="I257" i="1"/>
  <c r="H257" i="1"/>
  <c r="F257" i="1"/>
  <c r="C257" i="1"/>
  <c r="AD256" i="1"/>
  <c r="AC256" i="1"/>
  <c r="AA256" i="1"/>
  <c r="W256" i="1"/>
  <c r="U256" i="1"/>
  <c r="R256" i="1"/>
  <c r="O256" i="1"/>
  <c r="N256" i="1"/>
  <c r="L256" i="1"/>
  <c r="I256" i="1"/>
  <c r="H256" i="1"/>
  <c r="F256" i="1"/>
  <c r="C256" i="1"/>
  <c r="AC255" i="1"/>
  <c r="AD255" i="1" s="1"/>
  <c r="AA255" i="1"/>
  <c r="X255" i="1"/>
  <c r="W255" i="1"/>
  <c r="U255" i="1"/>
  <c r="R255" i="1"/>
  <c r="O255" i="1"/>
  <c r="N255" i="1"/>
  <c r="L255" i="1"/>
  <c r="H255" i="1"/>
  <c r="I255" i="1" s="1"/>
  <c r="F255" i="1"/>
  <c r="C255" i="1"/>
  <c r="AC254" i="1"/>
  <c r="AD254" i="1" s="1"/>
  <c r="AA254" i="1"/>
  <c r="X254" i="1"/>
  <c r="W254" i="1"/>
  <c r="U254" i="1"/>
  <c r="R254" i="1"/>
  <c r="N254" i="1"/>
  <c r="L254" i="1"/>
  <c r="I254" i="1"/>
  <c r="H254" i="1"/>
  <c r="F254" i="1"/>
  <c r="C254" i="1"/>
  <c r="AD253" i="1"/>
  <c r="AC253" i="1"/>
  <c r="AA253" i="1"/>
  <c r="W253" i="1"/>
  <c r="X253" i="1" s="1"/>
  <c r="U253" i="1"/>
  <c r="R253" i="1"/>
  <c r="N253" i="1"/>
  <c r="O253" i="1" s="1"/>
  <c r="L253" i="1"/>
  <c r="I253" i="1"/>
  <c r="H253" i="1"/>
  <c r="F253" i="1"/>
  <c r="C253" i="1"/>
  <c r="AD252" i="1"/>
  <c r="AC252" i="1"/>
  <c r="AA252" i="1"/>
  <c r="W252" i="1"/>
  <c r="U252" i="1"/>
  <c r="R252" i="1"/>
  <c r="O252" i="1"/>
  <c r="N252" i="1"/>
  <c r="L252" i="1"/>
  <c r="I252" i="1"/>
  <c r="H252" i="1"/>
  <c r="F252" i="1"/>
  <c r="C252" i="1"/>
  <c r="AC251" i="1"/>
  <c r="AA251" i="1"/>
  <c r="X251" i="1"/>
  <c r="W251" i="1"/>
  <c r="U251" i="1"/>
  <c r="R251" i="1"/>
  <c r="N251" i="1"/>
  <c r="L251" i="1"/>
  <c r="H251" i="1"/>
  <c r="I251" i="1" s="1"/>
  <c r="F251" i="1"/>
  <c r="C251" i="1"/>
  <c r="AD250" i="1"/>
  <c r="AC250" i="1"/>
  <c r="AA250" i="1"/>
  <c r="X250" i="1"/>
  <c r="W250" i="1"/>
  <c r="U250" i="1"/>
  <c r="R250" i="1"/>
  <c r="N250" i="1"/>
  <c r="O250" i="1" s="1"/>
  <c r="L250" i="1"/>
  <c r="I250" i="1"/>
  <c r="H250" i="1"/>
  <c r="F250" i="1"/>
  <c r="C250" i="1"/>
  <c r="AD249" i="1"/>
  <c r="AC249" i="1"/>
  <c r="AA249" i="1"/>
  <c r="X249" i="1"/>
  <c r="W249" i="1"/>
  <c r="U249" i="1"/>
  <c r="R249" i="1"/>
  <c r="N249" i="1"/>
  <c r="O249" i="1" s="1"/>
  <c r="L249" i="1"/>
  <c r="I249" i="1"/>
  <c r="H249" i="1"/>
  <c r="F249" i="1"/>
  <c r="C249" i="1"/>
  <c r="AD248" i="1"/>
  <c r="AC248" i="1"/>
  <c r="AA248" i="1"/>
  <c r="W248" i="1"/>
  <c r="U248" i="1"/>
  <c r="R248" i="1"/>
  <c r="N248" i="1"/>
  <c r="L248" i="1"/>
  <c r="I248" i="1"/>
  <c r="H248" i="1"/>
  <c r="F248" i="1"/>
  <c r="C248" i="1"/>
  <c r="AD247" i="1"/>
  <c r="AC247" i="1"/>
  <c r="AA247" i="1"/>
  <c r="W247" i="1"/>
  <c r="X247" i="1" s="1"/>
  <c r="U247" i="1"/>
  <c r="R247" i="1"/>
  <c r="O247" i="1"/>
  <c r="N247" i="1"/>
  <c r="L247" i="1"/>
  <c r="H247" i="1"/>
  <c r="I247" i="1" s="1"/>
  <c r="F247" i="1"/>
  <c r="C247" i="1"/>
  <c r="AC246" i="1"/>
  <c r="AA246" i="1"/>
  <c r="W246" i="1"/>
  <c r="U246" i="1"/>
  <c r="R246" i="1"/>
  <c r="N246" i="1"/>
  <c r="O246" i="1" s="1"/>
  <c r="L246" i="1"/>
  <c r="I246" i="1"/>
  <c r="H246" i="1"/>
  <c r="F246" i="1"/>
  <c r="C246" i="1"/>
  <c r="AD245" i="1"/>
  <c r="AC245" i="1"/>
  <c r="AA245" i="1"/>
  <c r="W245" i="1"/>
  <c r="U245" i="1"/>
  <c r="R245" i="1"/>
  <c r="N245" i="1"/>
  <c r="O245" i="1" s="1"/>
  <c r="L245" i="1"/>
  <c r="I245" i="1"/>
  <c r="H245" i="1"/>
  <c r="F245" i="1"/>
  <c r="C245" i="1"/>
  <c r="AC244" i="1"/>
  <c r="AA244" i="1"/>
  <c r="W244" i="1"/>
  <c r="X244" i="1" s="1"/>
  <c r="U244" i="1"/>
  <c r="R244" i="1"/>
  <c r="N244" i="1"/>
  <c r="O244" i="1" s="1"/>
  <c r="L244" i="1"/>
  <c r="I244" i="1"/>
  <c r="H244" i="1"/>
  <c r="F244" i="1"/>
  <c r="C244" i="1"/>
  <c r="AC243" i="1"/>
  <c r="AD243" i="1" s="1"/>
  <c r="AA243" i="1"/>
  <c r="W243" i="1"/>
  <c r="U243" i="1"/>
  <c r="R243" i="1"/>
  <c r="N243" i="1"/>
  <c r="L243" i="1"/>
  <c r="I243" i="1"/>
  <c r="H243" i="1"/>
  <c r="F243" i="1"/>
  <c r="C243" i="1"/>
  <c r="AD242" i="1"/>
  <c r="AC242" i="1"/>
  <c r="AA242" i="1"/>
  <c r="X242" i="1"/>
  <c r="W242" i="1"/>
  <c r="U242" i="1"/>
  <c r="R242" i="1"/>
  <c r="N242" i="1"/>
  <c r="L242" i="1"/>
  <c r="I242" i="1"/>
  <c r="H242" i="1"/>
  <c r="F242" i="1"/>
  <c r="C242" i="1"/>
  <c r="AC241" i="1"/>
  <c r="AA241" i="1"/>
  <c r="W241" i="1"/>
  <c r="X241" i="1" s="1"/>
  <c r="U241" i="1"/>
  <c r="R241" i="1"/>
  <c r="O241" i="1"/>
  <c r="N241" i="1"/>
  <c r="L241" i="1"/>
  <c r="I241" i="1"/>
  <c r="H241" i="1"/>
  <c r="F241" i="1"/>
  <c r="C241" i="1"/>
  <c r="AD240" i="1"/>
  <c r="AC240" i="1"/>
  <c r="AA240" i="1"/>
  <c r="W240" i="1"/>
  <c r="U240" i="1"/>
  <c r="R240" i="1"/>
  <c r="O240" i="1"/>
  <c r="N240" i="1"/>
  <c r="L240" i="1"/>
  <c r="I240" i="1"/>
  <c r="H240" i="1"/>
  <c r="F240" i="1"/>
  <c r="C240" i="1"/>
  <c r="AC238" i="1"/>
  <c r="AD238" i="1" s="1"/>
  <c r="AA238" i="1"/>
  <c r="X238" i="1"/>
  <c r="W238" i="1"/>
  <c r="U238" i="1"/>
  <c r="R238" i="1"/>
  <c r="O238" i="1"/>
  <c r="N238" i="1"/>
  <c r="L238" i="1"/>
  <c r="H238" i="1"/>
  <c r="I238" i="1" s="1"/>
  <c r="F238" i="1"/>
  <c r="C238" i="1"/>
  <c r="Z236" i="1"/>
  <c r="AA236" i="1" s="1"/>
  <c r="U236" i="1"/>
  <c r="T236" i="1"/>
  <c r="Q236" i="1"/>
  <c r="R236" i="1" s="1"/>
  <c r="K236" i="1"/>
  <c r="L236" i="1" s="1"/>
  <c r="F236" i="1"/>
  <c r="E236" i="1"/>
  <c r="B236" i="1"/>
  <c r="H236" i="1" s="1"/>
  <c r="I236" i="1" s="1"/>
  <c r="AD235" i="1"/>
  <c r="AC235" i="1"/>
  <c r="AA235" i="1"/>
  <c r="W235" i="1"/>
  <c r="X235" i="1" s="1"/>
  <c r="U235" i="1"/>
  <c r="R235" i="1"/>
  <c r="N235" i="1"/>
  <c r="O235" i="1" s="1"/>
  <c r="L235" i="1"/>
  <c r="I235" i="1"/>
  <c r="H235" i="1"/>
  <c r="F235" i="1"/>
  <c r="C235" i="1"/>
  <c r="AC234" i="1"/>
  <c r="AD234" i="1" s="1"/>
  <c r="AA234" i="1"/>
  <c r="X234" i="1"/>
  <c r="W234" i="1"/>
  <c r="U234" i="1"/>
  <c r="R234" i="1"/>
  <c r="N234" i="1"/>
  <c r="L234" i="1"/>
  <c r="I234" i="1"/>
  <c r="H234" i="1"/>
  <c r="F234" i="1"/>
  <c r="C234" i="1"/>
  <c r="AD233" i="1"/>
  <c r="AC233" i="1"/>
  <c r="AA233" i="1"/>
  <c r="W233" i="1"/>
  <c r="X233" i="1" s="1"/>
  <c r="U233" i="1"/>
  <c r="R233" i="1"/>
  <c r="N233" i="1"/>
  <c r="O233" i="1" s="1"/>
  <c r="L233" i="1"/>
  <c r="I233" i="1"/>
  <c r="H233" i="1"/>
  <c r="F233" i="1"/>
  <c r="C233" i="1"/>
  <c r="AC232" i="1"/>
  <c r="AA232" i="1"/>
  <c r="X232" i="1"/>
  <c r="W232" i="1"/>
  <c r="U232" i="1"/>
  <c r="R232" i="1"/>
  <c r="O232" i="1"/>
  <c r="N232" i="1"/>
  <c r="L232" i="1"/>
  <c r="I232" i="1"/>
  <c r="H232" i="1"/>
  <c r="F232" i="1"/>
  <c r="C232" i="1"/>
  <c r="AC231" i="1"/>
  <c r="AD231" i="1" s="1"/>
  <c r="AA231" i="1"/>
  <c r="W231" i="1"/>
  <c r="U231" i="1"/>
  <c r="R231" i="1"/>
  <c r="N231" i="1"/>
  <c r="L231" i="1"/>
  <c r="I231" i="1"/>
  <c r="H231" i="1"/>
  <c r="F231" i="1"/>
  <c r="C231" i="1"/>
  <c r="AD230" i="1"/>
  <c r="AC230" i="1"/>
  <c r="AA230" i="1"/>
  <c r="X230" i="1"/>
  <c r="W230" i="1"/>
  <c r="U230" i="1"/>
  <c r="R230" i="1"/>
  <c r="O230" i="1"/>
  <c r="N230" i="1"/>
  <c r="L230" i="1"/>
  <c r="H230" i="1"/>
  <c r="I230" i="1" s="1"/>
  <c r="F230" i="1"/>
  <c r="C230" i="1"/>
  <c r="AC229" i="1"/>
  <c r="AD229" i="1" s="1"/>
  <c r="AA229" i="1"/>
  <c r="W229" i="1"/>
  <c r="U229" i="1"/>
  <c r="R229" i="1"/>
  <c r="N229" i="1"/>
  <c r="O229" i="1" s="1"/>
  <c r="L229" i="1"/>
  <c r="H229" i="1"/>
  <c r="I229" i="1" s="1"/>
  <c r="F229" i="1"/>
  <c r="C229" i="1"/>
  <c r="Z227" i="1"/>
  <c r="AA227" i="1" s="1"/>
  <c r="W227" i="1"/>
  <c r="X227" i="1" s="1"/>
  <c r="U227" i="1"/>
  <c r="T227" i="1"/>
  <c r="R227" i="1"/>
  <c r="Q227" i="1"/>
  <c r="AC227" i="1" s="1"/>
  <c r="AD227" i="1" s="1"/>
  <c r="K227" i="1"/>
  <c r="L227" i="1" s="1"/>
  <c r="F227" i="1"/>
  <c r="E227" i="1"/>
  <c r="B227" i="1"/>
  <c r="H227" i="1" s="1"/>
  <c r="I227" i="1" s="1"/>
  <c r="AC226" i="1"/>
  <c r="AD226" i="1" s="1"/>
  <c r="AA226" i="1"/>
  <c r="W226" i="1"/>
  <c r="U226" i="1"/>
  <c r="R226" i="1"/>
  <c r="O226" i="1"/>
  <c r="N226" i="1"/>
  <c r="L226" i="1"/>
  <c r="I226" i="1"/>
  <c r="H226" i="1"/>
  <c r="F226" i="1"/>
  <c r="C226" i="1"/>
  <c r="AC225" i="1"/>
  <c r="AD225" i="1" s="1"/>
  <c r="AA225" i="1"/>
  <c r="X225" i="1"/>
  <c r="W225" i="1"/>
  <c r="U225" i="1"/>
  <c r="R225" i="1"/>
  <c r="N225" i="1"/>
  <c r="O225" i="1" s="1"/>
  <c r="L225" i="1"/>
  <c r="I225" i="1"/>
  <c r="H225" i="1"/>
  <c r="F225" i="1"/>
  <c r="C225" i="1"/>
  <c r="AC224" i="1"/>
  <c r="AA224" i="1"/>
  <c r="X224" i="1"/>
  <c r="W224" i="1"/>
  <c r="U224" i="1"/>
  <c r="R224" i="1"/>
  <c r="O224" i="1"/>
  <c r="N224" i="1"/>
  <c r="L224" i="1"/>
  <c r="I224" i="1"/>
  <c r="H224" i="1"/>
  <c r="F224" i="1"/>
  <c r="C224" i="1"/>
  <c r="AC223" i="1"/>
  <c r="AD223" i="1" s="1"/>
  <c r="AA223" i="1"/>
  <c r="W223" i="1"/>
  <c r="U223" i="1"/>
  <c r="R223" i="1"/>
  <c r="N223" i="1"/>
  <c r="L223" i="1"/>
  <c r="I223" i="1"/>
  <c r="H223" i="1"/>
  <c r="F223" i="1"/>
  <c r="C223" i="1"/>
  <c r="AD222" i="1"/>
  <c r="AC222" i="1"/>
  <c r="AA222" i="1"/>
  <c r="W222" i="1"/>
  <c r="X222" i="1" s="1"/>
  <c r="U222" i="1"/>
  <c r="R222" i="1"/>
  <c r="O222" i="1"/>
  <c r="N222" i="1"/>
  <c r="L222" i="1"/>
  <c r="H222" i="1"/>
  <c r="I222" i="1" s="1"/>
  <c r="F222" i="1"/>
  <c r="C222" i="1"/>
  <c r="AC221" i="1"/>
  <c r="AD221" i="1" s="1"/>
  <c r="AA221" i="1"/>
  <c r="X221" i="1"/>
  <c r="W221" i="1"/>
  <c r="U221" i="1"/>
  <c r="R221" i="1"/>
  <c r="N221" i="1"/>
  <c r="L221" i="1"/>
  <c r="I221" i="1"/>
  <c r="H221" i="1"/>
  <c r="F221" i="1"/>
  <c r="C221" i="1"/>
  <c r="AC220" i="1"/>
  <c r="AA220" i="1"/>
  <c r="W220" i="1"/>
  <c r="X220" i="1" s="1"/>
  <c r="U220" i="1"/>
  <c r="R220" i="1"/>
  <c r="N220" i="1"/>
  <c r="O220" i="1" s="1"/>
  <c r="L220" i="1"/>
  <c r="I220" i="1"/>
  <c r="H220" i="1"/>
  <c r="F220" i="1"/>
  <c r="C220" i="1"/>
  <c r="AD219" i="1"/>
  <c r="AC219" i="1"/>
  <c r="AA219" i="1"/>
  <c r="W219" i="1"/>
  <c r="X219" i="1" s="1"/>
  <c r="U219" i="1"/>
  <c r="R219" i="1"/>
  <c r="N219" i="1"/>
  <c r="O219" i="1" s="1"/>
  <c r="L219" i="1"/>
  <c r="I219" i="1"/>
  <c r="H219" i="1"/>
  <c r="F219" i="1"/>
  <c r="C219" i="1"/>
  <c r="AC218" i="1"/>
  <c r="AD218" i="1" s="1"/>
  <c r="Z218" i="1"/>
  <c r="AA218" i="1" s="1"/>
  <c r="U218" i="1"/>
  <c r="T218" i="1"/>
  <c r="R218" i="1"/>
  <c r="Q218" i="1"/>
  <c r="L218" i="1"/>
  <c r="K218" i="1"/>
  <c r="F218" i="1"/>
  <c r="E218" i="1"/>
  <c r="B218" i="1"/>
  <c r="N218" i="1" s="1"/>
  <c r="O218" i="1" s="1"/>
  <c r="AC217" i="1"/>
  <c r="AA217" i="1"/>
  <c r="X217" i="1"/>
  <c r="W217" i="1"/>
  <c r="U217" i="1"/>
  <c r="R217" i="1"/>
  <c r="O217" i="1"/>
  <c r="N217" i="1"/>
  <c r="L217" i="1"/>
  <c r="I217" i="1"/>
  <c r="H217" i="1"/>
  <c r="F217" i="1"/>
  <c r="C217" i="1"/>
  <c r="AC216" i="1"/>
  <c r="AD216" i="1" s="1"/>
  <c r="AA216" i="1"/>
  <c r="W216" i="1"/>
  <c r="U216" i="1"/>
  <c r="R216" i="1"/>
  <c r="N216" i="1"/>
  <c r="L216" i="1"/>
  <c r="I216" i="1"/>
  <c r="H216" i="1"/>
  <c r="F216" i="1"/>
  <c r="C216" i="1"/>
  <c r="AD215" i="1"/>
  <c r="AC215" i="1"/>
  <c r="AA215" i="1"/>
  <c r="X215" i="1"/>
  <c r="W215" i="1"/>
  <c r="U215" i="1"/>
  <c r="R215" i="1"/>
  <c r="O215" i="1"/>
  <c r="N215" i="1"/>
  <c r="L215" i="1"/>
  <c r="H215" i="1"/>
  <c r="I215" i="1" s="1"/>
  <c r="F215" i="1"/>
  <c r="C215" i="1"/>
  <c r="AC214" i="1"/>
  <c r="AD214" i="1" s="1"/>
  <c r="AA214" i="1"/>
  <c r="W214" i="1"/>
  <c r="U214" i="1"/>
  <c r="R214" i="1"/>
  <c r="N214" i="1"/>
  <c r="O214" i="1" s="1"/>
  <c r="L214" i="1"/>
  <c r="H214" i="1"/>
  <c r="I214" i="1" s="1"/>
  <c r="F214" i="1"/>
  <c r="C214" i="1"/>
  <c r="AD213" i="1"/>
  <c r="AC213" i="1"/>
  <c r="AA213" i="1"/>
  <c r="W213" i="1"/>
  <c r="X213" i="1" s="1"/>
  <c r="U213" i="1"/>
  <c r="R213" i="1"/>
  <c r="N213" i="1"/>
  <c r="L213" i="1"/>
  <c r="I213" i="1"/>
  <c r="H213" i="1"/>
  <c r="F213" i="1"/>
  <c r="C213" i="1"/>
  <c r="AC211" i="1"/>
  <c r="AA211" i="1"/>
  <c r="W211" i="1"/>
  <c r="U211" i="1"/>
  <c r="R211" i="1"/>
  <c r="N211" i="1"/>
  <c r="O211" i="1" s="1"/>
  <c r="L211" i="1"/>
  <c r="I211" i="1"/>
  <c r="H211" i="1"/>
  <c r="F211" i="1"/>
  <c r="C211" i="1"/>
  <c r="AC209" i="1"/>
  <c r="AD209" i="1" s="1"/>
  <c r="AA209" i="1"/>
  <c r="Z209" i="1"/>
  <c r="U209" i="1"/>
  <c r="T209" i="1"/>
  <c r="R209" i="1"/>
  <c r="Q209" i="1"/>
  <c r="L209" i="1"/>
  <c r="K209" i="1"/>
  <c r="F209" i="1"/>
  <c r="E209" i="1"/>
  <c r="C209" i="1"/>
  <c r="B209" i="1"/>
  <c r="N209" i="1" s="1"/>
  <c r="O209" i="1" s="1"/>
  <c r="AC208" i="1"/>
  <c r="AA208" i="1"/>
  <c r="X208" i="1"/>
  <c r="W208" i="1"/>
  <c r="U208" i="1"/>
  <c r="R208" i="1"/>
  <c r="O208" i="1"/>
  <c r="N208" i="1"/>
  <c r="L208" i="1"/>
  <c r="H208" i="1"/>
  <c r="I208" i="1" s="1"/>
  <c r="F208" i="1"/>
  <c r="C208" i="1"/>
  <c r="AC207" i="1"/>
  <c r="AD207" i="1" s="1"/>
  <c r="AA207" i="1"/>
  <c r="W207" i="1"/>
  <c r="U207" i="1"/>
  <c r="R207" i="1"/>
  <c r="N207" i="1"/>
  <c r="L207" i="1"/>
  <c r="I207" i="1"/>
  <c r="H207" i="1"/>
  <c r="F207" i="1"/>
  <c r="C207" i="1"/>
  <c r="AD206" i="1"/>
  <c r="AC206" i="1"/>
  <c r="AA206" i="1"/>
  <c r="W206" i="1"/>
  <c r="X206" i="1" s="1"/>
  <c r="U206" i="1"/>
  <c r="R206" i="1"/>
  <c r="N206" i="1"/>
  <c r="O206" i="1" s="1"/>
  <c r="L206" i="1"/>
  <c r="H206" i="1"/>
  <c r="I206" i="1" s="1"/>
  <c r="F206" i="1"/>
  <c r="C206" i="1"/>
  <c r="AC205" i="1"/>
  <c r="AD205" i="1" s="1"/>
  <c r="AA205" i="1"/>
  <c r="X205" i="1"/>
  <c r="W205" i="1"/>
  <c r="U205" i="1"/>
  <c r="R205" i="1"/>
  <c r="N205" i="1"/>
  <c r="L205" i="1"/>
  <c r="I205" i="1"/>
  <c r="H205" i="1"/>
  <c r="F205" i="1"/>
  <c r="C205" i="1"/>
  <c r="AC204" i="1"/>
  <c r="AA204" i="1"/>
  <c r="W204" i="1"/>
  <c r="X204" i="1" s="1"/>
  <c r="U204" i="1"/>
  <c r="R204" i="1"/>
  <c r="N204" i="1"/>
  <c r="O204" i="1" s="1"/>
  <c r="L204" i="1"/>
  <c r="I204" i="1"/>
  <c r="H204" i="1"/>
  <c r="F204" i="1"/>
  <c r="C204" i="1"/>
  <c r="AD203" i="1"/>
  <c r="AC203" i="1"/>
  <c r="AA203" i="1"/>
  <c r="W203" i="1"/>
  <c r="X203" i="1" s="1"/>
  <c r="U203" i="1"/>
  <c r="R203" i="1"/>
  <c r="N203" i="1"/>
  <c r="O203" i="1" s="1"/>
  <c r="L203" i="1"/>
  <c r="I203" i="1"/>
  <c r="H203" i="1"/>
  <c r="F203" i="1"/>
  <c r="C203" i="1"/>
  <c r="AC202" i="1"/>
  <c r="AD202" i="1" s="1"/>
  <c r="AA202" i="1"/>
  <c r="X202" i="1"/>
  <c r="W202" i="1"/>
  <c r="U202" i="1"/>
  <c r="R202" i="1"/>
  <c r="N202" i="1"/>
  <c r="L202" i="1"/>
  <c r="I202" i="1"/>
  <c r="H202" i="1"/>
  <c r="F202" i="1"/>
  <c r="C202" i="1"/>
  <c r="AD201" i="1"/>
  <c r="AC201" i="1"/>
  <c r="AA201" i="1"/>
  <c r="W201" i="1"/>
  <c r="X201" i="1" s="1"/>
  <c r="U201" i="1"/>
  <c r="R201" i="1"/>
  <c r="N201" i="1"/>
  <c r="O201" i="1" s="1"/>
  <c r="L201" i="1"/>
  <c r="I201" i="1"/>
  <c r="H201" i="1"/>
  <c r="F201" i="1"/>
  <c r="C201" i="1"/>
  <c r="Z198" i="1"/>
  <c r="AA198" i="1" s="1"/>
  <c r="C198" i="1"/>
  <c r="B198" i="1"/>
  <c r="AC197" i="1"/>
  <c r="AD197" i="1" s="1"/>
  <c r="AA197" i="1"/>
  <c r="Z197" i="1"/>
  <c r="T197" i="1"/>
  <c r="U197" i="1" s="1"/>
  <c r="R197" i="1"/>
  <c r="Q197" i="1"/>
  <c r="L197" i="1"/>
  <c r="K197" i="1"/>
  <c r="H197" i="1"/>
  <c r="I197" i="1" s="1"/>
  <c r="F197" i="1"/>
  <c r="E197" i="1"/>
  <c r="C197" i="1"/>
  <c r="B197" i="1"/>
  <c r="N197" i="1" s="1"/>
  <c r="O197" i="1" s="1"/>
  <c r="Z196" i="1"/>
  <c r="AA196" i="1" s="1"/>
  <c r="T196" i="1"/>
  <c r="U196" i="1" s="1"/>
  <c r="R196" i="1"/>
  <c r="Q196" i="1"/>
  <c r="N196" i="1"/>
  <c r="O196" i="1" s="1"/>
  <c r="K196" i="1"/>
  <c r="L196" i="1" s="1"/>
  <c r="H196" i="1"/>
  <c r="I196" i="1" s="1"/>
  <c r="F196" i="1"/>
  <c r="E196" i="1"/>
  <c r="B196" i="1"/>
  <c r="C196" i="1" s="1"/>
  <c r="AD195" i="1"/>
  <c r="AC195" i="1"/>
  <c r="AA195" i="1"/>
  <c r="X195" i="1"/>
  <c r="W195" i="1"/>
  <c r="U195" i="1"/>
  <c r="R195" i="1"/>
  <c r="N195" i="1"/>
  <c r="O195" i="1" s="1"/>
  <c r="L195" i="1"/>
  <c r="H195" i="1"/>
  <c r="I195" i="1" s="1"/>
  <c r="F195" i="1"/>
  <c r="C195" i="1"/>
  <c r="AC194" i="1"/>
  <c r="AA194" i="1"/>
  <c r="W194" i="1"/>
  <c r="U194" i="1"/>
  <c r="R194" i="1"/>
  <c r="N194" i="1"/>
  <c r="L194" i="1"/>
  <c r="H194" i="1"/>
  <c r="I194" i="1" s="1"/>
  <c r="F194" i="1"/>
  <c r="C194" i="1"/>
  <c r="AA193" i="1"/>
  <c r="Z193" i="1"/>
  <c r="T193" i="1"/>
  <c r="W193" i="1" s="1"/>
  <c r="X193" i="1" s="1"/>
  <c r="R193" i="1"/>
  <c r="Q193" i="1"/>
  <c r="AC193" i="1" s="1"/>
  <c r="AD193" i="1" s="1"/>
  <c r="K193" i="1"/>
  <c r="L193" i="1" s="1"/>
  <c r="I193" i="1"/>
  <c r="H193" i="1"/>
  <c r="F193" i="1"/>
  <c r="E193" i="1"/>
  <c r="C193" i="1"/>
  <c r="B193" i="1"/>
  <c r="N193" i="1" s="1"/>
  <c r="O193" i="1" s="1"/>
  <c r="AC192" i="1"/>
  <c r="AD192" i="1" s="1"/>
  <c r="AA192" i="1"/>
  <c r="X192" i="1"/>
  <c r="W192" i="1"/>
  <c r="U192" i="1"/>
  <c r="R192" i="1"/>
  <c r="N192" i="1"/>
  <c r="L192" i="1"/>
  <c r="I192" i="1"/>
  <c r="H192" i="1"/>
  <c r="F192" i="1"/>
  <c r="C192" i="1"/>
  <c r="AC191" i="1"/>
  <c r="AA191" i="1"/>
  <c r="X191" i="1"/>
  <c r="W191" i="1"/>
  <c r="U191" i="1"/>
  <c r="R191" i="1"/>
  <c r="N191" i="1"/>
  <c r="O191" i="1" s="1"/>
  <c r="L191" i="1"/>
  <c r="I191" i="1"/>
  <c r="H191" i="1"/>
  <c r="F191" i="1"/>
  <c r="C191" i="1"/>
  <c r="AD190" i="1"/>
  <c r="AC190" i="1"/>
  <c r="AA190" i="1"/>
  <c r="W190" i="1"/>
  <c r="U190" i="1"/>
  <c r="R190" i="1"/>
  <c r="O190" i="1"/>
  <c r="N190" i="1"/>
  <c r="L190" i="1"/>
  <c r="I190" i="1"/>
  <c r="H190" i="1"/>
  <c r="F190" i="1"/>
  <c r="C190" i="1"/>
  <c r="AD189" i="1"/>
  <c r="AC189" i="1"/>
  <c r="AA189" i="1"/>
  <c r="W189" i="1"/>
  <c r="U189" i="1"/>
  <c r="R189" i="1"/>
  <c r="N189" i="1"/>
  <c r="L189" i="1"/>
  <c r="I189" i="1"/>
  <c r="H189" i="1"/>
  <c r="F189" i="1"/>
  <c r="C189" i="1"/>
  <c r="AD188" i="1"/>
  <c r="AC188" i="1"/>
  <c r="AA188" i="1"/>
  <c r="W188" i="1"/>
  <c r="X188" i="1" s="1"/>
  <c r="U188" i="1"/>
  <c r="R188" i="1"/>
  <c r="N188" i="1"/>
  <c r="O188" i="1" s="1"/>
  <c r="L188" i="1"/>
  <c r="H188" i="1"/>
  <c r="I188" i="1" s="1"/>
  <c r="F188" i="1"/>
  <c r="C188" i="1"/>
  <c r="AC187" i="1"/>
  <c r="AD187" i="1" s="1"/>
  <c r="AA187" i="1"/>
  <c r="W187" i="1"/>
  <c r="U187" i="1"/>
  <c r="R187" i="1"/>
  <c r="N187" i="1"/>
  <c r="O187" i="1" s="1"/>
  <c r="L187" i="1"/>
  <c r="I187" i="1"/>
  <c r="H187" i="1"/>
  <c r="F187" i="1"/>
  <c r="C187" i="1"/>
  <c r="AD186" i="1"/>
  <c r="AC186" i="1"/>
  <c r="AA186" i="1"/>
  <c r="W186" i="1"/>
  <c r="U186" i="1"/>
  <c r="R186" i="1"/>
  <c r="N186" i="1"/>
  <c r="O186" i="1" s="1"/>
  <c r="L186" i="1"/>
  <c r="I186" i="1"/>
  <c r="H186" i="1"/>
  <c r="F186" i="1"/>
  <c r="C186" i="1"/>
  <c r="AC184" i="1"/>
  <c r="AA184" i="1"/>
  <c r="W184" i="1"/>
  <c r="X184" i="1" s="1"/>
  <c r="U184" i="1"/>
  <c r="R184" i="1"/>
  <c r="N184" i="1"/>
  <c r="O184" i="1" s="1"/>
  <c r="L184" i="1"/>
  <c r="I184" i="1"/>
  <c r="H184" i="1"/>
  <c r="F184" i="1"/>
  <c r="C184" i="1"/>
  <c r="AC183" i="1"/>
  <c r="AD183" i="1" s="1"/>
  <c r="AA183" i="1"/>
  <c r="W183" i="1"/>
  <c r="U183" i="1"/>
  <c r="R183" i="1"/>
  <c r="O183" i="1"/>
  <c r="N183" i="1"/>
  <c r="L183" i="1"/>
  <c r="I183" i="1"/>
  <c r="H183" i="1"/>
  <c r="F183" i="1"/>
  <c r="C183" i="1"/>
  <c r="AD182" i="1"/>
  <c r="AC182" i="1"/>
  <c r="Z182" i="1"/>
  <c r="AA182" i="1" s="1"/>
  <c r="X182" i="1"/>
  <c r="U182" i="1"/>
  <c r="T182" i="1"/>
  <c r="R182" i="1"/>
  <c r="Q182" i="1"/>
  <c r="W182" i="1" s="1"/>
  <c r="N182" i="1"/>
  <c r="O182" i="1" s="1"/>
  <c r="L182" i="1"/>
  <c r="K182" i="1"/>
  <c r="E182" i="1"/>
  <c r="F182" i="1" s="1"/>
  <c r="C182" i="1"/>
  <c r="B182" i="1"/>
  <c r="AC181" i="1"/>
  <c r="AD181" i="1" s="1"/>
  <c r="AA181" i="1"/>
  <c r="W181" i="1"/>
  <c r="U181" i="1"/>
  <c r="R181" i="1"/>
  <c r="N181" i="1"/>
  <c r="L181" i="1"/>
  <c r="I181" i="1"/>
  <c r="H181" i="1"/>
  <c r="F181" i="1"/>
  <c r="C181" i="1"/>
  <c r="AD180" i="1"/>
  <c r="AC180" i="1"/>
  <c r="AA180" i="1"/>
  <c r="W180" i="1"/>
  <c r="X180" i="1" s="1"/>
  <c r="U180" i="1"/>
  <c r="R180" i="1"/>
  <c r="N180" i="1"/>
  <c r="O180" i="1" s="1"/>
  <c r="L180" i="1"/>
  <c r="H180" i="1"/>
  <c r="I180" i="1" s="1"/>
  <c r="F180" i="1"/>
  <c r="C180" i="1"/>
  <c r="AC179" i="1"/>
  <c r="AD179" i="1" s="1"/>
  <c r="AA179" i="1"/>
  <c r="X179" i="1"/>
  <c r="W179" i="1"/>
  <c r="U179" i="1"/>
  <c r="R179" i="1"/>
  <c r="N179" i="1"/>
  <c r="L179" i="1"/>
  <c r="I179" i="1"/>
  <c r="H179" i="1"/>
  <c r="F179" i="1"/>
  <c r="C179" i="1"/>
  <c r="AC178" i="1"/>
  <c r="AA178" i="1"/>
  <c r="W178" i="1"/>
  <c r="X178" i="1" s="1"/>
  <c r="U178" i="1"/>
  <c r="R178" i="1"/>
  <c r="N178" i="1"/>
  <c r="O178" i="1" s="1"/>
  <c r="L178" i="1"/>
  <c r="I178" i="1"/>
  <c r="H178" i="1"/>
  <c r="F178" i="1"/>
  <c r="C178" i="1"/>
  <c r="AD177" i="1"/>
  <c r="AC177" i="1"/>
  <c r="AA177" i="1"/>
  <c r="W177" i="1"/>
  <c r="X177" i="1" s="1"/>
  <c r="U177" i="1"/>
  <c r="R177" i="1"/>
  <c r="N177" i="1"/>
  <c r="O177" i="1" s="1"/>
  <c r="L177" i="1"/>
  <c r="I177" i="1"/>
  <c r="H177" i="1"/>
  <c r="F177" i="1"/>
  <c r="C177" i="1"/>
  <c r="AC175" i="1"/>
  <c r="AD175" i="1" s="1"/>
  <c r="AA175" i="1"/>
  <c r="X175" i="1"/>
  <c r="W175" i="1"/>
  <c r="U175" i="1"/>
  <c r="R175" i="1"/>
  <c r="N175" i="1"/>
  <c r="L175" i="1"/>
  <c r="I175" i="1"/>
  <c r="H175" i="1"/>
  <c r="F175" i="1"/>
  <c r="C175" i="1"/>
  <c r="Z172" i="1"/>
  <c r="AA172" i="1" s="1"/>
  <c r="E172" i="1"/>
  <c r="C172" i="1"/>
  <c r="B172" i="1"/>
  <c r="AC171" i="1"/>
  <c r="AD171" i="1" s="1"/>
  <c r="AA171" i="1"/>
  <c r="Z171" i="1"/>
  <c r="W171" i="1"/>
  <c r="X171" i="1" s="1"/>
  <c r="U171" i="1"/>
  <c r="T171" i="1"/>
  <c r="Q171" i="1"/>
  <c r="R171" i="1" s="1"/>
  <c r="L171" i="1"/>
  <c r="K171" i="1"/>
  <c r="I171" i="1"/>
  <c r="H171" i="1"/>
  <c r="F171" i="1"/>
  <c r="E171" i="1"/>
  <c r="C171" i="1"/>
  <c r="B171" i="1"/>
  <c r="N171" i="1" s="1"/>
  <c r="O171" i="1" s="1"/>
  <c r="Z170" i="1"/>
  <c r="AA170" i="1" s="1"/>
  <c r="W170" i="1"/>
  <c r="U170" i="1"/>
  <c r="T170" i="1"/>
  <c r="R170" i="1"/>
  <c r="Q170" i="1"/>
  <c r="L170" i="1"/>
  <c r="K170" i="1"/>
  <c r="E170" i="1"/>
  <c r="F170" i="1" s="1"/>
  <c r="B170" i="1"/>
  <c r="AD169" i="1"/>
  <c r="AC169" i="1"/>
  <c r="AA169" i="1"/>
  <c r="W169" i="1"/>
  <c r="X169" i="1" s="1"/>
  <c r="U169" i="1"/>
  <c r="R169" i="1"/>
  <c r="N169" i="1"/>
  <c r="O169" i="1" s="1"/>
  <c r="L169" i="1"/>
  <c r="I169" i="1"/>
  <c r="H169" i="1"/>
  <c r="F169" i="1"/>
  <c r="C169" i="1"/>
  <c r="AD168" i="1"/>
  <c r="AC168" i="1"/>
  <c r="AA168" i="1"/>
  <c r="W168" i="1"/>
  <c r="U168" i="1"/>
  <c r="R168" i="1"/>
  <c r="O168" i="1"/>
  <c r="N168" i="1"/>
  <c r="L168" i="1"/>
  <c r="I168" i="1"/>
  <c r="H168" i="1"/>
  <c r="F168" i="1"/>
  <c r="C168" i="1"/>
  <c r="AD167" i="1"/>
  <c r="AC167" i="1"/>
  <c r="AA167" i="1"/>
  <c r="W167" i="1"/>
  <c r="X167" i="1" s="1"/>
  <c r="U167" i="1"/>
  <c r="R167" i="1"/>
  <c r="N167" i="1"/>
  <c r="L167" i="1"/>
  <c r="I167" i="1"/>
  <c r="H167" i="1"/>
  <c r="F167" i="1"/>
  <c r="C167" i="1"/>
  <c r="AA166" i="1"/>
  <c r="Z166" i="1"/>
  <c r="W166" i="1"/>
  <c r="X166" i="1" s="1"/>
  <c r="U166" i="1"/>
  <c r="T166" i="1"/>
  <c r="R166" i="1"/>
  <c r="Q166" i="1"/>
  <c r="AC166" i="1" s="1"/>
  <c r="AD166" i="1" s="1"/>
  <c r="K166" i="1"/>
  <c r="L166" i="1" s="1"/>
  <c r="F166" i="1"/>
  <c r="E166" i="1"/>
  <c r="C166" i="1"/>
  <c r="B166" i="1"/>
  <c r="AD165" i="1"/>
  <c r="AC165" i="1"/>
  <c r="AA165" i="1"/>
  <c r="W165" i="1"/>
  <c r="U165" i="1"/>
  <c r="R165" i="1"/>
  <c r="N165" i="1"/>
  <c r="O165" i="1" s="1"/>
  <c r="L165" i="1"/>
  <c r="I165" i="1"/>
  <c r="H165" i="1"/>
  <c r="F165" i="1"/>
  <c r="C165" i="1"/>
  <c r="AD164" i="1"/>
  <c r="AC164" i="1"/>
  <c r="AA164" i="1"/>
  <c r="W164" i="1"/>
  <c r="X164" i="1" s="1"/>
  <c r="U164" i="1"/>
  <c r="R164" i="1"/>
  <c r="N164" i="1"/>
  <c r="L164" i="1"/>
  <c r="H164" i="1"/>
  <c r="I164" i="1" s="1"/>
  <c r="F164" i="1"/>
  <c r="C164" i="1"/>
  <c r="AC163" i="1"/>
  <c r="AA163" i="1"/>
  <c r="X163" i="1"/>
  <c r="W163" i="1"/>
  <c r="U163" i="1"/>
  <c r="R163" i="1"/>
  <c r="O163" i="1"/>
  <c r="N163" i="1"/>
  <c r="L163" i="1"/>
  <c r="H163" i="1"/>
  <c r="I163" i="1" s="1"/>
  <c r="F163" i="1"/>
  <c r="C163" i="1"/>
  <c r="AD162" i="1"/>
  <c r="AC162" i="1"/>
  <c r="AA162" i="1"/>
  <c r="W162" i="1"/>
  <c r="X162" i="1" s="1"/>
  <c r="U162" i="1"/>
  <c r="R162" i="1"/>
  <c r="N162" i="1"/>
  <c r="L162" i="1"/>
  <c r="I162" i="1"/>
  <c r="H162" i="1"/>
  <c r="F162" i="1"/>
  <c r="C162" i="1"/>
  <c r="AC161" i="1"/>
  <c r="AA161" i="1"/>
  <c r="X161" i="1"/>
  <c r="W161" i="1"/>
  <c r="U161" i="1"/>
  <c r="R161" i="1"/>
  <c r="O161" i="1"/>
  <c r="N161" i="1"/>
  <c r="L161" i="1"/>
  <c r="H161" i="1"/>
  <c r="I161" i="1" s="1"/>
  <c r="F161" i="1"/>
  <c r="C161" i="1"/>
  <c r="AC160" i="1"/>
  <c r="AD160" i="1" s="1"/>
  <c r="AA160" i="1"/>
  <c r="W160" i="1"/>
  <c r="X160" i="1" s="1"/>
  <c r="U160" i="1"/>
  <c r="R160" i="1"/>
  <c r="N160" i="1"/>
  <c r="L160" i="1"/>
  <c r="H160" i="1"/>
  <c r="I160" i="1" s="1"/>
  <c r="F160" i="1"/>
  <c r="C160" i="1"/>
  <c r="AA158" i="1"/>
  <c r="Z158" i="1"/>
  <c r="W158" i="1"/>
  <c r="X158" i="1" s="1"/>
  <c r="U158" i="1"/>
  <c r="T158" i="1"/>
  <c r="R158" i="1"/>
  <c r="Q158" i="1"/>
  <c r="AC158" i="1" s="1"/>
  <c r="AD158" i="1" s="1"/>
  <c r="L158" i="1"/>
  <c r="K158" i="1"/>
  <c r="I158" i="1"/>
  <c r="H158" i="1"/>
  <c r="F158" i="1"/>
  <c r="E158" i="1"/>
  <c r="C158" i="1"/>
  <c r="B158" i="1"/>
  <c r="N158" i="1" s="1"/>
  <c r="O158" i="1" s="1"/>
  <c r="AD157" i="1"/>
  <c r="AC157" i="1"/>
  <c r="AA157" i="1"/>
  <c r="W157" i="1"/>
  <c r="X157" i="1" s="1"/>
  <c r="U157" i="1"/>
  <c r="R157" i="1"/>
  <c r="N157" i="1"/>
  <c r="L157" i="1"/>
  <c r="I157" i="1"/>
  <c r="H157" i="1"/>
  <c r="F157" i="1"/>
  <c r="C157" i="1"/>
  <c r="AC156" i="1"/>
  <c r="AA156" i="1"/>
  <c r="X156" i="1"/>
  <c r="W156" i="1"/>
  <c r="U156" i="1"/>
  <c r="R156" i="1"/>
  <c r="N156" i="1"/>
  <c r="O156" i="1" s="1"/>
  <c r="L156" i="1"/>
  <c r="H156" i="1"/>
  <c r="I156" i="1" s="1"/>
  <c r="F156" i="1"/>
  <c r="C156" i="1"/>
  <c r="AC155" i="1"/>
  <c r="AA155" i="1"/>
  <c r="X155" i="1"/>
  <c r="W155" i="1"/>
  <c r="U155" i="1"/>
  <c r="R155" i="1"/>
  <c r="N155" i="1"/>
  <c r="L155" i="1"/>
  <c r="H155" i="1"/>
  <c r="I155" i="1" s="1"/>
  <c r="F155" i="1"/>
  <c r="C155" i="1"/>
  <c r="AD154" i="1"/>
  <c r="AC154" i="1"/>
  <c r="AA154" i="1"/>
  <c r="W154" i="1"/>
  <c r="X154" i="1" s="1"/>
  <c r="U154" i="1"/>
  <c r="R154" i="1"/>
  <c r="N154" i="1"/>
  <c r="O154" i="1" s="1"/>
  <c r="L154" i="1"/>
  <c r="I154" i="1"/>
  <c r="H154" i="1"/>
  <c r="F154" i="1"/>
  <c r="C154" i="1"/>
  <c r="AD153" i="1"/>
  <c r="AC153" i="1"/>
  <c r="AA153" i="1"/>
  <c r="W153" i="1"/>
  <c r="X153" i="1" s="1"/>
  <c r="U153" i="1"/>
  <c r="R153" i="1"/>
  <c r="O153" i="1"/>
  <c r="N153" i="1"/>
  <c r="L153" i="1"/>
  <c r="I153" i="1"/>
  <c r="H153" i="1"/>
  <c r="F153" i="1"/>
  <c r="C153" i="1"/>
  <c r="AD151" i="1"/>
  <c r="AC151" i="1"/>
  <c r="AA151" i="1"/>
  <c r="W151" i="1"/>
  <c r="X151" i="1" s="1"/>
  <c r="U151" i="1"/>
  <c r="R151" i="1"/>
  <c r="N151" i="1"/>
  <c r="L151" i="1"/>
  <c r="I151" i="1"/>
  <c r="H151" i="1"/>
  <c r="F151" i="1"/>
  <c r="C151" i="1"/>
  <c r="AA149" i="1"/>
  <c r="Z149" i="1"/>
  <c r="W149" i="1"/>
  <c r="X149" i="1" s="1"/>
  <c r="U149" i="1"/>
  <c r="T149" i="1"/>
  <c r="R149" i="1"/>
  <c r="Q149" i="1"/>
  <c r="AC149" i="1" s="1"/>
  <c r="AD149" i="1" s="1"/>
  <c r="L149" i="1"/>
  <c r="K149" i="1"/>
  <c r="F149" i="1"/>
  <c r="E149" i="1"/>
  <c r="C149" i="1"/>
  <c r="B149" i="1"/>
  <c r="N149" i="1" s="1"/>
  <c r="O149" i="1" s="1"/>
  <c r="AC148" i="1"/>
  <c r="AD148" i="1" s="1"/>
  <c r="AA148" i="1"/>
  <c r="Z148" i="1"/>
  <c r="T148" i="1"/>
  <c r="U148" i="1" s="1"/>
  <c r="Q148" i="1"/>
  <c r="N148" i="1"/>
  <c r="O148" i="1" s="1"/>
  <c r="L148" i="1"/>
  <c r="K148" i="1"/>
  <c r="E148" i="1"/>
  <c r="F148" i="1" s="1"/>
  <c r="C148" i="1"/>
  <c r="B148" i="1"/>
  <c r="AC147" i="1"/>
  <c r="AA147" i="1"/>
  <c r="X147" i="1"/>
  <c r="W147" i="1"/>
  <c r="U147" i="1"/>
  <c r="R147" i="1"/>
  <c r="O147" i="1"/>
  <c r="N147" i="1"/>
  <c r="L147" i="1"/>
  <c r="H147" i="1"/>
  <c r="I147" i="1" s="1"/>
  <c r="F147" i="1"/>
  <c r="C147" i="1"/>
  <c r="AC146" i="1"/>
  <c r="AD146" i="1" s="1"/>
  <c r="AA146" i="1"/>
  <c r="W146" i="1"/>
  <c r="X146" i="1" s="1"/>
  <c r="U146" i="1"/>
  <c r="R146" i="1"/>
  <c r="N146" i="1"/>
  <c r="O146" i="1" s="1"/>
  <c r="L146" i="1"/>
  <c r="I146" i="1"/>
  <c r="H146" i="1"/>
  <c r="F146" i="1"/>
  <c r="C146" i="1"/>
  <c r="AC145" i="1"/>
  <c r="AA145" i="1"/>
  <c r="W145" i="1"/>
  <c r="X145" i="1" s="1"/>
  <c r="U145" i="1"/>
  <c r="R145" i="1"/>
  <c r="O145" i="1"/>
  <c r="N145" i="1"/>
  <c r="L145" i="1"/>
  <c r="I145" i="1"/>
  <c r="H145" i="1"/>
  <c r="F145" i="1"/>
  <c r="C145" i="1"/>
  <c r="AC144" i="1"/>
  <c r="AD144" i="1" s="1"/>
  <c r="AA144" i="1"/>
  <c r="W144" i="1"/>
  <c r="X144" i="1" s="1"/>
  <c r="U144" i="1"/>
  <c r="R144" i="1"/>
  <c r="N144" i="1"/>
  <c r="L144" i="1"/>
  <c r="H144" i="1"/>
  <c r="I144" i="1" s="1"/>
  <c r="F144" i="1"/>
  <c r="C144" i="1"/>
  <c r="AD143" i="1"/>
  <c r="AC143" i="1"/>
  <c r="AA143" i="1"/>
  <c r="X143" i="1"/>
  <c r="W143" i="1"/>
  <c r="U143" i="1"/>
  <c r="R143" i="1"/>
  <c r="O143" i="1"/>
  <c r="N143" i="1"/>
  <c r="L143" i="1"/>
  <c r="H143" i="1"/>
  <c r="I143" i="1" s="1"/>
  <c r="F143" i="1"/>
  <c r="C143" i="1"/>
  <c r="AC141" i="1"/>
  <c r="AD141" i="1" s="1"/>
  <c r="AA141" i="1"/>
  <c r="Z141" i="1"/>
  <c r="W141" i="1"/>
  <c r="X141" i="1" s="1"/>
  <c r="T141" i="1"/>
  <c r="U141" i="1" s="1"/>
  <c r="Q141" i="1"/>
  <c r="R141" i="1" s="1"/>
  <c r="L141" i="1"/>
  <c r="K141" i="1"/>
  <c r="I141" i="1"/>
  <c r="H141" i="1"/>
  <c r="F141" i="1"/>
  <c r="E141" i="1"/>
  <c r="C141" i="1"/>
  <c r="B141" i="1"/>
  <c r="N141" i="1" s="1"/>
  <c r="O141" i="1" s="1"/>
  <c r="AD140" i="1"/>
  <c r="AC140" i="1"/>
  <c r="AA140" i="1"/>
  <c r="X140" i="1"/>
  <c r="W140" i="1"/>
  <c r="U140" i="1"/>
  <c r="R140" i="1"/>
  <c r="N140" i="1"/>
  <c r="L140" i="1"/>
  <c r="H140" i="1"/>
  <c r="I140" i="1" s="1"/>
  <c r="F140" i="1"/>
  <c r="C140" i="1"/>
  <c r="AC139" i="1"/>
  <c r="AA139" i="1"/>
  <c r="X139" i="1"/>
  <c r="W139" i="1"/>
  <c r="U139" i="1"/>
  <c r="R139" i="1"/>
  <c r="O139" i="1"/>
  <c r="N139" i="1"/>
  <c r="L139" i="1"/>
  <c r="H139" i="1"/>
  <c r="I139" i="1" s="1"/>
  <c r="F139" i="1"/>
  <c r="C139" i="1"/>
  <c r="AC138" i="1"/>
  <c r="AD138" i="1" s="1"/>
  <c r="AA138" i="1"/>
  <c r="W138" i="1"/>
  <c r="X138" i="1" s="1"/>
  <c r="U138" i="1"/>
  <c r="R138" i="1"/>
  <c r="N138" i="1"/>
  <c r="L138" i="1"/>
  <c r="I138" i="1"/>
  <c r="H138" i="1"/>
  <c r="F138" i="1"/>
  <c r="C138" i="1"/>
  <c r="AD137" i="1"/>
  <c r="AC137" i="1"/>
  <c r="AA137" i="1"/>
  <c r="X137" i="1"/>
  <c r="W137" i="1"/>
  <c r="U137" i="1"/>
  <c r="R137" i="1"/>
  <c r="N137" i="1"/>
  <c r="O137" i="1" s="1"/>
  <c r="L137" i="1"/>
  <c r="H137" i="1"/>
  <c r="I137" i="1" s="1"/>
  <c r="F137" i="1"/>
  <c r="C137" i="1"/>
  <c r="AD136" i="1"/>
  <c r="AC136" i="1"/>
  <c r="AA136" i="1"/>
  <c r="W136" i="1"/>
  <c r="X136" i="1" s="1"/>
  <c r="U136" i="1"/>
  <c r="R136" i="1"/>
  <c r="N136" i="1"/>
  <c r="L136" i="1"/>
  <c r="I136" i="1"/>
  <c r="H136" i="1"/>
  <c r="F136" i="1"/>
  <c r="C136" i="1"/>
  <c r="AC135" i="1"/>
  <c r="AA135" i="1"/>
  <c r="X135" i="1"/>
  <c r="W135" i="1"/>
  <c r="U135" i="1"/>
  <c r="R135" i="1"/>
  <c r="O135" i="1"/>
  <c r="N135" i="1"/>
  <c r="L135" i="1"/>
  <c r="H135" i="1"/>
  <c r="I135" i="1" s="1"/>
  <c r="F135" i="1"/>
  <c r="C135" i="1"/>
  <c r="AC134" i="1"/>
  <c r="AD134" i="1" s="1"/>
  <c r="AA134" i="1"/>
  <c r="W134" i="1"/>
  <c r="X134" i="1" s="1"/>
  <c r="U134" i="1"/>
  <c r="R134" i="1"/>
  <c r="N134" i="1"/>
  <c r="O134" i="1" s="1"/>
  <c r="L134" i="1"/>
  <c r="I134" i="1"/>
  <c r="H134" i="1"/>
  <c r="F134" i="1"/>
  <c r="C134" i="1"/>
  <c r="AD133" i="1"/>
  <c r="AC133" i="1"/>
  <c r="AA133" i="1"/>
  <c r="W133" i="1"/>
  <c r="X133" i="1" s="1"/>
  <c r="U133" i="1"/>
  <c r="R133" i="1"/>
  <c r="N133" i="1"/>
  <c r="O133" i="1" s="1"/>
  <c r="L133" i="1"/>
  <c r="I133" i="1"/>
  <c r="H133" i="1"/>
  <c r="F133" i="1"/>
  <c r="C133" i="1"/>
  <c r="AD132" i="1"/>
  <c r="AC132" i="1"/>
  <c r="AA132" i="1"/>
  <c r="W132" i="1"/>
  <c r="X132" i="1" s="1"/>
  <c r="U132" i="1"/>
  <c r="R132" i="1"/>
  <c r="N132" i="1"/>
  <c r="O132" i="1" s="1"/>
  <c r="L132" i="1"/>
  <c r="H132" i="1"/>
  <c r="I132" i="1" s="1"/>
  <c r="F132" i="1"/>
  <c r="C132" i="1"/>
  <c r="AC131" i="1"/>
  <c r="AA131" i="1"/>
  <c r="X131" i="1"/>
  <c r="W131" i="1"/>
  <c r="U131" i="1"/>
  <c r="R131" i="1"/>
  <c r="O131" i="1"/>
  <c r="N131" i="1"/>
  <c r="L131" i="1"/>
  <c r="H131" i="1"/>
  <c r="I131" i="1" s="1"/>
  <c r="F131" i="1"/>
  <c r="C131" i="1"/>
  <c r="AC130" i="1"/>
  <c r="AD130" i="1" s="1"/>
  <c r="AA130" i="1"/>
  <c r="W130" i="1"/>
  <c r="X130" i="1" s="1"/>
  <c r="U130" i="1"/>
  <c r="R130" i="1"/>
  <c r="N130" i="1"/>
  <c r="O130" i="1" s="1"/>
  <c r="L130" i="1"/>
  <c r="I130" i="1"/>
  <c r="H130" i="1"/>
  <c r="F130" i="1"/>
  <c r="C130" i="1"/>
  <c r="AC129" i="1"/>
  <c r="AA129" i="1"/>
  <c r="W129" i="1"/>
  <c r="X129" i="1" s="1"/>
  <c r="U129" i="1"/>
  <c r="R129" i="1"/>
  <c r="O129" i="1"/>
  <c r="N129" i="1"/>
  <c r="L129" i="1"/>
  <c r="I129" i="1"/>
  <c r="H129" i="1"/>
  <c r="F129" i="1"/>
  <c r="C129" i="1"/>
  <c r="AC127" i="1"/>
  <c r="AD127" i="1" s="1"/>
  <c r="AA127" i="1"/>
  <c r="W127" i="1"/>
  <c r="X127" i="1" s="1"/>
  <c r="U127" i="1"/>
  <c r="R127" i="1"/>
  <c r="N127" i="1"/>
  <c r="L127" i="1"/>
  <c r="H127" i="1"/>
  <c r="I127" i="1" s="1"/>
  <c r="F127" i="1"/>
  <c r="C127" i="1"/>
  <c r="AA124" i="1"/>
  <c r="Z124" i="1"/>
  <c r="X124" i="1"/>
  <c r="W124" i="1"/>
  <c r="U124" i="1"/>
  <c r="T124" i="1"/>
  <c r="R124" i="1"/>
  <c r="Q124" i="1"/>
  <c r="AC124" i="1" s="1"/>
  <c r="AD124" i="1" s="1"/>
  <c r="K124" i="1"/>
  <c r="K172" i="1" s="1"/>
  <c r="I124" i="1"/>
  <c r="H124" i="1"/>
  <c r="F124" i="1"/>
  <c r="E124" i="1"/>
  <c r="C124" i="1"/>
  <c r="B124" i="1"/>
  <c r="AC123" i="1"/>
  <c r="AD123" i="1" s="1"/>
  <c r="AA123" i="1"/>
  <c r="W123" i="1"/>
  <c r="X123" i="1" s="1"/>
  <c r="U123" i="1"/>
  <c r="R123" i="1"/>
  <c r="N123" i="1"/>
  <c r="O123" i="1" s="1"/>
  <c r="L123" i="1"/>
  <c r="I123" i="1"/>
  <c r="H123" i="1"/>
  <c r="F123" i="1"/>
  <c r="C123" i="1"/>
  <c r="AA122" i="1"/>
  <c r="Z122" i="1"/>
  <c r="X122" i="1"/>
  <c r="W122" i="1"/>
  <c r="U122" i="1"/>
  <c r="T122" i="1"/>
  <c r="R122" i="1"/>
  <c r="Q122" i="1"/>
  <c r="O122" i="1"/>
  <c r="N122" i="1"/>
  <c r="L122" i="1"/>
  <c r="K122" i="1"/>
  <c r="E122" i="1"/>
  <c r="F122" i="1" s="1"/>
  <c r="B122" i="1"/>
  <c r="AD121" i="1"/>
  <c r="AC121" i="1"/>
  <c r="AA121" i="1"/>
  <c r="W121" i="1"/>
  <c r="X121" i="1" s="1"/>
  <c r="U121" i="1"/>
  <c r="R121" i="1"/>
  <c r="N121" i="1"/>
  <c r="O121" i="1" s="1"/>
  <c r="L121" i="1"/>
  <c r="I121" i="1"/>
  <c r="H121" i="1"/>
  <c r="F121" i="1"/>
  <c r="C121" i="1"/>
  <c r="AD120" i="1"/>
  <c r="AC120" i="1"/>
  <c r="AA120" i="1"/>
  <c r="W120" i="1"/>
  <c r="X120" i="1" s="1"/>
  <c r="U120" i="1"/>
  <c r="R120" i="1"/>
  <c r="N120" i="1"/>
  <c r="O120" i="1" s="1"/>
  <c r="L120" i="1"/>
  <c r="I120" i="1"/>
  <c r="H120" i="1"/>
  <c r="F120" i="1"/>
  <c r="C120" i="1"/>
  <c r="AD119" i="1"/>
  <c r="AC119" i="1"/>
  <c r="AA119" i="1"/>
  <c r="W119" i="1"/>
  <c r="U119" i="1"/>
  <c r="R119" i="1"/>
  <c r="N119" i="1"/>
  <c r="L119" i="1"/>
  <c r="H119" i="1"/>
  <c r="I119" i="1" s="1"/>
  <c r="F119" i="1"/>
  <c r="C119" i="1"/>
  <c r="AD118" i="1"/>
  <c r="AA118" i="1"/>
  <c r="Z118" i="1"/>
  <c r="X118" i="1"/>
  <c r="W118" i="1"/>
  <c r="U118" i="1"/>
  <c r="T118" i="1"/>
  <c r="R118" i="1"/>
  <c r="Q118" i="1"/>
  <c r="AC118" i="1" s="1"/>
  <c r="L118" i="1"/>
  <c r="K118" i="1"/>
  <c r="F118" i="1"/>
  <c r="E118" i="1"/>
  <c r="C118" i="1"/>
  <c r="B118" i="1"/>
  <c r="N118" i="1" s="1"/>
  <c r="O118" i="1" s="1"/>
  <c r="AC117" i="1"/>
  <c r="AD117" i="1" s="1"/>
  <c r="AA117" i="1"/>
  <c r="W117" i="1"/>
  <c r="X117" i="1" s="1"/>
  <c r="U117" i="1"/>
  <c r="R117" i="1"/>
  <c r="N117" i="1"/>
  <c r="L117" i="1"/>
  <c r="I117" i="1"/>
  <c r="H117" i="1"/>
  <c r="F117" i="1"/>
  <c r="C117" i="1"/>
  <c r="AD116" i="1"/>
  <c r="AC116" i="1"/>
  <c r="AA116" i="1"/>
  <c r="X116" i="1"/>
  <c r="W116" i="1"/>
  <c r="U116" i="1"/>
  <c r="R116" i="1"/>
  <c r="N116" i="1"/>
  <c r="O116" i="1" s="1"/>
  <c r="L116" i="1"/>
  <c r="H116" i="1"/>
  <c r="I116" i="1" s="1"/>
  <c r="F116" i="1"/>
  <c r="C116" i="1"/>
  <c r="AC115" i="1"/>
  <c r="AA115" i="1"/>
  <c r="X115" i="1"/>
  <c r="W115" i="1"/>
  <c r="U115" i="1"/>
  <c r="R115" i="1"/>
  <c r="N115" i="1"/>
  <c r="L115" i="1"/>
  <c r="I115" i="1"/>
  <c r="H115" i="1"/>
  <c r="F115" i="1"/>
  <c r="C115" i="1"/>
  <c r="AD114" i="1"/>
  <c r="AC114" i="1"/>
  <c r="AA114" i="1"/>
  <c r="W114" i="1"/>
  <c r="U114" i="1"/>
  <c r="R114" i="1"/>
  <c r="N114" i="1"/>
  <c r="O114" i="1" s="1"/>
  <c r="L114" i="1"/>
  <c r="I114" i="1"/>
  <c r="H114" i="1"/>
  <c r="F114" i="1"/>
  <c r="C114" i="1"/>
  <c r="AD113" i="1"/>
  <c r="AC113" i="1"/>
  <c r="AA113" i="1"/>
  <c r="W113" i="1"/>
  <c r="X113" i="1" s="1"/>
  <c r="U113" i="1"/>
  <c r="R113" i="1"/>
  <c r="N113" i="1"/>
  <c r="O113" i="1" s="1"/>
  <c r="L113" i="1"/>
  <c r="H113" i="1"/>
  <c r="I113" i="1" s="1"/>
  <c r="F113" i="1"/>
  <c r="C113" i="1"/>
  <c r="AD112" i="1"/>
  <c r="AC112" i="1"/>
  <c r="AA112" i="1"/>
  <c r="W112" i="1"/>
  <c r="X112" i="1" s="1"/>
  <c r="U112" i="1"/>
  <c r="R112" i="1"/>
  <c r="N112" i="1"/>
  <c r="L112" i="1"/>
  <c r="I112" i="1"/>
  <c r="H112" i="1"/>
  <c r="F112" i="1"/>
  <c r="C112" i="1"/>
  <c r="AD111" i="1"/>
  <c r="AC111" i="1"/>
  <c r="AA111" i="1"/>
  <c r="W111" i="1"/>
  <c r="X111" i="1" s="1"/>
  <c r="U111" i="1"/>
  <c r="R111" i="1"/>
  <c r="O111" i="1"/>
  <c r="N111" i="1"/>
  <c r="L111" i="1"/>
  <c r="H111" i="1"/>
  <c r="I111" i="1" s="1"/>
  <c r="F111" i="1"/>
  <c r="C111" i="1"/>
  <c r="AC110" i="1"/>
  <c r="AA110" i="1"/>
  <c r="W110" i="1"/>
  <c r="X110" i="1" s="1"/>
  <c r="U110" i="1"/>
  <c r="R110" i="1"/>
  <c r="O110" i="1"/>
  <c r="N110" i="1"/>
  <c r="L110" i="1"/>
  <c r="I110" i="1"/>
  <c r="H110" i="1"/>
  <c r="F110" i="1"/>
  <c r="C110" i="1"/>
  <c r="AC109" i="1"/>
  <c r="AD109" i="1" s="1"/>
  <c r="AA109" i="1"/>
  <c r="W109" i="1"/>
  <c r="X109" i="1" s="1"/>
  <c r="U109" i="1"/>
  <c r="R109" i="1"/>
  <c r="N109" i="1"/>
  <c r="O109" i="1" s="1"/>
  <c r="L109" i="1"/>
  <c r="I109" i="1"/>
  <c r="H109" i="1"/>
  <c r="F109" i="1"/>
  <c r="C109" i="1"/>
  <c r="AC108" i="1"/>
  <c r="AA108" i="1"/>
  <c r="W108" i="1"/>
  <c r="X108" i="1" s="1"/>
  <c r="U108" i="1"/>
  <c r="R108" i="1"/>
  <c r="N108" i="1"/>
  <c r="O108" i="1" s="1"/>
  <c r="L108" i="1"/>
  <c r="H108" i="1"/>
  <c r="I108" i="1" s="1"/>
  <c r="F108" i="1"/>
  <c r="C108" i="1"/>
  <c r="AC107" i="1"/>
  <c r="AA107" i="1"/>
  <c r="W107" i="1"/>
  <c r="U107" i="1"/>
  <c r="R107" i="1"/>
  <c r="O107" i="1"/>
  <c r="N107" i="1"/>
  <c r="L107" i="1"/>
  <c r="I107" i="1"/>
  <c r="H107" i="1"/>
  <c r="F107" i="1"/>
  <c r="C107" i="1"/>
  <c r="AD106" i="1"/>
  <c r="AC106" i="1"/>
  <c r="AA106" i="1"/>
  <c r="W106" i="1"/>
  <c r="X106" i="1" s="1"/>
  <c r="U106" i="1"/>
  <c r="R106" i="1"/>
  <c r="N106" i="1"/>
  <c r="O106" i="1" s="1"/>
  <c r="L106" i="1"/>
  <c r="I106" i="1"/>
  <c r="H106" i="1"/>
  <c r="F106" i="1"/>
  <c r="C106" i="1"/>
  <c r="AD105" i="1"/>
  <c r="AC105" i="1"/>
  <c r="AA105" i="1"/>
  <c r="W105" i="1"/>
  <c r="X105" i="1" s="1"/>
  <c r="U105" i="1"/>
  <c r="R105" i="1"/>
  <c r="N105" i="1"/>
  <c r="O105" i="1" s="1"/>
  <c r="L105" i="1"/>
  <c r="I105" i="1"/>
  <c r="H105" i="1"/>
  <c r="F105" i="1"/>
  <c r="C105" i="1"/>
  <c r="AC104" i="1"/>
  <c r="AD104" i="1" s="1"/>
  <c r="AA104" i="1"/>
  <c r="W104" i="1"/>
  <c r="U104" i="1"/>
  <c r="R104" i="1"/>
  <c r="N104" i="1"/>
  <c r="L104" i="1"/>
  <c r="H104" i="1"/>
  <c r="I104" i="1" s="1"/>
  <c r="F104" i="1"/>
  <c r="C104" i="1"/>
  <c r="AD103" i="1"/>
  <c r="AC103" i="1"/>
  <c r="AA103" i="1"/>
  <c r="X103" i="1"/>
  <c r="W103" i="1"/>
  <c r="U103" i="1"/>
  <c r="R103" i="1"/>
  <c r="N103" i="1"/>
  <c r="O103" i="1" s="1"/>
  <c r="L103" i="1"/>
  <c r="H103" i="1"/>
  <c r="I103" i="1" s="1"/>
  <c r="F103" i="1"/>
  <c r="C103" i="1"/>
  <c r="AC102" i="1"/>
  <c r="AD102" i="1" s="1"/>
  <c r="AA102" i="1"/>
  <c r="W102" i="1"/>
  <c r="U102" i="1"/>
  <c r="R102" i="1"/>
  <c r="O102" i="1"/>
  <c r="N102" i="1"/>
  <c r="L102" i="1"/>
  <c r="I102" i="1"/>
  <c r="H102" i="1"/>
  <c r="F102" i="1"/>
  <c r="C102" i="1"/>
  <c r="AC101" i="1"/>
  <c r="AD101" i="1" s="1"/>
  <c r="AA101" i="1"/>
  <c r="W101" i="1"/>
  <c r="X101" i="1" s="1"/>
  <c r="U101" i="1"/>
  <c r="R101" i="1"/>
  <c r="N101" i="1"/>
  <c r="L101" i="1"/>
  <c r="I101" i="1"/>
  <c r="H101" i="1"/>
  <c r="F101" i="1"/>
  <c r="C101" i="1"/>
  <c r="AD100" i="1"/>
  <c r="AC100" i="1"/>
  <c r="AA100" i="1"/>
  <c r="X100" i="1"/>
  <c r="W100" i="1"/>
  <c r="U100" i="1"/>
  <c r="R100" i="1"/>
  <c r="N100" i="1"/>
  <c r="O100" i="1" s="1"/>
  <c r="L100" i="1"/>
  <c r="H100" i="1"/>
  <c r="I100" i="1" s="1"/>
  <c r="F100" i="1"/>
  <c r="C100" i="1"/>
  <c r="AC99" i="1"/>
  <c r="AA99" i="1"/>
  <c r="X99" i="1"/>
  <c r="W99" i="1"/>
  <c r="U99" i="1"/>
  <c r="R99" i="1"/>
  <c r="N99" i="1"/>
  <c r="L99" i="1"/>
  <c r="I99" i="1"/>
  <c r="H99" i="1"/>
  <c r="F99" i="1"/>
  <c r="C99" i="1"/>
  <c r="AD98" i="1"/>
  <c r="AC98" i="1"/>
  <c r="AA98" i="1"/>
  <c r="W98" i="1"/>
  <c r="U98" i="1"/>
  <c r="R98" i="1"/>
  <c r="N98" i="1"/>
  <c r="O98" i="1" s="1"/>
  <c r="L98" i="1"/>
  <c r="I98" i="1"/>
  <c r="H98" i="1"/>
  <c r="F98" i="1"/>
  <c r="C98" i="1"/>
  <c r="AD97" i="1"/>
  <c r="AC97" i="1"/>
  <c r="AA97" i="1"/>
  <c r="W97" i="1"/>
  <c r="X97" i="1" s="1"/>
  <c r="U97" i="1"/>
  <c r="R97" i="1"/>
  <c r="N97" i="1"/>
  <c r="O97" i="1" s="1"/>
  <c r="L97" i="1"/>
  <c r="H97" i="1"/>
  <c r="I97" i="1" s="1"/>
  <c r="F97" i="1"/>
  <c r="C97" i="1"/>
  <c r="AD96" i="1"/>
  <c r="AC96" i="1"/>
  <c r="AA96" i="1"/>
  <c r="W96" i="1"/>
  <c r="X96" i="1" s="1"/>
  <c r="U96" i="1"/>
  <c r="R96" i="1"/>
  <c r="N96" i="1"/>
  <c r="L96" i="1"/>
  <c r="I96" i="1"/>
  <c r="H96" i="1"/>
  <c r="F96" i="1"/>
  <c r="C96" i="1"/>
  <c r="AD95" i="1"/>
  <c r="AC95" i="1"/>
  <c r="AA95" i="1"/>
  <c r="W95" i="1"/>
  <c r="X95" i="1" s="1"/>
  <c r="U95" i="1"/>
  <c r="R95" i="1"/>
  <c r="O95" i="1"/>
  <c r="N95" i="1"/>
  <c r="L95" i="1"/>
  <c r="H95" i="1"/>
  <c r="I95" i="1" s="1"/>
  <c r="F95" i="1"/>
  <c r="C95" i="1"/>
  <c r="AC94" i="1"/>
  <c r="AA94" i="1"/>
  <c r="W94" i="1"/>
  <c r="X94" i="1" s="1"/>
  <c r="U94" i="1"/>
  <c r="R94" i="1"/>
  <c r="O94" i="1"/>
  <c r="N94" i="1"/>
  <c r="L94" i="1"/>
  <c r="I94" i="1"/>
  <c r="H94" i="1"/>
  <c r="F94" i="1"/>
  <c r="C94" i="1"/>
  <c r="AC92" i="1"/>
  <c r="AD92" i="1" s="1"/>
  <c r="AA92" i="1"/>
  <c r="W92" i="1"/>
  <c r="X92" i="1" s="1"/>
  <c r="U92" i="1"/>
  <c r="R92" i="1"/>
  <c r="N92" i="1"/>
  <c r="O92" i="1" s="1"/>
  <c r="L92" i="1"/>
  <c r="I92" i="1"/>
  <c r="H92" i="1"/>
  <c r="F92" i="1"/>
  <c r="C92" i="1"/>
  <c r="AC91" i="1"/>
  <c r="AA91" i="1"/>
  <c r="W91" i="1"/>
  <c r="X91" i="1" s="1"/>
  <c r="U91" i="1"/>
  <c r="R91" i="1"/>
  <c r="N91" i="1"/>
  <c r="O91" i="1" s="1"/>
  <c r="L91" i="1"/>
  <c r="H91" i="1"/>
  <c r="I91" i="1" s="1"/>
  <c r="F91" i="1"/>
  <c r="C91" i="1"/>
  <c r="AC90" i="1"/>
  <c r="AA90" i="1"/>
  <c r="W90" i="1"/>
  <c r="U90" i="1"/>
  <c r="R90" i="1"/>
  <c r="O90" i="1"/>
  <c r="N90" i="1"/>
  <c r="L90" i="1"/>
  <c r="I90" i="1"/>
  <c r="H90" i="1"/>
  <c r="F90" i="1"/>
  <c r="C90" i="1"/>
  <c r="AD89" i="1"/>
  <c r="AC89" i="1"/>
  <c r="AA89" i="1"/>
  <c r="W89" i="1"/>
  <c r="X89" i="1" s="1"/>
  <c r="U89" i="1"/>
  <c r="R89" i="1"/>
  <c r="N89" i="1"/>
  <c r="O89" i="1" s="1"/>
  <c r="L89" i="1"/>
  <c r="I89" i="1"/>
  <c r="H89" i="1"/>
  <c r="F89" i="1"/>
  <c r="C89" i="1"/>
  <c r="Z88" i="1"/>
  <c r="AA88" i="1" s="1"/>
  <c r="T88" i="1"/>
  <c r="U88" i="1" s="1"/>
  <c r="R88" i="1"/>
  <c r="Q88" i="1"/>
  <c r="L88" i="1"/>
  <c r="K88" i="1"/>
  <c r="H88" i="1"/>
  <c r="I88" i="1" s="1"/>
  <c r="E88" i="1"/>
  <c r="F88" i="1" s="1"/>
  <c r="B88" i="1"/>
  <c r="C88" i="1" s="1"/>
  <c r="AD87" i="1"/>
  <c r="AC87" i="1"/>
  <c r="AA87" i="1"/>
  <c r="W87" i="1"/>
  <c r="X87" i="1" s="1"/>
  <c r="U87" i="1"/>
  <c r="R87" i="1"/>
  <c r="O87" i="1"/>
  <c r="N87" i="1"/>
  <c r="L87" i="1"/>
  <c r="H87" i="1"/>
  <c r="I87" i="1" s="1"/>
  <c r="F87" i="1"/>
  <c r="C87" i="1"/>
  <c r="AC86" i="1"/>
  <c r="AA86" i="1"/>
  <c r="W86" i="1"/>
  <c r="X86" i="1" s="1"/>
  <c r="U86" i="1"/>
  <c r="R86" i="1"/>
  <c r="O86" i="1"/>
  <c r="N86" i="1"/>
  <c r="L86" i="1"/>
  <c r="I86" i="1"/>
  <c r="H86" i="1"/>
  <c r="F86" i="1"/>
  <c r="C86" i="1"/>
  <c r="AC85" i="1"/>
  <c r="AD85" i="1" s="1"/>
  <c r="AA85" i="1"/>
  <c r="W85" i="1"/>
  <c r="X85" i="1" s="1"/>
  <c r="U85" i="1"/>
  <c r="R85" i="1"/>
  <c r="N85" i="1"/>
  <c r="O85" i="1" s="1"/>
  <c r="L85" i="1"/>
  <c r="I85" i="1"/>
  <c r="H85" i="1"/>
  <c r="F85" i="1"/>
  <c r="C85" i="1"/>
  <c r="AC84" i="1"/>
  <c r="AA84" i="1"/>
  <c r="X84" i="1"/>
  <c r="W84" i="1"/>
  <c r="U84" i="1"/>
  <c r="R84" i="1"/>
  <c r="N84" i="1"/>
  <c r="O84" i="1" s="1"/>
  <c r="L84" i="1"/>
  <c r="H84" i="1"/>
  <c r="I84" i="1" s="1"/>
  <c r="F84" i="1"/>
  <c r="C84" i="1"/>
  <c r="AC83" i="1"/>
  <c r="AA83" i="1"/>
  <c r="W83" i="1"/>
  <c r="U83" i="1"/>
  <c r="R83" i="1"/>
  <c r="O83" i="1"/>
  <c r="N83" i="1"/>
  <c r="L83" i="1"/>
  <c r="I83" i="1"/>
  <c r="H83" i="1"/>
  <c r="F83" i="1"/>
  <c r="C83" i="1"/>
  <c r="AD82" i="1"/>
  <c r="AC82" i="1"/>
  <c r="AA82" i="1"/>
  <c r="W82" i="1"/>
  <c r="X82" i="1" s="1"/>
  <c r="U82" i="1"/>
  <c r="R82" i="1"/>
  <c r="N82" i="1"/>
  <c r="O82" i="1" s="1"/>
  <c r="L82" i="1"/>
  <c r="I82" i="1"/>
  <c r="H82" i="1"/>
  <c r="F82" i="1"/>
  <c r="C82" i="1"/>
  <c r="AD81" i="1"/>
  <c r="AC81" i="1"/>
  <c r="AA81" i="1"/>
  <c r="W81" i="1"/>
  <c r="X81" i="1" s="1"/>
  <c r="U81" i="1"/>
  <c r="R81" i="1"/>
  <c r="N81" i="1"/>
  <c r="O81" i="1" s="1"/>
  <c r="L81" i="1"/>
  <c r="I81" i="1"/>
  <c r="H81" i="1"/>
  <c r="F81" i="1"/>
  <c r="C81" i="1"/>
  <c r="AC80" i="1"/>
  <c r="AD80" i="1" s="1"/>
  <c r="AA80" i="1"/>
  <c r="W80" i="1"/>
  <c r="U80" i="1"/>
  <c r="R80" i="1"/>
  <c r="N80" i="1"/>
  <c r="L80" i="1"/>
  <c r="H80" i="1"/>
  <c r="I80" i="1" s="1"/>
  <c r="F80" i="1"/>
  <c r="C80" i="1"/>
  <c r="AD79" i="1"/>
  <c r="AC79" i="1"/>
  <c r="AA79" i="1"/>
  <c r="X79" i="1"/>
  <c r="W79" i="1"/>
  <c r="U79" i="1"/>
  <c r="R79" i="1"/>
  <c r="N79" i="1"/>
  <c r="O79" i="1" s="1"/>
  <c r="L79" i="1"/>
  <c r="H79" i="1"/>
  <c r="I79" i="1" s="1"/>
  <c r="F79" i="1"/>
  <c r="C79" i="1"/>
  <c r="AC78" i="1"/>
  <c r="AD78" i="1" s="1"/>
  <c r="AA78" i="1"/>
  <c r="W78" i="1"/>
  <c r="U78" i="1"/>
  <c r="R78" i="1"/>
  <c r="O78" i="1"/>
  <c r="N78" i="1"/>
  <c r="L78" i="1"/>
  <c r="I78" i="1"/>
  <c r="H78" i="1"/>
  <c r="F78" i="1"/>
  <c r="C78" i="1"/>
  <c r="AC77" i="1"/>
  <c r="AD77" i="1" s="1"/>
  <c r="AA77" i="1"/>
  <c r="W77" i="1"/>
  <c r="X77" i="1" s="1"/>
  <c r="U77" i="1"/>
  <c r="R77" i="1"/>
  <c r="N77" i="1"/>
  <c r="L77" i="1"/>
  <c r="I77" i="1"/>
  <c r="H77" i="1"/>
  <c r="F77" i="1"/>
  <c r="C77" i="1"/>
  <c r="AD76" i="1"/>
  <c r="AC76" i="1"/>
  <c r="AA76" i="1"/>
  <c r="X76" i="1"/>
  <c r="W76" i="1"/>
  <c r="U76" i="1"/>
  <c r="R76" i="1"/>
  <c r="N76" i="1"/>
  <c r="O76" i="1" s="1"/>
  <c r="L76" i="1"/>
  <c r="H76" i="1"/>
  <c r="I76" i="1" s="1"/>
  <c r="F76" i="1"/>
  <c r="C76" i="1"/>
  <c r="AC75" i="1"/>
  <c r="AA75" i="1"/>
  <c r="X75" i="1"/>
  <c r="W75" i="1"/>
  <c r="U75" i="1"/>
  <c r="R75" i="1"/>
  <c r="N75" i="1"/>
  <c r="L75" i="1"/>
  <c r="I75" i="1"/>
  <c r="H75" i="1"/>
  <c r="F75" i="1"/>
  <c r="C75" i="1"/>
  <c r="AA73" i="1"/>
  <c r="Z73" i="1"/>
  <c r="X73" i="1"/>
  <c r="W73" i="1"/>
  <c r="T73" i="1"/>
  <c r="U73" i="1" s="1"/>
  <c r="Q73" i="1"/>
  <c r="R73" i="1" s="1"/>
  <c r="K73" i="1"/>
  <c r="L73" i="1" s="1"/>
  <c r="F73" i="1"/>
  <c r="E73" i="1"/>
  <c r="H73" i="1" s="1"/>
  <c r="I73" i="1" s="1"/>
  <c r="C73" i="1"/>
  <c r="B73" i="1"/>
  <c r="AD72" i="1"/>
  <c r="AC72" i="1"/>
  <c r="AA72" i="1"/>
  <c r="W72" i="1"/>
  <c r="U72" i="1"/>
  <c r="R72" i="1"/>
  <c r="N72" i="1"/>
  <c r="L72" i="1"/>
  <c r="I72" i="1"/>
  <c r="H72" i="1"/>
  <c r="F72" i="1"/>
  <c r="C72" i="1"/>
  <c r="AD71" i="1"/>
  <c r="AC71" i="1"/>
  <c r="AA71" i="1"/>
  <c r="W71" i="1"/>
  <c r="X71" i="1" s="1"/>
  <c r="U71" i="1"/>
  <c r="R71" i="1"/>
  <c r="N71" i="1"/>
  <c r="O71" i="1" s="1"/>
  <c r="L71" i="1"/>
  <c r="H71" i="1"/>
  <c r="I71" i="1" s="1"/>
  <c r="F71" i="1"/>
  <c r="C71" i="1"/>
  <c r="AC70" i="1"/>
  <c r="AA70" i="1"/>
  <c r="W70" i="1"/>
  <c r="U70" i="1"/>
  <c r="R70" i="1"/>
  <c r="O70" i="1"/>
  <c r="N70" i="1"/>
  <c r="L70" i="1"/>
  <c r="I70" i="1"/>
  <c r="H70" i="1"/>
  <c r="F70" i="1"/>
  <c r="C70" i="1"/>
  <c r="AD69" i="1"/>
  <c r="AC69" i="1"/>
  <c r="AA69" i="1"/>
  <c r="W69" i="1"/>
  <c r="X69" i="1" s="1"/>
  <c r="U69" i="1"/>
  <c r="R69" i="1"/>
  <c r="N69" i="1"/>
  <c r="L69" i="1"/>
  <c r="I69" i="1"/>
  <c r="H69" i="1"/>
  <c r="F69" i="1"/>
  <c r="C69" i="1"/>
  <c r="AC68" i="1"/>
  <c r="AA68" i="1"/>
  <c r="X68" i="1"/>
  <c r="W68" i="1"/>
  <c r="U68" i="1"/>
  <c r="R68" i="1"/>
  <c r="N68" i="1"/>
  <c r="O68" i="1" s="1"/>
  <c r="L68" i="1"/>
  <c r="H68" i="1"/>
  <c r="I68" i="1" s="1"/>
  <c r="F68" i="1"/>
  <c r="C68" i="1"/>
  <c r="AC67" i="1"/>
  <c r="AA67" i="1"/>
  <c r="X67" i="1"/>
  <c r="W67" i="1"/>
  <c r="U67" i="1"/>
  <c r="R67" i="1"/>
  <c r="N67" i="1"/>
  <c r="L67" i="1"/>
  <c r="H67" i="1"/>
  <c r="I67" i="1" s="1"/>
  <c r="F67" i="1"/>
  <c r="C67" i="1"/>
  <c r="AD66" i="1"/>
  <c r="AC66" i="1"/>
  <c r="AA66" i="1"/>
  <c r="W66" i="1"/>
  <c r="X66" i="1" s="1"/>
  <c r="U66" i="1"/>
  <c r="R66" i="1"/>
  <c r="N66" i="1"/>
  <c r="O66" i="1" s="1"/>
  <c r="L66" i="1"/>
  <c r="I66" i="1"/>
  <c r="H66" i="1"/>
  <c r="F66" i="1"/>
  <c r="C66" i="1"/>
  <c r="AD65" i="1"/>
  <c r="AC65" i="1"/>
  <c r="AA65" i="1"/>
  <c r="W65" i="1"/>
  <c r="X65" i="1" s="1"/>
  <c r="U65" i="1"/>
  <c r="R65" i="1"/>
  <c r="O65" i="1"/>
  <c r="N65" i="1"/>
  <c r="L65" i="1"/>
  <c r="I65" i="1"/>
  <c r="H65" i="1"/>
  <c r="F65" i="1"/>
  <c r="C65" i="1"/>
  <c r="AD64" i="1"/>
  <c r="AC64" i="1"/>
  <c r="AA64" i="1"/>
  <c r="W64" i="1"/>
  <c r="X64" i="1" s="1"/>
  <c r="U64" i="1"/>
  <c r="R64" i="1"/>
  <c r="N64" i="1"/>
  <c r="L64" i="1"/>
  <c r="I64" i="1"/>
  <c r="H64" i="1"/>
  <c r="F64" i="1"/>
  <c r="C64" i="1"/>
  <c r="AA62" i="1"/>
  <c r="Z62" i="1"/>
  <c r="W62" i="1"/>
  <c r="X62" i="1" s="1"/>
  <c r="U62" i="1"/>
  <c r="T62" i="1"/>
  <c r="R62" i="1"/>
  <c r="Q62" i="1"/>
  <c r="AC62" i="1" s="1"/>
  <c r="AD62" i="1" s="1"/>
  <c r="L62" i="1"/>
  <c r="K62" i="1"/>
  <c r="I62" i="1"/>
  <c r="H62" i="1"/>
  <c r="F62" i="1"/>
  <c r="E62" i="1"/>
  <c r="C62" i="1"/>
  <c r="B62" i="1"/>
  <c r="N62" i="1" s="1"/>
  <c r="O62" i="1" s="1"/>
  <c r="AA61" i="1"/>
  <c r="Z61" i="1"/>
  <c r="T61" i="1"/>
  <c r="U61" i="1" s="1"/>
  <c r="Q61" i="1"/>
  <c r="L61" i="1"/>
  <c r="K61" i="1"/>
  <c r="E61" i="1"/>
  <c r="F61" i="1" s="1"/>
  <c r="B61" i="1"/>
  <c r="N61" i="1" s="1"/>
  <c r="O61" i="1" s="1"/>
  <c r="AC60" i="1"/>
  <c r="AA60" i="1"/>
  <c r="X60" i="1"/>
  <c r="W60" i="1"/>
  <c r="U60" i="1"/>
  <c r="R60" i="1"/>
  <c r="N60" i="1"/>
  <c r="L60" i="1"/>
  <c r="I60" i="1"/>
  <c r="H60" i="1"/>
  <c r="F60" i="1"/>
  <c r="C60" i="1"/>
  <c r="AD59" i="1"/>
  <c r="AC59" i="1"/>
  <c r="AA59" i="1"/>
  <c r="W59" i="1"/>
  <c r="U59" i="1"/>
  <c r="R59" i="1"/>
  <c r="N59" i="1"/>
  <c r="O59" i="1" s="1"/>
  <c r="L59" i="1"/>
  <c r="I59" i="1"/>
  <c r="H59" i="1"/>
  <c r="F59" i="1"/>
  <c r="C59" i="1"/>
  <c r="AD58" i="1"/>
  <c r="AC58" i="1"/>
  <c r="AA58" i="1"/>
  <c r="W58" i="1"/>
  <c r="X58" i="1" s="1"/>
  <c r="U58" i="1"/>
  <c r="R58" i="1"/>
  <c r="N58" i="1"/>
  <c r="O58" i="1" s="1"/>
  <c r="L58" i="1"/>
  <c r="H58" i="1"/>
  <c r="I58" i="1" s="1"/>
  <c r="F58" i="1"/>
  <c r="C58" i="1"/>
  <c r="AD57" i="1"/>
  <c r="AC57" i="1"/>
  <c r="AA57" i="1"/>
  <c r="W57" i="1"/>
  <c r="X57" i="1" s="1"/>
  <c r="U57" i="1"/>
  <c r="R57" i="1"/>
  <c r="N57" i="1"/>
  <c r="L57" i="1"/>
  <c r="I57" i="1"/>
  <c r="H57" i="1"/>
  <c r="F57" i="1"/>
  <c r="C57" i="1"/>
  <c r="AD56" i="1"/>
  <c r="AC56" i="1"/>
  <c r="AA56" i="1"/>
  <c r="W56" i="1"/>
  <c r="X56" i="1" s="1"/>
  <c r="U56" i="1"/>
  <c r="R56" i="1"/>
  <c r="O56" i="1"/>
  <c r="N56" i="1"/>
  <c r="L56" i="1"/>
  <c r="H56" i="1"/>
  <c r="I56" i="1" s="1"/>
  <c r="F56" i="1"/>
  <c r="C56" i="1"/>
  <c r="AC55" i="1"/>
  <c r="AA55" i="1"/>
  <c r="W55" i="1"/>
  <c r="X55" i="1" s="1"/>
  <c r="U55" i="1"/>
  <c r="R55" i="1"/>
  <c r="O55" i="1"/>
  <c r="N55" i="1"/>
  <c r="L55" i="1"/>
  <c r="I55" i="1"/>
  <c r="H55" i="1"/>
  <c r="F55" i="1"/>
  <c r="C55" i="1"/>
  <c r="AC54" i="1"/>
  <c r="AD54" i="1" s="1"/>
  <c r="AA54" i="1"/>
  <c r="W54" i="1"/>
  <c r="X54" i="1" s="1"/>
  <c r="U54" i="1"/>
  <c r="R54" i="1"/>
  <c r="N54" i="1"/>
  <c r="O54" i="1" s="1"/>
  <c r="L54" i="1"/>
  <c r="I54" i="1"/>
  <c r="H54" i="1"/>
  <c r="F54" i="1"/>
  <c r="C54" i="1"/>
  <c r="AC53" i="1"/>
  <c r="AA53" i="1"/>
  <c r="W53" i="1"/>
  <c r="X53" i="1" s="1"/>
  <c r="U53" i="1"/>
  <c r="R53" i="1"/>
  <c r="N53" i="1"/>
  <c r="O53" i="1" s="1"/>
  <c r="L53" i="1"/>
  <c r="H53" i="1"/>
  <c r="I53" i="1" s="1"/>
  <c r="F53" i="1"/>
  <c r="C53" i="1"/>
  <c r="AC52" i="1"/>
  <c r="AA52" i="1"/>
  <c r="W52" i="1"/>
  <c r="U52" i="1"/>
  <c r="R52" i="1"/>
  <c r="O52" i="1"/>
  <c r="N52" i="1"/>
  <c r="L52" i="1"/>
  <c r="I52" i="1"/>
  <c r="H52" i="1"/>
  <c r="F52" i="1"/>
  <c r="C52" i="1"/>
  <c r="AD51" i="1"/>
  <c r="AC51" i="1"/>
  <c r="AA51" i="1"/>
  <c r="W51" i="1"/>
  <c r="X51" i="1" s="1"/>
  <c r="U51" i="1"/>
  <c r="R51" i="1"/>
  <c r="N51" i="1"/>
  <c r="O51" i="1" s="1"/>
  <c r="L51" i="1"/>
  <c r="I51" i="1"/>
  <c r="H51" i="1"/>
  <c r="F51" i="1"/>
  <c r="C51" i="1"/>
  <c r="AD50" i="1"/>
  <c r="AC50" i="1"/>
  <c r="AA50" i="1"/>
  <c r="W50" i="1"/>
  <c r="X50" i="1" s="1"/>
  <c r="U50" i="1"/>
  <c r="R50" i="1"/>
  <c r="N50" i="1"/>
  <c r="O50" i="1" s="1"/>
  <c r="L50" i="1"/>
  <c r="I50" i="1"/>
  <c r="H50" i="1"/>
  <c r="F50" i="1"/>
  <c r="C50" i="1"/>
  <c r="AC49" i="1"/>
  <c r="AD49" i="1" s="1"/>
  <c r="AA49" i="1"/>
  <c r="W49" i="1"/>
  <c r="U49" i="1"/>
  <c r="R49" i="1"/>
  <c r="N49" i="1"/>
  <c r="L49" i="1"/>
  <c r="H49" i="1"/>
  <c r="I49" i="1" s="1"/>
  <c r="F49" i="1"/>
  <c r="C49" i="1"/>
  <c r="AD48" i="1"/>
  <c r="AC48" i="1"/>
  <c r="AA48" i="1"/>
  <c r="X48" i="1"/>
  <c r="W48" i="1"/>
  <c r="U48" i="1"/>
  <c r="R48" i="1"/>
  <c r="N48" i="1"/>
  <c r="O48" i="1" s="1"/>
  <c r="L48" i="1"/>
  <c r="H48" i="1"/>
  <c r="I48" i="1" s="1"/>
  <c r="F48" i="1"/>
  <c r="C48" i="1"/>
  <c r="AC47" i="1"/>
  <c r="AD47" i="1" s="1"/>
  <c r="AA47" i="1"/>
  <c r="W47" i="1"/>
  <c r="U47" i="1"/>
  <c r="R47" i="1"/>
  <c r="O47" i="1"/>
  <c r="N47" i="1"/>
  <c r="L47" i="1"/>
  <c r="I47" i="1"/>
  <c r="H47" i="1"/>
  <c r="F47" i="1"/>
  <c r="C47" i="1"/>
  <c r="AC46" i="1"/>
  <c r="AD46" i="1" s="1"/>
  <c r="AA46" i="1"/>
  <c r="W46" i="1"/>
  <c r="X46" i="1" s="1"/>
  <c r="U46" i="1"/>
  <c r="R46" i="1"/>
  <c r="N46" i="1"/>
  <c r="L46" i="1"/>
  <c r="I46" i="1"/>
  <c r="H46" i="1"/>
  <c r="F46" i="1"/>
  <c r="C46" i="1"/>
  <c r="AD44" i="1"/>
  <c r="AC44" i="1"/>
  <c r="AA44" i="1"/>
  <c r="X44" i="1"/>
  <c r="W44" i="1"/>
  <c r="U44" i="1"/>
  <c r="R44" i="1"/>
  <c r="N44" i="1"/>
  <c r="O44" i="1" s="1"/>
  <c r="L44" i="1"/>
  <c r="H44" i="1"/>
  <c r="I44" i="1" s="1"/>
  <c r="F44" i="1"/>
  <c r="C44" i="1"/>
  <c r="AC43" i="1"/>
  <c r="AA43" i="1"/>
  <c r="X43" i="1"/>
  <c r="W43" i="1"/>
  <c r="U43" i="1"/>
  <c r="R43" i="1"/>
  <c r="N43" i="1"/>
  <c r="L43" i="1"/>
  <c r="I43" i="1"/>
  <c r="H43" i="1"/>
  <c r="F43" i="1"/>
  <c r="C43" i="1"/>
  <c r="AD42" i="1"/>
  <c r="AC42" i="1"/>
  <c r="AA42" i="1"/>
  <c r="W42" i="1"/>
  <c r="U42" i="1"/>
  <c r="R42" i="1"/>
  <c r="N42" i="1"/>
  <c r="O42" i="1" s="1"/>
  <c r="L42" i="1"/>
  <c r="I42" i="1"/>
  <c r="H42" i="1"/>
  <c r="F42" i="1"/>
  <c r="C42" i="1"/>
  <c r="AA40" i="1"/>
  <c r="Z40" i="1"/>
  <c r="T40" i="1"/>
  <c r="U40" i="1" s="1"/>
  <c r="Q40" i="1"/>
  <c r="L40" i="1"/>
  <c r="K40" i="1"/>
  <c r="H40" i="1"/>
  <c r="I40" i="1" s="1"/>
  <c r="E40" i="1"/>
  <c r="F40" i="1" s="1"/>
  <c r="B40" i="1"/>
  <c r="C40" i="1" s="1"/>
  <c r="AD39" i="1"/>
  <c r="AC39" i="1"/>
  <c r="AA39" i="1"/>
  <c r="X39" i="1"/>
  <c r="W39" i="1"/>
  <c r="U39" i="1"/>
  <c r="R39" i="1"/>
  <c r="N39" i="1"/>
  <c r="O39" i="1" s="1"/>
  <c r="L39" i="1"/>
  <c r="H39" i="1"/>
  <c r="I39" i="1" s="1"/>
  <c r="F39" i="1"/>
  <c r="C39" i="1"/>
  <c r="AC38" i="1"/>
  <c r="AD38" i="1" s="1"/>
  <c r="AA38" i="1"/>
  <c r="W38" i="1"/>
  <c r="U38" i="1"/>
  <c r="R38" i="1"/>
  <c r="O38" i="1"/>
  <c r="N38" i="1"/>
  <c r="L38" i="1"/>
  <c r="I38" i="1"/>
  <c r="H38" i="1"/>
  <c r="F38" i="1"/>
  <c r="C38" i="1"/>
  <c r="AC37" i="1"/>
  <c r="AD37" i="1" s="1"/>
  <c r="AA37" i="1"/>
  <c r="W37" i="1"/>
  <c r="X37" i="1" s="1"/>
  <c r="U37" i="1"/>
  <c r="R37" i="1"/>
  <c r="N37" i="1"/>
  <c r="L37" i="1"/>
  <c r="I37" i="1"/>
  <c r="H37" i="1"/>
  <c r="F37" i="1"/>
  <c r="C37" i="1"/>
  <c r="AD36" i="1"/>
  <c r="AC36" i="1"/>
  <c r="AA36" i="1"/>
  <c r="X36" i="1"/>
  <c r="W36" i="1"/>
  <c r="U36" i="1"/>
  <c r="R36" i="1"/>
  <c r="N36" i="1"/>
  <c r="O36" i="1" s="1"/>
  <c r="L36" i="1"/>
  <c r="H36" i="1"/>
  <c r="I36" i="1" s="1"/>
  <c r="F36" i="1"/>
  <c r="C36" i="1"/>
  <c r="AC35" i="1"/>
  <c r="AA35" i="1"/>
  <c r="X35" i="1"/>
  <c r="W35" i="1"/>
  <c r="U35" i="1"/>
  <c r="R35" i="1"/>
  <c r="N35" i="1"/>
  <c r="L35" i="1"/>
  <c r="I35" i="1"/>
  <c r="H35" i="1"/>
  <c r="F35" i="1"/>
  <c r="C35" i="1"/>
  <c r="AD34" i="1"/>
  <c r="AC34" i="1"/>
  <c r="AA34" i="1"/>
  <c r="W34" i="1"/>
  <c r="U34" i="1"/>
  <c r="R34" i="1"/>
  <c r="N34" i="1"/>
  <c r="O34" i="1" s="1"/>
  <c r="L34" i="1"/>
  <c r="I34" i="1"/>
  <c r="H34" i="1"/>
  <c r="F34" i="1"/>
  <c r="C34" i="1"/>
  <c r="AD33" i="1"/>
  <c r="AC33" i="1"/>
  <c r="AA33" i="1"/>
  <c r="X33" i="1"/>
  <c r="W33" i="1"/>
  <c r="U33" i="1"/>
  <c r="R33" i="1"/>
  <c r="N33" i="1"/>
  <c r="O33" i="1" s="1"/>
  <c r="L33" i="1"/>
  <c r="I33" i="1"/>
  <c r="H33" i="1"/>
  <c r="F33" i="1"/>
  <c r="C33" i="1"/>
  <c r="AD32" i="1"/>
  <c r="AC32" i="1"/>
  <c r="AA32" i="1"/>
  <c r="W32" i="1"/>
  <c r="X32" i="1" s="1"/>
  <c r="U32" i="1"/>
  <c r="R32" i="1"/>
  <c r="N32" i="1"/>
  <c r="L32" i="1"/>
  <c r="I32" i="1"/>
  <c r="H32" i="1"/>
  <c r="F32" i="1"/>
  <c r="C32" i="1"/>
  <c r="AD31" i="1"/>
  <c r="AC31" i="1"/>
  <c r="AA31" i="1"/>
  <c r="W31" i="1"/>
  <c r="X31" i="1" s="1"/>
  <c r="U31" i="1"/>
  <c r="R31" i="1"/>
  <c r="O31" i="1"/>
  <c r="N31" i="1"/>
  <c r="L31" i="1"/>
  <c r="H31" i="1"/>
  <c r="I31" i="1" s="1"/>
  <c r="F31" i="1"/>
  <c r="C31" i="1"/>
  <c r="AA29" i="1"/>
  <c r="Z29" i="1"/>
  <c r="W29" i="1"/>
  <c r="X29" i="1" s="1"/>
  <c r="T29" i="1"/>
  <c r="U29" i="1" s="1"/>
  <c r="Q29" i="1"/>
  <c r="R29" i="1" s="1"/>
  <c r="L29" i="1"/>
  <c r="K29" i="1"/>
  <c r="I29" i="1"/>
  <c r="H29" i="1"/>
  <c r="F29" i="1"/>
  <c r="E29" i="1"/>
  <c r="C29" i="1"/>
  <c r="B29" i="1"/>
  <c r="N29" i="1" s="1"/>
  <c r="O29" i="1" s="1"/>
  <c r="AC28" i="1"/>
  <c r="AA28" i="1"/>
  <c r="X28" i="1"/>
  <c r="W28" i="1"/>
  <c r="U28" i="1"/>
  <c r="R28" i="1"/>
  <c r="N28" i="1"/>
  <c r="O28" i="1" s="1"/>
  <c r="L28" i="1"/>
  <c r="H28" i="1"/>
  <c r="I28" i="1" s="1"/>
  <c r="F28" i="1"/>
  <c r="C28" i="1"/>
  <c r="AC27" i="1"/>
  <c r="AA27" i="1"/>
  <c r="W27" i="1"/>
  <c r="U27" i="1"/>
  <c r="R27" i="1"/>
  <c r="O27" i="1"/>
  <c r="N27" i="1"/>
  <c r="L27" i="1"/>
  <c r="I27" i="1"/>
  <c r="H27" i="1"/>
  <c r="F27" i="1"/>
  <c r="C27" i="1"/>
  <c r="AD26" i="1"/>
  <c r="AC26" i="1"/>
  <c r="AA26" i="1"/>
  <c r="W26" i="1"/>
  <c r="X26" i="1" s="1"/>
  <c r="U26" i="1"/>
  <c r="R26" i="1"/>
  <c r="N26" i="1"/>
  <c r="O26" i="1" s="1"/>
  <c r="L26" i="1"/>
  <c r="I26" i="1"/>
  <c r="H26" i="1"/>
  <c r="F26" i="1"/>
  <c r="C26" i="1"/>
  <c r="AD25" i="1"/>
  <c r="AC25" i="1"/>
  <c r="AA25" i="1"/>
  <c r="W25" i="1"/>
  <c r="X25" i="1" s="1"/>
  <c r="U25" i="1"/>
  <c r="R25" i="1"/>
  <c r="O25" i="1"/>
  <c r="N25" i="1"/>
  <c r="L25" i="1"/>
  <c r="I25" i="1"/>
  <c r="H25" i="1"/>
  <c r="F25" i="1"/>
  <c r="C25" i="1"/>
  <c r="AC24" i="1"/>
  <c r="AD24" i="1" s="1"/>
  <c r="AA24" i="1"/>
  <c r="W24" i="1"/>
  <c r="U24" i="1"/>
  <c r="R24" i="1"/>
  <c r="N24" i="1"/>
  <c r="L24" i="1"/>
  <c r="H24" i="1"/>
  <c r="I24" i="1" s="1"/>
  <c r="F24" i="1"/>
  <c r="C24" i="1"/>
  <c r="AD23" i="1"/>
  <c r="AC23" i="1"/>
  <c r="AA23" i="1"/>
  <c r="X23" i="1"/>
  <c r="W23" i="1"/>
  <c r="U23" i="1"/>
  <c r="R23" i="1"/>
  <c r="N23" i="1"/>
  <c r="O23" i="1" s="1"/>
  <c r="L23" i="1"/>
  <c r="H23" i="1"/>
  <c r="I23" i="1" s="1"/>
  <c r="F23" i="1"/>
  <c r="C23" i="1"/>
  <c r="AC22" i="1"/>
  <c r="AD22" i="1" s="1"/>
  <c r="AA22" i="1"/>
  <c r="W22" i="1"/>
  <c r="U22" i="1"/>
  <c r="R22" i="1"/>
  <c r="O22" i="1"/>
  <c r="N22" i="1"/>
  <c r="L22" i="1"/>
  <c r="I22" i="1"/>
  <c r="H22" i="1"/>
  <c r="F22" i="1"/>
  <c r="C22" i="1"/>
  <c r="AC21" i="1"/>
  <c r="AD21" i="1" s="1"/>
  <c r="AA21" i="1"/>
  <c r="W21" i="1"/>
  <c r="X21" i="1" s="1"/>
  <c r="U21" i="1"/>
  <c r="R21" i="1"/>
  <c r="N21" i="1"/>
  <c r="L21" i="1"/>
  <c r="I21" i="1"/>
  <c r="H21" i="1"/>
  <c r="F21" i="1"/>
  <c r="C21" i="1"/>
  <c r="AD19" i="1"/>
  <c r="AC19" i="1"/>
  <c r="AA19" i="1"/>
  <c r="X19" i="1"/>
  <c r="W19" i="1"/>
  <c r="U19" i="1"/>
  <c r="R19" i="1"/>
  <c r="N19" i="1"/>
  <c r="O19" i="1" s="1"/>
  <c r="L19" i="1"/>
  <c r="H19" i="1"/>
  <c r="I19" i="1" s="1"/>
  <c r="F19" i="1"/>
  <c r="C19" i="1"/>
  <c r="Z18" i="1"/>
  <c r="AA18" i="1" s="1"/>
  <c r="X18" i="1"/>
  <c r="T18" i="1"/>
  <c r="W18" i="1" s="1"/>
  <c r="R18" i="1"/>
  <c r="Q18" i="1"/>
  <c r="L18" i="1"/>
  <c r="K18" i="1"/>
  <c r="H18" i="1"/>
  <c r="I18" i="1" s="1"/>
  <c r="F18" i="1"/>
  <c r="E18" i="1"/>
  <c r="C18" i="1"/>
  <c r="B18" i="1"/>
  <c r="N18" i="1" s="1"/>
  <c r="O18" i="1" s="1"/>
  <c r="AD17" i="1"/>
  <c r="AC17" i="1"/>
  <c r="AA17" i="1"/>
  <c r="X17" i="1"/>
  <c r="W17" i="1"/>
  <c r="U17" i="1"/>
  <c r="R17" i="1"/>
  <c r="N17" i="1"/>
  <c r="O17" i="1" s="1"/>
  <c r="L17" i="1"/>
  <c r="H17" i="1"/>
  <c r="I17" i="1" s="1"/>
  <c r="F17" i="1"/>
  <c r="C17" i="1"/>
  <c r="AD16" i="1"/>
  <c r="AC16" i="1"/>
  <c r="AA16" i="1"/>
  <c r="W16" i="1"/>
  <c r="X16" i="1" s="1"/>
  <c r="U16" i="1"/>
  <c r="R16" i="1"/>
  <c r="N16" i="1"/>
  <c r="L16" i="1"/>
  <c r="I16" i="1"/>
  <c r="H16" i="1"/>
  <c r="F16" i="1"/>
  <c r="C16" i="1"/>
  <c r="AD15" i="1"/>
  <c r="AC15" i="1"/>
  <c r="AA15" i="1"/>
  <c r="W15" i="1"/>
  <c r="X15" i="1" s="1"/>
  <c r="U15" i="1"/>
  <c r="R15" i="1"/>
  <c r="O15" i="1"/>
  <c r="N15" i="1"/>
  <c r="L15" i="1"/>
  <c r="H15" i="1"/>
  <c r="I15" i="1" s="1"/>
  <c r="F15" i="1"/>
  <c r="C15" i="1"/>
  <c r="AC14" i="1"/>
  <c r="AA14" i="1"/>
  <c r="W14" i="1"/>
  <c r="X14" i="1" s="1"/>
  <c r="U14" i="1"/>
  <c r="R14" i="1"/>
  <c r="O14" i="1"/>
  <c r="N14" i="1"/>
  <c r="L14" i="1"/>
  <c r="I14" i="1"/>
  <c r="H14" i="1"/>
  <c r="F14" i="1"/>
  <c r="C14" i="1"/>
  <c r="AC13" i="1"/>
  <c r="AD13" i="1" s="1"/>
  <c r="AA13" i="1"/>
  <c r="W13" i="1"/>
  <c r="X13" i="1" s="1"/>
  <c r="U13" i="1"/>
  <c r="R13" i="1"/>
  <c r="N13" i="1"/>
  <c r="O13" i="1" s="1"/>
  <c r="L13" i="1"/>
  <c r="I13" i="1"/>
  <c r="H13" i="1"/>
  <c r="F13" i="1"/>
  <c r="C13" i="1"/>
  <c r="AC12" i="1"/>
  <c r="AA12" i="1"/>
  <c r="W12" i="1"/>
  <c r="X12" i="1" s="1"/>
  <c r="U12" i="1"/>
  <c r="R12" i="1"/>
  <c r="N12" i="1"/>
  <c r="O12" i="1" s="1"/>
  <c r="L12" i="1"/>
  <c r="H12" i="1"/>
  <c r="I12" i="1" s="1"/>
  <c r="F12" i="1"/>
  <c r="C12" i="1"/>
  <c r="AC11" i="1"/>
  <c r="AA11" i="1"/>
  <c r="W11" i="1"/>
  <c r="U11" i="1"/>
  <c r="R11" i="1"/>
  <c r="O11" i="1"/>
  <c r="N11" i="1"/>
  <c r="L11" i="1"/>
  <c r="I11" i="1"/>
  <c r="H11" i="1"/>
  <c r="F11" i="1"/>
  <c r="C11" i="1"/>
  <c r="AD10" i="1"/>
  <c r="AC10" i="1"/>
  <c r="AA10" i="1"/>
  <c r="W10" i="1"/>
  <c r="X10" i="1" s="1"/>
  <c r="U10" i="1"/>
  <c r="R10" i="1"/>
  <c r="N10" i="1"/>
  <c r="O10" i="1" s="1"/>
  <c r="L10" i="1"/>
  <c r="I10" i="1"/>
  <c r="H10" i="1"/>
  <c r="F10" i="1"/>
  <c r="C10" i="1"/>
  <c r="AD8" i="1"/>
  <c r="AC8" i="1"/>
  <c r="AA8" i="1"/>
  <c r="W8" i="1"/>
  <c r="X8" i="1" s="1"/>
  <c r="U8" i="1"/>
  <c r="R8" i="1"/>
  <c r="N8" i="1"/>
  <c r="O8" i="1" s="1"/>
  <c r="L8" i="1"/>
  <c r="I8" i="1"/>
  <c r="H8" i="1"/>
  <c r="F8" i="1"/>
  <c r="C8" i="1"/>
  <c r="L172" i="1" l="1"/>
  <c r="K198" i="1"/>
  <c r="W40" i="1"/>
  <c r="X40" i="1" s="1"/>
  <c r="AC40" i="1"/>
  <c r="AD40" i="1" s="1"/>
  <c r="X11" i="1"/>
  <c r="O21" i="1"/>
  <c r="X22" i="1"/>
  <c r="X24" i="1"/>
  <c r="X27" i="1"/>
  <c r="O35" i="1"/>
  <c r="O37" i="1"/>
  <c r="X38" i="1"/>
  <c r="R40" i="1"/>
  <c r="O43" i="1"/>
  <c r="O46" i="1"/>
  <c r="X47" i="1"/>
  <c r="X49" i="1"/>
  <c r="X52" i="1"/>
  <c r="O60" i="1"/>
  <c r="C61" i="1"/>
  <c r="W61" i="1"/>
  <c r="X61" i="1" s="1"/>
  <c r="R61" i="1"/>
  <c r="AD68" i="1"/>
  <c r="AD70" i="1"/>
  <c r="AC73" i="1"/>
  <c r="AD73" i="1" s="1"/>
  <c r="O75" i="1"/>
  <c r="O77" i="1"/>
  <c r="X78" i="1"/>
  <c r="X80" i="1"/>
  <c r="X83" i="1"/>
  <c r="X90" i="1"/>
  <c r="O99" i="1"/>
  <c r="O101" i="1"/>
  <c r="X102" i="1"/>
  <c r="X104" i="1"/>
  <c r="X107" i="1"/>
  <c r="O115" i="1"/>
  <c r="O117" i="1"/>
  <c r="X119" i="1"/>
  <c r="AD135" i="1"/>
  <c r="O138" i="1"/>
  <c r="O140" i="1"/>
  <c r="AD156" i="1"/>
  <c r="AD161" i="1"/>
  <c r="X168" i="1"/>
  <c r="H170" i="1"/>
  <c r="I170" i="1" s="1"/>
  <c r="C170" i="1"/>
  <c r="AC170" i="1"/>
  <c r="AD170" i="1" s="1"/>
  <c r="N172" i="1"/>
  <c r="O172" i="1" s="1"/>
  <c r="AD178" i="1"/>
  <c r="O181" i="1"/>
  <c r="X190" i="1"/>
  <c r="AD191" i="1"/>
  <c r="U193" i="1"/>
  <c r="AD194" i="1"/>
  <c r="W196" i="1"/>
  <c r="X196" i="1" s="1"/>
  <c r="AD204" i="1"/>
  <c r="O207" i="1"/>
  <c r="H209" i="1"/>
  <c r="I209" i="1" s="1"/>
  <c r="C218" i="1"/>
  <c r="O223" i="1"/>
  <c r="W236" i="1"/>
  <c r="X236" i="1" s="1"/>
  <c r="O242" i="1"/>
  <c r="X245" i="1"/>
  <c r="X252" i="1"/>
  <c r="O258" i="1"/>
  <c r="X261" i="1"/>
  <c r="N263" i="1"/>
  <c r="O263" i="1" s="1"/>
  <c r="X276" i="1"/>
  <c r="X283" i="1"/>
  <c r="O293" i="1"/>
  <c r="AD298" i="1"/>
  <c r="O306" i="1"/>
  <c r="AD309" i="1"/>
  <c r="AD314" i="1"/>
  <c r="O322" i="1"/>
  <c r="N325" i="1"/>
  <c r="O325" i="1" s="1"/>
  <c r="X331" i="1"/>
  <c r="O338" i="1"/>
  <c r="X341" i="1"/>
  <c r="N343" i="1"/>
  <c r="O343" i="1" s="1"/>
  <c r="C344" i="1"/>
  <c r="O352" i="1"/>
  <c r="X372" i="1"/>
  <c r="X374" i="1"/>
  <c r="X392" i="1"/>
  <c r="AD399" i="1"/>
  <c r="AD403" i="1"/>
  <c r="O407" i="1"/>
  <c r="X410" i="1"/>
  <c r="X417" i="1"/>
  <c r="O423" i="1"/>
  <c r="X426" i="1"/>
  <c r="C441" i="1"/>
  <c r="R124" i="2"/>
  <c r="Q172" i="2"/>
  <c r="AC124" i="2"/>
  <c r="AD124" i="2" s="1"/>
  <c r="W124" i="2"/>
  <c r="X124" i="2" s="1"/>
  <c r="W170" i="2"/>
  <c r="X170" i="2" s="1"/>
  <c r="R170" i="2"/>
  <c r="C193" i="2"/>
  <c r="N193" i="2"/>
  <c r="O193" i="2" s="1"/>
  <c r="H193" i="2"/>
  <c r="I193" i="2" s="1"/>
  <c r="N196" i="2"/>
  <c r="O196" i="2" s="1"/>
  <c r="H196" i="2"/>
  <c r="I196" i="2" s="1"/>
  <c r="N342" i="2"/>
  <c r="O342" i="2" s="1"/>
  <c r="H342" i="2"/>
  <c r="I342" i="2" s="1"/>
  <c r="AC403" i="2"/>
  <c r="AD403" i="2" s="1"/>
  <c r="AA403" i="2"/>
  <c r="W73" i="3"/>
  <c r="X73" i="3" s="1"/>
  <c r="U73" i="3"/>
  <c r="W148" i="3"/>
  <c r="X148" i="3" s="1"/>
  <c r="AC148" i="3"/>
  <c r="AD148" i="3" s="1"/>
  <c r="R148" i="3"/>
  <c r="W148" i="1"/>
  <c r="X148" i="1" s="1"/>
  <c r="R148" i="1"/>
  <c r="AC263" i="1"/>
  <c r="AD263" i="1" s="1"/>
  <c r="N295" i="1"/>
  <c r="O295" i="1" s="1"/>
  <c r="AC343" i="1"/>
  <c r="AD343" i="1" s="1"/>
  <c r="Z345" i="1"/>
  <c r="W368" i="1"/>
  <c r="X368" i="1" s="1"/>
  <c r="AC368" i="1"/>
  <c r="AD368" i="1" s="1"/>
  <c r="AC393" i="1"/>
  <c r="AD393" i="1" s="1"/>
  <c r="H396" i="1"/>
  <c r="I396" i="1" s="1"/>
  <c r="H428" i="1"/>
  <c r="I428" i="1" s="1"/>
  <c r="F428" i="1"/>
  <c r="W428" i="1"/>
  <c r="X428" i="1" s="1"/>
  <c r="O432" i="1"/>
  <c r="O416" i="1"/>
  <c r="O413" i="1"/>
  <c r="O401" i="1"/>
  <c r="O390" i="1"/>
  <c r="O386" i="1"/>
  <c r="O372" i="1"/>
  <c r="O369" i="1"/>
  <c r="O357" i="1"/>
  <c r="O354" i="1"/>
  <c r="O330" i="1"/>
  <c r="O314" i="1"/>
  <c r="O311" i="1"/>
  <c r="O298" i="1"/>
  <c r="O282" i="1"/>
  <c r="O279" i="1"/>
  <c r="O266" i="1"/>
  <c r="O251" i="1"/>
  <c r="O248" i="1"/>
  <c r="O234" i="1"/>
  <c r="O231" i="1"/>
  <c r="O216" i="1"/>
  <c r="O202" i="1"/>
  <c r="O192" i="1"/>
  <c r="O189" i="1"/>
  <c r="O175" i="1"/>
  <c r="U29" i="2"/>
  <c r="W29" i="2"/>
  <c r="X29" i="2" s="1"/>
  <c r="F172" i="2"/>
  <c r="E198" i="2"/>
  <c r="H198" i="2" s="1"/>
  <c r="I198" i="2" s="1"/>
  <c r="AC182" i="2"/>
  <c r="AD182" i="2" s="1"/>
  <c r="W182" i="2"/>
  <c r="X182" i="2" s="1"/>
  <c r="R182" i="2"/>
  <c r="H61" i="1"/>
  <c r="I61" i="1" s="1"/>
  <c r="N88" i="1"/>
  <c r="O88" i="1" s="1"/>
  <c r="L124" i="1"/>
  <c r="N166" i="1"/>
  <c r="O166" i="1" s="1"/>
  <c r="E198" i="1"/>
  <c r="F172" i="1"/>
  <c r="N284" i="1"/>
  <c r="O284" i="1" s="1"/>
  <c r="AC284" i="1"/>
  <c r="AD284" i="1" s="1"/>
  <c r="H324" i="1"/>
  <c r="I324" i="1" s="1"/>
  <c r="N324" i="1"/>
  <c r="O324" i="1" s="1"/>
  <c r="H325" i="1"/>
  <c r="I325" i="1" s="1"/>
  <c r="F325" i="1"/>
  <c r="R368" i="1"/>
  <c r="X440" i="1"/>
  <c r="X427" i="1"/>
  <c r="X424" i="1"/>
  <c r="X411" i="1"/>
  <c r="X408" i="1"/>
  <c r="X399" i="1"/>
  <c r="X383" i="1"/>
  <c r="X380" i="1"/>
  <c r="X365" i="1"/>
  <c r="X352" i="1"/>
  <c r="X349" i="1"/>
  <c r="X339" i="1"/>
  <c r="X322" i="1"/>
  <c r="X309" i="1"/>
  <c r="X306" i="1"/>
  <c r="X293" i="1"/>
  <c r="X290" i="1"/>
  <c r="X277" i="1"/>
  <c r="X259" i="1"/>
  <c r="X246" i="1"/>
  <c r="X243" i="1"/>
  <c r="X229" i="1"/>
  <c r="X226" i="1"/>
  <c r="X214" i="1"/>
  <c r="X187" i="1"/>
  <c r="X183" i="1"/>
  <c r="X170" i="1"/>
  <c r="R61" i="2"/>
  <c r="W61" i="2"/>
  <c r="X61" i="2" s="1"/>
  <c r="AC61" i="2"/>
  <c r="AD61" i="2" s="1"/>
  <c r="N62" i="2"/>
  <c r="O62" i="2" s="1"/>
  <c r="H73" i="2"/>
  <c r="I73" i="2" s="1"/>
  <c r="C73" i="2"/>
  <c r="H236" i="2"/>
  <c r="I236" i="2" s="1"/>
  <c r="N236" i="2"/>
  <c r="O236" i="2" s="1"/>
  <c r="AC262" i="2"/>
  <c r="AD262" i="2" s="1"/>
  <c r="U18" i="1"/>
  <c r="W88" i="1"/>
  <c r="X88" i="1" s="1"/>
  <c r="AC88" i="1"/>
  <c r="AD88" i="1" s="1"/>
  <c r="N124" i="1"/>
  <c r="O124" i="1" s="1"/>
  <c r="H148" i="1"/>
  <c r="I148" i="1" s="1"/>
  <c r="H218" i="1"/>
  <c r="I218" i="1" s="1"/>
  <c r="N227" i="1"/>
  <c r="O227" i="1" s="1"/>
  <c r="N236" i="1"/>
  <c r="O236" i="1" s="1"/>
  <c r="AC236" i="1"/>
  <c r="AD236" i="1" s="1"/>
  <c r="W262" i="1"/>
  <c r="X262" i="1" s="1"/>
  <c r="AC262" i="1"/>
  <c r="AD262" i="1" s="1"/>
  <c r="W263" i="1"/>
  <c r="X263" i="1" s="1"/>
  <c r="U263" i="1"/>
  <c r="C324" i="1"/>
  <c r="W342" i="1"/>
  <c r="X342" i="1" s="1"/>
  <c r="AC342" i="1"/>
  <c r="AD342" i="1" s="1"/>
  <c r="W343" i="1"/>
  <c r="X343" i="1" s="1"/>
  <c r="U343" i="1"/>
  <c r="H344" i="1"/>
  <c r="I344" i="1" s="1"/>
  <c r="AD438" i="1"/>
  <c r="AD425" i="1"/>
  <c r="AD422" i="1"/>
  <c r="AD409" i="1"/>
  <c r="AD397" i="1"/>
  <c r="AD395" i="1"/>
  <c r="AD381" i="1"/>
  <c r="AD378" i="1"/>
  <c r="AD366" i="1"/>
  <c r="AD363" i="1"/>
  <c r="AD350" i="1"/>
  <c r="AD340" i="1"/>
  <c r="AD337" i="1"/>
  <c r="AD323" i="1"/>
  <c r="AD320" i="1"/>
  <c r="AD307" i="1"/>
  <c r="AD304" i="1"/>
  <c r="AD291" i="1"/>
  <c r="AD288" i="1"/>
  <c r="AD275" i="1"/>
  <c r="AD272" i="1"/>
  <c r="AD260" i="1"/>
  <c r="AD257" i="1"/>
  <c r="AD244" i="1"/>
  <c r="AD241" i="1"/>
  <c r="AD224" i="1"/>
  <c r="AD211" i="1"/>
  <c r="AD208" i="1"/>
  <c r="AD184" i="1"/>
  <c r="AD155" i="1"/>
  <c r="AD139" i="1"/>
  <c r="AD107" i="1"/>
  <c r="AD90" i="1"/>
  <c r="AD75" i="1"/>
  <c r="AD60" i="1"/>
  <c r="AD43" i="1"/>
  <c r="AD27" i="1"/>
  <c r="AD11" i="1"/>
  <c r="AD163" i="1"/>
  <c r="AD147" i="1"/>
  <c r="AD131" i="1"/>
  <c r="AD115" i="1"/>
  <c r="AD99" i="1"/>
  <c r="AD83" i="1"/>
  <c r="AD67" i="1"/>
  <c r="AD52" i="1"/>
  <c r="AD35" i="1"/>
  <c r="W62" i="2"/>
  <c r="X62" i="2" s="1"/>
  <c r="AC62" i="2"/>
  <c r="AD62" i="2" s="1"/>
  <c r="U73" i="2"/>
  <c r="W73" i="2"/>
  <c r="X73" i="2" s="1"/>
  <c r="C198" i="2"/>
  <c r="B345" i="2"/>
  <c r="N198" i="2"/>
  <c r="O198" i="2" s="1"/>
  <c r="H148" i="2"/>
  <c r="I148" i="2" s="1"/>
  <c r="F148" i="2"/>
  <c r="C236" i="2"/>
  <c r="C273" i="2"/>
  <c r="N273" i="2"/>
  <c r="O273" i="2" s="1"/>
  <c r="H273" i="2"/>
  <c r="I273" i="2" s="1"/>
  <c r="R295" i="2"/>
  <c r="W295" i="2"/>
  <c r="X295" i="2" s="1"/>
  <c r="AC295" i="2"/>
  <c r="AD295" i="2" s="1"/>
  <c r="B345" i="1"/>
  <c r="H198" i="1"/>
  <c r="I198" i="1" s="1"/>
  <c r="N198" i="1"/>
  <c r="O198" i="1" s="1"/>
  <c r="W295" i="1"/>
  <c r="X295" i="1" s="1"/>
  <c r="U295" i="1"/>
  <c r="R40" i="2"/>
  <c r="AC40" i="2"/>
  <c r="AD40" i="2" s="1"/>
  <c r="R171" i="2"/>
  <c r="W171" i="2"/>
  <c r="X171" i="2" s="1"/>
  <c r="AC171" i="2"/>
  <c r="AD171" i="2" s="1"/>
  <c r="N396" i="1"/>
  <c r="O396" i="1" s="1"/>
  <c r="AC428" i="1"/>
  <c r="AD428" i="1" s="1"/>
  <c r="N441" i="1"/>
  <c r="O441" i="1" s="1"/>
  <c r="W193" i="2"/>
  <c r="X193" i="2" s="1"/>
  <c r="U193" i="2"/>
  <c r="K345" i="2"/>
  <c r="L198" i="2"/>
  <c r="AC325" i="2"/>
  <c r="AD325" i="2" s="1"/>
  <c r="W325" i="2"/>
  <c r="X325" i="2" s="1"/>
  <c r="W88" i="3"/>
  <c r="X88" i="3" s="1"/>
  <c r="U88" i="3"/>
  <c r="AD12" i="1"/>
  <c r="AD14" i="1"/>
  <c r="AD28" i="1"/>
  <c r="AC29" i="1"/>
  <c r="AD29" i="1" s="1"/>
  <c r="X34" i="1"/>
  <c r="N40" i="1"/>
  <c r="O40" i="1" s="1"/>
  <c r="X42" i="1"/>
  <c r="AD53" i="1"/>
  <c r="AD55" i="1"/>
  <c r="X59" i="1"/>
  <c r="AC61" i="1"/>
  <c r="AD61" i="1" s="1"/>
  <c r="O67" i="1"/>
  <c r="O69" i="1"/>
  <c r="X70" i="1"/>
  <c r="X72" i="1"/>
  <c r="AD84" i="1"/>
  <c r="AD86" i="1"/>
  <c r="AD91" i="1"/>
  <c r="AD94" i="1"/>
  <c r="X98" i="1"/>
  <c r="AD108" i="1"/>
  <c r="AD110" i="1"/>
  <c r="X114" i="1"/>
  <c r="H122" i="1"/>
  <c r="I122" i="1" s="1"/>
  <c r="C122" i="1"/>
  <c r="AC122" i="1"/>
  <c r="AD122" i="1" s="1"/>
  <c r="AD129" i="1"/>
  <c r="AD145" i="1"/>
  <c r="O155" i="1"/>
  <c r="O157" i="1"/>
  <c r="O162" i="1"/>
  <c r="O164" i="1"/>
  <c r="X165" i="1"/>
  <c r="N170" i="1"/>
  <c r="O170" i="1" s="1"/>
  <c r="Q172" i="1"/>
  <c r="X186" i="1"/>
  <c r="X194" i="1"/>
  <c r="X211" i="1"/>
  <c r="O213" i="1"/>
  <c r="AD217" i="1"/>
  <c r="C227" i="1"/>
  <c r="AD232" i="1"/>
  <c r="C236" i="1"/>
  <c r="O243" i="1"/>
  <c r="AD246" i="1"/>
  <c r="AD251" i="1"/>
  <c r="O259" i="1"/>
  <c r="AD277" i="1"/>
  <c r="AD282" i="1"/>
  <c r="O287" i="1"/>
  <c r="H295" i="1"/>
  <c r="I295" i="1" s="1"/>
  <c r="X298" i="1"/>
  <c r="X300" i="1"/>
  <c r="O304" i="1"/>
  <c r="X314" i="1"/>
  <c r="X316" i="1"/>
  <c r="O320" i="1"/>
  <c r="AD330" i="1"/>
  <c r="O339" i="1"/>
  <c r="N358" i="1"/>
  <c r="O358" i="1" s="1"/>
  <c r="O364" i="1"/>
  <c r="X367" i="1"/>
  <c r="X370" i="1"/>
  <c r="AD371" i="1"/>
  <c r="X388" i="1"/>
  <c r="AD389" i="1"/>
  <c r="O395" i="1"/>
  <c r="O408" i="1"/>
  <c r="AD411" i="1"/>
  <c r="AD416" i="1"/>
  <c r="O424" i="1"/>
  <c r="AD427" i="1"/>
  <c r="AC429" i="1"/>
  <c r="AD429" i="1" s="1"/>
  <c r="AD433" i="1"/>
  <c r="AD435" i="1"/>
  <c r="AD440" i="1"/>
  <c r="W442" i="1"/>
  <c r="X442" i="1" s="1"/>
  <c r="AC442" i="1"/>
  <c r="AD442" i="1" s="1"/>
  <c r="N40" i="2"/>
  <c r="O40" i="2" s="1"/>
  <c r="W40" i="2"/>
  <c r="X40" i="2" s="1"/>
  <c r="R158" i="2"/>
  <c r="AC158" i="2"/>
  <c r="AD158" i="2" s="1"/>
  <c r="W158" i="2"/>
  <c r="X158" i="2" s="1"/>
  <c r="W209" i="2"/>
  <c r="X209" i="2" s="1"/>
  <c r="R325" i="2"/>
  <c r="R267" i="3"/>
  <c r="W267" i="3"/>
  <c r="X267" i="3" s="1"/>
  <c r="F403" i="3"/>
  <c r="H403" i="3"/>
  <c r="I403" i="3" s="1"/>
  <c r="W429" i="3"/>
  <c r="X429" i="3" s="1"/>
  <c r="R429" i="3"/>
  <c r="AC429" i="3"/>
  <c r="AD429" i="3" s="1"/>
  <c r="H236" i="4"/>
  <c r="I236" i="4" s="1"/>
  <c r="F236" i="4"/>
  <c r="W170" i="6"/>
  <c r="X170" i="6" s="1"/>
  <c r="R170" i="6"/>
  <c r="AC170" i="6"/>
  <c r="AD170" i="6" s="1"/>
  <c r="H73" i="5"/>
  <c r="I73" i="5" s="1"/>
  <c r="F73" i="5"/>
  <c r="O16" i="1"/>
  <c r="AC18" i="1"/>
  <c r="AD18" i="1" s="1"/>
  <c r="O32" i="1"/>
  <c r="O49" i="1"/>
  <c r="O64" i="1"/>
  <c r="O80" i="1"/>
  <c r="O96" i="1"/>
  <c r="O112" i="1"/>
  <c r="H118" i="1"/>
  <c r="I118" i="1" s="1"/>
  <c r="O127" i="1"/>
  <c r="O144" i="1"/>
  <c r="H149" i="1"/>
  <c r="I149" i="1" s="1"/>
  <c r="O160" i="1"/>
  <c r="H166" i="1"/>
  <c r="I166" i="1" s="1"/>
  <c r="H182" i="1"/>
  <c r="I182" i="1" s="1"/>
  <c r="X189" i="1"/>
  <c r="W197" i="1"/>
  <c r="X197" i="1" s="1"/>
  <c r="W209" i="1"/>
  <c r="X209" i="1" s="1"/>
  <c r="X216" i="1"/>
  <c r="X231" i="1"/>
  <c r="X248" i="1"/>
  <c r="H262" i="1"/>
  <c r="I262" i="1" s="1"/>
  <c r="W273" i="1"/>
  <c r="X273" i="1" s="1"/>
  <c r="X279" i="1"/>
  <c r="X311" i="1"/>
  <c r="H342" i="1"/>
  <c r="I342" i="1" s="1"/>
  <c r="X354" i="1"/>
  <c r="H368" i="1"/>
  <c r="I368" i="1" s="1"/>
  <c r="X369" i="1"/>
  <c r="X386" i="1"/>
  <c r="W396" i="1"/>
  <c r="X396" i="1" s="1"/>
  <c r="X401" i="1"/>
  <c r="X413" i="1"/>
  <c r="H442" i="1"/>
  <c r="I442" i="1" s="1"/>
  <c r="AC73" i="2"/>
  <c r="AD73" i="2" s="1"/>
  <c r="AC88" i="2"/>
  <c r="AD88" i="2" s="1"/>
  <c r="H124" i="2"/>
  <c r="I124" i="2" s="1"/>
  <c r="R141" i="2"/>
  <c r="W141" i="2"/>
  <c r="X141" i="2" s="1"/>
  <c r="N149" i="2"/>
  <c r="O149" i="2" s="1"/>
  <c r="AC149" i="2"/>
  <c r="AD149" i="2" s="1"/>
  <c r="H172" i="2"/>
  <c r="I172" i="2" s="1"/>
  <c r="Z172" i="2"/>
  <c r="R227" i="2"/>
  <c r="W227" i="2"/>
  <c r="X227" i="2" s="1"/>
  <c r="AC118" i="3"/>
  <c r="AD118" i="3" s="1"/>
  <c r="AA118" i="3"/>
  <c r="W196" i="3"/>
  <c r="X196" i="3" s="1"/>
  <c r="AC196" i="3"/>
  <c r="AD196" i="3" s="1"/>
  <c r="W396" i="3"/>
  <c r="X396" i="3" s="1"/>
  <c r="AC396" i="3"/>
  <c r="AD396" i="3" s="1"/>
  <c r="N88" i="2"/>
  <c r="O88" i="2" s="1"/>
  <c r="F158" i="2"/>
  <c r="H158" i="2"/>
  <c r="I158" i="2" s="1"/>
  <c r="N197" i="2"/>
  <c r="O197" i="2" s="1"/>
  <c r="R267" i="2"/>
  <c r="W267" i="2"/>
  <c r="X267" i="2" s="1"/>
  <c r="AC267" i="2"/>
  <c r="AD267" i="2" s="1"/>
  <c r="N295" i="2"/>
  <c r="O295" i="2" s="1"/>
  <c r="H295" i="2"/>
  <c r="I295" i="2" s="1"/>
  <c r="U324" i="2"/>
  <c r="W324" i="2"/>
  <c r="X324" i="2" s="1"/>
  <c r="W61" i="3"/>
  <c r="X61" i="3" s="1"/>
  <c r="U61" i="3"/>
  <c r="W124" i="3"/>
  <c r="X124" i="3" s="1"/>
  <c r="U124" i="3"/>
  <c r="W343" i="3"/>
  <c r="X343" i="3" s="1"/>
  <c r="R343" i="3"/>
  <c r="AC343" i="3"/>
  <c r="AD343" i="3" s="1"/>
  <c r="R166" i="2"/>
  <c r="AC166" i="2"/>
  <c r="AD166" i="2" s="1"/>
  <c r="L172" i="2"/>
  <c r="F182" i="2"/>
  <c r="AC196" i="2"/>
  <c r="AD196" i="2" s="1"/>
  <c r="AC197" i="2"/>
  <c r="AD197" i="2" s="1"/>
  <c r="C227" i="2"/>
  <c r="AC236" i="2"/>
  <c r="AD236" i="2" s="1"/>
  <c r="C295" i="2"/>
  <c r="U358" i="2"/>
  <c r="H29" i="3"/>
  <c r="I29" i="3" s="1"/>
  <c r="C29" i="3"/>
  <c r="AC62" i="3"/>
  <c r="AD62" i="3" s="1"/>
  <c r="W62" i="3"/>
  <c r="X62" i="3" s="1"/>
  <c r="H88" i="3"/>
  <c r="I88" i="3" s="1"/>
  <c r="F88" i="3"/>
  <c r="H148" i="3"/>
  <c r="I148" i="3" s="1"/>
  <c r="N148" i="3"/>
  <c r="O148" i="3" s="1"/>
  <c r="C148" i="3"/>
  <c r="R149" i="3"/>
  <c r="W149" i="3"/>
  <c r="X149" i="3" s="1"/>
  <c r="W122" i="2"/>
  <c r="X122" i="2" s="1"/>
  <c r="N148" i="2"/>
  <c r="O148" i="2" s="1"/>
  <c r="U404" i="2"/>
  <c r="T443" i="2"/>
  <c r="U443" i="2" s="1"/>
  <c r="N218" i="2"/>
  <c r="O218" i="2" s="1"/>
  <c r="R262" i="2"/>
  <c r="H263" i="2"/>
  <c r="I263" i="2" s="1"/>
  <c r="C325" i="2"/>
  <c r="N325" i="2"/>
  <c r="O325" i="2" s="1"/>
  <c r="H325" i="2"/>
  <c r="I325" i="2" s="1"/>
  <c r="H209" i="3"/>
  <c r="I209" i="3" s="1"/>
  <c r="C209" i="3"/>
  <c r="N209" i="3"/>
  <c r="O209" i="3" s="1"/>
  <c r="AC267" i="3"/>
  <c r="AD267" i="3" s="1"/>
  <c r="O24" i="1"/>
  <c r="O57" i="1"/>
  <c r="O72" i="1"/>
  <c r="N73" i="1"/>
  <c r="O73" i="1" s="1"/>
  <c r="O104" i="1"/>
  <c r="O119" i="1"/>
  <c r="T172" i="1"/>
  <c r="O136" i="1"/>
  <c r="O151" i="1"/>
  <c r="O167" i="1"/>
  <c r="X181" i="1"/>
  <c r="X207" i="1"/>
  <c r="W218" i="1"/>
  <c r="X218" i="1" s="1"/>
  <c r="X223" i="1"/>
  <c r="X240" i="1"/>
  <c r="X256" i="1"/>
  <c r="X271" i="1"/>
  <c r="X287" i="1"/>
  <c r="X303" i="1"/>
  <c r="X319" i="1"/>
  <c r="X335" i="1"/>
  <c r="W344" i="1"/>
  <c r="X344" i="1" s="1"/>
  <c r="X362" i="1"/>
  <c r="X377" i="1"/>
  <c r="X394" i="1"/>
  <c r="W403" i="1"/>
  <c r="X403" i="1" s="1"/>
  <c r="X421" i="1"/>
  <c r="H429" i="1"/>
  <c r="I429" i="1" s="1"/>
  <c r="X437" i="1"/>
  <c r="H61" i="2"/>
  <c r="I61" i="2" s="1"/>
  <c r="H88" i="2"/>
  <c r="I88" i="2" s="1"/>
  <c r="W88" i="2"/>
  <c r="X88" i="2" s="1"/>
  <c r="R118" i="2"/>
  <c r="W118" i="2"/>
  <c r="X118" i="2" s="1"/>
  <c r="N124" i="2"/>
  <c r="O124" i="2" s="1"/>
  <c r="H141" i="2"/>
  <c r="I141" i="2" s="1"/>
  <c r="W148" i="2"/>
  <c r="X148" i="2" s="1"/>
  <c r="AC148" i="2"/>
  <c r="AD148" i="2" s="1"/>
  <c r="C149" i="2"/>
  <c r="W149" i="2"/>
  <c r="X149" i="2" s="1"/>
  <c r="L158" i="2"/>
  <c r="U198" i="2"/>
  <c r="H227" i="2"/>
  <c r="I227" i="2" s="1"/>
  <c r="H262" i="2"/>
  <c r="I262" i="2" s="1"/>
  <c r="N262" i="2"/>
  <c r="O262" i="2" s="1"/>
  <c r="W342" i="2"/>
  <c r="X342" i="2" s="1"/>
  <c r="R342" i="2"/>
  <c r="H62" i="3"/>
  <c r="I62" i="3" s="1"/>
  <c r="N62" i="3"/>
  <c r="O62" i="3" s="1"/>
  <c r="E172" i="3"/>
  <c r="H124" i="3"/>
  <c r="I124" i="3" s="1"/>
  <c r="F124" i="3"/>
  <c r="W442" i="3"/>
  <c r="X442" i="3" s="1"/>
  <c r="R442" i="3"/>
  <c r="AC442" i="3"/>
  <c r="AD442" i="3" s="1"/>
  <c r="H193" i="4"/>
  <c r="I193" i="4" s="1"/>
  <c r="N193" i="4"/>
  <c r="O193" i="4" s="1"/>
  <c r="C193" i="4"/>
  <c r="H172" i="1"/>
  <c r="I172" i="1" s="1"/>
  <c r="O179" i="1"/>
  <c r="O194" i="1"/>
  <c r="AC196" i="1"/>
  <c r="AD196" i="1" s="1"/>
  <c r="O205" i="1"/>
  <c r="O221" i="1"/>
  <c r="O254" i="1"/>
  <c r="O269" i="1"/>
  <c r="O301" i="1"/>
  <c r="O317" i="1"/>
  <c r="O333" i="1"/>
  <c r="O360" i="1"/>
  <c r="O375" i="1"/>
  <c r="O419" i="1"/>
  <c r="O435" i="1"/>
  <c r="H18" i="2"/>
  <c r="I18" i="2" s="1"/>
  <c r="N118" i="2"/>
  <c r="O118" i="2" s="1"/>
  <c r="AC141" i="2"/>
  <c r="AD141" i="2" s="1"/>
  <c r="R148" i="2"/>
  <c r="H166" i="2"/>
  <c r="I166" i="2" s="1"/>
  <c r="W166" i="2"/>
  <c r="X166" i="2" s="1"/>
  <c r="R196" i="2"/>
  <c r="W196" i="2"/>
  <c r="X196" i="2" s="1"/>
  <c r="H209" i="2"/>
  <c r="I209" i="2" s="1"/>
  <c r="N209" i="2"/>
  <c r="O209" i="2" s="1"/>
  <c r="R218" i="2"/>
  <c r="W218" i="2"/>
  <c r="X218" i="2" s="1"/>
  <c r="AC227" i="2"/>
  <c r="AD227" i="2" s="1"/>
  <c r="W236" i="2"/>
  <c r="X236" i="2" s="1"/>
  <c r="C262" i="2"/>
  <c r="H267" i="2"/>
  <c r="I267" i="2" s="1"/>
  <c r="W284" i="2"/>
  <c r="X284" i="2" s="1"/>
  <c r="N29" i="3"/>
  <c r="O29" i="3" s="1"/>
  <c r="H61" i="3"/>
  <c r="I61" i="3" s="1"/>
  <c r="F61" i="3"/>
  <c r="C62" i="3"/>
  <c r="T172" i="3"/>
  <c r="H197" i="3"/>
  <c r="I197" i="3" s="1"/>
  <c r="C197" i="3"/>
  <c r="N197" i="3"/>
  <c r="O197" i="3" s="1"/>
  <c r="H441" i="3"/>
  <c r="I441" i="3" s="1"/>
  <c r="N441" i="3"/>
  <c r="O441" i="3" s="1"/>
  <c r="C441" i="3"/>
  <c r="H324" i="2"/>
  <c r="I324" i="2" s="1"/>
  <c r="AC343" i="2"/>
  <c r="AD343" i="2" s="1"/>
  <c r="N344" i="2"/>
  <c r="O344" i="2" s="1"/>
  <c r="X357" i="2"/>
  <c r="AD367" i="2"/>
  <c r="N368" i="2"/>
  <c r="O368" i="2" s="1"/>
  <c r="AD378" i="2"/>
  <c r="O382" i="2"/>
  <c r="H396" i="2"/>
  <c r="I396" i="2" s="1"/>
  <c r="X408" i="2"/>
  <c r="X413" i="2"/>
  <c r="AD414" i="2"/>
  <c r="X416" i="2"/>
  <c r="X421" i="2"/>
  <c r="AD422" i="2"/>
  <c r="X424" i="2"/>
  <c r="AC428" i="2"/>
  <c r="AD428" i="2" s="1"/>
  <c r="N429" i="2"/>
  <c r="O429" i="2" s="1"/>
  <c r="N441" i="2"/>
  <c r="O441" i="2" s="1"/>
  <c r="N442" i="2"/>
  <c r="O442" i="2" s="1"/>
  <c r="AC442" i="2"/>
  <c r="AD442" i="2" s="1"/>
  <c r="H18" i="3"/>
  <c r="I18" i="3" s="1"/>
  <c r="N118" i="3"/>
  <c r="O118" i="3" s="1"/>
  <c r="N170" i="3"/>
  <c r="O170" i="3" s="1"/>
  <c r="N182" i="3"/>
  <c r="O182" i="3" s="1"/>
  <c r="X355" i="3"/>
  <c r="X375" i="3"/>
  <c r="X377" i="3"/>
  <c r="X419" i="3"/>
  <c r="X434" i="3"/>
  <c r="O413" i="3"/>
  <c r="O437" i="3"/>
  <c r="O333" i="3"/>
  <c r="O416" i="3"/>
  <c r="O391" i="3"/>
  <c r="O440" i="3"/>
  <c r="O435" i="3"/>
  <c r="O421" i="3"/>
  <c r="O399" i="3"/>
  <c r="O340" i="3"/>
  <c r="O331" i="3"/>
  <c r="O323" i="3"/>
  <c r="N158" i="5"/>
  <c r="O158" i="5" s="1"/>
  <c r="H158" i="5"/>
  <c r="I158" i="5" s="1"/>
  <c r="C158" i="5"/>
  <c r="AC344" i="2"/>
  <c r="AD344" i="2" s="1"/>
  <c r="AC368" i="2"/>
  <c r="AD368" i="2" s="1"/>
  <c r="N393" i="2"/>
  <c r="O393" i="2" s="1"/>
  <c r="AC393" i="2"/>
  <c r="AD393" i="2" s="1"/>
  <c r="N403" i="2"/>
  <c r="O403" i="2" s="1"/>
  <c r="AC429" i="2"/>
  <c r="AD429" i="2" s="1"/>
  <c r="H171" i="3"/>
  <c r="I171" i="3" s="1"/>
  <c r="B172" i="3"/>
  <c r="W171" i="3"/>
  <c r="X171" i="3" s="1"/>
  <c r="R171" i="3"/>
  <c r="X421" i="3"/>
  <c r="X399" i="3"/>
  <c r="X395" i="3"/>
  <c r="X338" i="3"/>
  <c r="X329" i="3"/>
  <c r="X402" i="3"/>
  <c r="X397" i="3"/>
  <c r="X386" i="3"/>
  <c r="X358" i="3"/>
  <c r="X335" i="3"/>
  <c r="X319" i="3"/>
  <c r="X413" i="3"/>
  <c r="L324" i="2"/>
  <c r="C344" i="2"/>
  <c r="U29" i="3"/>
  <c r="AC40" i="3"/>
  <c r="AD40" i="3" s="1"/>
  <c r="AA141" i="3"/>
  <c r="N166" i="3"/>
  <c r="O166" i="3" s="1"/>
  <c r="C170" i="3"/>
  <c r="AC170" i="3"/>
  <c r="AD170" i="3" s="1"/>
  <c r="C171" i="3"/>
  <c r="C182" i="3"/>
  <c r="AC182" i="3"/>
  <c r="AD182" i="3" s="1"/>
  <c r="F196" i="3"/>
  <c r="K198" i="3"/>
  <c r="AA218" i="3"/>
  <c r="N236" i="3"/>
  <c r="O236" i="3" s="1"/>
  <c r="H273" i="3"/>
  <c r="I273" i="3" s="1"/>
  <c r="X314" i="3"/>
  <c r="X331" i="3"/>
  <c r="X368" i="3"/>
  <c r="X369" i="3"/>
  <c r="X388" i="3"/>
  <c r="X394" i="3"/>
  <c r="X417" i="3"/>
  <c r="X422" i="3"/>
  <c r="X427" i="3"/>
  <c r="F429" i="3"/>
  <c r="H429" i="3"/>
  <c r="I429" i="3" s="1"/>
  <c r="X432" i="3"/>
  <c r="X437" i="3"/>
  <c r="O438" i="3"/>
  <c r="X441" i="3"/>
  <c r="H429" i="4"/>
  <c r="I429" i="4" s="1"/>
  <c r="F429" i="4"/>
  <c r="AA324" i="2"/>
  <c r="H343" i="2"/>
  <c r="I343" i="2" s="1"/>
  <c r="N358" i="2"/>
  <c r="O358" i="2" s="1"/>
  <c r="AA358" i="2"/>
  <c r="N396" i="2"/>
  <c r="O396" i="2" s="1"/>
  <c r="AC122" i="3"/>
  <c r="AD122" i="3" s="1"/>
  <c r="Z345" i="3"/>
  <c r="AA198" i="3"/>
  <c r="C284" i="3"/>
  <c r="AC284" i="3"/>
  <c r="AD284" i="3" s="1"/>
  <c r="R295" i="3"/>
  <c r="X324" i="3"/>
  <c r="X339" i="3"/>
  <c r="X347" i="3"/>
  <c r="X352" i="3"/>
  <c r="X356" i="3"/>
  <c r="X363" i="3"/>
  <c r="R368" i="3"/>
  <c r="X393" i="3"/>
  <c r="X435" i="3"/>
  <c r="R441" i="3"/>
  <c r="W343" i="2"/>
  <c r="X343" i="2" s="1"/>
  <c r="R393" i="2"/>
  <c r="R403" i="2"/>
  <c r="F428" i="2"/>
  <c r="U441" i="2"/>
  <c r="AA172" i="3"/>
  <c r="AC236" i="3"/>
  <c r="AD236" i="3" s="1"/>
  <c r="X321" i="3"/>
  <c r="X323" i="3"/>
  <c r="X350" i="3"/>
  <c r="X354" i="3"/>
  <c r="X378" i="3"/>
  <c r="X403" i="3"/>
  <c r="X420" i="3"/>
  <c r="O436" i="3"/>
  <c r="W196" i="4"/>
  <c r="X196" i="4" s="1"/>
  <c r="AC196" i="4"/>
  <c r="AD196" i="4" s="1"/>
  <c r="AD139" i="2"/>
  <c r="O163" i="2"/>
  <c r="I181" i="2"/>
  <c r="X195" i="2"/>
  <c r="X202" i="2"/>
  <c r="I211" i="2"/>
  <c r="X215" i="2"/>
  <c r="I223" i="2"/>
  <c r="X226" i="2"/>
  <c r="X238" i="2"/>
  <c r="I252" i="2"/>
  <c r="X255" i="2"/>
  <c r="O288" i="2"/>
  <c r="I299" i="2"/>
  <c r="X302" i="2"/>
  <c r="I315" i="2"/>
  <c r="X318" i="2"/>
  <c r="O328" i="2"/>
  <c r="AD341" i="2"/>
  <c r="X361" i="2"/>
  <c r="I369" i="2"/>
  <c r="X372" i="2"/>
  <c r="I386" i="2"/>
  <c r="X390" i="2"/>
  <c r="I394" i="2"/>
  <c r="W396" i="2"/>
  <c r="X396" i="2" s="1"/>
  <c r="X397" i="2"/>
  <c r="AD398" i="2"/>
  <c r="X400" i="2"/>
  <c r="X432" i="2"/>
  <c r="X437" i="2"/>
  <c r="AD438" i="2"/>
  <c r="X65" i="3"/>
  <c r="X68" i="3"/>
  <c r="X119" i="3"/>
  <c r="X122" i="3"/>
  <c r="Q172" i="3"/>
  <c r="O133" i="3"/>
  <c r="X134" i="3"/>
  <c r="O138" i="3"/>
  <c r="H141" i="3"/>
  <c r="I141" i="3" s="1"/>
  <c r="W141" i="3"/>
  <c r="X141" i="3" s="1"/>
  <c r="R141" i="3"/>
  <c r="X153" i="3"/>
  <c r="O164" i="3"/>
  <c r="W166" i="3"/>
  <c r="X166" i="3" s="1"/>
  <c r="O168" i="3"/>
  <c r="U170" i="3"/>
  <c r="O180" i="3"/>
  <c r="U182" i="3"/>
  <c r="O183" i="3"/>
  <c r="O192" i="3"/>
  <c r="N193" i="3"/>
  <c r="O193" i="3" s="1"/>
  <c r="H218" i="3"/>
  <c r="I218" i="3" s="1"/>
  <c r="X218" i="3"/>
  <c r="X219" i="3"/>
  <c r="O223" i="3"/>
  <c r="X231" i="3"/>
  <c r="C236" i="3"/>
  <c r="X241" i="3"/>
  <c r="O250" i="3"/>
  <c r="O255" i="3"/>
  <c r="X270" i="3"/>
  <c r="O280" i="3"/>
  <c r="X290" i="3"/>
  <c r="O301" i="3"/>
  <c r="O307" i="3"/>
  <c r="O335" i="3"/>
  <c r="O351" i="3"/>
  <c r="O373" i="3"/>
  <c r="O375" i="3"/>
  <c r="O377" i="3"/>
  <c r="X389" i="3"/>
  <c r="X391" i="3"/>
  <c r="X425" i="3"/>
  <c r="O429" i="3"/>
  <c r="X433" i="3"/>
  <c r="X438" i="3"/>
  <c r="R196" i="4"/>
  <c r="O302" i="3"/>
  <c r="O310" i="3"/>
  <c r="O318" i="3"/>
  <c r="O334" i="3"/>
  <c r="X349" i="3"/>
  <c r="X357" i="3"/>
  <c r="X365" i="3"/>
  <c r="X372" i="3"/>
  <c r="X380" i="3"/>
  <c r="X390" i="3"/>
  <c r="O395" i="3"/>
  <c r="O407" i="3"/>
  <c r="X408" i="3"/>
  <c r="X410" i="3"/>
  <c r="O414" i="3"/>
  <c r="X415" i="3"/>
  <c r="N61" i="4"/>
  <c r="O61" i="4" s="1"/>
  <c r="N62" i="4"/>
  <c r="O62" i="4" s="1"/>
  <c r="N118" i="4"/>
  <c r="O118" i="4" s="1"/>
  <c r="W148" i="4"/>
  <c r="X148" i="4" s="1"/>
  <c r="U148" i="4"/>
  <c r="N149" i="4"/>
  <c r="O149" i="4" s="1"/>
  <c r="W393" i="4"/>
  <c r="X393" i="4" s="1"/>
  <c r="U393" i="4"/>
  <c r="H273" i="5"/>
  <c r="I273" i="5" s="1"/>
  <c r="N273" i="5"/>
  <c r="O273" i="5" s="1"/>
  <c r="C273" i="5"/>
  <c r="X300" i="3"/>
  <c r="X308" i="3"/>
  <c r="X316" i="3"/>
  <c r="N324" i="3"/>
  <c r="O324" i="3" s="1"/>
  <c r="X332" i="3"/>
  <c r="X341" i="3"/>
  <c r="AC344" i="3"/>
  <c r="AD344" i="3" s="1"/>
  <c r="O353" i="3"/>
  <c r="O361" i="3"/>
  <c r="O376" i="3"/>
  <c r="O385" i="3"/>
  <c r="X400" i="3"/>
  <c r="U428" i="3"/>
  <c r="X436" i="3"/>
  <c r="N18" i="4"/>
  <c r="O18" i="4" s="1"/>
  <c r="C61" i="4"/>
  <c r="N88" i="4"/>
  <c r="O88" i="4" s="1"/>
  <c r="C166" i="4"/>
  <c r="Q198" i="4"/>
  <c r="W172" i="4"/>
  <c r="X172" i="4" s="1"/>
  <c r="R172" i="4"/>
  <c r="N396" i="4"/>
  <c r="O396" i="4" s="1"/>
  <c r="W442" i="4"/>
  <c r="X442" i="4" s="1"/>
  <c r="U442" i="4"/>
  <c r="O304" i="3"/>
  <c r="O312" i="3"/>
  <c r="O320" i="3"/>
  <c r="O328" i="3"/>
  <c r="O337" i="3"/>
  <c r="R344" i="3"/>
  <c r="X351" i="3"/>
  <c r="X367" i="3"/>
  <c r="X374" i="3"/>
  <c r="X382" i="3"/>
  <c r="O401" i="3"/>
  <c r="X412" i="3"/>
  <c r="O423" i="3"/>
  <c r="X424" i="3"/>
  <c r="X426" i="3"/>
  <c r="W18" i="4"/>
  <c r="X18" i="4" s="1"/>
  <c r="AC18" i="4"/>
  <c r="AD18" i="4" s="1"/>
  <c r="H29" i="4"/>
  <c r="I29" i="4" s="1"/>
  <c r="C29" i="4"/>
  <c r="AC29" i="4"/>
  <c r="AD29" i="4" s="1"/>
  <c r="W62" i="4"/>
  <c r="X62" i="4" s="1"/>
  <c r="R62" i="4"/>
  <c r="AC73" i="4"/>
  <c r="AD73" i="4" s="1"/>
  <c r="W118" i="4"/>
  <c r="X118" i="4" s="1"/>
  <c r="R118" i="4"/>
  <c r="X302" i="3"/>
  <c r="X310" i="3"/>
  <c r="X318" i="3"/>
  <c r="N325" i="3"/>
  <c r="O325" i="3" s="1"/>
  <c r="X334" i="3"/>
  <c r="O355" i="3"/>
  <c r="O363" i="3"/>
  <c r="O370" i="3"/>
  <c r="O378" i="3"/>
  <c r="O388" i="3"/>
  <c r="O398" i="3"/>
  <c r="X407" i="3"/>
  <c r="F442" i="3"/>
  <c r="R18" i="4"/>
  <c r="H73" i="4"/>
  <c r="I73" i="4" s="1"/>
  <c r="N73" i="4"/>
  <c r="O73" i="4" s="1"/>
  <c r="T198" i="4"/>
  <c r="U172" i="4"/>
  <c r="H197" i="4"/>
  <c r="I197" i="4" s="1"/>
  <c r="C197" i="4"/>
  <c r="H368" i="4"/>
  <c r="I368" i="4" s="1"/>
  <c r="C368" i="4"/>
  <c r="N428" i="2"/>
  <c r="O428" i="2" s="1"/>
  <c r="AC441" i="2"/>
  <c r="AD441" i="2" s="1"/>
  <c r="AC29" i="3"/>
  <c r="AD29" i="3" s="1"/>
  <c r="N40" i="3"/>
  <c r="O40" i="3" s="1"/>
  <c r="N61" i="3"/>
  <c r="O61" i="3" s="1"/>
  <c r="AC73" i="3"/>
  <c r="AD73" i="3" s="1"/>
  <c r="N88" i="3"/>
  <c r="O88" i="3" s="1"/>
  <c r="O129" i="3"/>
  <c r="O145" i="3"/>
  <c r="O161" i="3"/>
  <c r="O188" i="3"/>
  <c r="AC197" i="3"/>
  <c r="AD197" i="3" s="1"/>
  <c r="AC209" i="3"/>
  <c r="AD209" i="3" s="1"/>
  <c r="O215" i="3"/>
  <c r="O230" i="3"/>
  <c r="O247" i="3"/>
  <c r="O259" i="3"/>
  <c r="O266" i="3"/>
  <c r="O282" i="3"/>
  <c r="O290" i="3"/>
  <c r="O298" i="3"/>
  <c r="O306" i="3"/>
  <c r="O314" i="3"/>
  <c r="O322" i="3"/>
  <c r="O330" i="3"/>
  <c r="O339" i="3"/>
  <c r="X353" i="3"/>
  <c r="N358" i="3"/>
  <c r="O358" i="3" s="1"/>
  <c r="AC358" i="3"/>
  <c r="AD358" i="3" s="1"/>
  <c r="X361" i="3"/>
  <c r="X376" i="3"/>
  <c r="X385" i="3"/>
  <c r="O394" i="3"/>
  <c r="AC403" i="3"/>
  <c r="AD403" i="3" s="1"/>
  <c r="O420" i="3"/>
  <c r="N428" i="3"/>
  <c r="O428" i="3" s="1"/>
  <c r="O439" i="3"/>
  <c r="X440" i="3"/>
  <c r="C73" i="4"/>
  <c r="C118" i="4"/>
  <c r="U124" i="4"/>
  <c r="C149" i="4"/>
  <c r="H267" i="4"/>
  <c r="I267" i="4" s="1"/>
  <c r="C267" i="4"/>
  <c r="X143" i="3"/>
  <c r="X186" i="3"/>
  <c r="X213" i="3"/>
  <c r="X245" i="3"/>
  <c r="X257" i="3"/>
  <c r="H262" i="3"/>
  <c r="I262" i="3" s="1"/>
  <c r="X272" i="3"/>
  <c r="X280" i="3"/>
  <c r="X288" i="3"/>
  <c r="X304" i="3"/>
  <c r="X312" i="3"/>
  <c r="X320" i="3"/>
  <c r="W325" i="3"/>
  <c r="X325" i="3" s="1"/>
  <c r="X328" i="3"/>
  <c r="X337" i="3"/>
  <c r="H342" i="3"/>
  <c r="I342" i="3" s="1"/>
  <c r="O349" i="3"/>
  <c r="O357" i="3"/>
  <c r="O365" i="3"/>
  <c r="O372" i="3"/>
  <c r="O380" i="3"/>
  <c r="O390" i="3"/>
  <c r="X401" i="3"/>
  <c r="N403" i="3"/>
  <c r="O403" i="3" s="1"/>
  <c r="O415" i="3"/>
  <c r="X416" i="3"/>
  <c r="X418" i="3"/>
  <c r="O422" i="3"/>
  <c r="X423" i="3"/>
  <c r="U61" i="4"/>
  <c r="N166" i="4"/>
  <c r="O166" i="4" s="1"/>
  <c r="N342" i="4"/>
  <c r="O342" i="4" s="1"/>
  <c r="W198" i="5"/>
  <c r="X198" i="5" s="1"/>
  <c r="Q345" i="5"/>
  <c r="R198" i="5"/>
  <c r="E172" i="4"/>
  <c r="N209" i="4"/>
  <c r="O209" i="4" s="1"/>
  <c r="AC262" i="4"/>
  <c r="AD262" i="4" s="1"/>
  <c r="N273" i="4"/>
  <c r="O273" i="4" s="1"/>
  <c r="N324" i="4"/>
  <c r="O324" i="4" s="1"/>
  <c r="AC342" i="4"/>
  <c r="AD342" i="4" s="1"/>
  <c r="N358" i="4"/>
  <c r="O358" i="4" s="1"/>
  <c r="AC88" i="5"/>
  <c r="AD88" i="5" s="1"/>
  <c r="AA88" i="5"/>
  <c r="K172" i="5"/>
  <c r="L124" i="5"/>
  <c r="R324" i="5"/>
  <c r="AC324" i="5"/>
  <c r="AD324" i="5" s="1"/>
  <c r="W324" i="5"/>
  <c r="X324" i="5" s="1"/>
  <c r="N262" i="3"/>
  <c r="O262" i="3" s="1"/>
  <c r="H263" i="3"/>
  <c r="I263" i="3" s="1"/>
  <c r="H267" i="3"/>
  <c r="I267" i="3" s="1"/>
  <c r="N273" i="3"/>
  <c r="O273" i="3" s="1"/>
  <c r="W284" i="3"/>
  <c r="X284" i="3" s="1"/>
  <c r="H295" i="3"/>
  <c r="I295" i="3" s="1"/>
  <c r="AC325" i="3"/>
  <c r="AD325" i="3" s="1"/>
  <c r="N342" i="3"/>
  <c r="O342" i="3" s="1"/>
  <c r="H343" i="3"/>
  <c r="I343" i="3" s="1"/>
  <c r="N344" i="3"/>
  <c r="O344" i="3" s="1"/>
  <c r="H358" i="3"/>
  <c r="I358" i="3" s="1"/>
  <c r="N368" i="3"/>
  <c r="O368" i="3" s="1"/>
  <c r="AC393" i="3"/>
  <c r="AD393" i="3" s="1"/>
  <c r="O418" i="3"/>
  <c r="O434" i="3"/>
  <c r="O10" i="4"/>
  <c r="O26" i="4"/>
  <c r="W29" i="4"/>
  <c r="X29" i="4" s="1"/>
  <c r="N40" i="4"/>
  <c r="O40" i="4" s="1"/>
  <c r="O42" i="4"/>
  <c r="O59" i="4"/>
  <c r="AC61" i="4"/>
  <c r="AD61" i="4" s="1"/>
  <c r="O89" i="4"/>
  <c r="O106" i="4"/>
  <c r="O121" i="4"/>
  <c r="N122" i="4"/>
  <c r="O122" i="4" s="1"/>
  <c r="Z172" i="4"/>
  <c r="AC172" i="4" s="1"/>
  <c r="AD172" i="4" s="1"/>
  <c r="O138" i="4"/>
  <c r="W141" i="4"/>
  <c r="X141" i="4" s="1"/>
  <c r="R149" i="4"/>
  <c r="O154" i="4"/>
  <c r="R166" i="4"/>
  <c r="O169" i="4"/>
  <c r="N170" i="4"/>
  <c r="O170" i="4" s="1"/>
  <c r="W171" i="4"/>
  <c r="X171" i="4" s="1"/>
  <c r="O181" i="4"/>
  <c r="N182" i="4"/>
  <c r="O182" i="4" s="1"/>
  <c r="R193" i="4"/>
  <c r="AC197" i="4"/>
  <c r="AD197" i="4" s="1"/>
  <c r="C209" i="4"/>
  <c r="U218" i="4"/>
  <c r="W236" i="4"/>
  <c r="X236" i="4" s="1"/>
  <c r="AA263" i="4"/>
  <c r="W267" i="4"/>
  <c r="X267" i="4" s="1"/>
  <c r="C273" i="4"/>
  <c r="W284" i="4"/>
  <c r="X284" i="4" s="1"/>
  <c r="AA295" i="4"/>
  <c r="L325" i="4"/>
  <c r="AA343" i="4"/>
  <c r="U344" i="4"/>
  <c r="O350" i="4"/>
  <c r="C358" i="4"/>
  <c r="AC358" i="4"/>
  <c r="AD358" i="4" s="1"/>
  <c r="O366" i="4"/>
  <c r="AC368" i="4"/>
  <c r="AD368" i="4" s="1"/>
  <c r="O381" i="4"/>
  <c r="O397" i="4"/>
  <c r="H403" i="4"/>
  <c r="I403" i="4" s="1"/>
  <c r="O437" i="4"/>
  <c r="N18" i="5"/>
  <c r="O18" i="5" s="1"/>
  <c r="N88" i="6"/>
  <c r="O88" i="6" s="1"/>
  <c r="H88" i="6"/>
  <c r="I88" i="6" s="1"/>
  <c r="C88" i="6"/>
  <c r="AC122" i="4"/>
  <c r="AD122" i="4" s="1"/>
  <c r="N124" i="4"/>
  <c r="O124" i="4" s="1"/>
  <c r="N158" i="4"/>
  <c r="O158" i="4" s="1"/>
  <c r="AC170" i="4"/>
  <c r="AD170" i="4" s="1"/>
  <c r="H172" i="4"/>
  <c r="I172" i="4" s="1"/>
  <c r="AC182" i="4"/>
  <c r="AD182" i="4" s="1"/>
  <c r="B198" i="4"/>
  <c r="AC209" i="4"/>
  <c r="AD209" i="4" s="1"/>
  <c r="AC273" i="4"/>
  <c r="AD273" i="4" s="1"/>
  <c r="O329" i="4"/>
  <c r="O332" i="4"/>
  <c r="O335" i="4"/>
  <c r="O353" i="4"/>
  <c r="O385" i="4"/>
  <c r="O400" i="4"/>
  <c r="O409" i="4"/>
  <c r="O419" i="4"/>
  <c r="O422" i="4"/>
  <c r="O425" i="4"/>
  <c r="O439" i="4"/>
  <c r="H182" i="5"/>
  <c r="I182" i="5" s="1"/>
  <c r="F182" i="5"/>
  <c r="H209" i="5"/>
  <c r="I209" i="5" s="1"/>
  <c r="C209" i="5"/>
  <c r="N209" i="5"/>
  <c r="O209" i="5" s="1"/>
  <c r="C124" i="4"/>
  <c r="N148" i="4"/>
  <c r="O148" i="4" s="1"/>
  <c r="N227" i="4"/>
  <c r="O227" i="4" s="1"/>
  <c r="AA227" i="4"/>
  <c r="U262" i="4"/>
  <c r="F324" i="4"/>
  <c r="U342" i="4"/>
  <c r="R358" i="4"/>
  <c r="O362" i="4"/>
  <c r="O377" i="4"/>
  <c r="N393" i="4"/>
  <c r="O393" i="4" s="1"/>
  <c r="O394" i="4"/>
  <c r="O434" i="4"/>
  <c r="R73" i="5"/>
  <c r="W158" i="5"/>
  <c r="X158" i="5" s="1"/>
  <c r="R158" i="5"/>
  <c r="AC158" i="5"/>
  <c r="AD158" i="5" s="1"/>
  <c r="F170" i="5"/>
  <c r="W124" i="4"/>
  <c r="X124" i="4" s="1"/>
  <c r="H141" i="4"/>
  <c r="I141" i="4" s="1"/>
  <c r="W158" i="4"/>
  <c r="X158" i="4" s="1"/>
  <c r="H171" i="4"/>
  <c r="I171" i="4" s="1"/>
  <c r="F182" i="4"/>
  <c r="N196" i="4"/>
  <c r="O196" i="4" s="1"/>
  <c r="U197" i="4"/>
  <c r="N218" i="4"/>
  <c r="O218" i="4" s="1"/>
  <c r="N236" i="4"/>
  <c r="O236" i="4" s="1"/>
  <c r="F263" i="4"/>
  <c r="R263" i="4"/>
  <c r="N284" i="4"/>
  <c r="O284" i="4" s="1"/>
  <c r="F295" i="4"/>
  <c r="R295" i="4"/>
  <c r="U324" i="4"/>
  <c r="AC325" i="4"/>
  <c r="AD325" i="4" s="1"/>
  <c r="O328" i="4"/>
  <c r="O331" i="4"/>
  <c r="N344" i="4"/>
  <c r="O344" i="4" s="1"/>
  <c r="U368" i="4"/>
  <c r="O421" i="4"/>
  <c r="C18" i="5"/>
  <c r="U141" i="5"/>
  <c r="H197" i="5"/>
  <c r="I197" i="5" s="1"/>
  <c r="C197" i="5"/>
  <c r="N197" i="5"/>
  <c r="O197" i="5" s="1"/>
  <c r="O410" i="3"/>
  <c r="O426" i="3"/>
  <c r="AC428" i="3"/>
  <c r="AD428" i="3" s="1"/>
  <c r="N442" i="3"/>
  <c r="O442" i="3" s="1"/>
  <c r="O34" i="4"/>
  <c r="O51" i="4"/>
  <c r="O66" i="4"/>
  <c r="O82" i="4"/>
  <c r="O98" i="4"/>
  <c r="O114" i="4"/>
  <c r="R124" i="4"/>
  <c r="O130" i="4"/>
  <c r="C141" i="4"/>
  <c r="O146" i="4"/>
  <c r="AC148" i="4"/>
  <c r="AD148" i="4" s="1"/>
  <c r="R158" i="4"/>
  <c r="O162" i="4"/>
  <c r="C171" i="4"/>
  <c r="L172" i="4"/>
  <c r="O189" i="4"/>
  <c r="W227" i="4"/>
  <c r="X227" i="4" s="1"/>
  <c r="L345" i="4"/>
  <c r="O373" i="4"/>
  <c r="O391" i="4"/>
  <c r="AC393" i="4"/>
  <c r="AD393" i="4" s="1"/>
  <c r="W429" i="4"/>
  <c r="X429" i="4" s="1"/>
  <c r="O438" i="4"/>
  <c r="O442" i="4"/>
  <c r="U29" i="5"/>
  <c r="N40" i="5"/>
  <c r="O40" i="5" s="1"/>
  <c r="N88" i="5"/>
  <c r="O88" i="5" s="1"/>
  <c r="T345" i="5"/>
  <c r="U198" i="5"/>
  <c r="W393" i="5"/>
  <c r="X393" i="5" s="1"/>
  <c r="AC393" i="5"/>
  <c r="AD393" i="5" s="1"/>
  <c r="R393" i="5"/>
  <c r="AC441" i="4"/>
  <c r="AD441" i="4" s="1"/>
  <c r="AC18" i="5"/>
  <c r="AD18" i="5" s="1"/>
  <c r="C40" i="5"/>
  <c r="AC40" i="5"/>
  <c r="AD40" i="5" s="1"/>
  <c r="R61" i="5"/>
  <c r="N62" i="5"/>
  <c r="O62" i="5" s="1"/>
  <c r="C88" i="5"/>
  <c r="C122" i="5"/>
  <c r="AC122" i="5"/>
  <c r="AD122" i="5" s="1"/>
  <c r="N172" i="5"/>
  <c r="O172" i="5" s="1"/>
  <c r="C172" i="5"/>
  <c r="B198" i="5"/>
  <c r="N124" i="5"/>
  <c r="O124" i="5" s="1"/>
  <c r="Z172" i="5"/>
  <c r="AC170" i="5"/>
  <c r="AD170" i="5" s="1"/>
  <c r="AC171" i="5"/>
  <c r="AD171" i="5" s="1"/>
  <c r="U172" i="5"/>
  <c r="W196" i="5"/>
  <c r="X196" i="5" s="1"/>
  <c r="R196" i="5"/>
  <c r="W358" i="5"/>
  <c r="X358" i="5" s="1"/>
  <c r="AC358" i="5"/>
  <c r="AD358" i="5" s="1"/>
  <c r="N29" i="6"/>
  <c r="O29" i="6" s="1"/>
  <c r="H29" i="6"/>
  <c r="I29" i="6" s="1"/>
  <c r="C29" i="6"/>
  <c r="U118" i="5"/>
  <c r="R122" i="5"/>
  <c r="N148" i="5"/>
  <c r="O148" i="5" s="1"/>
  <c r="W172" i="5"/>
  <c r="X172" i="5" s="1"/>
  <c r="AC273" i="5"/>
  <c r="AD273" i="5" s="1"/>
  <c r="W273" i="5"/>
  <c r="X273" i="5" s="1"/>
  <c r="W441" i="5"/>
  <c r="X441" i="5" s="1"/>
  <c r="R441" i="5"/>
  <c r="AC441" i="5"/>
  <c r="AD441" i="5" s="1"/>
  <c r="AC428" i="4"/>
  <c r="AD428" i="4" s="1"/>
  <c r="N29" i="5"/>
  <c r="O29" i="5" s="1"/>
  <c r="R40" i="5"/>
  <c r="AC62" i="5"/>
  <c r="AD62" i="5" s="1"/>
  <c r="R88" i="5"/>
  <c r="AC124" i="5"/>
  <c r="AD124" i="5" s="1"/>
  <c r="N141" i="5"/>
  <c r="O141" i="5" s="1"/>
  <c r="H171" i="5"/>
  <c r="I171" i="5" s="1"/>
  <c r="C171" i="5"/>
  <c r="H172" i="5"/>
  <c r="I172" i="5" s="1"/>
  <c r="C196" i="5"/>
  <c r="H196" i="5"/>
  <c r="I196" i="5" s="1"/>
  <c r="W227" i="5"/>
  <c r="X227" i="5" s="1"/>
  <c r="R227" i="5"/>
  <c r="R273" i="5"/>
  <c r="C325" i="5"/>
  <c r="N325" i="5"/>
  <c r="O325" i="5" s="1"/>
  <c r="H325" i="5"/>
  <c r="I325" i="5" s="1"/>
  <c r="W342" i="5"/>
  <c r="X342" i="5" s="1"/>
  <c r="L18" i="6"/>
  <c r="N18" i="6"/>
  <c r="O18" i="6" s="1"/>
  <c r="AC29" i="5"/>
  <c r="AD29" i="5" s="1"/>
  <c r="AC141" i="5"/>
  <c r="AD141" i="5" s="1"/>
  <c r="W148" i="5"/>
  <c r="X148" i="5" s="1"/>
  <c r="E172" i="5"/>
  <c r="F171" i="5"/>
  <c r="AC196" i="5"/>
  <c r="AD196" i="5" s="1"/>
  <c r="F267" i="5"/>
  <c r="W396" i="5"/>
  <c r="X396" i="5" s="1"/>
  <c r="U396" i="5"/>
  <c r="N73" i="5"/>
  <c r="O73" i="5" s="1"/>
  <c r="H124" i="5"/>
  <c r="I124" i="5" s="1"/>
  <c r="R148" i="5"/>
  <c r="C227" i="5"/>
  <c r="H227" i="5"/>
  <c r="I227" i="5" s="1"/>
  <c r="C342" i="5"/>
  <c r="N342" i="5"/>
  <c r="O342" i="5" s="1"/>
  <c r="H342" i="5"/>
  <c r="I342" i="5" s="1"/>
  <c r="H358" i="5"/>
  <c r="I358" i="5" s="1"/>
  <c r="N358" i="5"/>
  <c r="O358" i="5" s="1"/>
  <c r="C358" i="5"/>
  <c r="U62" i="6"/>
  <c r="W62" i="6"/>
  <c r="X62" i="6" s="1"/>
  <c r="AC197" i="5"/>
  <c r="AD197" i="5" s="1"/>
  <c r="AC209" i="5"/>
  <c r="AD209" i="5" s="1"/>
  <c r="AC284" i="5"/>
  <c r="AD284" i="5" s="1"/>
  <c r="H324" i="5"/>
  <c r="I324" i="5" s="1"/>
  <c r="C324" i="5"/>
  <c r="L343" i="5"/>
  <c r="C393" i="5"/>
  <c r="N393" i="5"/>
  <c r="O393" i="5" s="1"/>
  <c r="I411" i="5"/>
  <c r="H40" i="6"/>
  <c r="I40" i="6" s="1"/>
  <c r="C40" i="6"/>
  <c r="H61" i="6"/>
  <c r="I61" i="6" s="1"/>
  <c r="N193" i="5"/>
  <c r="O193" i="5" s="1"/>
  <c r="N295" i="5"/>
  <c r="O295" i="5" s="1"/>
  <c r="R295" i="5"/>
  <c r="W295" i="5"/>
  <c r="X295" i="5" s="1"/>
  <c r="AC342" i="5"/>
  <c r="AD342" i="5" s="1"/>
  <c r="AC343" i="5"/>
  <c r="AD343" i="5" s="1"/>
  <c r="W218" i="5"/>
  <c r="X218" i="5" s="1"/>
  <c r="N236" i="5"/>
  <c r="O236" i="5" s="1"/>
  <c r="AC262" i="5"/>
  <c r="AD262" i="5" s="1"/>
  <c r="AA325" i="5"/>
  <c r="R343" i="5"/>
  <c r="H344" i="5"/>
  <c r="I344" i="5" s="1"/>
  <c r="R368" i="5"/>
  <c r="C403" i="5"/>
  <c r="N403" i="5"/>
  <c r="O403" i="5" s="1"/>
  <c r="N441" i="5"/>
  <c r="O441" i="5" s="1"/>
  <c r="H441" i="5"/>
  <c r="I441" i="5" s="1"/>
  <c r="C441" i="5"/>
  <c r="I434" i="5"/>
  <c r="I392" i="5"/>
  <c r="I371" i="5"/>
  <c r="I425" i="5"/>
  <c r="I304" i="5"/>
  <c r="I288" i="5"/>
  <c r="I272" i="5"/>
  <c r="W29" i="6"/>
  <c r="X29" i="6" s="1"/>
  <c r="R29" i="6"/>
  <c r="R88" i="6"/>
  <c r="AC88" i="6"/>
  <c r="AD88" i="6" s="1"/>
  <c r="W88" i="6"/>
  <c r="X88" i="6" s="1"/>
  <c r="W166" i="5"/>
  <c r="X166" i="5" s="1"/>
  <c r="W193" i="5"/>
  <c r="X193" i="5" s="1"/>
  <c r="W197" i="5"/>
  <c r="X197" i="5" s="1"/>
  <c r="W209" i="5"/>
  <c r="X209" i="5" s="1"/>
  <c r="U284" i="5"/>
  <c r="C368" i="5"/>
  <c r="N368" i="5"/>
  <c r="O368" i="5" s="1"/>
  <c r="N396" i="5"/>
  <c r="O396" i="5" s="1"/>
  <c r="H429" i="5"/>
  <c r="I429" i="5" s="1"/>
  <c r="C429" i="5"/>
  <c r="R263" i="5"/>
  <c r="W263" i="5"/>
  <c r="X263" i="5" s="1"/>
  <c r="H193" i="6"/>
  <c r="I193" i="6" s="1"/>
  <c r="N193" i="6"/>
  <c r="O193" i="6" s="1"/>
  <c r="H262" i="5"/>
  <c r="I262" i="5" s="1"/>
  <c r="X300" i="5"/>
  <c r="I318" i="5"/>
  <c r="X320" i="5"/>
  <c r="AD331" i="5"/>
  <c r="X333" i="5"/>
  <c r="AD337" i="5"/>
  <c r="I347" i="5"/>
  <c r="I353" i="5"/>
  <c r="AD366" i="5"/>
  <c r="AD381" i="5"/>
  <c r="X383" i="5"/>
  <c r="I394" i="5"/>
  <c r="AD401" i="5"/>
  <c r="I426" i="5"/>
  <c r="W236" i="6"/>
  <c r="X236" i="6" s="1"/>
  <c r="U236" i="6"/>
  <c r="C18" i="7"/>
  <c r="N18" i="7"/>
  <c r="O18" i="7" s="1"/>
  <c r="H18" i="7"/>
  <c r="I18" i="7" s="1"/>
  <c r="AC62" i="7"/>
  <c r="AD62" i="7" s="1"/>
  <c r="W62" i="7"/>
  <c r="X62" i="7" s="1"/>
  <c r="R62" i="7"/>
  <c r="X389" i="5"/>
  <c r="X371" i="5"/>
  <c r="X360" i="5"/>
  <c r="X317" i="5"/>
  <c r="N73" i="6"/>
  <c r="O73" i="6" s="1"/>
  <c r="B345" i="6"/>
  <c r="I420" i="5"/>
  <c r="I423" i="5"/>
  <c r="U428" i="5"/>
  <c r="U442" i="5"/>
  <c r="AC62" i="6"/>
  <c r="AD62" i="6" s="1"/>
  <c r="AA172" i="6"/>
  <c r="Z198" i="6"/>
  <c r="W166" i="6"/>
  <c r="X166" i="6" s="1"/>
  <c r="AC166" i="6"/>
  <c r="AD166" i="6" s="1"/>
  <c r="C198" i="6"/>
  <c r="F262" i="6"/>
  <c r="H262" i="6"/>
  <c r="I262" i="6" s="1"/>
  <c r="N343" i="6"/>
  <c r="O343" i="6" s="1"/>
  <c r="H343" i="6"/>
  <c r="I343" i="6" s="1"/>
  <c r="H428" i="5"/>
  <c r="I428" i="5" s="1"/>
  <c r="I432" i="5"/>
  <c r="AA118" i="6"/>
  <c r="AA124" i="6"/>
  <c r="I440" i="5"/>
  <c r="H18" i="6"/>
  <c r="I18" i="6" s="1"/>
  <c r="U18" i="6"/>
  <c r="H62" i="6"/>
  <c r="I62" i="6" s="1"/>
  <c r="F197" i="6"/>
  <c r="H197" i="6"/>
  <c r="I197" i="6" s="1"/>
  <c r="R218" i="6"/>
  <c r="W218" i="6"/>
  <c r="X218" i="6" s="1"/>
  <c r="AC218" i="6"/>
  <c r="AD218" i="6" s="1"/>
  <c r="AD277" i="5"/>
  <c r="AD311" i="5"/>
  <c r="X313" i="5"/>
  <c r="I329" i="5"/>
  <c r="I334" i="5"/>
  <c r="I349" i="5"/>
  <c r="AD352" i="5"/>
  <c r="I361" i="5"/>
  <c r="X363" i="5"/>
  <c r="I376" i="5"/>
  <c r="AD386" i="5"/>
  <c r="X398" i="5"/>
  <c r="X413" i="5"/>
  <c r="I416" i="5"/>
  <c r="AD425" i="5"/>
  <c r="X427" i="5"/>
  <c r="C62" i="6"/>
  <c r="N118" i="6"/>
  <c r="O118" i="6" s="1"/>
  <c r="L124" i="6"/>
  <c r="K172" i="6"/>
  <c r="N171" i="6"/>
  <c r="O171" i="6" s="1"/>
  <c r="L171" i="6"/>
  <c r="C172" i="6"/>
  <c r="AC124" i="6"/>
  <c r="AD124" i="6" s="1"/>
  <c r="E198" i="6"/>
  <c r="H198" i="6" s="1"/>
  <c r="I198" i="6" s="1"/>
  <c r="H295" i="6"/>
  <c r="I295" i="6" s="1"/>
  <c r="I382" i="6"/>
  <c r="I378" i="6"/>
  <c r="I374" i="6"/>
  <c r="I438" i="6"/>
  <c r="I410" i="6"/>
  <c r="I363" i="6"/>
  <c r="I402" i="6"/>
  <c r="I426" i="6"/>
  <c r="I355" i="6"/>
  <c r="I351" i="6"/>
  <c r="I333" i="6"/>
  <c r="I315" i="6"/>
  <c r="I300" i="6"/>
  <c r="I234" i="6"/>
  <c r="I222" i="6"/>
  <c r="I217" i="6"/>
  <c r="I165" i="6"/>
  <c r="I153" i="6"/>
  <c r="I328" i="6"/>
  <c r="I291" i="6"/>
  <c r="I284" i="6"/>
  <c r="I260" i="6"/>
  <c r="I257" i="6"/>
  <c r="I244" i="6"/>
  <c r="I337" i="6"/>
  <c r="I226" i="6"/>
  <c r="I157" i="6"/>
  <c r="I133" i="6"/>
  <c r="I422" i="6"/>
  <c r="I331" i="6"/>
  <c r="I311" i="6"/>
  <c r="I301" i="6"/>
  <c r="I279" i="6"/>
  <c r="I261" i="6"/>
  <c r="I299" i="6"/>
  <c r="C118" i="6"/>
  <c r="N122" i="6"/>
  <c r="O122" i="6" s="1"/>
  <c r="AC122" i="6"/>
  <c r="AD122" i="6" s="1"/>
  <c r="R172" i="6"/>
  <c r="AC172" i="6"/>
  <c r="AD172" i="6" s="1"/>
  <c r="N166" i="6"/>
  <c r="O166" i="6" s="1"/>
  <c r="H166" i="6"/>
  <c r="I166" i="6" s="1"/>
  <c r="C170" i="6"/>
  <c r="H170" i="6"/>
  <c r="I170" i="6" s="1"/>
  <c r="AC342" i="6"/>
  <c r="AD342" i="6" s="1"/>
  <c r="W342" i="6"/>
  <c r="X342" i="6" s="1"/>
  <c r="R358" i="6"/>
  <c r="W358" i="6"/>
  <c r="X358" i="6" s="1"/>
  <c r="AC358" i="6"/>
  <c r="AD358" i="6" s="1"/>
  <c r="R124" i="6"/>
  <c r="U158" i="6"/>
  <c r="C166" i="6"/>
  <c r="U172" i="6"/>
  <c r="U182" i="6"/>
  <c r="R197" i="6"/>
  <c r="AC197" i="6"/>
  <c r="AD197" i="6" s="1"/>
  <c r="W197" i="6"/>
  <c r="X197" i="6" s="1"/>
  <c r="Q198" i="6"/>
  <c r="C218" i="6"/>
  <c r="AC284" i="6"/>
  <c r="AD284" i="6" s="1"/>
  <c r="W284" i="6"/>
  <c r="X284" i="6" s="1"/>
  <c r="R342" i="6"/>
  <c r="T345" i="6"/>
  <c r="U198" i="6"/>
  <c r="AC149" i="6"/>
  <c r="AD149" i="6" s="1"/>
  <c r="AA149" i="6"/>
  <c r="W172" i="6"/>
  <c r="X172" i="6" s="1"/>
  <c r="H263" i="6"/>
  <c r="I263" i="6" s="1"/>
  <c r="F263" i="6"/>
  <c r="N428" i="6"/>
  <c r="O428" i="6" s="1"/>
  <c r="L428" i="6"/>
  <c r="I314" i="5"/>
  <c r="AD340" i="5"/>
  <c r="I385" i="5"/>
  <c r="AD417" i="5"/>
  <c r="H124" i="6"/>
  <c r="I124" i="6" s="1"/>
  <c r="U124" i="6"/>
  <c r="W193" i="6"/>
  <c r="X193" i="6" s="1"/>
  <c r="R193" i="6"/>
  <c r="I297" i="6"/>
  <c r="I304" i="6"/>
  <c r="I308" i="6"/>
  <c r="I320" i="6"/>
  <c r="I324" i="6"/>
  <c r="AC263" i="6"/>
  <c r="AD263" i="6" s="1"/>
  <c r="W263" i="6"/>
  <c r="X263" i="6" s="1"/>
  <c r="C342" i="6"/>
  <c r="N342" i="6"/>
  <c r="O342" i="6" s="1"/>
  <c r="H342" i="6"/>
  <c r="I342" i="6" s="1"/>
  <c r="R403" i="6"/>
  <c r="AC403" i="6"/>
  <c r="AD403" i="6" s="1"/>
  <c r="W403" i="6"/>
  <c r="X403" i="6" s="1"/>
  <c r="I258" i="6"/>
  <c r="N267" i="6"/>
  <c r="O267" i="6" s="1"/>
  <c r="N273" i="6"/>
  <c r="O273" i="6" s="1"/>
  <c r="I309" i="6"/>
  <c r="I334" i="6"/>
  <c r="I357" i="6"/>
  <c r="I371" i="6"/>
  <c r="I383" i="6"/>
  <c r="I437" i="6"/>
  <c r="AC148" i="6"/>
  <c r="AD148" i="6" s="1"/>
  <c r="N149" i="6"/>
  <c r="O149" i="6" s="1"/>
  <c r="AC171" i="6"/>
  <c r="AD171" i="6" s="1"/>
  <c r="I187" i="6"/>
  <c r="I265" i="6"/>
  <c r="AC267" i="6"/>
  <c r="AD267" i="6" s="1"/>
  <c r="AC273" i="6"/>
  <c r="AD273" i="6" s="1"/>
  <c r="I289" i="6"/>
  <c r="AC295" i="6"/>
  <c r="AD295" i="6" s="1"/>
  <c r="I303" i="6"/>
  <c r="I318" i="6"/>
  <c r="I369" i="6"/>
  <c r="I420" i="6"/>
  <c r="I136" i="6"/>
  <c r="N141" i="6"/>
  <c r="O141" i="6" s="1"/>
  <c r="I167" i="6"/>
  <c r="C171" i="6"/>
  <c r="N196" i="6"/>
  <c r="O196" i="6" s="1"/>
  <c r="I201" i="6"/>
  <c r="I254" i="6"/>
  <c r="I298" i="6"/>
  <c r="N324" i="6"/>
  <c r="O324" i="6" s="1"/>
  <c r="N325" i="6"/>
  <c r="O325" i="6" s="1"/>
  <c r="I392" i="6"/>
  <c r="R396" i="6"/>
  <c r="AC396" i="6"/>
  <c r="AD396" i="6" s="1"/>
  <c r="W396" i="6"/>
  <c r="X396" i="6" s="1"/>
  <c r="F29" i="7"/>
  <c r="H29" i="7"/>
  <c r="I29" i="7" s="1"/>
  <c r="AC141" i="6"/>
  <c r="AD141" i="6" s="1"/>
  <c r="N158" i="6"/>
  <c r="O158" i="6" s="1"/>
  <c r="R171" i="6"/>
  <c r="L182" i="6"/>
  <c r="I194" i="6"/>
  <c r="AC196" i="6"/>
  <c r="AD196" i="6" s="1"/>
  <c r="L197" i="6"/>
  <c r="N209" i="6"/>
  <c r="O209" i="6" s="1"/>
  <c r="AA209" i="6"/>
  <c r="I214" i="6"/>
  <c r="N227" i="6"/>
  <c r="O227" i="6" s="1"/>
  <c r="AA227" i="6"/>
  <c r="N236" i="6"/>
  <c r="O236" i="6" s="1"/>
  <c r="AC236" i="6"/>
  <c r="AD236" i="6" s="1"/>
  <c r="I281" i="6"/>
  <c r="C325" i="6"/>
  <c r="I339" i="6"/>
  <c r="N368" i="6"/>
  <c r="O368" i="6" s="1"/>
  <c r="I433" i="6"/>
  <c r="N442" i="6"/>
  <c r="O442" i="6" s="1"/>
  <c r="I132" i="6"/>
  <c r="I156" i="6"/>
  <c r="AC182" i="6"/>
  <c r="AD182" i="6" s="1"/>
  <c r="I225" i="6"/>
  <c r="I250" i="6"/>
  <c r="N263" i="6"/>
  <c r="O263" i="6" s="1"/>
  <c r="N295" i="6"/>
  <c r="O295" i="6" s="1"/>
  <c r="W325" i="6"/>
  <c r="X325" i="6" s="1"/>
  <c r="I341" i="6"/>
  <c r="H344" i="6"/>
  <c r="I344" i="6" s="1"/>
  <c r="C344" i="6"/>
  <c r="W344" i="6"/>
  <c r="X344" i="6" s="1"/>
  <c r="I377" i="6"/>
  <c r="AC393" i="6"/>
  <c r="AD393" i="6" s="1"/>
  <c r="I414" i="6"/>
  <c r="AC429" i="6"/>
  <c r="AD429" i="6" s="1"/>
  <c r="I144" i="6"/>
  <c r="W148" i="6"/>
  <c r="X148" i="6" s="1"/>
  <c r="I269" i="6"/>
  <c r="W273" i="6"/>
  <c r="X273" i="6" s="1"/>
  <c r="I293" i="6"/>
  <c r="C295" i="6"/>
  <c r="I302" i="6"/>
  <c r="I310" i="6"/>
  <c r="I312" i="6"/>
  <c r="I319" i="6"/>
  <c r="H325" i="6"/>
  <c r="I325" i="6" s="1"/>
  <c r="I375" i="6"/>
  <c r="R368" i="6"/>
  <c r="AC368" i="6"/>
  <c r="AD368" i="6" s="1"/>
  <c r="I381" i="6"/>
  <c r="I412" i="6"/>
  <c r="R428" i="6"/>
  <c r="W428" i="6"/>
  <c r="X428" i="6" s="1"/>
  <c r="I429" i="6"/>
  <c r="I440" i="6"/>
  <c r="I347" i="6"/>
  <c r="I350" i="6"/>
  <c r="I365" i="6"/>
  <c r="I398" i="6"/>
  <c r="I418" i="6"/>
  <c r="X438" i="6"/>
  <c r="X420" i="6"/>
  <c r="X402" i="6"/>
  <c r="X382" i="6"/>
  <c r="X375" i="6"/>
  <c r="X436" i="6"/>
  <c r="X427" i="6"/>
  <c r="X418" i="6"/>
  <c r="X411" i="6"/>
  <c r="X400" i="6"/>
  <c r="X426" i="6"/>
  <c r="X419" i="6"/>
  <c r="X410" i="6"/>
  <c r="X390" i="6"/>
  <c r="X372" i="6"/>
  <c r="X363" i="6"/>
  <c r="X355" i="6"/>
  <c r="X347" i="6"/>
  <c r="C40" i="7"/>
  <c r="N40" i="7"/>
  <c r="O40" i="7" s="1"/>
  <c r="H40" i="7"/>
  <c r="I40" i="7" s="1"/>
  <c r="I352" i="6"/>
  <c r="W368" i="6"/>
  <c r="X368" i="6" s="1"/>
  <c r="I370" i="6"/>
  <c r="I376" i="6"/>
  <c r="I394" i="6"/>
  <c r="I421" i="6"/>
  <c r="I432" i="6"/>
  <c r="I434" i="6"/>
  <c r="H441" i="6"/>
  <c r="I441" i="6" s="1"/>
  <c r="W441" i="6"/>
  <c r="X441" i="6" s="1"/>
  <c r="AA61" i="7"/>
  <c r="AC61" i="7"/>
  <c r="AD61" i="7" s="1"/>
  <c r="I354" i="6"/>
  <c r="I358" i="6"/>
  <c r="I372" i="6"/>
  <c r="I385" i="6"/>
  <c r="I388" i="6"/>
  <c r="I396" i="6"/>
  <c r="I423" i="6"/>
  <c r="C441" i="6"/>
  <c r="AC441" i="6"/>
  <c r="AD441" i="6" s="1"/>
  <c r="AA441" i="6"/>
  <c r="N284" i="6"/>
  <c r="O284" i="6" s="1"/>
  <c r="I306" i="6"/>
  <c r="I322" i="6"/>
  <c r="W343" i="6"/>
  <c r="X343" i="6" s="1"/>
  <c r="I390" i="6"/>
  <c r="R393" i="6"/>
  <c r="W393" i="6"/>
  <c r="X393" i="6" s="1"/>
  <c r="H403" i="6"/>
  <c r="I403" i="6" s="1"/>
  <c r="I413" i="6"/>
  <c r="I415" i="6"/>
  <c r="I419" i="6"/>
  <c r="AC428" i="6"/>
  <c r="AD428" i="6" s="1"/>
  <c r="R429" i="6"/>
  <c r="C442" i="6"/>
  <c r="H442" i="6"/>
  <c r="I442" i="6" s="1"/>
  <c r="R18" i="7"/>
  <c r="I330" i="6"/>
  <c r="X333" i="6"/>
  <c r="I349" i="6"/>
  <c r="X351" i="6"/>
  <c r="N358" i="6"/>
  <c r="O358" i="6" s="1"/>
  <c r="I360" i="6"/>
  <c r="I362" i="6"/>
  <c r="I366" i="6"/>
  <c r="H368" i="6"/>
  <c r="I368" i="6" s="1"/>
  <c r="X371" i="6"/>
  <c r="X377" i="6"/>
  <c r="X383" i="6"/>
  <c r="N396" i="6"/>
  <c r="O396" i="6" s="1"/>
  <c r="I397" i="6"/>
  <c r="I401" i="6"/>
  <c r="I407" i="6"/>
  <c r="X433" i="6"/>
  <c r="X435" i="6"/>
  <c r="I439" i="6"/>
  <c r="F88" i="7"/>
  <c r="H88" i="7"/>
  <c r="I88" i="7" s="1"/>
  <c r="C158" i="7"/>
  <c r="N158" i="7"/>
  <c r="O158" i="7" s="1"/>
  <c r="H158" i="7"/>
  <c r="I158" i="7" s="1"/>
  <c r="I353" i="6"/>
  <c r="I361" i="6"/>
  <c r="I379" i="6"/>
  <c r="I399" i="6"/>
  <c r="I408" i="6"/>
  <c r="I417" i="6"/>
  <c r="I424" i="6"/>
  <c r="I435" i="6"/>
  <c r="L61" i="7"/>
  <c r="AA73" i="7"/>
  <c r="AC88" i="7"/>
  <c r="AD88" i="7" s="1"/>
  <c r="N197" i="7"/>
  <c r="O197" i="7" s="1"/>
  <c r="H197" i="7"/>
  <c r="I197" i="7" s="1"/>
  <c r="C197" i="7"/>
  <c r="U172" i="7"/>
  <c r="T198" i="7"/>
  <c r="R172" i="7"/>
  <c r="AC172" i="7"/>
  <c r="AD172" i="7" s="1"/>
  <c r="Q198" i="7"/>
  <c r="W172" i="7"/>
  <c r="X172" i="7" s="1"/>
  <c r="F62" i="7"/>
  <c r="N73" i="7"/>
  <c r="O73" i="7" s="1"/>
  <c r="H118" i="7"/>
  <c r="I118" i="7" s="1"/>
  <c r="C118" i="7"/>
  <c r="W149" i="7"/>
  <c r="X149" i="7" s="1"/>
  <c r="U149" i="7"/>
  <c r="F193" i="7"/>
  <c r="H193" i="7"/>
  <c r="I193" i="7" s="1"/>
  <c r="I409" i="6"/>
  <c r="I416" i="6"/>
  <c r="I425" i="6"/>
  <c r="AC29" i="7"/>
  <c r="AD29" i="7" s="1"/>
  <c r="W61" i="7"/>
  <c r="X61" i="7" s="1"/>
  <c r="W122" i="7"/>
  <c r="X122" i="7" s="1"/>
  <c r="U122" i="7"/>
  <c r="U197" i="7"/>
  <c r="W197" i="7"/>
  <c r="X197" i="7" s="1"/>
  <c r="I356" i="6"/>
  <c r="I364" i="6"/>
  <c r="I373" i="6"/>
  <c r="I380" i="6"/>
  <c r="I391" i="6"/>
  <c r="I400" i="6"/>
  <c r="N403" i="6"/>
  <c r="O403" i="6" s="1"/>
  <c r="I411" i="6"/>
  <c r="I427" i="6"/>
  <c r="I436" i="6"/>
  <c r="N29" i="7"/>
  <c r="O29" i="7" s="1"/>
  <c r="N62" i="7"/>
  <c r="O62" i="7" s="1"/>
  <c r="W88" i="7"/>
  <c r="X88" i="7" s="1"/>
  <c r="L172" i="7"/>
  <c r="K198" i="7"/>
  <c r="F166" i="7"/>
  <c r="H166" i="7"/>
  <c r="I166" i="7" s="1"/>
  <c r="U170" i="7"/>
  <c r="W170" i="7"/>
  <c r="X170" i="7" s="1"/>
  <c r="R182" i="7"/>
  <c r="AC182" i="7"/>
  <c r="AD182" i="7" s="1"/>
  <c r="W182" i="7"/>
  <c r="X182" i="7" s="1"/>
  <c r="H122" i="7"/>
  <c r="I122" i="7" s="1"/>
  <c r="N148" i="7"/>
  <c r="O148" i="7" s="1"/>
  <c r="W158" i="7"/>
  <c r="X158" i="7" s="1"/>
  <c r="N196" i="7"/>
  <c r="O196" i="7" s="1"/>
  <c r="AC209" i="7"/>
  <c r="AD209" i="7" s="1"/>
  <c r="AC218" i="7"/>
  <c r="AD218" i="7" s="1"/>
  <c r="F141" i="7"/>
  <c r="AC158" i="7"/>
  <c r="AD158" i="7" s="1"/>
  <c r="H170" i="7"/>
  <c r="I170" i="7" s="1"/>
  <c r="E172" i="7"/>
  <c r="N124" i="7"/>
  <c r="O124" i="7" s="1"/>
  <c r="AC124" i="7"/>
  <c r="AD124" i="7" s="1"/>
  <c r="AC141" i="7"/>
  <c r="AD141" i="7" s="1"/>
  <c r="AC149" i="7"/>
  <c r="AD149" i="7" s="1"/>
  <c r="N166" i="7"/>
  <c r="O166" i="7" s="1"/>
  <c r="AC170" i="7"/>
  <c r="AD170" i="7" s="1"/>
  <c r="R171" i="7"/>
  <c r="Z172" i="7"/>
  <c r="H182" i="7"/>
  <c r="I182" i="7" s="1"/>
  <c r="N193" i="7"/>
  <c r="O193" i="7" s="1"/>
  <c r="R218" i="7"/>
  <c r="N122" i="7"/>
  <c r="O122" i="7" s="1"/>
  <c r="C148" i="7"/>
  <c r="W148" i="7"/>
  <c r="X148" i="7" s="1"/>
  <c r="W196" i="7"/>
  <c r="X196" i="7" s="1"/>
  <c r="B198" i="7"/>
  <c r="H227" i="7"/>
  <c r="I227" i="7" s="1"/>
  <c r="N227" i="7"/>
  <c r="O227" i="7" s="1"/>
  <c r="C227" i="7"/>
  <c r="H196" i="7"/>
  <c r="I196" i="7" s="1"/>
  <c r="W209" i="7"/>
  <c r="X209" i="7" s="1"/>
  <c r="N172" i="7"/>
  <c r="O172" i="7" s="1"/>
  <c r="N182" i="7"/>
  <c r="O182" i="7" s="1"/>
  <c r="AC196" i="7"/>
  <c r="AD196" i="7" s="1"/>
  <c r="F218" i="7"/>
  <c r="W325" i="7"/>
  <c r="X325" i="7" s="1"/>
  <c r="N262" i="7"/>
  <c r="O262" i="7" s="1"/>
  <c r="AC263" i="7"/>
  <c r="AD263" i="7" s="1"/>
  <c r="U324" i="7"/>
  <c r="R263" i="7"/>
  <c r="AC267" i="7"/>
  <c r="AD267" i="7" s="1"/>
  <c r="W284" i="7"/>
  <c r="X284" i="7" s="1"/>
  <c r="H295" i="7"/>
  <c r="I295" i="7" s="1"/>
  <c r="H267" i="7"/>
  <c r="I267" i="7" s="1"/>
  <c r="R267" i="7"/>
  <c r="R325" i="7"/>
  <c r="H342" i="7"/>
  <c r="I342" i="7" s="1"/>
  <c r="W358" i="7"/>
  <c r="X358" i="7" s="1"/>
  <c r="U358" i="7"/>
  <c r="AC236" i="7"/>
  <c r="AD236" i="7" s="1"/>
  <c r="N263" i="7"/>
  <c r="O263" i="7" s="1"/>
  <c r="N267" i="7"/>
  <c r="O267" i="7" s="1"/>
  <c r="AC284" i="7"/>
  <c r="AD284" i="7" s="1"/>
  <c r="N295" i="7"/>
  <c r="O295" i="7" s="1"/>
  <c r="H368" i="7"/>
  <c r="I368" i="7" s="1"/>
  <c r="AC429" i="7"/>
  <c r="AD429" i="7" s="1"/>
  <c r="N358" i="7"/>
  <c r="O358" i="7" s="1"/>
  <c r="C441" i="7"/>
  <c r="C342" i="7"/>
  <c r="R342" i="7"/>
  <c r="W342" i="7"/>
  <c r="X342" i="7" s="1"/>
  <c r="AC343" i="7"/>
  <c r="AD343" i="7" s="1"/>
  <c r="N368" i="7"/>
  <c r="O368" i="7" s="1"/>
  <c r="R344" i="7"/>
  <c r="W344" i="7"/>
  <c r="X344" i="7" s="1"/>
  <c r="AC358" i="7"/>
  <c r="AD358" i="7" s="1"/>
  <c r="R368" i="7"/>
  <c r="W368" i="7"/>
  <c r="X368" i="7" s="1"/>
  <c r="R429" i="7"/>
  <c r="N441" i="7"/>
  <c r="O441" i="7" s="1"/>
  <c r="W393" i="7"/>
  <c r="X393" i="7" s="1"/>
  <c r="W396" i="7"/>
  <c r="X396" i="7" s="1"/>
  <c r="W403" i="7"/>
  <c r="X403" i="7" s="1"/>
  <c r="H429" i="7"/>
  <c r="I429" i="7" s="1"/>
  <c r="AC441" i="7"/>
  <c r="AD441" i="7" s="1"/>
  <c r="W442" i="7"/>
  <c r="X442" i="7" s="1"/>
  <c r="N393" i="7"/>
  <c r="O393" i="7" s="1"/>
  <c r="N396" i="7"/>
  <c r="O396" i="7" s="1"/>
  <c r="N403" i="7"/>
  <c r="O403" i="7" s="1"/>
  <c r="AC428" i="7"/>
  <c r="AD428" i="7" s="1"/>
  <c r="N442" i="7"/>
  <c r="O442" i="7" s="1"/>
  <c r="U441" i="7"/>
  <c r="AC393" i="7"/>
  <c r="AD393" i="7" s="1"/>
  <c r="AC396" i="7"/>
  <c r="AD396" i="7" s="1"/>
  <c r="AC403" i="7"/>
  <c r="AD403" i="7" s="1"/>
  <c r="N429" i="7"/>
  <c r="O429" i="7" s="1"/>
  <c r="AC442" i="7"/>
  <c r="AD442" i="7" s="1"/>
  <c r="Q345" i="7" l="1"/>
  <c r="R198" i="7"/>
  <c r="W198" i="7"/>
  <c r="X198" i="7" s="1"/>
  <c r="T345" i="4"/>
  <c r="U198" i="4"/>
  <c r="W198" i="4"/>
  <c r="X198" i="4" s="1"/>
  <c r="R198" i="4"/>
  <c r="Q345" i="4"/>
  <c r="AC172" i="3"/>
  <c r="AD172" i="3" s="1"/>
  <c r="R172" i="3"/>
  <c r="Q198" i="3"/>
  <c r="W172" i="3"/>
  <c r="X172" i="3" s="1"/>
  <c r="AA345" i="1"/>
  <c r="Z404" i="1"/>
  <c r="Q198" i="2"/>
  <c r="AC172" i="2"/>
  <c r="AD172" i="2" s="1"/>
  <c r="R172" i="2"/>
  <c r="W172" i="2"/>
  <c r="X172" i="2" s="1"/>
  <c r="C198" i="5"/>
  <c r="B345" i="5"/>
  <c r="N198" i="5"/>
  <c r="O198" i="5" s="1"/>
  <c r="U345" i="5"/>
  <c r="T404" i="5"/>
  <c r="K198" i="5"/>
  <c r="L172" i="5"/>
  <c r="AA172" i="2"/>
  <c r="Z198" i="2"/>
  <c r="F172" i="7"/>
  <c r="E198" i="7"/>
  <c r="T345" i="7"/>
  <c r="U198" i="7"/>
  <c r="Q345" i="6"/>
  <c r="W198" i="6"/>
  <c r="X198" i="6" s="1"/>
  <c r="AC198" i="6"/>
  <c r="AD198" i="6" s="1"/>
  <c r="R198" i="6"/>
  <c r="B404" i="6"/>
  <c r="C345" i="6"/>
  <c r="AA172" i="4"/>
  <c r="Z198" i="4"/>
  <c r="E198" i="4"/>
  <c r="F172" i="4"/>
  <c r="B198" i="3"/>
  <c r="C172" i="3"/>
  <c r="H172" i="3"/>
  <c r="I172" i="3" s="1"/>
  <c r="N172" i="3"/>
  <c r="O172" i="3" s="1"/>
  <c r="F172" i="3"/>
  <c r="E198" i="3"/>
  <c r="K198" i="6"/>
  <c r="L172" i="6"/>
  <c r="Z345" i="6"/>
  <c r="AA198" i="6"/>
  <c r="E198" i="5"/>
  <c r="H198" i="5" s="1"/>
  <c r="I198" i="5" s="1"/>
  <c r="F172" i="5"/>
  <c r="E345" i="1"/>
  <c r="H345" i="1" s="1"/>
  <c r="I345" i="1" s="1"/>
  <c r="F198" i="1"/>
  <c r="F198" i="2"/>
  <c r="E345" i="2"/>
  <c r="H172" i="7"/>
  <c r="I172" i="7" s="1"/>
  <c r="B345" i="7"/>
  <c r="C198" i="7"/>
  <c r="H198" i="7"/>
  <c r="I198" i="7" s="1"/>
  <c r="N198" i="7"/>
  <c r="O198" i="7" s="1"/>
  <c r="AA172" i="7"/>
  <c r="Z198" i="7"/>
  <c r="Z404" i="3"/>
  <c r="AA345" i="3"/>
  <c r="Q198" i="1"/>
  <c r="AC172" i="1"/>
  <c r="AD172" i="1" s="1"/>
  <c r="W172" i="1"/>
  <c r="X172" i="1" s="1"/>
  <c r="R172" i="1"/>
  <c r="L345" i="2"/>
  <c r="K404" i="2"/>
  <c r="B404" i="1"/>
  <c r="C345" i="1"/>
  <c r="R345" i="5"/>
  <c r="Q404" i="5"/>
  <c r="W345" i="5"/>
  <c r="X345" i="5" s="1"/>
  <c r="T198" i="3"/>
  <c r="U172" i="3"/>
  <c r="U172" i="1"/>
  <c r="T198" i="1"/>
  <c r="T404" i="6"/>
  <c r="U345" i="6"/>
  <c r="E345" i="6"/>
  <c r="H345" i="6" s="1"/>
  <c r="I345" i="6" s="1"/>
  <c r="F198" i="6"/>
  <c r="K345" i="7"/>
  <c r="L198" i="7"/>
  <c r="K345" i="1"/>
  <c r="L198" i="1"/>
  <c r="N172" i="6"/>
  <c r="O172" i="6" s="1"/>
  <c r="AA172" i="5"/>
  <c r="AC172" i="5"/>
  <c r="AD172" i="5" s="1"/>
  <c r="Z198" i="5"/>
  <c r="C198" i="4"/>
  <c r="N198" i="4"/>
  <c r="O198" i="4" s="1"/>
  <c r="B345" i="4"/>
  <c r="H198" i="4"/>
  <c r="I198" i="4" s="1"/>
  <c r="L198" i="3"/>
  <c r="K345" i="3"/>
  <c r="C345" i="2"/>
  <c r="B404" i="2"/>
  <c r="N345" i="2"/>
  <c r="O345" i="2" s="1"/>
  <c r="H345" i="2"/>
  <c r="I345" i="2" s="1"/>
  <c r="B404" i="4" l="1"/>
  <c r="C345" i="4"/>
  <c r="N345" i="4"/>
  <c r="O345" i="4" s="1"/>
  <c r="K404" i="1"/>
  <c r="L345" i="1"/>
  <c r="Q345" i="1"/>
  <c r="AC198" i="1"/>
  <c r="AD198" i="1" s="1"/>
  <c r="W198" i="1"/>
  <c r="X198" i="1" s="1"/>
  <c r="R198" i="1"/>
  <c r="C345" i="7"/>
  <c r="B404" i="7"/>
  <c r="N345" i="7"/>
  <c r="O345" i="7" s="1"/>
  <c r="E345" i="7"/>
  <c r="F198" i="7"/>
  <c r="Z443" i="1"/>
  <c r="AA443" i="1" s="1"/>
  <c r="AA404" i="1"/>
  <c r="T345" i="3"/>
  <c r="U198" i="3"/>
  <c r="C404" i="2"/>
  <c r="B443" i="2"/>
  <c r="N404" i="2"/>
  <c r="O404" i="2" s="1"/>
  <c r="F345" i="6"/>
  <c r="E404" i="6"/>
  <c r="H404" i="6" s="1"/>
  <c r="I404" i="6" s="1"/>
  <c r="K404" i="3"/>
  <c r="L345" i="3"/>
  <c r="N345" i="1"/>
  <c r="O345" i="1" s="1"/>
  <c r="AA345" i="6"/>
  <c r="Z404" i="6"/>
  <c r="B345" i="3"/>
  <c r="N198" i="3"/>
  <c r="O198" i="3" s="1"/>
  <c r="C198" i="3"/>
  <c r="H198" i="3"/>
  <c r="I198" i="3" s="1"/>
  <c r="C404" i="6"/>
  <c r="B443" i="6"/>
  <c r="N345" i="5"/>
  <c r="O345" i="5" s="1"/>
  <c r="B404" i="5"/>
  <c r="H345" i="5"/>
  <c r="I345" i="5" s="1"/>
  <c r="C345" i="5"/>
  <c r="N404" i="1"/>
  <c r="O404" i="1" s="1"/>
  <c r="B443" i="1"/>
  <c r="C404" i="1"/>
  <c r="Z443" i="3"/>
  <c r="AA443" i="3" s="1"/>
  <c r="AA404" i="3"/>
  <c r="F345" i="2"/>
  <c r="E404" i="2"/>
  <c r="H404" i="2" s="1"/>
  <c r="I404" i="2" s="1"/>
  <c r="Z345" i="2"/>
  <c r="AA198" i="2"/>
  <c r="L404" i="2"/>
  <c r="K443" i="2"/>
  <c r="L443" i="2" s="1"/>
  <c r="Z345" i="7"/>
  <c r="AA198" i="7"/>
  <c r="L198" i="6"/>
  <c r="K345" i="6"/>
  <c r="N198" i="6"/>
  <c r="O198" i="6" s="1"/>
  <c r="F198" i="4"/>
  <c r="E345" i="4"/>
  <c r="AC198" i="3"/>
  <c r="AD198" i="3" s="1"/>
  <c r="Q345" i="3"/>
  <c r="R198" i="3"/>
  <c r="W198" i="3"/>
  <c r="X198" i="3" s="1"/>
  <c r="T404" i="4"/>
  <c r="U345" i="4"/>
  <c r="R404" i="5"/>
  <c r="Q443" i="5"/>
  <c r="W404" i="5"/>
  <c r="X404" i="5" s="1"/>
  <c r="E345" i="3"/>
  <c r="F198" i="3"/>
  <c r="Z345" i="4"/>
  <c r="AA198" i="4"/>
  <c r="AC198" i="7"/>
  <c r="AD198" i="7" s="1"/>
  <c r="E404" i="1"/>
  <c r="F345" i="1"/>
  <c r="R345" i="6"/>
  <c r="W345" i="6"/>
  <c r="X345" i="6" s="1"/>
  <c r="Q404" i="6"/>
  <c r="AC345" i="6"/>
  <c r="AD345" i="6" s="1"/>
  <c r="K345" i="5"/>
  <c r="L198" i="5"/>
  <c r="L345" i="7"/>
  <c r="K404" i="7"/>
  <c r="AA198" i="5"/>
  <c r="Z345" i="5"/>
  <c r="AC198" i="5"/>
  <c r="AD198" i="5" s="1"/>
  <c r="U404" i="6"/>
  <c r="T443" i="6"/>
  <c r="U443" i="6" s="1"/>
  <c r="U404" i="5"/>
  <c r="T443" i="5"/>
  <c r="U443" i="5" s="1"/>
  <c r="W345" i="4"/>
  <c r="X345" i="4" s="1"/>
  <c r="Q404" i="4"/>
  <c r="R345" i="4"/>
  <c r="AC345" i="4"/>
  <c r="AD345" i="4" s="1"/>
  <c r="U198" i="1"/>
  <c r="T345" i="1"/>
  <c r="E345" i="5"/>
  <c r="F198" i="5"/>
  <c r="T404" i="7"/>
  <c r="U345" i="7"/>
  <c r="R198" i="2"/>
  <c r="Q345" i="2"/>
  <c r="W198" i="2"/>
  <c r="X198" i="2" s="1"/>
  <c r="AC198" i="2"/>
  <c r="AD198" i="2" s="1"/>
  <c r="AC198" i="4"/>
  <c r="AD198" i="4" s="1"/>
  <c r="Q404" i="7"/>
  <c r="AC345" i="7"/>
  <c r="AD345" i="7" s="1"/>
  <c r="R345" i="7"/>
  <c r="W345" i="7"/>
  <c r="X345" i="7" s="1"/>
  <c r="W404" i="4" l="1"/>
  <c r="X404" i="4" s="1"/>
  <c r="Q443" i="4"/>
  <c r="R404" i="4"/>
  <c r="W345" i="3"/>
  <c r="X345" i="3" s="1"/>
  <c r="Q404" i="3"/>
  <c r="R345" i="3"/>
  <c r="AC345" i="3"/>
  <c r="AD345" i="3" s="1"/>
  <c r="Z404" i="7"/>
  <c r="AA345" i="7"/>
  <c r="B404" i="3"/>
  <c r="N345" i="3"/>
  <c r="O345" i="3" s="1"/>
  <c r="H345" i="3"/>
  <c r="I345" i="3" s="1"/>
  <c r="C345" i="3"/>
  <c r="Z443" i="6"/>
  <c r="AA443" i="6" s="1"/>
  <c r="AA404" i="6"/>
  <c r="C443" i="2"/>
  <c r="N443" i="2"/>
  <c r="O443" i="2" s="1"/>
  <c r="E404" i="7"/>
  <c r="F345" i="7"/>
  <c r="Q404" i="1"/>
  <c r="AC345" i="1"/>
  <c r="AD345" i="1" s="1"/>
  <c r="R345" i="1"/>
  <c r="W345" i="1"/>
  <c r="X345" i="1" s="1"/>
  <c r="E443" i="1"/>
  <c r="F443" i="1" s="1"/>
  <c r="F404" i="1"/>
  <c r="E404" i="4"/>
  <c r="H404" i="4" s="1"/>
  <c r="I404" i="4" s="1"/>
  <c r="F345" i="4"/>
  <c r="C443" i="1"/>
  <c r="C443" i="6"/>
  <c r="H345" i="7"/>
  <c r="I345" i="7" s="1"/>
  <c r="E404" i="5"/>
  <c r="F345" i="5"/>
  <c r="H404" i="1"/>
  <c r="I404" i="1" s="1"/>
  <c r="K443" i="1"/>
  <c r="L443" i="1" s="1"/>
  <c r="L404" i="1"/>
  <c r="W443" i="5"/>
  <c r="X443" i="5" s="1"/>
  <c r="R443" i="5"/>
  <c r="W404" i="7"/>
  <c r="X404" i="7" s="1"/>
  <c r="R404" i="7"/>
  <c r="Q443" i="7"/>
  <c r="AC404" i="7"/>
  <c r="AD404" i="7" s="1"/>
  <c r="U345" i="1"/>
  <c r="T404" i="1"/>
  <c r="K404" i="5"/>
  <c r="L345" i="5"/>
  <c r="AA345" i="2"/>
  <c r="Z404" i="2"/>
  <c r="H404" i="7"/>
  <c r="I404" i="7" s="1"/>
  <c r="B443" i="7"/>
  <c r="N404" i="7"/>
  <c r="O404" i="7" s="1"/>
  <c r="C404" i="7"/>
  <c r="U404" i="7"/>
  <c r="T443" i="7"/>
  <c r="U443" i="7" s="1"/>
  <c r="L404" i="7"/>
  <c r="K443" i="7"/>
  <c r="L443" i="7" s="1"/>
  <c r="Z404" i="4"/>
  <c r="AA345" i="4"/>
  <c r="U404" i="4"/>
  <c r="T443" i="4"/>
  <c r="U443" i="4" s="1"/>
  <c r="K404" i="6"/>
  <c r="L345" i="6"/>
  <c r="N345" i="6"/>
  <c r="O345" i="6" s="1"/>
  <c r="F404" i="2"/>
  <c r="E443" i="2"/>
  <c r="F443" i="2" s="1"/>
  <c r="K443" i="3"/>
  <c r="L443" i="3" s="1"/>
  <c r="L404" i="3"/>
  <c r="T404" i="3"/>
  <c r="U345" i="3"/>
  <c r="F404" i="6"/>
  <c r="E443" i="6"/>
  <c r="F443" i="6" s="1"/>
  <c r="B443" i="4"/>
  <c r="C404" i="4"/>
  <c r="N404" i="4"/>
  <c r="O404" i="4" s="1"/>
  <c r="R345" i="2"/>
  <c r="Q404" i="2"/>
  <c r="AC345" i="2"/>
  <c r="AD345" i="2" s="1"/>
  <c r="W345" i="2"/>
  <c r="X345" i="2" s="1"/>
  <c r="R404" i="6"/>
  <c r="W404" i="6"/>
  <c r="X404" i="6" s="1"/>
  <c r="AC404" i="6"/>
  <c r="AD404" i="6" s="1"/>
  <c r="Q443" i="6"/>
  <c r="Z404" i="5"/>
  <c r="AA345" i="5"/>
  <c r="AC345" i="5"/>
  <c r="AD345" i="5" s="1"/>
  <c r="F345" i="3"/>
  <c r="E404" i="3"/>
  <c r="B443" i="5"/>
  <c r="N404" i="5"/>
  <c r="O404" i="5" s="1"/>
  <c r="C404" i="5"/>
  <c r="H404" i="5"/>
  <c r="I404" i="5" s="1"/>
  <c r="H345" i="4"/>
  <c r="I345" i="4" s="1"/>
  <c r="R443" i="6" l="1"/>
  <c r="W443" i="6"/>
  <c r="X443" i="6" s="1"/>
  <c r="AC443" i="6"/>
  <c r="AD443" i="6" s="1"/>
  <c r="H443" i="7"/>
  <c r="I443" i="7" s="1"/>
  <c r="C443" i="7"/>
  <c r="N443" i="7"/>
  <c r="O443" i="7" s="1"/>
  <c r="N443" i="1"/>
  <c r="O443" i="1" s="1"/>
  <c r="T443" i="3"/>
  <c r="U443" i="3" s="1"/>
  <c r="U404" i="3"/>
  <c r="U404" i="1"/>
  <c r="T443" i="1"/>
  <c r="U443" i="1" s="1"/>
  <c r="C443" i="5"/>
  <c r="Z443" i="4"/>
  <c r="AA443" i="4" s="1"/>
  <c r="AA404" i="4"/>
  <c r="W443" i="7"/>
  <c r="X443" i="7" s="1"/>
  <c r="R443" i="7"/>
  <c r="AC443" i="7"/>
  <c r="AD443" i="7" s="1"/>
  <c r="H443" i="1"/>
  <c r="I443" i="1" s="1"/>
  <c r="AA404" i="2"/>
  <c r="Z443" i="2"/>
  <c r="AA443" i="2" s="1"/>
  <c r="Q443" i="1"/>
  <c r="AC404" i="1"/>
  <c r="AD404" i="1" s="1"/>
  <c r="R404" i="1"/>
  <c r="W404" i="1"/>
  <c r="X404" i="1" s="1"/>
  <c r="AC404" i="3"/>
  <c r="AD404" i="3" s="1"/>
  <c r="Q443" i="3"/>
  <c r="W404" i="3"/>
  <c r="X404" i="3" s="1"/>
  <c r="R404" i="3"/>
  <c r="N443" i="4"/>
  <c r="O443" i="4" s="1"/>
  <c r="C443" i="4"/>
  <c r="E443" i="5"/>
  <c r="F443" i="5" s="1"/>
  <c r="F404" i="5"/>
  <c r="E443" i="3"/>
  <c r="F443" i="3" s="1"/>
  <c r="F404" i="3"/>
  <c r="E443" i="4"/>
  <c r="F443" i="4" s="1"/>
  <c r="F404" i="4"/>
  <c r="F404" i="7"/>
  <c r="E443" i="7"/>
  <c r="F443" i="7" s="1"/>
  <c r="AC404" i="4"/>
  <c r="AD404" i="4" s="1"/>
  <c r="R404" i="2"/>
  <c r="Q443" i="2"/>
  <c r="AC404" i="2"/>
  <c r="AD404" i="2" s="1"/>
  <c r="W404" i="2"/>
  <c r="X404" i="2" s="1"/>
  <c r="L404" i="6"/>
  <c r="K443" i="6"/>
  <c r="N404" i="6"/>
  <c r="O404" i="6" s="1"/>
  <c r="K443" i="5"/>
  <c r="L443" i="5" s="1"/>
  <c r="L404" i="5"/>
  <c r="H404" i="3"/>
  <c r="I404" i="3" s="1"/>
  <c r="N404" i="3"/>
  <c r="O404" i="3" s="1"/>
  <c r="B443" i="3"/>
  <c r="C404" i="3"/>
  <c r="W443" i="4"/>
  <c r="X443" i="4" s="1"/>
  <c r="R443" i="4"/>
  <c r="Z443" i="5"/>
  <c r="AA404" i="5"/>
  <c r="AC404" i="5"/>
  <c r="AD404" i="5" s="1"/>
  <c r="H443" i="6"/>
  <c r="I443" i="6" s="1"/>
  <c r="H443" i="2"/>
  <c r="I443" i="2" s="1"/>
  <c r="AA404" i="7"/>
  <c r="Z443" i="7"/>
  <c r="AA443" i="7" s="1"/>
  <c r="AC443" i="1" l="1"/>
  <c r="AD443" i="1" s="1"/>
  <c r="R443" i="1"/>
  <c r="W443" i="1"/>
  <c r="X443" i="1" s="1"/>
  <c r="L443" i="6"/>
  <c r="N443" i="6"/>
  <c r="O443" i="6" s="1"/>
  <c r="H443" i="4"/>
  <c r="I443" i="4" s="1"/>
  <c r="N443" i="5"/>
  <c r="O443" i="5" s="1"/>
  <c r="H443" i="5"/>
  <c r="I443" i="5" s="1"/>
  <c r="R443" i="2"/>
  <c r="AC443" i="2"/>
  <c r="AD443" i="2" s="1"/>
  <c r="W443" i="2"/>
  <c r="X443" i="2" s="1"/>
  <c r="AA443" i="5"/>
  <c r="AC443" i="5"/>
  <c r="AD443" i="5" s="1"/>
  <c r="H443" i="3"/>
  <c r="I443" i="3" s="1"/>
  <c r="C443" i="3"/>
  <c r="N443" i="3"/>
  <c r="O443" i="3" s="1"/>
  <c r="AC443" i="3"/>
  <c r="AD443" i="3" s="1"/>
  <c r="W443" i="3"/>
  <c r="X443" i="3" s="1"/>
  <c r="R443" i="3"/>
  <c r="AC443" i="4"/>
  <c r="AD443" i="4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<sst xmlns="http://schemas.openxmlformats.org/spreadsheetml/2006/main" count="3934" uniqueCount="417">
  <si>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</si>
  <si>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03/30/2025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</si>
  <si>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</si>
  <si>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</si>
  <si>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</si>
  <si>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</si>
  <si>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</si>
  <si>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</si>
  <si>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</si>
  <si>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</si>
  <si>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</si>
  <si>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</si>
  <si>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</si>
  <si>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</si>
  <si>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</si>
  <si>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</si>
  <si>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</si>
  <si>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</si>
  <si>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</si>
  <si>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</si>
  <si>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</si>
  <si>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</si>
  <si>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</si>
  <si>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</si>
  <si>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</si>
  <si>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</si>
  <si>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</si>
  <si>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</si>
  <si>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</si>
  <si>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</si>
  <si>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</si>
  <si>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</si>
  <si>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</si>
  <si>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</si>
  <si>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</si>
  <si>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</si>
  <si>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</si>
  <si>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</si>
  <si>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</si>
  <si>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</si>
  <si>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</si>
  <si>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</si>
  <si>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</si>
  <si>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</si>
  <si>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</si>
  <si>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</si>
  <si>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</si>
  <si>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</si>
  <si>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</si>
  <si>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</si>
  <si>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</si>
  <si>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</si>
  <si>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</si>
  <si>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</si>
  <si>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</si>
  <si>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</si>
  <si>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</si>
  <si>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</si>
  <si>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</si>
  <si>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</si>
  <si>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</si>
  <si>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</si>
  <si>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</si>
  <si>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</si>
  <si>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</si>
  <si>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</si>
  <si>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</si>
  <si>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</si>
  <si>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</si>
  <si>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</si>
  <si>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</si>
  <si>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</si>
  <si>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</si>
  <si>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</si>
  <si>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</si>
  <si>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</si>
  <si>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</si>
  <si>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</si>
  <si>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</si>
  <si>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</si>
  <si>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</si>
  <si>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</si>
  <si>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</si>
  <si>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</si>
  <si>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</si>
  <si>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</si>
  <si>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</si>
  <si>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</si>
  <si>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</si>
  <si>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</si>
  <si>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</si>
  <si>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</si>
  <si>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</si>
  <si>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</si>
  <si>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</si>
  <si>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</si>
  <si>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</si>
  <si>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</si>
  <si>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</si>
  <si>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</si>
  <si>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</si>
  <si>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</si>
  <si>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</si>
  <si>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</si>
  <si>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</si>
  <si>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</si>
  <si>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</si>
  <si>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</si>
  <si>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</si>
  <si>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</si>
  <si>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</si>
  <si>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</si>
  <si>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</si>
  <si>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</si>
  <si>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</si>
  <si>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</si>
  <si>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</si>
  <si>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</si>
  <si>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</si>
  <si>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</si>
  <si>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</si>
  <si>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</si>
  <si>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</si>
  <si>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</si>
  <si>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</si>
  <si>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</si>
  <si>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</si>
  <si>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</si>
  <si>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</si>
  <si>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</si>
  <si>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</si>
  <si>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</si>
  <si>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</si>
  <si>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</si>
  <si>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</si>
  <si>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</si>
  <si>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</si>
  <si>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</si>
  <si>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</si>
  <si>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</si>
  <si>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</si>
  <si>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</si>
  <si>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</si>
  <si>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</si>
  <si>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</si>
  <si>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</si>
  <si>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</si>
  <si>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</si>
  <si>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</si>
  <si>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</si>
  <si>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</si>
  <si>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</si>
  <si>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</si>
  <si>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</si>
  <si>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</si>
  <si>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</si>
  <si>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</si>
  <si>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</si>
  <si>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</si>
  <si>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</si>
  <si>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</si>
  <si>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</si>
  <si>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</si>
  <si>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</si>
  <si>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</si>
  <si>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</si>
  <si>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</si>
  <si>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</si>
  <si>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</si>
  <si>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</si>
  <si>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</si>
  <si>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</si>
  <si>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</si>
  <si>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</si>
  <si>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</si>
  <si>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</si>
  <si>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</si>
  <si>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</si>
  <si>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</si>
  <si>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</si>
  <si>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</si>
  <si>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</si>
  <si>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</si>
  <si>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</si>
  <si>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</si>
  <si>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</si>
  <si>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</si>
  <si>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</si>
  <si>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</si>
  <si>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</si>
  <si>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</si>
  <si>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</si>
  <si>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</si>
  <si>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</si>
  <si>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</si>
  <si>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</si>
  <si>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</si>
  <si>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</si>
  <si>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</si>
  <si>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</si>
  <si>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</si>
  <si>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</si>
  <si>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</si>
  <si>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</si>
  <si>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</si>
  <si>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</si>
  <si>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</si>
  <si>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</si>
  <si>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</si>
  <si>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</si>
  <si>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</si>
  <si>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</si>
  <si>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</si>
  <si>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</si>
  <si>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</si>
  <si>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</si>
  <si>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</si>
  <si>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</si>
  <si>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</si>
  <si>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</si>
  <si>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</si>
  <si>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</si>
  <si>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</si>
  <si>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</si>
  <si>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</si>
  <si>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</si>
  <si>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</si>
  <si>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</si>
  <si>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</si>
  <si>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</si>
  <si>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</si>
  <si>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</si>
  <si>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</si>
  <si>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</si>
  <si>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</si>
  <si>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</si>
  <si>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</si>
  <si>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</si>
  <si>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</si>
  <si>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</si>
  <si>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</si>
  <si>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</si>
  <si>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</si>
  <si>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</si>
  <si>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</si>
  <si>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</si>
  <si>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</si>
  <si>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</si>
  <si>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</si>
  <si>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</si>
  <si>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</si>
  <si>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</si>
  <si>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</si>
  <si>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</si>
  <si>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</si>
  <si>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</si>
  <si>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</si>
  <si>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</si>
  <si>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</si>
  <si>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</si>
  <si>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</si>
  <si>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</si>
  <si>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</si>
  <si>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</si>
  <si>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</si>
  <si>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</si>
  <si>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</si>
  <si>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</si>
  <si>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</si>
  <si>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</si>
  <si>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</si>
  <si>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</si>
  <si>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</si>
  <si>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</si>
  <si>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</si>
  <si>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</si>
  <si>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</si>
  <si>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</si>
  <si>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</si>
  <si>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</si>
  <si>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</si>
  <si>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</si>
  <si>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</si>
  <si>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</si>
  <si>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</si>
  <si>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</si>
  <si>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</si>
  <si>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</si>
  <si>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</si>
  <si>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</si>
  <si>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</si>
  <si>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</si>
  <si>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</si>
  <si>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</si>
  <si>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</si>
  <si>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</si>
  <si>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</si>
  <si>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</si>
  <si>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</si>
  <si>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</si>
  <si>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</si>
  <si>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</si>
  <si>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</si>
  <si>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</si>
  <si>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</si>
  <si>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</si>
  <si>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</si>
  <si>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</si>
  <si>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</si>
  <si>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</si>
  <si>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</si>
  <si>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</si>
  <si>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</si>
  <si>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</si>
  <si>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</si>
  <si>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</si>
  <si>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</si>
  <si>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</si>
  <si>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</si>
  <si>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</si>
  <si>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</si>
  <si>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</si>
  <si>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</si>
  <si>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</si>
  <si>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</si>
  <si>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</si>
  <si>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</si>
  <si>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</si>
  <si>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</si>
  <si>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</si>
  <si>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</si>
  <si>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</si>
  <si>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</si>
  <si>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</si>
  <si>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</si>
  <si>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</si>
  <si>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</si>
  <si>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</si>
  <si>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</si>
  <si>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</si>
  <si>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</si>
  <si>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</si>
  <si>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</si>
  <si>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</si>
  <si>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</si>
  <si>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</si>
  <si>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</si>
  <si>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</si>
  <si>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</si>
  <si>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</si>
  <si>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</si>
  <si>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</si>
  <si>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</si>
  <si>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</si>
  <si>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</si>
  <si>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</si>
  <si>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</si>
  <si>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</si>
  <si>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</si>
  <si>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</si>
  <si>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</si>
  <si>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</si>
  <si>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</si>
  <si>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</si>
  <si>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</si>
  <si>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</si>
  <si>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</si>
  <si>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</si>
  <si>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</si>
  <si>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</si>
  <si>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</si>
  <si>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</si>
  <si>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</si>
  <si>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</si>
  <si>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</si>
  <si>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</si>
  <si>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</si>
  <si>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</si>
  <si>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</si>
  <si>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</si>
  <si>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</si>
  <si>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</si>
  <si>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</si>
  <si>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</si>
  <si>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</si>
  <si>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</si>
  <si>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</si>
  <si>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</si>
  <si>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</si>
  <si>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</si>
  <si>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</si>
  <si>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</si>
  <si>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</si>
  <si>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</si>
  <si>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</si>
  <si>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</si>
  <si>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</si>
  <si>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</si>
  <si>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</si>
  <si>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</si>
  <si>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</si>
  <si>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</si>
  <si>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</si>
  <si>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</si>
  <si>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</si>
  <si>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</si>
  <si>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</si>
  <si>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</si>
  <si>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</si>
  <si>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</si>
  <si>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06:50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</si>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</sst>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306002.65000000002</v>
      </c>
      <c r="F10" s="8">
        <f>IFERROR(E10/E444, "NA")</f>
        <v>0.45981279259937424</v>
      </c>
      <c r="G10" s="9"/>
      <c r="H10" s="10">
        <f t="shared" ref="H10:H19" si="0">IFERROR(B10-E10, "NA")</f>
        <v>-306002.65000000002</v>
      </c>
      <c r="I10" s="8">
        <f>IFERROR(H10/H444, "NA")</f>
        <v>-3.8296746907251573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687130.28</v>
      </c>
      <c r="U10" s="8">
        <f>IFERROR(T10/T444, "NA")</f>
        <v>0.45761136766564664</v>
      </c>
      <c r="V10" s="9"/>
      <c r="W10" s="10">
        <f t="shared" ref="W10:W19" si="2">IFERROR(Q10-T10, "NA")</f>
        <v>-687130.28</v>
      </c>
      <c r="X10" s="8">
        <f>IFERROR(W10/W444, "NA")</f>
        <v>-4.3617490890465387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308410.74000000005</v>
      </c>
      <c r="C11" s="8">
        <f>IFERROR(B11/B444, "NA")</f>
        <v>0.41375364750245924</v>
      </c>
      <c r="D11" s="9"/>
      <c r="E11" s="7">
        <v>0</v>
      </c>
      <c r="F11" s="8">
        <f>IFERROR(E11/E444, "NA")</f>
        <v>0</v>
      </c>
      <c r="G11" s="9"/>
      <c r="H11" s="10">
        <f t="shared" si="0"/>
        <v>308410.74000000005</v>
      </c>
      <c r="I11" s="8">
        <f>IFERROR(H11/H444, "NA")</f>
        <v>3.8598123425591804</v>
      </c>
      <c r="J11" s="9"/>
      <c r="K11" s="7">
        <v>283022.28999999998</v>
      </c>
      <c r="L11" s="8">
        <f>IFERROR(K11/K444, "NA")</f>
        <v>0.48439175635637516</v>
      </c>
      <c r="M11" s="9"/>
      <c r="N11" s="10">
        <f t="shared" si="1"/>
        <v>25388.45000000007</v>
      </c>
      <c r="O11" s="8">
        <f>IFERROR(N11/N444, "NA")</f>
        <v>0.15758147875691883</v>
      </c>
      <c r="P11" s="9"/>
      <c r="Q11" s="7">
        <v>641437.48</v>
      </c>
      <c r="R11" s="8">
        <f>IFERROR(Q11/Q444, "NA")</f>
        <v>0.38661911203974636</v>
      </c>
      <c r="S11" s="9"/>
      <c r="T11" s="7">
        <v>0</v>
      </c>
      <c r="U11" s="8">
        <f>IFERROR(T11/T444, "NA")</f>
        <v>0</v>
      </c>
      <c r="V11" s="9"/>
      <c r="W11" s="10">
        <f t="shared" si="2"/>
        <v>641437.48</v>
      </c>
      <c r="X11" s="8">
        <f>IFERROR(W11/W444, "NA")</f>
        <v>4.0717014305792301</v>
      </c>
      <c r="Y11" s="9"/>
      <c r="Z11" s="7">
        <v>643480.67999999993</v>
      </c>
      <c r="AA11" s="8">
        <f>IFERROR(Z11/Z444, "NA")</f>
        <v>0.47341727787457022</v>
      </c>
      <c r="AB11" s="9"/>
      <c r="AC11" s="10">
        <f t="shared" si="3"/>
        <v>-2043.1999999999534</v>
      </c>
      <c r="AD11" s="8">
        <f>IFERROR(AC11/AC444, "NA")</f>
        <v>-6.8136440019739043E-3</v>
      </c>
    </row>
    <row r="12" spans="1:30" ht="16.5" customHeight="1" x14ac:dyDescent="0.45">
      <c r="A12" s="12" t="s">
        <v>14</v>
      </c>
      <c r="B12" s="7">
        <v>33861.29</v>
      </c>
      <c r="C12" s="8">
        <f>IFERROR(B12/B444, "NA")</f>
        <v>4.5427186636362103E-2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33861.29</v>
      </c>
      <c r="I12" s="8">
        <f>IFERROR(H12/H444, "NA")</f>
        <v>0.42377974605221508</v>
      </c>
      <c r="J12" s="9"/>
      <c r="K12" s="7">
        <v>27967.75</v>
      </c>
      <c r="L12" s="8">
        <f>IFERROR(K12/K444, "NA")</f>
        <v>4.7866715882469935E-2</v>
      </c>
      <c r="M12" s="9"/>
      <c r="N12" s="10">
        <f t="shared" si="1"/>
        <v>5893.5400000000009</v>
      </c>
      <c r="O12" s="8">
        <f>IFERROR(N12/N444, "NA")</f>
        <v>3.6580127905132015E-2</v>
      </c>
      <c r="P12" s="9"/>
      <c r="Q12" s="7">
        <v>65850.89</v>
      </c>
      <c r="R12" s="8">
        <f>IFERROR(Q12/Q444, "NA")</f>
        <v>3.9690871538761684E-2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65850.89</v>
      </c>
      <c r="X12" s="8">
        <f>IFERROR(W12/W444, "NA")</f>
        <v>0.4180066980462625</v>
      </c>
      <c r="Y12" s="9"/>
      <c r="Z12" s="7">
        <v>60150.3</v>
      </c>
      <c r="AA12" s="8">
        <f>IFERROR(Z12/Z444, "NA")</f>
        <v>4.4253374148449598E-2</v>
      </c>
      <c r="AB12" s="9"/>
      <c r="AC12" s="10">
        <f t="shared" si="3"/>
        <v>5700.5899999999965</v>
      </c>
      <c r="AD12" s="8">
        <f>IFERROR(AC12/AC444, "NA")</f>
        <v>1.9010273522520202E-2</v>
      </c>
    </row>
    <row r="13" spans="1:30" ht="16.5" customHeight="1" x14ac:dyDescent="0.45">
      <c r="A13" s="12" t="s">
        <v>15</v>
      </c>
      <c r="B13" s="7">
        <v>1578.5</v>
      </c>
      <c r="C13" s="8">
        <f>IFERROR(B13/B444, "NA")</f>
        <v>2.1176633880604541E-3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1578.5</v>
      </c>
      <c r="I13" s="8">
        <f>IFERROR(H13/H444, "NA")</f>
        <v>1.9755193294272649E-2</v>
      </c>
      <c r="J13" s="9"/>
      <c r="K13" s="7">
        <v>1247.27</v>
      </c>
      <c r="L13" s="8">
        <f>IFERROR(K13/K444, "NA")</f>
        <v>2.1346986696723289E-3</v>
      </c>
      <c r="M13" s="9"/>
      <c r="N13" s="10">
        <f t="shared" si="1"/>
        <v>331.23</v>
      </c>
      <c r="O13" s="8">
        <f>IFERROR(N13/N444, "NA")</f>
        <v>2.0558841996519712E-3</v>
      </c>
      <c r="P13" s="9"/>
      <c r="Q13" s="7">
        <v>2602.5</v>
      </c>
      <c r="R13" s="8">
        <f>IFERROR(Q13/Q444, "NA")</f>
        <v>1.5686271389745419E-3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2602.5</v>
      </c>
      <c r="X13" s="8">
        <f>IFERROR(W13/W444, "NA")</f>
        <v>1.6520086997539412E-2</v>
      </c>
      <c r="Y13" s="9"/>
      <c r="Z13" s="7">
        <v>2551.7600000000002</v>
      </c>
      <c r="AA13" s="8">
        <f>IFERROR(Z13/Z444, "NA")</f>
        <v>1.8773637042050952E-3</v>
      </c>
      <c r="AB13" s="9"/>
      <c r="AC13" s="10">
        <f t="shared" si="3"/>
        <v>50.739999999999782</v>
      </c>
      <c r="AD13" s="8">
        <f>IFERROR(AC13/AC444, "NA")</f>
        <v>1.6920727127063543E-4</v>
      </c>
    </row>
    <row r="14" spans="1:30" ht="16.5" customHeight="1" x14ac:dyDescent="0.45">
      <c r="A14" s="12" t="s">
        <v>16</v>
      </c>
      <c r="B14" s="7">
        <v>2595</v>
      </c>
      <c r="C14" s="8">
        <f>IFERROR(B14/B444, "NA")</f>
        <v>3.4813661653575411E-3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2595</v>
      </c>
      <c r="I14" s="8">
        <f>IFERROR(H14/H444, "NA")</f>
        <v>3.2476861956691493E-2</v>
      </c>
      <c r="J14" s="9"/>
      <c r="K14" s="7">
        <v>3545</v>
      </c>
      <c r="L14" s="8">
        <f>IFERROR(K14/K444, "NA")</f>
        <v>6.0672563149826468E-3</v>
      </c>
      <c r="M14" s="9"/>
      <c r="N14" s="10">
        <f t="shared" si="1"/>
        <v>-950</v>
      </c>
      <c r="O14" s="8">
        <f>IFERROR(N14/N444, "NA")</f>
        <v>-5.8964767372199755E-3</v>
      </c>
      <c r="P14" s="9"/>
      <c r="Q14" s="7">
        <v>4885</v>
      </c>
      <c r="R14" s="8">
        <f>IFERROR(Q14/Q444, "NA")</f>
        <v>2.944377934251926E-3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4885</v>
      </c>
      <c r="X14" s="8">
        <f>IFERROR(W14/W444, "NA")</f>
        <v>3.1008885680299723E-2</v>
      </c>
      <c r="Y14" s="9"/>
      <c r="Z14" s="7">
        <v>7300.99</v>
      </c>
      <c r="AA14" s="8">
        <f>IFERROR(Z14/Z444, "NA")</f>
        <v>5.371435256749991E-3</v>
      </c>
      <c r="AB14" s="9"/>
      <c r="AC14" s="10">
        <f t="shared" si="3"/>
        <v>-2415.9899999999998</v>
      </c>
      <c r="AD14" s="8">
        <f>IFERROR(AC14/AC444, "NA")</f>
        <v>-8.0568205620249154E-3</v>
      </c>
    </row>
    <row r="15" spans="1:30" ht="16.5" customHeight="1" x14ac:dyDescent="0.45">
      <c r="A15" s="12" t="s">
        <v>17</v>
      </c>
      <c r="B15" s="7">
        <v>292.5</v>
      </c>
      <c r="C15" s="8">
        <f>IFERROR(B15/B444, "NA")</f>
        <v>3.9240832499694826E-4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292.5</v>
      </c>
      <c r="I15" s="8">
        <f>IFERROR(H15/H444, "NA")</f>
        <v>3.6606867523438389E-3</v>
      </c>
      <c r="J15" s="9"/>
      <c r="K15" s="7">
        <v>360</v>
      </c>
      <c r="L15" s="8">
        <f>IFERROR(K15/K444, "NA")</f>
        <v>6.1613886414492328E-4</v>
      </c>
      <c r="M15" s="9"/>
      <c r="N15" s="10">
        <f t="shared" si="1"/>
        <v>-67.5</v>
      </c>
      <c r="O15" s="8">
        <f>IFERROR(N15/N444, "NA")</f>
        <v>-4.1896018922352456E-4</v>
      </c>
      <c r="P15" s="9"/>
      <c r="Q15" s="7">
        <v>669</v>
      </c>
      <c r="R15" s="8">
        <f>IFERROR(Q15/Q444, "NA")</f>
        <v>4.0323210604187071E-4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669</v>
      </c>
      <c r="X15" s="8">
        <f>IFERROR(W15/W444, "NA")</f>
        <v>4.2466621330850595E-3</v>
      </c>
      <c r="Y15" s="9"/>
      <c r="Z15" s="7">
        <v>887</v>
      </c>
      <c r="AA15" s="8">
        <f>IFERROR(Z15/Z444, "NA")</f>
        <v>6.5257767408765689E-4</v>
      </c>
      <c r="AB15" s="9"/>
      <c r="AC15" s="10">
        <f t="shared" si="3"/>
        <v>-218</v>
      </c>
      <c r="AD15" s="8">
        <f>IFERROR(AC15/AC444, "NA")</f>
        <v>-7.269843345880701E-4</v>
      </c>
    </row>
    <row r="16" spans="1:30" ht="16.5" customHeight="1" x14ac:dyDescent="0.45">
      <c r="A16" s="12" t="s">
        <v>18</v>
      </c>
      <c r="B16" s="7">
        <v>1.35</v>
      </c>
      <c r="C16" s="8">
        <f>IFERROR(B16/B444, "NA")</f>
        <v>1.8111153461397614E-6</v>
      </c>
      <c r="D16" s="9"/>
      <c r="E16" s="7">
        <v>0</v>
      </c>
      <c r="F16" s="8">
        <f>IFERROR(E16/E444, "NA")</f>
        <v>0</v>
      </c>
      <c r="G16" s="9"/>
      <c r="H16" s="10">
        <f t="shared" si="0"/>
        <v>1.35</v>
      </c>
      <c r="I16" s="8">
        <f>IFERROR(H16/H444, "NA")</f>
        <v>1.6895477318510028E-5</v>
      </c>
      <c r="J16" s="9"/>
      <c r="K16" s="7">
        <v>0</v>
      </c>
      <c r="L16" s="8">
        <f>IFERROR(K16/K444, "NA")</f>
        <v>0</v>
      </c>
      <c r="M16" s="9"/>
      <c r="N16" s="10">
        <f t="shared" si="1"/>
        <v>1.35</v>
      </c>
      <c r="O16" s="8">
        <f>IFERROR(N16/N444, "NA")</f>
        <v>8.3792037844704916E-6</v>
      </c>
      <c r="P16" s="9"/>
      <c r="Q16" s="7">
        <v>3.0500000000000003</v>
      </c>
      <c r="R16" s="8">
        <f>IFERROR(Q16/Q444, "NA")</f>
        <v>1.8383526508635364E-6</v>
      </c>
      <c r="S16" s="9"/>
      <c r="T16" s="7">
        <v>0</v>
      </c>
      <c r="U16" s="8">
        <f>IFERROR(T16/T444, "NA")</f>
        <v>0</v>
      </c>
      <c r="V16" s="9"/>
      <c r="W16" s="10">
        <f t="shared" si="2"/>
        <v>3.0500000000000003</v>
      </c>
      <c r="X16" s="8">
        <f>IFERROR(W16/W444, "NA")</f>
        <v>1.9360716750238314E-5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3.0500000000000003</v>
      </c>
      <c r="AD16" s="8">
        <f>IFERROR(AC16/AC444, "NA")</f>
        <v>1.0171111103181717E-5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346739.38</v>
      </c>
      <c r="C18" s="15">
        <f>IFERROR(B18/B444, "NA")</f>
        <v>0.46517408313258235</v>
      </c>
      <c r="D18" s="2"/>
      <c r="E18" s="14">
        <f>IFERROR(E10+E11+E12+E13+E14+E15+E16+E17, "NA")</f>
        <v>306002.65000000002</v>
      </c>
      <c r="F18" s="15">
        <f>IFERROR(E18/E444, "NA")</f>
        <v>0.45981279259937424</v>
      </c>
      <c r="G18" s="2"/>
      <c r="H18" s="14">
        <f t="shared" si="0"/>
        <v>40736.729999999981</v>
      </c>
      <c r="I18" s="15">
        <f>IFERROR(H18/H444, "NA")</f>
        <v>0.50982703536686413</v>
      </c>
      <c r="J18" s="2"/>
      <c r="K18" s="14">
        <f>IFERROR(K10+K11+K12+K13+K14+K15+K16+K17, "NA")</f>
        <v>316142.31</v>
      </c>
      <c r="L18" s="15">
        <f>IFERROR(K18/K444, "NA")</f>
        <v>0.54107656608764498</v>
      </c>
      <c r="M18" s="2"/>
      <c r="N18" s="14">
        <f t="shared" si="1"/>
        <v>30597.070000000007</v>
      </c>
      <c r="O18" s="15">
        <f>IFERROR(N18/N444, "NA")</f>
        <v>0.18991043313904341</v>
      </c>
      <c r="P18" s="2"/>
      <c r="Q18" s="14">
        <f>IFERROR(Q10+Q11+Q12+Q13+Q14+Q15+Q16+Q17, "NA")</f>
        <v>715447.92</v>
      </c>
      <c r="R18" s="15">
        <f>IFERROR(Q18/Q444, "NA")</f>
        <v>0.43122805911042733</v>
      </c>
      <c r="S18" s="2"/>
      <c r="T18" s="14">
        <f>IFERROR(T10+T11+T12+T13+T14+T15+T16+T17, "NA")</f>
        <v>687130.28</v>
      </c>
      <c r="U18" s="15">
        <f>IFERROR(T18/T444, "NA")</f>
        <v>0.45761136766564664</v>
      </c>
      <c r="V18" s="2"/>
      <c r="W18" s="14">
        <f t="shared" si="2"/>
        <v>28317.640000000014</v>
      </c>
      <c r="X18" s="15">
        <f>IFERROR(W18/W444, "NA")</f>
        <v>0.1797540351066291</v>
      </c>
      <c r="Y18" s="2"/>
      <c r="Z18" s="14">
        <f>IFERROR(Z10+Z11+Z12+Z13+Z14+Z15+Z16+Z17, "NA")</f>
        <v>714370.73</v>
      </c>
      <c r="AA18" s="15">
        <f>IFERROR(Z18/Z444, "NA")</f>
        <v>0.52557202865806263</v>
      </c>
      <c r="AB18" s="2"/>
      <c r="AC18" s="14">
        <f t="shared" si="3"/>
        <v>1077.1900000000605</v>
      </c>
      <c r="AD18" s="15">
        <f>IFERROR(AC18/AC444, "NA")</f>
        <v>3.5922030063071896E-3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55193.440000000002</v>
      </c>
      <c r="F21" s="8">
        <f>IFERROR(E21/E444, "NA")</f>
        <v>8.2936045748512321E-2</v>
      </c>
      <c r="G21" s="9"/>
      <c r="H21" s="10">
        <f t="shared" ref="H21:H29" si="4">IFERROR(B21-E21, "NA")</f>
        <v>-55193.440000000002</v>
      </c>
      <c r="I21" s="8">
        <f>IFERROR(H21/H444, "NA")</f>
        <v>-0.69075519529669926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123909.26</v>
      </c>
      <c r="U21" s="8">
        <f>IFERROR(T21/T444, "NA")</f>
        <v>8.2520429655695282E-2</v>
      </c>
      <c r="V21" s="9"/>
      <c r="W21" s="10">
        <f t="shared" ref="W21:W29" si="6">IFERROR(Q21-T21, "NA")</f>
        <v>-123909.26</v>
      </c>
      <c r="X21" s="8">
        <f>IFERROR(W21/W444, "NA")</f>
        <v>-0.78654822478414232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44842.100000000006</v>
      </c>
      <c r="C22" s="8">
        <f>IFERROR(B22/B444, "NA")</f>
        <v>6.0158678120839845E-2</v>
      </c>
      <c r="D22" s="9"/>
      <c r="E22" s="7">
        <v>0</v>
      </c>
      <c r="F22" s="8">
        <f>IFERROR(E22/E444, "NA")</f>
        <v>0</v>
      </c>
      <c r="G22" s="9"/>
      <c r="H22" s="10">
        <f t="shared" si="4"/>
        <v>44842.100000000006</v>
      </c>
      <c r="I22" s="8">
        <f>IFERROR(H22/H444, "NA")</f>
        <v>0.56120643219582111</v>
      </c>
      <c r="J22" s="9"/>
      <c r="K22" s="7">
        <v>42186.149999999994</v>
      </c>
      <c r="L22" s="8">
        <f>IFERROR(K22/K444, "NA")</f>
        <v>7.2201462621242635E-2</v>
      </c>
      <c r="M22" s="9"/>
      <c r="N22" s="10">
        <f t="shared" si="5"/>
        <v>2655.9500000000116</v>
      </c>
      <c r="O22" s="8">
        <f>IFERROR(N22/N444, "NA")</f>
        <v>1.648499725286259E-2</v>
      </c>
      <c r="P22" s="9"/>
      <c r="Q22" s="7">
        <v>105276.95000000001</v>
      </c>
      <c r="R22" s="8">
        <f>IFERROR(Q22/Q444, "NA")</f>
        <v>6.3454478723714097E-2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105276.95000000001</v>
      </c>
      <c r="X22" s="8">
        <f>IFERROR(W22/W444, "NA")</f>
        <v>0.66827449484557433</v>
      </c>
      <c r="Y22" s="9"/>
      <c r="Z22" s="7">
        <v>101786.20000000001</v>
      </c>
      <c r="AA22" s="8">
        <f>IFERROR(Z22/Z444, "NA")</f>
        <v>7.4885458455717105E-2</v>
      </c>
      <c r="AB22" s="9"/>
      <c r="AC22" s="10">
        <f t="shared" si="7"/>
        <v>3490.75</v>
      </c>
      <c r="AD22" s="8">
        <f>IFERROR(AC22/AC444, "NA")</f>
        <v>1.1640920027354614E-2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8204.48</v>
      </c>
      <c r="C24" s="8">
        <f>IFERROR(B24/B444, "NA")</f>
        <v>1.1006858988960554E-2</v>
      </c>
      <c r="D24" s="9"/>
      <c r="E24" s="7">
        <v>0</v>
      </c>
      <c r="F24" s="8">
        <f>IFERROR(E24/E444, "NA")</f>
        <v>0</v>
      </c>
      <c r="G24" s="9"/>
      <c r="H24" s="10">
        <f t="shared" si="4"/>
        <v>8204.48</v>
      </c>
      <c r="I24" s="8">
        <f>IFERROR(H24/H444, "NA")</f>
        <v>0.10268044870382899</v>
      </c>
      <c r="J24" s="9"/>
      <c r="K24" s="7">
        <v>2057.7200000000003</v>
      </c>
      <c r="L24" s="8">
        <f>IFERROR(K24/K444, "NA")</f>
        <v>3.521781287578588E-3</v>
      </c>
      <c r="M24" s="9"/>
      <c r="N24" s="10">
        <f t="shared" si="5"/>
        <v>6146.7599999999993</v>
      </c>
      <c r="O24" s="8">
        <f>IFERROR(N24/N444, "NA")</f>
        <v>3.8151818262393951E-2</v>
      </c>
      <c r="P24" s="9"/>
      <c r="Q24" s="7">
        <v>18521.510000000002</v>
      </c>
      <c r="R24" s="8">
        <f>IFERROR(Q24/Q444, "NA")</f>
        <v>1.1163628526719836E-2</v>
      </c>
      <c r="S24" s="9"/>
      <c r="T24" s="7">
        <v>0</v>
      </c>
      <c r="U24" s="8">
        <f>IFERROR(T24/T444, "NA")</f>
        <v>0</v>
      </c>
      <c r="V24" s="9"/>
      <c r="W24" s="10">
        <f t="shared" si="6"/>
        <v>18521.510000000002</v>
      </c>
      <c r="X24" s="8">
        <f>IFERROR(W24/W444, "NA")</f>
        <v>0.11757039635957589</v>
      </c>
      <c r="Y24" s="9"/>
      <c r="Z24" s="7">
        <v>5567.6100000000006</v>
      </c>
      <c r="AA24" s="8">
        <f>IFERROR(Z24/Z444, "NA")</f>
        <v>4.096164581766832E-3</v>
      </c>
      <c r="AB24" s="9"/>
      <c r="AC24" s="10">
        <f t="shared" si="7"/>
        <v>12953.900000000001</v>
      </c>
      <c r="AD24" s="8">
        <f>IFERROR(AC24/AC444, "NA")</f>
        <v>4.3198542990001851E-2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4938.16</v>
      </c>
      <c r="C26" s="8">
        <f>IFERROR(B26/B444, "NA")</f>
        <v>6.6248721168100169E-3</v>
      </c>
      <c r="D26" s="9"/>
      <c r="E26" s="7">
        <v>0</v>
      </c>
      <c r="F26" s="8">
        <f>IFERROR(E26/E444, "NA")</f>
        <v>0</v>
      </c>
      <c r="G26" s="9"/>
      <c r="H26" s="10">
        <f t="shared" si="4"/>
        <v>4938.16</v>
      </c>
      <c r="I26" s="8">
        <f>IFERROR(H26/H444, "NA")</f>
        <v>6.1801903907535906E-2</v>
      </c>
      <c r="J26" s="9"/>
      <c r="K26" s="7">
        <v>629.63</v>
      </c>
      <c r="L26" s="8">
        <f>IFERROR(K26/K444, "NA")</f>
        <v>1.0776097584210224E-3</v>
      </c>
      <c r="M26" s="9"/>
      <c r="N26" s="10">
        <f t="shared" si="5"/>
        <v>4308.53</v>
      </c>
      <c r="O26" s="8">
        <f>IFERROR(N26/N444, "NA")</f>
        <v>2.674225991222566E-2</v>
      </c>
      <c r="P26" s="9"/>
      <c r="Q26" s="7">
        <v>9994.74</v>
      </c>
      <c r="R26" s="8">
        <f>IFERROR(Q26/Q444, "NA")</f>
        <v>6.024215335636662E-3</v>
      </c>
      <c r="S26" s="9"/>
      <c r="T26" s="7">
        <v>0</v>
      </c>
      <c r="U26" s="8">
        <f>IFERROR(T26/T444, "NA")</f>
        <v>0</v>
      </c>
      <c r="V26" s="9"/>
      <c r="W26" s="10">
        <f t="shared" si="6"/>
        <v>9994.74</v>
      </c>
      <c r="X26" s="8">
        <f>IFERROR(W26/W444, "NA")</f>
        <v>6.3444370535172739E-2</v>
      </c>
      <c r="Y26" s="9"/>
      <c r="Z26" s="7">
        <v>1529.22</v>
      </c>
      <c r="AA26" s="8">
        <f>IFERROR(Z26/Z444, "NA")</f>
        <v>1.1250674529518904E-3</v>
      </c>
      <c r="AB26" s="9"/>
      <c r="AC26" s="10">
        <f t="shared" si="7"/>
        <v>8465.52</v>
      </c>
      <c r="AD26" s="8">
        <f>IFERROR(AC26/AC444, "NA")</f>
        <v>2.8230735890559633E-2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634.12</v>
      </c>
      <c r="L27" s="8">
        <f>IFERROR(K27/K444, "NA")</f>
        <v>1.0852943792543854E-3</v>
      </c>
      <c r="M27" s="9"/>
      <c r="N27" s="10">
        <f t="shared" si="5"/>
        <v>-634.12</v>
      </c>
      <c r="O27" s="8">
        <f>IFERROR(N27/N444, "NA")</f>
        <v>-3.9358671880062425E-3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1933.6399999999999</v>
      </c>
      <c r="AA27" s="8">
        <f>IFERROR(Z27/Z444, "NA")</f>
        <v>1.4226046152456108E-3</v>
      </c>
      <c r="AB27" s="9"/>
      <c r="AC27" s="10">
        <f t="shared" si="7"/>
        <v>-1933.6399999999999</v>
      </c>
      <c r="AD27" s="8">
        <f>IFERROR(AC27/AC444, "NA")</f>
        <v>-6.4482843519856692E-3</v>
      </c>
    </row>
    <row r="28" spans="1:30" ht="16.5" customHeight="1" x14ac:dyDescent="0.45">
      <c r="A28" s="12" t="s">
        <v>29</v>
      </c>
      <c r="B28" s="7">
        <v>4461.2299999999996</v>
      </c>
      <c r="C28" s="8">
        <f>IFERROR(B28/B444, "NA")</f>
        <v>5.9850386041919159E-3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4461.2299999999996</v>
      </c>
      <c r="I28" s="8">
        <f>IFERROR(H28/H444, "NA")</f>
        <v>5.5833044650115911E-2</v>
      </c>
      <c r="J28" s="9"/>
      <c r="K28" s="7">
        <v>8616.1200000000008</v>
      </c>
      <c r="L28" s="8">
        <f>IFERROR(K28/K444, "NA")</f>
        <v>1.4746462194823213E-2</v>
      </c>
      <c r="M28" s="9"/>
      <c r="N28" s="10">
        <f t="shared" si="5"/>
        <v>-4154.8900000000012</v>
      </c>
      <c r="O28" s="8">
        <f>IFERROR(N28/N444, "NA")</f>
        <v>-2.5788644453376749E-2</v>
      </c>
      <c r="P28" s="9"/>
      <c r="Q28" s="7">
        <v>12433.919999999998</v>
      </c>
      <c r="R28" s="8">
        <f>IFERROR(Q28/Q444, "NA")</f>
        <v>7.4944032106967666E-3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12433.919999999998</v>
      </c>
      <c r="X28" s="8">
        <f>IFERROR(W28/W444, "NA")</f>
        <v>7.8927738759056759E-2</v>
      </c>
      <c r="Y28" s="9"/>
      <c r="Z28" s="7">
        <v>11932.609999999999</v>
      </c>
      <c r="AA28" s="8">
        <f>IFERROR(Z28/Z444, "NA")</f>
        <v>8.7789795711331626E-3</v>
      </c>
      <c r="AB28" s="9"/>
      <c r="AC28" s="10">
        <f t="shared" si="7"/>
        <v>501.30999999999949</v>
      </c>
      <c r="AD28" s="8">
        <f>IFERROR(AC28/AC444, "NA")</f>
        <v>1.6717638384052527E-3</v>
      </c>
    </row>
    <row r="29" spans="1:30" ht="16.5" customHeight="1" x14ac:dyDescent="0.45">
      <c r="A29" s="13" t="s">
        <v>30</v>
      </c>
      <c r="B29" s="14">
        <f>IFERROR(B21+B22+B23+B24+B25+B26+B27+B28, "NA")</f>
        <v>62445.97</v>
      </c>
      <c r="C29" s="15">
        <f>IFERROR(B29/B444, "NA")</f>
        <v>8.3775447830802333E-2</v>
      </c>
      <c r="D29" s="2"/>
      <c r="E29" s="14">
        <f>IFERROR(E21+E22+E23+E24+E25+E26+E27+E28, "NA")</f>
        <v>55193.440000000002</v>
      </c>
      <c r="F29" s="15">
        <f>IFERROR(E29/E444, "NA")</f>
        <v>8.2936045748512321E-2</v>
      </c>
      <c r="G29" s="2"/>
      <c r="H29" s="14">
        <f t="shared" si="4"/>
        <v>7252.5299999999988</v>
      </c>
      <c r="I29" s="15">
        <f>IFERROR(H29/H444, "NA")</f>
        <v>9.0766634160602599E-2</v>
      </c>
      <c r="J29" s="2"/>
      <c r="K29" s="14">
        <f>IFERROR(K21+K22+K23+K24+K25+K26+K27+K28, "NA")</f>
        <v>54123.74</v>
      </c>
      <c r="L29" s="15">
        <f>IFERROR(K29/K444, "NA")</f>
        <v>9.2632610241319857E-2</v>
      </c>
      <c r="M29" s="2"/>
      <c r="N29" s="14">
        <f t="shared" si="5"/>
        <v>8322.2300000000032</v>
      </c>
      <c r="O29" s="15">
        <f>IFERROR(N29/N444, "NA")</f>
        <v>5.1654563786099172E-2</v>
      </c>
      <c r="P29" s="2"/>
      <c r="Q29" s="14">
        <f>IFERROR(Q21+Q22+Q23+Q24+Q25+Q26+Q27+Q28, "NA")</f>
        <v>146227.12</v>
      </c>
      <c r="R29" s="15">
        <f>IFERROR(Q29/Q444, "NA")</f>
        <v>8.8136725796767346E-2</v>
      </c>
      <c r="S29" s="2"/>
      <c r="T29" s="14">
        <f>IFERROR(T21+T22+T23+T24+T25+T26+T27+T28, "NA")</f>
        <v>123909.26</v>
      </c>
      <c r="U29" s="15">
        <f>IFERROR(T29/T444, "NA")</f>
        <v>8.2520429655695282E-2</v>
      </c>
      <c r="V29" s="2"/>
      <c r="W29" s="14">
        <f t="shared" si="6"/>
        <v>22317.86</v>
      </c>
      <c r="X29" s="15">
        <f>IFERROR(W29/W444, "NA")</f>
        <v>0.14166877571523726</v>
      </c>
      <c r="Y29" s="2"/>
      <c r="Z29" s="14">
        <f>IFERROR(Z21+Z22+Z23+Z24+Z25+Z26+Z27+Z28, "NA")</f>
        <v>122749.28000000001</v>
      </c>
      <c r="AA29" s="15">
        <f>IFERROR(Z29/Z444, "NA")</f>
        <v>9.0308274676814598E-2</v>
      </c>
      <c r="AB29" s="2"/>
      <c r="AC29" s="14">
        <f t="shared" si="7"/>
        <v>23477.839999999982</v>
      </c>
      <c r="AD29" s="15">
        <f>IFERROR(AC29/AC444, "NA")</f>
        <v>7.8293678394335611E-2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144785.65000000002</v>
      </c>
      <c r="F31" s="8">
        <f>IFERROR(E31/E444, "NA")</f>
        <v>0.21756116835856026</v>
      </c>
      <c r="G31" s="9"/>
      <c r="H31" s="10">
        <f t="shared" ref="H31:H40" si="8">IFERROR(B31-E31, "NA")</f>
        <v>-144785.65000000002</v>
      </c>
      <c r="I31" s="8">
        <f>IFERROR(H31/H444, "NA")</f>
        <v>-1.81201678934869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326387.23</v>
      </c>
      <c r="U31" s="8">
        <f>IFERROR(T31/T444, "NA")</f>
        <v>0.21736563073439577</v>
      </c>
      <c r="V31" s="9"/>
      <c r="W31" s="10">
        <f t="shared" ref="W31:W40" si="10">IFERROR(Q31-T31, "NA")</f>
        <v>-326387.23</v>
      </c>
      <c r="X31" s="8">
        <f>IFERROR(W31/W444, "NA")</f>
        <v>-2.0718330199753718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67598.209999999992</v>
      </c>
      <c r="C33" s="8">
        <f>IFERROR(B33/B444, "NA")</f>
        <v>9.0687522594502412E-2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67598.209999999992</v>
      </c>
      <c r="I33" s="8">
        <f>IFERROR(H33/H444, "NA")</f>
        <v>0.8460029806125019</v>
      </c>
      <c r="J33" s="9"/>
      <c r="K33" s="7">
        <v>44976.760000000009</v>
      </c>
      <c r="L33" s="8">
        <f>IFERROR(K33/K444, "NA")</f>
        <v>7.6977582831441183E-2</v>
      </c>
      <c r="M33" s="9"/>
      <c r="N33" s="10">
        <f t="shared" si="9"/>
        <v>22621.449999999983</v>
      </c>
      <c r="O33" s="8">
        <f>IFERROR(N33/N444, "NA")</f>
        <v>0.14040721440756285</v>
      </c>
      <c r="P33" s="9"/>
      <c r="Q33" s="7">
        <v>166857.87</v>
      </c>
      <c r="R33" s="8">
        <f>IFERROR(Q33/Q444, "NA")</f>
        <v>0.10057167463342404</v>
      </c>
      <c r="S33" s="9"/>
      <c r="T33" s="7">
        <v>0</v>
      </c>
      <c r="U33" s="8">
        <f>IFERROR(T33/T444, "NA")</f>
        <v>0</v>
      </c>
      <c r="V33" s="9"/>
      <c r="W33" s="10">
        <f t="shared" si="10"/>
        <v>166857.87</v>
      </c>
      <c r="X33" s="8">
        <f>IFERROR(W33/W444, "NA")</f>
        <v>1.0591763798747826</v>
      </c>
      <c r="Y33" s="9"/>
      <c r="Z33" s="7">
        <v>101312.35999999999</v>
      </c>
      <c r="AA33" s="8">
        <f>IFERROR(Z33/Z444, "NA")</f>
        <v>7.4536848077938395E-2</v>
      </c>
      <c r="AB33" s="9"/>
      <c r="AC33" s="10">
        <f t="shared" si="11"/>
        <v>65545.510000000009</v>
      </c>
      <c r="AD33" s="8">
        <f>IFERROR(AC33/AC444, "NA")</f>
        <v>0.21858054574580599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8776.2900000000009</v>
      </c>
      <c r="C35" s="8">
        <f>IFERROR(B35/B444, "NA")</f>
        <v>1.1773980371239204E-2</v>
      </c>
      <c r="D35" s="9"/>
      <c r="E35" s="7">
        <v>0</v>
      </c>
      <c r="F35" s="8">
        <f>IFERROR(E35/E444, "NA")</f>
        <v>0</v>
      </c>
      <c r="G35" s="9"/>
      <c r="H35" s="10">
        <f t="shared" si="8"/>
        <v>8776.2900000000009</v>
      </c>
      <c r="I35" s="8">
        <f>IFERROR(H35/H444, "NA")</f>
        <v>0.10983674713753065</v>
      </c>
      <c r="J35" s="9"/>
      <c r="K35" s="7">
        <v>0</v>
      </c>
      <c r="L35" s="8">
        <f>IFERROR(K35/K444, "NA")</f>
        <v>0</v>
      </c>
      <c r="M35" s="9"/>
      <c r="N35" s="10">
        <f t="shared" si="9"/>
        <v>8776.2900000000009</v>
      </c>
      <c r="O35" s="8">
        <f>IFERROR(N35/N444, "NA")</f>
        <v>5.447283139378558E-2</v>
      </c>
      <c r="P35" s="9"/>
      <c r="Q35" s="7">
        <v>19593.669999999998</v>
      </c>
      <c r="R35" s="8">
        <f>IFERROR(Q35/Q444, "NA")</f>
        <v>1.1809860716277161E-2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19593.669999999998</v>
      </c>
      <c r="X35" s="8">
        <f>IFERROR(W35/W444, "NA")</f>
        <v>0.12437622785824325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19593.669999999998</v>
      </c>
      <c r="AD35" s="8">
        <f>IFERROR(AC35/AC444, "NA")</f>
        <v>6.5340785078386379E-2</v>
      </c>
    </row>
    <row r="36" spans="1:30" ht="16.5" customHeight="1" x14ac:dyDescent="0.45">
      <c r="A36" s="12" t="s">
        <v>36</v>
      </c>
      <c r="B36" s="7">
        <v>101424.36</v>
      </c>
      <c r="C36" s="8">
        <f>IFERROR(B36/B444, "NA")</f>
        <v>0.13606756656918798</v>
      </c>
      <c r="D36" s="9"/>
      <c r="E36" s="7">
        <v>0</v>
      </c>
      <c r="F36" s="8">
        <f>IFERROR(E36/E444, "NA")</f>
        <v>0</v>
      </c>
      <c r="G36" s="9"/>
      <c r="H36" s="10">
        <f t="shared" si="8"/>
        <v>101424.36</v>
      </c>
      <c r="I36" s="8">
        <f>IFERROR(H36/H444, "NA")</f>
        <v>1.2693429436477004</v>
      </c>
      <c r="J36" s="9"/>
      <c r="K36" s="7">
        <v>49580.119999999995</v>
      </c>
      <c r="L36" s="8">
        <f>IFERROR(K36/K444, "NA")</f>
        <v>8.4856218947136089E-2</v>
      </c>
      <c r="M36" s="9"/>
      <c r="N36" s="10">
        <f t="shared" si="9"/>
        <v>51844.240000000005</v>
      </c>
      <c r="O36" s="8">
        <f>IFERROR(N36/N444, "NA")</f>
        <v>0.32178774223036777</v>
      </c>
      <c r="P36" s="9"/>
      <c r="Q36" s="7">
        <v>227974.18</v>
      </c>
      <c r="R36" s="8">
        <f>IFERROR(Q36/Q444, "NA")</f>
        <v>0.13740883217424293</v>
      </c>
      <c r="S36" s="9"/>
      <c r="T36" s="7">
        <v>0</v>
      </c>
      <c r="U36" s="8">
        <f>IFERROR(T36/T444, "NA")</f>
        <v>0</v>
      </c>
      <c r="V36" s="9"/>
      <c r="W36" s="10">
        <f t="shared" si="10"/>
        <v>227974.18</v>
      </c>
      <c r="X36" s="8">
        <f>IFERROR(W36/W444, "NA")</f>
        <v>1.4471290247042112</v>
      </c>
      <c r="Y36" s="9"/>
      <c r="Z36" s="7">
        <v>120263.34999999999</v>
      </c>
      <c r="AA36" s="8">
        <f>IFERROR(Z36/Z444, "NA")</f>
        <v>8.8479342977440589E-2</v>
      </c>
      <c r="AB36" s="9"/>
      <c r="AC36" s="10">
        <f t="shared" si="11"/>
        <v>107710.83</v>
      </c>
      <c r="AD36" s="8">
        <f>IFERROR(AC36/AC444, "NA")</f>
        <v>0.35919305539210433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7386.6</v>
      </c>
      <c r="C39" s="8">
        <f>IFERROR(B39/B444, "NA")</f>
        <v>9.9096182339229334E-3</v>
      </c>
      <c r="D39" s="9"/>
      <c r="E39" s="7">
        <v>0</v>
      </c>
      <c r="F39" s="8">
        <f>IFERROR(E39/E444, "NA")</f>
        <v>0</v>
      </c>
      <c r="G39" s="9"/>
      <c r="H39" s="10">
        <f t="shared" si="8"/>
        <v>7386.6</v>
      </c>
      <c r="I39" s="8">
        <f>IFERROR(H39/H444, "NA")</f>
        <v>9.2444542785856426E-2</v>
      </c>
      <c r="J39" s="9"/>
      <c r="K39" s="7">
        <v>8424.8900000000012</v>
      </c>
      <c r="L39" s="8">
        <f>IFERROR(K39/K444, "NA")</f>
        <v>1.441917265318312E-2</v>
      </c>
      <c r="M39" s="9"/>
      <c r="N39" s="10">
        <f t="shared" si="9"/>
        <v>-1038.2900000000009</v>
      </c>
      <c r="O39" s="8">
        <f>IFERROR(N39/N444, "NA")</f>
        <v>-6.4444766647243504E-3</v>
      </c>
      <c r="P39" s="9"/>
      <c r="Q39" s="7">
        <v>16193.48</v>
      </c>
      <c r="R39" s="8">
        <f>IFERROR(Q39/Q444, "NA")</f>
        <v>9.7604350441657887E-3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16193.48</v>
      </c>
      <c r="X39" s="8">
        <f>IFERROR(W39/W444, "NA")</f>
        <v>0.1027925834362784</v>
      </c>
      <c r="Y39" s="9"/>
      <c r="Z39" s="7">
        <v>16447.32</v>
      </c>
      <c r="AA39" s="8">
        <f>IFERROR(Z39/Z444, "NA")</f>
        <v>1.2100511646646449E-2</v>
      </c>
      <c r="AB39" s="9"/>
      <c r="AC39" s="10">
        <f t="shared" si="11"/>
        <v>-253.84000000000015</v>
      </c>
      <c r="AD39" s="8">
        <f>IFERROR(AC39/AC444, "NA")</f>
        <v>-8.4650322702676986E-4</v>
      </c>
    </row>
    <row r="40" spans="1:30" ht="16.5" customHeight="1" x14ac:dyDescent="0.45">
      <c r="A40" s="13" t="s">
        <v>40</v>
      </c>
      <c r="B40" s="14">
        <f>IFERROR(B31+B32+B33+B34+B35+B36+B37+B38+B39, "NA")</f>
        <v>185185.46</v>
      </c>
      <c r="C40" s="15">
        <f>IFERROR(B40/B444, "NA")</f>
        <v>0.2484386877688525</v>
      </c>
      <c r="D40" s="2"/>
      <c r="E40" s="14">
        <f>IFERROR(E31+E32+E33+E34+E35+E36+E37+E38+E39, "NA")</f>
        <v>144785.65000000002</v>
      </c>
      <c r="F40" s="15">
        <f>IFERROR(E40/E444, "NA")</f>
        <v>0.21756116835856026</v>
      </c>
      <c r="G40" s="2"/>
      <c r="H40" s="14">
        <f t="shared" si="8"/>
        <v>40399.809999999969</v>
      </c>
      <c r="I40" s="15">
        <f>IFERROR(H40/H444, "NA")</f>
        <v>0.50561042483489926</v>
      </c>
      <c r="J40" s="2"/>
      <c r="K40" s="14">
        <f>IFERROR(K31+K32+K33+K34+K35+K36+K37+K38+K39, "NA")</f>
        <v>102981.77</v>
      </c>
      <c r="L40" s="15">
        <f>IFERROR(K40/K444, "NA")</f>
        <v>0.17625297443176038</v>
      </c>
      <c r="M40" s="2"/>
      <c r="N40" s="14">
        <f t="shared" si="9"/>
        <v>82203.689999999988</v>
      </c>
      <c r="O40" s="15">
        <f>IFERROR(N40/N444, "NA")</f>
        <v>0.51022331136699184</v>
      </c>
      <c r="P40" s="2"/>
      <c r="Q40" s="14">
        <f>IFERROR(Q31+Q32+Q33+Q34+Q35+Q36+Q37+Q38+Q39, "NA")</f>
        <v>430619.19999999995</v>
      </c>
      <c r="R40" s="15">
        <f>IFERROR(Q40/Q444, "NA")</f>
        <v>0.25955080256810992</v>
      </c>
      <c r="S40" s="2"/>
      <c r="T40" s="14">
        <f>IFERROR(T31+T32+T33+T34+T35+T36+T37+T38+T39, "NA")</f>
        <v>326387.23</v>
      </c>
      <c r="U40" s="15">
        <f>IFERROR(T40/T444, "NA")</f>
        <v>0.21736563073439577</v>
      </c>
      <c r="V40" s="2"/>
      <c r="W40" s="14">
        <f t="shared" si="10"/>
        <v>104231.96999999997</v>
      </c>
      <c r="X40" s="15">
        <f>IFERROR(W40/W444, "NA")</f>
        <v>0.66164119589814319</v>
      </c>
      <c r="Y40" s="2"/>
      <c r="Z40" s="14">
        <f>IFERROR(Z31+Z32+Z33+Z34+Z35+Z36+Z37+Z38+Z39, "NA")</f>
        <v>238023.02999999997</v>
      </c>
      <c r="AA40" s="15">
        <f>IFERROR(Z40/Z444, "NA")</f>
        <v>0.17511670270202542</v>
      </c>
      <c r="AB40" s="2"/>
      <c r="AC40" s="14">
        <f t="shared" si="11"/>
        <v>192596.16999999998</v>
      </c>
      <c r="AD40" s="15">
        <f>IFERROR(AC40/AC444, "NA")</f>
        <v>0.64226788298926984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39593.4</v>
      </c>
      <c r="C43" s="8">
        <f>IFERROR(B43/B444, "NA")</f>
        <v>5.3117195811740757E-2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39593.4</v>
      </c>
      <c r="I43" s="8">
        <f>IFERROR(H43/H444, "NA")</f>
        <v>0.4955180678982925</v>
      </c>
      <c r="J43" s="9"/>
      <c r="K43" s="7">
        <v>3960</v>
      </c>
      <c r="L43" s="8">
        <f>IFERROR(K43/K444, "NA")</f>
        <v>6.7775275055941562E-3</v>
      </c>
      <c r="M43" s="9"/>
      <c r="N43" s="10">
        <f>IFERROR(B43-K43, "NA")</f>
        <v>35633.4</v>
      </c>
      <c r="O43" s="8">
        <f>IFERROR(N43/N444, "NA")</f>
        <v>0.22117001491374133</v>
      </c>
      <c r="P43" s="9"/>
      <c r="Q43" s="7">
        <v>85607.07</v>
      </c>
      <c r="R43" s="8">
        <f>IFERROR(Q43/Q444, "NA")</f>
        <v>5.1598683300708305E-2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85607.07</v>
      </c>
      <c r="X43" s="8">
        <f>IFERROR(W43/W444, "NA")</f>
        <v>0.54341450297961436</v>
      </c>
      <c r="Y43" s="9"/>
      <c r="Z43" s="7">
        <v>8010.98</v>
      </c>
      <c r="AA43" s="8">
        <f>IFERROR(Z43/Z444, "NA")</f>
        <v>5.8937843241969982E-3</v>
      </c>
      <c r="AB43" s="9"/>
      <c r="AC43" s="10">
        <f>IFERROR(Q43-Z43, "NA")</f>
        <v>77596.090000000011</v>
      </c>
      <c r="AD43" s="8">
        <f>IFERROR(AC43/AC444, "NA")</f>
        <v>0.25876670575819272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172612.12</v>
      </c>
      <c r="F46" s="8">
        <f>IFERROR(E46/E444, "NA")</f>
        <v>0.2593744235015556</v>
      </c>
      <c r="G46" s="9"/>
      <c r="H46" s="10">
        <f t="shared" ref="H46:H62" si="12">IFERROR(B46-E46, "NA")</f>
        <v>-172612.12</v>
      </c>
      <c r="I46" s="8">
        <f>IFERROR(H46/H444, "NA")</f>
        <v>-2.1602697469332819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393334.29000000004</v>
      </c>
      <c r="U46" s="8">
        <f>IFERROR(T46/T444, "NA")</f>
        <v>0.26195067752900675</v>
      </c>
      <c r="V46" s="9"/>
      <c r="W46" s="10">
        <f t="shared" ref="W46:W62" si="14">IFERROR(Q46-T46, "NA")</f>
        <v>-393334.29000000004</v>
      </c>
      <c r="X46" s="8">
        <f>IFERROR(W46/W444, "NA")</f>
        <v>-2.4967979596216705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581.64</v>
      </c>
      <c r="C47" s="8">
        <f>IFERROR(B47/B444, "NA")</f>
        <v>7.8030898513239304E-4</v>
      </c>
      <c r="D47" s="9"/>
      <c r="E47" s="7">
        <v>0</v>
      </c>
      <c r="F47" s="8">
        <f>IFERROR(E47/E444, "NA")</f>
        <v>0</v>
      </c>
      <c r="G47" s="9"/>
      <c r="H47" s="10">
        <f t="shared" si="12"/>
        <v>581.64</v>
      </c>
      <c r="I47" s="8">
        <f>IFERROR(H47/H444, "NA")</f>
        <v>7.2793225389171639E-3</v>
      </c>
      <c r="J47" s="9"/>
      <c r="K47" s="7">
        <v>287.33</v>
      </c>
      <c r="L47" s="8">
        <f>IFERROR(K47/K444, "NA")</f>
        <v>4.9176438842989112E-4</v>
      </c>
      <c r="M47" s="9"/>
      <c r="N47" s="10">
        <f t="shared" si="13"/>
        <v>294.31</v>
      </c>
      <c r="O47" s="8">
        <f>IFERROR(N47/N444, "NA")</f>
        <v>1.8267284931907483E-3</v>
      </c>
      <c r="P47" s="9"/>
      <c r="Q47" s="7">
        <v>3454.79</v>
      </c>
      <c r="R47" s="8">
        <f>IFERROR(Q47/Q444, "NA")</f>
        <v>2.0823351982547002E-3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3454.79</v>
      </c>
      <c r="X47" s="8">
        <f>IFERROR(W47/W444, "NA")</f>
        <v>2.193023299067404E-2</v>
      </c>
      <c r="Y47" s="9"/>
      <c r="Z47" s="7">
        <v>1000.85</v>
      </c>
      <c r="AA47" s="8">
        <f>IFERROR(Z47/Z444, "NA")</f>
        <v>7.3633863033893058E-4</v>
      </c>
      <c r="AB47" s="9"/>
      <c r="AC47" s="10">
        <f t="shared" si="15"/>
        <v>2453.94</v>
      </c>
      <c r="AD47" s="8">
        <f>IFERROR(AC47/AC444, "NA")</f>
        <v>8.1833758624727006E-3</v>
      </c>
    </row>
    <row r="48" spans="1:30" ht="16.5" customHeight="1" x14ac:dyDescent="0.45">
      <c r="A48" s="17" t="s">
        <v>46</v>
      </c>
      <c r="B48" s="7">
        <v>106851.69</v>
      </c>
      <c r="C48" s="8">
        <f>IFERROR(B48/B444, "NA")</f>
        <v>0.1433486929777544</v>
      </c>
      <c r="D48" s="9"/>
      <c r="E48" s="7">
        <v>0</v>
      </c>
      <c r="F48" s="8">
        <f>IFERROR(E48/E444, "NA")</f>
        <v>0</v>
      </c>
      <c r="G48" s="9"/>
      <c r="H48" s="10">
        <f t="shared" si="12"/>
        <v>106851.69</v>
      </c>
      <c r="I48" s="8">
        <f>IFERROR(H48/H444, "NA")</f>
        <v>1.3372668924736775</v>
      </c>
      <c r="J48" s="9"/>
      <c r="K48" s="7">
        <v>90562.8</v>
      </c>
      <c r="L48" s="8">
        <f>IFERROR(K48/K444, "NA")</f>
        <v>0.15499794646051071</v>
      </c>
      <c r="M48" s="9"/>
      <c r="N48" s="10">
        <f t="shared" si="13"/>
        <v>16288.89</v>
      </c>
      <c r="O48" s="8">
        <f>IFERROR(N48/N444, "NA")</f>
        <v>0.10110216943172114</v>
      </c>
      <c r="P48" s="9"/>
      <c r="Q48" s="7">
        <v>257883.45</v>
      </c>
      <c r="R48" s="8">
        <f>IFERROR(Q48/Q444, "NA")</f>
        <v>0.15543630292502761</v>
      </c>
      <c r="S48" s="9"/>
      <c r="T48" s="7">
        <v>0</v>
      </c>
      <c r="U48" s="8">
        <f>IFERROR(T48/T444, "NA")</f>
        <v>0</v>
      </c>
      <c r="V48" s="9"/>
      <c r="W48" s="10">
        <f t="shared" si="14"/>
        <v>257883.45</v>
      </c>
      <c r="X48" s="8">
        <f>IFERROR(W48/W444, "NA")</f>
        <v>1.6369863704997523</v>
      </c>
      <c r="Y48" s="9"/>
      <c r="Z48" s="7">
        <v>250961.27000000002</v>
      </c>
      <c r="AA48" s="8">
        <f>IFERROR(Z48/Z444, "NA")</f>
        <v>0.18463553761294754</v>
      </c>
      <c r="AB48" s="9"/>
      <c r="AC48" s="10">
        <f t="shared" si="15"/>
        <v>6922.179999999993</v>
      </c>
      <c r="AD48" s="8">
        <f>IFERROR(AC48/AC444, "NA")</f>
        <v>2.3084020280728635E-2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410.02</v>
      </c>
      <c r="AA49" s="8">
        <f>IFERROR(Z49/Z444, "NA")</f>
        <v>3.0165715662843412E-4</v>
      </c>
      <c r="AB49" s="9"/>
      <c r="AC49" s="10">
        <f t="shared" si="15"/>
        <v>-410.02</v>
      </c>
      <c r="AD49" s="8">
        <f>IFERROR(AC49/AC444, "NA")</f>
        <v>-1.3673308113201859E-3</v>
      </c>
    </row>
    <row r="50" spans="1:30" ht="16.5" customHeight="1" x14ac:dyDescent="0.45">
      <c r="A50" s="17" t="s">
        <v>48</v>
      </c>
      <c r="B50" s="7">
        <v>4368.5</v>
      </c>
      <c r="C50" s="8">
        <f>IFERROR(B50/B444, "NA")</f>
        <v>5.8606351034159601E-3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4368.5</v>
      </c>
      <c r="I50" s="8">
        <f>IFERROR(H50/H444, "NA")</f>
        <v>5.467251308586004E-2</v>
      </c>
      <c r="J50" s="9"/>
      <c r="K50" s="7">
        <v>2864.4</v>
      </c>
      <c r="L50" s="8">
        <f>IFERROR(K50/K444, "NA")</f>
        <v>4.9024115623797727E-3</v>
      </c>
      <c r="M50" s="9"/>
      <c r="N50" s="10">
        <f t="shared" si="13"/>
        <v>1504.1</v>
      </c>
      <c r="O50" s="8">
        <f>IFERROR(N50/N444, "NA")</f>
        <v>9.3356743794237515E-3</v>
      </c>
      <c r="P50" s="9"/>
      <c r="Q50" s="7">
        <v>5644.67</v>
      </c>
      <c r="R50" s="8">
        <f>IFERROR(Q50/Q444, "NA")</f>
        <v>3.4022603468032383E-3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5644.67</v>
      </c>
      <c r="X50" s="8">
        <f>IFERROR(W50/W444, "NA")</f>
        <v>3.5831100661825474E-2</v>
      </c>
      <c r="Y50" s="9"/>
      <c r="Z50" s="7">
        <v>3117.09</v>
      </c>
      <c r="AA50" s="8">
        <f>IFERROR(Z50/Z444, "NA")</f>
        <v>2.2932844894271642E-3</v>
      </c>
      <c r="AB50" s="9"/>
      <c r="AC50" s="10">
        <f t="shared" si="15"/>
        <v>2527.58</v>
      </c>
      <c r="AD50" s="8">
        <f>IFERROR(AC50/AC444, "NA")</f>
        <v>8.428949836780341E-3</v>
      </c>
    </row>
    <row r="51" spans="1:30" ht="16.5" customHeight="1" x14ac:dyDescent="0.45">
      <c r="A51" s="17" t="s">
        <v>49</v>
      </c>
      <c r="B51" s="7">
        <v>3787.64</v>
      </c>
      <c r="C51" s="8">
        <f>IFERROR(B51/B444, "NA")</f>
        <v>5.0813725404835587E-3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3787.64</v>
      </c>
      <c r="I51" s="8">
        <f>IFERROR(H51/H444, "NA")</f>
        <v>4.7402952378282452E-2</v>
      </c>
      <c r="J51" s="9"/>
      <c r="K51" s="7">
        <v>8570.27</v>
      </c>
      <c r="L51" s="8">
        <f>IFERROR(K51/K444, "NA")</f>
        <v>1.4667990064486977E-2</v>
      </c>
      <c r="M51" s="9"/>
      <c r="N51" s="10">
        <f t="shared" si="13"/>
        <v>-4782.630000000001</v>
      </c>
      <c r="O51" s="8">
        <f>IFERROR(N51/N444, "NA")</f>
        <v>-2.9684912144979342E-2</v>
      </c>
      <c r="P51" s="9"/>
      <c r="Q51" s="7">
        <v>10567.08</v>
      </c>
      <c r="R51" s="8">
        <f>IFERROR(Q51/Q444, "NA")</f>
        <v>6.3691867311105104E-3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10567.08</v>
      </c>
      <c r="X51" s="8">
        <f>IFERROR(W51/W444, "NA")</f>
        <v>6.7077456641674846E-2</v>
      </c>
      <c r="Y51" s="9"/>
      <c r="Z51" s="7">
        <v>24826.13</v>
      </c>
      <c r="AA51" s="8">
        <f>IFERROR(Z51/Z444, "NA")</f>
        <v>1.826491338443946E-2</v>
      </c>
      <c r="AB51" s="9"/>
      <c r="AC51" s="10">
        <f t="shared" si="15"/>
        <v>-14259.050000000001</v>
      </c>
      <c r="AD51" s="8">
        <f>IFERROR(AC51/AC444, "NA")</f>
        <v>-4.7550944844532213E-2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312.3</v>
      </c>
      <c r="L54" s="8">
        <f>IFERROR(K54/K444, "NA")</f>
        <v>5.3450046464572091E-4</v>
      </c>
      <c r="M54" s="9"/>
      <c r="N54" s="10">
        <f t="shared" si="13"/>
        <v>-312.3</v>
      </c>
      <c r="O54" s="8">
        <f>IFERROR(N54/N444, "NA")</f>
        <v>-1.9383891421408403E-3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312.3</v>
      </c>
      <c r="AA54" s="8">
        <f>IFERROR(Z54/Z444, "NA")</f>
        <v>2.2976325548768349E-4</v>
      </c>
      <c r="AB54" s="9"/>
      <c r="AC54" s="10">
        <f t="shared" si="15"/>
        <v>-312.3</v>
      </c>
      <c r="AD54" s="8">
        <f>IFERROR(AC54/AC444, "NA")</f>
        <v>-1.0414550811552951E-3</v>
      </c>
    </row>
    <row r="55" spans="1:30" ht="16.5" customHeight="1" x14ac:dyDescent="0.45">
      <c r="A55" s="17" t="s">
        <v>53</v>
      </c>
      <c r="B55" s="7">
        <v>467.61</v>
      </c>
      <c r="C55" s="8">
        <f>IFERROR(B55/B444, "NA")</f>
        <v>6.2733010889512127E-4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467.61</v>
      </c>
      <c r="I55" s="8">
        <f>IFERROR(H55/H444, "NA")</f>
        <v>5.8522178880803504E-3</v>
      </c>
      <c r="J55" s="9"/>
      <c r="K55" s="7">
        <v>914.1099999999999</v>
      </c>
      <c r="L55" s="8">
        <f>IFERROR(K55/K444, "NA")</f>
        <v>1.5644963808430993E-3</v>
      </c>
      <c r="M55" s="9"/>
      <c r="N55" s="10">
        <f t="shared" si="13"/>
        <v>-446.49999999999989</v>
      </c>
      <c r="O55" s="8">
        <f>IFERROR(N55/N444, "NA")</f>
        <v>-2.7713440664933874E-3</v>
      </c>
      <c r="P55" s="9"/>
      <c r="Q55" s="7">
        <v>993.17000000000007</v>
      </c>
      <c r="R55" s="8">
        <f>IFERROR(Q55/Q444, "NA")</f>
        <v>5.9862186959283223E-4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993.17000000000007</v>
      </c>
      <c r="X55" s="8">
        <f>IFERROR(W55/W444, "NA")</f>
        <v>6.304420673716127E-3</v>
      </c>
      <c r="Y55" s="9"/>
      <c r="Z55" s="7">
        <v>1356.61</v>
      </c>
      <c r="AA55" s="8">
        <f>IFERROR(Z55/Z444, "NA")</f>
        <v>9.9807598471708691E-4</v>
      </c>
      <c r="AB55" s="9"/>
      <c r="AC55" s="10">
        <f t="shared" si="15"/>
        <v>-363.43999999999983</v>
      </c>
      <c r="AD55" s="8">
        <f>IFERROR(AC55/AC444, "NA")</f>
        <v>-1.211996268636184E-3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1169.1500000000001</v>
      </c>
      <c r="L56" s="8">
        <f>IFERROR(K56/K444, "NA")</f>
        <v>2.0009965361528809E-3</v>
      </c>
      <c r="M56" s="9"/>
      <c r="N56" s="10">
        <f t="shared" si="13"/>
        <v>-1169.1500000000001</v>
      </c>
      <c r="O56" s="8">
        <f>IFERROR(N56/N444, "NA")</f>
        <v>-7.2567008182323521E-3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1660.6100000000001</v>
      </c>
      <c r="AA56" s="8">
        <f>IFERROR(Z56/Z444, "NA")</f>
        <v>1.221732820030106E-3</v>
      </c>
      <c r="AB56" s="9"/>
      <c r="AC56" s="10">
        <f t="shared" si="15"/>
        <v>-1660.6100000000001</v>
      </c>
      <c r="AD56" s="8">
        <f>IFERROR(AC56/AC444, "NA")</f>
        <v>-5.5377864947719962E-3</v>
      </c>
    </row>
    <row r="57" spans="1:30" ht="16.5" customHeight="1" x14ac:dyDescent="0.45">
      <c r="A57" s="17" t="s">
        <v>55</v>
      </c>
      <c r="B57" s="7">
        <v>1767.38</v>
      </c>
      <c r="C57" s="8">
        <f>IFERROR(B57/B444, "NA")</f>
        <v>2.3710585484892528E-3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1767.38</v>
      </c>
      <c r="I57" s="8">
        <f>IFERROR(H57/H444, "NA")</f>
        <v>2.2119058298657963E-2</v>
      </c>
      <c r="J57" s="9"/>
      <c r="K57" s="7">
        <v>3969.12</v>
      </c>
      <c r="L57" s="8">
        <f>IFERROR(K57/K444, "NA")</f>
        <v>6.7931363568191601E-3</v>
      </c>
      <c r="M57" s="9"/>
      <c r="N57" s="10">
        <f t="shared" si="13"/>
        <v>-2201.7399999999998</v>
      </c>
      <c r="O57" s="8">
        <f>IFERROR(N57/N444, "NA")</f>
        <v>-1.3665798622533375E-2</v>
      </c>
      <c r="P57" s="9"/>
      <c r="Q57" s="7">
        <v>1767.38</v>
      </c>
      <c r="R57" s="8">
        <f>IFERROR(Q57/Q444, "NA")</f>
        <v>1.0652681010108842E-3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1767.38</v>
      </c>
      <c r="X57" s="8">
        <f>IFERROR(W57/W444, "NA")</f>
        <v>1.1218932318044652E-2</v>
      </c>
      <c r="Y57" s="9"/>
      <c r="Z57" s="7">
        <v>8772.5</v>
      </c>
      <c r="AA57" s="8">
        <f>IFERROR(Z57/Z444, "NA")</f>
        <v>6.4540446966561103E-3</v>
      </c>
      <c r="AB57" s="9"/>
      <c r="AC57" s="10">
        <f t="shared" si="15"/>
        <v>-7005.12</v>
      </c>
      <c r="AD57" s="8">
        <f>IFERROR(AC57/AC444, "NA")</f>
        <v>-2.3360607806924689E-2</v>
      </c>
    </row>
    <row r="58" spans="1:30" ht="16.5" customHeight="1" x14ac:dyDescent="0.45">
      <c r="A58" s="17" t="s">
        <v>56</v>
      </c>
      <c r="B58" s="7">
        <v>47.5</v>
      </c>
      <c r="C58" s="8">
        <f>IFERROR(B58/B444, "NA")</f>
        <v>6.3724428845658259E-5</v>
      </c>
      <c r="D58" s="9"/>
      <c r="E58" s="7">
        <v>0</v>
      </c>
      <c r="F58" s="8">
        <f>IFERROR(E58/E444, "NA")</f>
        <v>0</v>
      </c>
      <c r="G58" s="9"/>
      <c r="H58" s="10">
        <f t="shared" si="12"/>
        <v>47.5</v>
      </c>
      <c r="I58" s="8">
        <f>IFERROR(H58/H444, "NA")</f>
        <v>5.9447049824387134E-4</v>
      </c>
      <c r="J58" s="9"/>
      <c r="K58" s="7">
        <v>404.25</v>
      </c>
      <c r="L58" s="8">
        <f>IFERROR(K58/K444, "NA")</f>
        <v>6.918725995294034E-4</v>
      </c>
      <c r="M58" s="9"/>
      <c r="N58" s="10">
        <f t="shared" si="13"/>
        <v>-356.75</v>
      </c>
      <c r="O58" s="8">
        <f>IFERROR(N58/N444, "NA")</f>
        <v>-2.214282185266554E-3</v>
      </c>
      <c r="P58" s="9"/>
      <c r="Q58" s="7">
        <v>47.5</v>
      </c>
      <c r="R58" s="8">
        <f>IFERROR(Q58/Q444, "NA")</f>
        <v>2.8630082267546876E-5</v>
      </c>
      <c r="S58" s="9"/>
      <c r="T58" s="7">
        <v>0</v>
      </c>
      <c r="U58" s="8">
        <f>IFERROR(T58/T444, "NA")</f>
        <v>0</v>
      </c>
      <c r="V58" s="9"/>
      <c r="W58" s="10">
        <f t="shared" si="14"/>
        <v>47.5</v>
      </c>
      <c r="X58" s="8">
        <f>IFERROR(W58/W444, "NA")</f>
        <v>3.0151935922502292E-4</v>
      </c>
      <c r="Y58" s="9"/>
      <c r="Z58" s="7">
        <v>2506.1999999999998</v>
      </c>
      <c r="AA58" s="8">
        <f>IFERROR(Z58/Z444, "NA")</f>
        <v>1.8438446074391043E-3</v>
      </c>
      <c r="AB58" s="9"/>
      <c r="AC58" s="10">
        <f t="shared" si="15"/>
        <v>-2458.6999999999998</v>
      </c>
      <c r="AD58" s="8">
        <f>IFERROR(AC58/AC444, "NA")</f>
        <v>-8.1992494653747149E-3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1419.45</v>
      </c>
      <c r="L59" s="8">
        <f>IFERROR(K59/K444, "NA")</f>
        <v>2.4293841964180872E-3</v>
      </c>
      <c r="M59" s="9"/>
      <c r="N59" s="10">
        <f t="shared" si="13"/>
        <v>-1419.45</v>
      </c>
      <c r="O59" s="8">
        <f>IFERROR(N59/N444, "NA")</f>
        <v>-8.8102672680493623E-3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1419.45</v>
      </c>
      <c r="AA59" s="8">
        <f>IFERROR(Z59/Z444, "NA")</f>
        <v>1.044308206858765E-3</v>
      </c>
      <c r="AB59" s="9"/>
      <c r="AC59" s="10">
        <f t="shared" si="15"/>
        <v>-1419.45</v>
      </c>
      <c r="AD59" s="8">
        <f>IFERROR(AC59/AC444, "NA")</f>
        <v>-4.7335684116102577E-3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102.86</v>
      </c>
      <c r="L60" s="8">
        <f>IFERROR(K60/K444, "NA")</f>
        <v>1.7604456546096336E-4</v>
      </c>
      <c r="M60" s="9"/>
      <c r="N60" s="10">
        <f t="shared" si="13"/>
        <v>-102.86</v>
      </c>
      <c r="O60" s="8">
        <f>IFERROR(N60/N444, "NA")</f>
        <v>-6.384332602004701E-4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102.86</v>
      </c>
      <c r="AA60" s="8">
        <f>IFERROR(Z60/Z444, "NA")</f>
        <v>7.5675467369398414E-5</v>
      </c>
      <c r="AB60" s="9"/>
      <c r="AC60" s="10">
        <f t="shared" si="15"/>
        <v>-102.86</v>
      </c>
      <c r="AD60" s="8">
        <f>IFERROR(AC60/AC444, "NA")</f>
        <v>-3.4301655346664629E-4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117871.96</v>
      </c>
      <c r="C61" s="15">
        <f>IFERROR(B61/B444, "NA")</f>
        <v>0.15813312269301635</v>
      </c>
      <c r="D61" s="2"/>
      <c r="E61" s="14">
        <f>IFERROR(E46+E47+E48+E49+E50+E51+E52+E53+E54+E55+E56+E57+E58+E59+E60, "NA")</f>
        <v>172612.12</v>
      </c>
      <c r="F61" s="15">
        <f>IFERROR(E61/E444, "NA")</f>
        <v>0.2593744235015556</v>
      </c>
      <c r="G61" s="2"/>
      <c r="H61" s="14">
        <f t="shared" si="12"/>
        <v>-54740.159999999989</v>
      </c>
      <c r="I61" s="15">
        <f>IFERROR(H61/H444, "NA")</f>
        <v>-0.68508231977156264</v>
      </c>
      <c r="J61" s="2"/>
      <c r="K61" s="14">
        <f>IFERROR(K46+K47+K48+K49+K50+K51+K52+K53+K54+K55+K56+K57+K58+K59+K60, "NA")</f>
        <v>110576.04</v>
      </c>
      <c r="L61" s="15">
        <f>IFERROR(K61/K444, "NA")</f>
        <v>0.18925054357567667</v>
      </c>
      <c r="M61" s="2"/>
      <c r="N61" s="14">
        <f t="shared" si="13"/>
        <v>7295.9200000000128</v>
      </c>
      <c r="O61" s="15">
        <f>IFERROR(N61/N444, "NA")</f>
        <v>4.5284444796440039E-2</v>
      </c>
      <c r="P61" s="2"/>
      <c r="Q61" s="14">
        <f>IFERROR(Q46+Q47+Q48+Q49+Q50+Q51+Q52+Q53+Q54+Q55+Q56+Q57+Q58+Q59+Q60, "NA")</f>
        <v>280358.04000000004</v>
      </c>
      <c r="R61" s="15">
        <f>IFERROR(Q61/Q444, "NA")</f>
        <v>0.16898260525406733</v>
      </c>
      <c r="S61" s="2"/>
      <c r="T61" s="14">
        <f>IFERROR(T46+T47+T48+T49+T50+T51+T52+T53+T54+T55+T56+T57+T58+T59+T60, "NA")</f>
        <v>393334.29000000004</v>
      </c>
      <c r="U61" s="15">
        <f>IFERROR(T61/T444, "NA")</f>
        <v>0.26195067752900675</v>
      </c>
      <c r="V61" s="2"/>
      <c r="W61" s="14">
        <f t="shared" si="14"/>
        <v>-112976.25</v>
      </c>
      <c r="X61" s="15">
        <f>IFERROR(W61/W444, "NA")</f>
        <v>-0.71714792647675774</v>
      </c>
      <c r="Y61" s="2"/>
      <c r="Z61" s="14">
        <f>IFERROR(Z46+Z47+Z48+Z49+Z50+Z51+Z52+Z53+Z54+Z55+Z56+Z57+Z58+Z59+Z60, "NA")</f>
        <v>296445.88999999996</v>
      </c>
      <c r="AA61" s="15">
        <f>IFERROR(Z61/Z444, "NA")</f>
        <v>0.21809917631233974</v>
      </c>
      <c r="AB61" s="2"/>
      <c r="AC61" s="14">
        <f t="shared" si="15"/>
        <v>-16087.849999999919</v>
      </c>
      <c r="AD61" s="15">
        <f>IFERROR(AC61/AC444, "NA")</f>
        <v>-5.3649609757810204E-2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157465.36000000002</v>
      </c>
      <c r="C62" s="15">
        <f>IFERROR(B62/B444, "NA")</f>
        <v>0.21125031850475715</v>
      </c>
      <c r="D62" s="2"/>
      <c r="E62" s="14">
        <f>IFERROR(E42+E43+E44+E46+E47+E48+E49+E50+E51+E52+E53+E54+E55+E56+E57+E58+E59+E60, "NA")</f>
        <v>172612.12</v>
      </c>
      <c r="F62" s="15">
        <f>IFERROR(E62/E444, "NA")</f>
        <v>0.2593744235015556</v>
      </c>
      <c r="G62" s="2"/>
      <c r="H62" s="14">
        <f t="shared" si="12"/>
        <v>-15146.75999999998</v>
      </c>
      <c r="I62" s="15">
        <f>IFERROR(H62/H444, "NA")</f>
        <v>-0.18956425187327006</v>
      </c>
      <c r="J62" s="2"/>
      <c r="K62" s="14">
        <f>IFERROR(K42+K43+K44+K46+K47+K48+K49+K50+K51+K52+K53+K54+K55+K56+K57+K58+K59+K60, "NA")</f>
        <v>114536.04</v>
      </c>
      <c r="L62" s="15">
        <f>IFERROR(K62/K444, "NA")</f>
        <v>0.19602807108127082</v>
      </c>
      <c r="M62" s="2"/>
      <c r="N62" s="14">
        <f t="shared" si="13"/>
        <v>42929.320000000022</v>
      </c>
      <c r="O62" s="15">
        <f>IFERROR(N62/N444, "NA")</f>
        <v>0.26645445971018145</v>
      </c>
      <c r="P62" s="2"/>
      <c r="Q62" s="14">
        <f>IFERROR(Q42+Q43+Q44+Q46+Q47+Q48+Q49+Q50+Q51+Q52+Q53+Q54+Q55+Q56+Q57+Q58+Q59+Q60, "NA")</f>
        <v>365965.11</v>
      </c>
      <c r="R62" s="15">
        <f>IFERROR(Q62/Q444, "NA")</f>
        <v>0.2205812885547756</v>
      </c>
      <c r="S62" s="2"/>
      <c r="T62" s="14">
        <f>IFERROR(T42+T43+T44+T46+T47+T48+T49+T50+T51+T52+T53+T54+T55+T56+T57+T58+T59+T60, "NA")</f>
        <v>393334.29000000004</v>
      </c>
      <c r="U62" s="15">
        <f>IFERROR(T62/T444, "NA")</f>
        <v>0.26195067752900675</v>
      </c>
      <c r="V62" s="2"/>
      <c r="W62" s="14">
        <f t="shared" si="14"/>
        <v>-27369.180000000051</v>
      </c>
      <c r="X62" s="15">
        <f>IFERROR(W62/W444, "NA")</f>
        <v>-0.17373342349714374</v>
      </c>
      <c r="Y62" s="2"/>
      <c r="Z62" s="14">
        <f>IFERROR(Z42+Z43+Z44+Z46+Z47+Z48+Z49+Z50+Z51+Z52+Z53+Z54+Z55+Z56+Z57+Z58+Z59+Z60, "NA")</f>
        <v>304456.87</v>
      </c>
      <c r="AA62" s="15">
        <f>IFERROR(Z62/Z444, "NA")</f>
        <v>0.22399296063653679</v>
      </c>
      <c r="AB62" s="2"/>
      <c r="AC62" s="14">
        <f t="shared" si="15"/>
        <v>61508.239999999991</v>
      </c>
      <c r="AD62" s="15">
        <f>IFERROR(AC62/AC444, "NA")</f>
        <v>0.20511709600038217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3208.27</v>
      </c>
      <c r="C65" s="8">
        <f>IFERROR(B65/B444, "NA")</f>
        <v>4.3041089122665271E-3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3208.27</v>
      </c>
      <c r="I65" s="8">
        <f>IFERROR(H65/H444, "NA")</f>
        <v>4.0152039271597155E-2</v>
      </c>
      <c r="J65" s="9"/>
      <c r="K65" s="7">
        <v>468.24</v>
      </c>
      <c r="L65" s="8">
        <f>IFERROR(K65/K444, "NA")</f>
        <v>8.0139128263116352E-4</v>
      </c>
      <c r="M65" s="9"/>
      <c r="N65" s="10">
        <f t="shared" si="17"/>
        <v>2740.0299999999997</v>
      </c>
      <c r="O65" s="8">
        <f>IFERROR(N65/N444, "NA")</f>
        <v>1.7006866478194577E-2</v>
      </c>
      <c r="P65" s="9"/>
      <c r="Q65" s="7">
        <v>6667.98</v>
      </c>
      <c r="R65" s="8">
        <f>IFERROR(Q65/Q444, "NA")</f>
        <v>4.0190487570180462E-3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6667.98</v>
      </c>
      <c r="X65" s="8">
        <f>IFERROR(W65/W444, "NA")</f>
        <v>4.2326843303689854E-2</v>
      </c>
      <c r="Y65" s="9"/>
      <c r="Z65" s="7">
        <v>468.24</v>
      </c>
      <c r="AA65" s="8">
        <f>IFERROR(Z65/Z444, "NA")</f>
        <v>3.4449038344397349E-4</v>
      </c>
      <c r="AB65" s="9"/>
      <c r="AC65" s="10">
        <f t="shared" si="19"/>
        <v>6199.74</v>
      </c>
      <c r="AD65" s="8">
        <f>IFERROR(AC65/AC444, "NA")</f>
        <v>2.06748342133901E-2</v>
      </c>
    </row>
    <row r="66" spans="1:30" ht="16.5" customHeight="1" x14ac:dyDescent="0.45">
      <c r="A66" s="12" t="s">
        <v>63</v>
      </c>
      <c r="B66" s="7">
        <v>16298.79</v>
      </c>
      <c r="C66" s="8">
        <f>IFERROR(B66/B444, "NA")</f>
        <v>2.1865917550006875E-2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16298.79</v>
      </c>
      <c r="I66" s="8">
        <f>IFERROR(H66/H444, "NA")</f>
        <v>0.20398210130678374</v>
      </c>
      <c r="J66" s="9"/>
      <c r="K66" s="7">
        <v>13740.46</v>
      </c>
      <c r="L66" s="8">
        <f>IFERROR(K66/K444, "NA")</f>
        <v>2.3516753936746532E-2</v>
      </c>
      <c r="M66" s="9"/>
      <c r="N66" s="10">
        <f t="shared" si="17"/>
        <v>2558.3300000000017</v>
      </c>
      <c r="O66" s="8">
        <f>IFERROR(N66/N444, "NA")</f>
        <v>1.5879087716981041E-2</v>
      </c>
      <c r="P66" s="9"/>
      <c r="Q66" s="7">
        <v>41023.730000000003</v>
      </c>
      <c r="R66" s="8">
        <f>IFERROR(Q66/Q444, "NA")</f>
        <v>2.472658452256065E-2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41023.730000000003</v>
      </c>
      <c r="X66" s="8">
        <f>IFERROR(W66/W444, "NA")</f>
        <v>0.26040944805516525</v>
      </c>
      <c r="Y66" s="9"/>
      <c r="Z66" s="7">
        <v>26337.24</v>
      </c>
      <c r="AA66" s="8">
        <f>IFERROR(Z66/Z444, "NA")</f>
        <v>1.9376657069998197E-2</v>
      </c>
      <c r="AB66" s="9"/>
      <c r="AC66" s="10">
        <f t="shared" si="19"/>
        <v>14686.490000000002</v>
      </c>
      <c r="AD66" s="8">
        <f>IFERROR(AC66/AC444, "NA")</f>
        <v>4.8976367706808931E-2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5.9567146427283975E-3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6.273348310275989E-2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3.2956901067202983E-2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19507.060000000001</v>
      </c>
      <c r="C73" s="15">
        <f>IFERROR(B73/B444, "NA")</f>
        <v>2.6170026462273403E-2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19507.060000000001</v>
      </c>
      <c r="I73" s="15">
        <f>IFERROR(H73/H444, "NA")</f>
        <v>0.2441341405783809</v>
      </c>
      <c r="J73" s="2"/>
      <c r="K73" s="14">
        <f>IFERROR(K64+K65+K66+K67+K68+K69+K70+K71+K72, "NA")</f>
        <v>14208.699999999999</v>
      </c>
      <c r="L73" s="15">
        <f>IFERROR(K73/K444, "NA")</f>
        <v>2.4318145219377696E-2</v>
      </c>
      <c r="M73" s="2"/>
      <c r="N73" s="14">
        <f t="shared" si="17"/>
        <v>5298.3600000000024</v>
      </c>
      <c r="O73" s="15">
        <f>IFERROR(N73/N444, "NA")</f>
        <v>3.2885954195175621E-2</v>
      </c>
      <c r="P73" s="2"/>
      <c r="Q73" s="14">
        <f>IFERROR(Q64+Q65+Q66+Q67+Q68+Q69+Q70+Q71+Q72, "NA")</f>
        <v>57574.460000000006</v>
      </c>
      <c r="R73" s="15">
        <f>IFERROR(Q73/Q444, "NA")</f>
        <v>3.4702347922307093E-2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57574.460000000006</v>
      </c>
      <c r="X73" s="15">
        <f>IFERROR(W73/W444, "NA")</f>
        <v>0.36546977446161505</v>
      </c>
      <c r="Y73" s="2"/>
      <c r="Z73" s="14">
        <f>IFERROR(Z64+Z65+Z66+Z67+Z68+Z69+Z70+Z71+Z72, "NA")</f>
        <v>26805.480000000003</v>
      </c>
      <c r="AA73" s="15">
        <f>IFERROR(Z73/Z444, "NA")</f>
        <v>1.9721147453442174E-2</v>
      </c>
      <c r="AB73" s="2"/>
      <c r="AC73" s="14">
        <f t="shared" si="19"/>
        <v>30768.980000000003</v>
      </c>
      <c r="AD73" s="15">
        <f>IFERROR(AC73/AC444, "NA")</f>
        <v>0.10260810298740203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11802.039999999999</v>
      </c>
      <c r="F75" s="8">
        <f>IFERROR(E75/E444, "NA")</f>
        <v>1.7734254820242629E-2</v>
      </c>
      <c r="G75" s="9"/>
      <c r="H75" s="10">
        <f t="shared" ref="H75:H92" si="20">IFERROR(B75-E75, "NA")</f>
        <v>-11802.039999999999</v>
      </c>
      <c r="I75" s="8">
        <f>IFERROR(H75/H444, "NA")</f>
        <v>-0.14770451787566521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26939.42</v>
      </c>
      <c r="U75" s="8">
        <f>IFERROR(T75/T444, "NA")</f>
        <v>1.7940971587395733E-2</v>
      </c>
      <c r="V75" s="9"/>
      <c r="W75" s="10">
        <f t="shared" ref="W75:W92" si="22">IFERROR(Q75-T75, "NA")</f>
        <v>-26939.42</v>
      </c>
      <c r="X75" s="8">
        <f>IFERROR(W75/W444, "NA")</f>
        <v>-0.17100540329039507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3707.88</v>
      </c>
      <c r="C77" s="8">
        <f>IFERROR(B77/B444, "NA")</f>
        <v>4.9743691626997766E-3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3707.88</v>
      </c>
      <c r="I77" s="8">
        <f>IFERROR(H77/H444, "NA")</f>
        <v>4.6404742547968114E-2</v>
      </c>
      <c r="J77" s="9"/>
      <c r="K77" s="7">
        <v>621.91999999999996</v>
      </c>
      <c r="L77" s="8">
        <f>IFERROR(K77/K444, "NA")</f>
        <v>1.0644141177472519E-3</v>
      </c>
      <c r="M77" s="9"/>
      <c r="N77" s="10">
        <f t="shared" si="21"/>
        <v>3085.96</v>
      </c>
      <c r="O77" s="8">
        <f>IFERROR(N77/N444, "NA")</f>
        <v>1.9153990896833006E-2</v>
      </c>
      <c r="P77" s="9"/>
      <c r="Q77" s="7">
        <v>6856.8300000000008</v>
      </c>
      <c r="R77" s="8">
        <f>IFERROR(Q77/Q444, "NA")</f>
        <v>4.132875936728073E-3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6856.8300000000008</v>
      </c>
      <c r="X77" s="8">
        <f>IFERROR(W77/W444, "NA")</f>
        <v>4.3525620798208715E-2</v>
      </c>
      <c r="Y77" s="9"/>
      <c r="Z77" s="7">
        <v>1276.73</v>
      </c>
      <c r="AA77" s="8">
        <f>IFERROR(Z77/Z444, "NA")</f>
        <v>9.3930720838549518E-4</v>
      </c>
      <c r="AB77" s="9"/>
      <c r="AC77" s="10">
        <f t="shared" si="23"/>
        <v>5580.1</v>
      </c>
      <c r="AD77" s="8">
        <f>IFERROR(AC77/AC444, "NA")</f>
        <v>1.8608464612086654E-2</v>
      </c>
    </row>
    <row r="78" spans="1:30" ht="16.5" customHeight="1" x14ac:dyDescent="0.45">
      <c r="A78" s="12" t="s">
        <v>74</v>
      </c>
      <c r="B78" s="7">
        <v>75</v>
      </c>
      <c r="C78" s="8">
        <f>IFERROR(B78/B444, "NA")</f>
        <v>1.0061751922998673E-4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75</v>
      </c>
      <c r="I78" s="8">
        <f>IFERROR(H78/H444, "NA")</f>
        <v>9.3863762880611252E-4</v>
      </c>
      <c r="J78" s="9"/>
      <c r="K78" s="7">
        <v>25</v>
      </c>
      <c r="L78" s="8">
        <f>IFERROR(K78/K444, "NA")</f>
        <v>4.2787421121175226E-5</v>
      </c>
      <c r="M78" s="9"/>
      <c r="N78" s="10">
        <f t="shared" si="21"/>
        <v>50</v>
      </c>
      <c r="O78" s="8">
        <f>IFERROR(N78/N444, "NA")</f>
        <v>3.1034088090631446E-4</v>
      </c>
      <c r="P78" s="9"/>
      <c r="Q78" s="7">
        <v>200</v>
      </c>
      <c r="R78" s="8">
        <f>IFERROR(Q78/Q444, "NA")</f>
        <v>1.2054771481072368E-4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200</v>
      </c>
      <c r="X78" s="8">
        <f>IFERROR(W78/W444, "NA")</f>
        <v>1.2695551967369385E-3</v>
      </c>
      <c r="Y78" s="9"/>
      <c r="Z78" s="7">
        <v>125</v>
      </c>
      <c r="AA78" s="8">
        <f>IFERROR(Z78/Z444, "NA")</f>
        <v>9.1964159256997878E-5</v>
      </c>
      <c r="AB78" s="9"/>
      <c r="AC78" s="10">
        <f t="shared" si="23"/>
        <v>75</v>
      </c>
      <c r="AD78" s="8">
        <f>IFERROR(AC78/AC444, "NA")</f>
        <v>2.501092894225012E-4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59.8</v>
      </c>
      <c r="L79" s="8">
        <f>IFERROR(K79/K444, "NA")</f>
        <v>1.0234751132185114E-4</v>
      </c>
      <c r="M79" s="9"/>
      <c r="N79" s="10">
        <f t="shared" si="21"/>
        <v>-59.8</v>
      </c>
      <c r="O79" s="8">
        <f>IFERROR(N79/N444, "NA")</f>
        <v>-3.7116769356395208E-4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128.57</v>
      </c>
      <c r="AA79" s="8">
        <f>IFERROR(Z79/Z444, "NA")</f>
        <v>9.4590655645377725E-5</v>
      </c>
      <c r="AB79" s="9"/>
      <c r="AC79" s="10">
        <f t="shared" si="23"/>
        <v>-128.57</v>
      </c>
      <c r="AD79" s="8">
        <f>IFERROR(AC79/AC444, "NA")</f>
        <v>-4.2875401788067968E-4</v>
      </c>
    </row>
    <row r="80" spans="1:30" ht="16.5" customHeight="1" x14ac:dyDescent="0.45">
      <c r="A80" s="12" t="s">
        <v>76</v>
      </c>
      <c r="B80" s="7">
        <v>7463.8499999999995</v>
      </c>
      <c r="C80" s="8">
        <f>IFERROR(B80/B444, "NA")</f>
        <v>1.001325427872982E-2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7463.8499999999995</v>
      </c>
      <c r="I80" s="8">
        <f>IFERROR(H80/H444, "NA")</f>
        <v>9.3411339543526706E-2</v>
      </c>
      <c r="J80" s="9"/>
      <c r="K80" s="7">
        <v>7406.86</v>
      </c>
      <c r="L80" s="8">
        <f>IFERROR(K80/K444, "NA")</f>
        <v>1.2676817520223517E-2</v>
      </c>
      <c r="M80" s="9"/>
      <c r="N80" s="10">
        <f t="shared" si="21"/>
        <v>56.989999999999782</v>
      </c>
      <c r="O80" s="8">
        <f>IFERROR(N80/N444, "NA")</f>
        <v>3.537265360570159E-4</v>
      </c>
      <c r="P80" s="9"/>
      <c r="Q80" s="7">
        <v>22805.72</v>
      </c>
      <c r="R80" s="8">
        <f>IFERROR(Q80/Q444, "NA")</f>
        <v>1.3745887153066088E-2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22805.72</v>
      </c>
      <c r="X80" s="8">
        <f>IFERROR(W80/W444, "NA")</f>
        <v>0.14476560170663769</v>
      </c>
      <c r="Y80" s="9"/>
      <c r="Z80" s="7">
        <v>18846.86</v>
      </c>
      <c r="AA80" s="8">
        <f>IFERROR(Z80/Z444, "NA")</f>
        <v>1.3865885076274743E-2</v>
      </c>
      <c r="AB80" s="9"/>
      <c r="AC80" s="10">
        <f t="shared" si="23"/>
        <v>3958.8600000000006</v>
      </c>
      <c r="AD80" s="8">
        <f>IFERROR(AC80/AC444, "NA")</f>
        <v>1.3201968820308843E-2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1.506846435134046E-5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1.5869439959211731E-4</v>
      </c>
      <c r="Y82" s="9"/>
      <c r="Z82" s="7">
        <v>25</v>
      </c>
      <c r="AA82" s="8">
        <f>IFERROR(Z82/Z444, "NA")</f>
        <v>1.8392831851399574E-5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5.1344905345410269E-5</v>
      </c>
      <c r="M85" s="9"/>
      <c r="N85" s="10">
        <f t="shared" si="21"/>
        <v>-30</v>
      </c>
      <c r="O85" s="8">
        <f>IFERROR(N85/N444, "NA")</f>
        <v>-1.8620452854378869E-4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30</v>
      </c>
      <c r="AA85" s="8">
        <f>IFERROR(Z85/Z444, "NA")</f>
        <v>2.2071398221679491E-5</v>
      </c>
      <c r="AB85" s="9"/>
      <c r="AC85" s="10">
        <f t="shared" si="23"/>
        <v>-30</v>
      </c>
      <c r="AD85" s="8">
        <f>IFERROR(AC85/AC444, "NA")</f>
        <v>-1.0004371576900048E-4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3.3539173076662247E-5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3.1287920960203751E-4</v>
      </c>
      <c r="J86" s="9"/>
      <c r="K86" s="7">
        <v>245</v>
      </c>
      <c r="L86" s="8">
        <f>IFERROR(K86/K444, "NA")</f>
        <v>4.193167269875172E-4</v>
      </c>
      <c r="M86" s="9"/>
      <c r="N86" s="10">
        <f t="shared" si="21"/>
        <v>-220</v>
      </c>
      <c r="O86" s="8">
        <f>IFERROR(N86/N444, "NA")</f>
        <v>-1.3654998759877837E-3</v>
      </c>
      <c r="P86" s="9"/>
      <c r="Q86" s="7">
        <v>25</v>
      </c>
      <c r="R86" s="8">
        <f>IFERROR(Q86/Q444, "NA")</f>
        <v>1.506846435134046E-5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25</v>
      </c>
      <c r="X86" s="8">
        <f>IFERROR(W86/W444, "NA")</f>
        <v>1.5869439959211731E-4</v>
      </c>
      <c r="Y86" s="9"/>
      <c r="Z86" s="7">
        <v>505</v>
      </c>
      <c r="AA86" s="8">
        <f>IFERROR(Z86/Z444, "NA")</f>
        <v>3.7153520339827141E-4</v>
      </c>
      <c r="AB86" s="9"/>
      <c r="AC86" s="10">
        <f t="shared" si="23"/>
        <v>-480</v>
      </c>
      <c r="AD86" s="8">
        <f>IFERROR(AC86/AC444, "NA")</f>
        <v>-1.6006994523040077E-3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5.9567447796571001E-4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6.2733800491559079E-3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3.2957067806729263E-3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11271.73</v>
      </c>
      <c r="C88" s="15">
        <f>IFERROR(B88/B444, "NA")</f>
        <v>1.5121780133736244E-2</v>
      </c>
      <c r="D88" s="2"/>
      <c r="E88" s="14">
        <f>IFERROR(E75+E76+E77+E78+E79+E80+E81+E82+E83+E84+E85+E86+E87, "NA")</f>
        <v>11802.039999999999</v>
      </c>
      <c r="F88" s="15">
        <f>IFERROR(E88/E444, "NA")</f>
        <v>1.7734254820242629E-2</v>
      </c>
      <c r="G88" s="2"/>
      <c r="H88" s="14">
        <f t="shared" si="20"/>
        <v>-530.30999999999949</v>
      </c>
      <c r="I88" s="15">
        <f>IFERROR(H88/H444, "NA")</f>
        <v>-6.6369189457622544E-3</v>
      </c>
      <c r="J88" s="2"/>
      <c r="K88" s="14">
        <f>IFERROR(K75+K76+K77+K78+K79+K80+K81+K82+K83+K84+K85+K86+K87, "NA")</f>
        <v>8388.58</v>
      </c>
      <c r="L88" s="15">
        <f>IFERROR(K88/K444, "NA")</f>
        <v>1.4357028202746723E-2</v>
      </c>
      <c r="M88" s="2"/>
      <c r="N88" s="14">
        <f t="shared" si="21"/>
        <v>2883.1499999999996</v>
      </c>
      <c r="O88" s="15">
        <f>IFERROR(N88/N444, "NA")</f>
        <v>1.7895186215700808E-2</v>
      </c>
      <c r="P88" s="2"/>
      <c r="Q88" s="14">
        <f>IFERROR(Q75+Q76+Q77+Q78+Q79+Q80+Q81+Q82+Q83+Q84+Q85+Q86+Q87, "NA")</f>
        <v>30900.83</v>
      </c>
      <c r="R88" s="15">
        <f>IFERROR(Q88/Q444, "NA")</f>
        <v>1.8625122211273274E-2</v>
      </c>
      <c r="S88" s="2"/>
      <c r="T88" s="14">
        <f>IFERROR(T75+T76+T77+T78+T79+T80+T81+T82+T83+T84+T85+T86+T87, "NA")</f>
        <v>26939.42</v>
      </c>
      <c r="U88" s="15">
        <f>IFERROR(T88/T444, "NA")</f>
        <v>1.7940971587395733E-2</v>
      </c>
      <c r="V88" s="2"/>
      <c r="W88" s="14">
        <f t="shared" si="22"/>
        <v>3961.4100000000035</v>
      </c>
      <c r="X88" s="15">
        <f>IFERROR(W88/W444, "NA")</f>
        <v>2.5146143259528402E-2</v>
      </c>
      <c r="Y88" s="2"/>
      <c r="Z88" s="14">
        <f>IFERROR(Z75+Z76+Z77+Z78+Z79+Z80+Z81+Z82+Z83+Z84+Z85+Z86+Z87, "NA")</f>
        <v>20937.16</v>
      </c>
      <c r="AA88" s="15">
        <f>IFERROR(Z88/Z444, "NA")</f>
        <v>1.5403746533033965E-2</v>
      </c>
      <c r="AB88" s="2"/>
      <c r="AC88" s="14">
        <f t="shared" si="23"/>
        <v>9963.6700000000019</v>
      </c>
      <c r="AD88" s="15">
        <f>IFERROR(AC88/AC444, "NA")</f>
        <v>3.3226752316537239E-2</v>
      </c>
    </row>
    <row r="89" spans="1:30" ht="16.5" customHeight="1" x14ac:dyDescent="0.45">
      <c r="A89" s="6" t="s">
        <v>85</v>
      </c>
      <c r="B89" s="7">
        <v>-134.09000000000003</v>
      </c>
      <c r="C89" s="8">
        <f>IFERROR(B89/B444, "NA")</f>
        <v>-1.7989070871398565E-4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-134.09000000000003</v>
      </c>
      <c r="I89" s="8">
        <f>IFERROR(H89/H444, "NA")</f>
        <v>-1.6781589286214889E-3</v>
      </c>
      <c r="J89" s="9"/>
      <c r="K89" s="7">
        <v>-1182.3899999999999</v>
      </c>
      <c r="L89" s="8">
        <f>IFERROR(K89/K444, "NA")</f>
        <v>-2.023656754378655E-3</v>
      </c>
      <c r="M89" s="9"/>
      <c r="N89" s="10">
        <f t="shared" si="21"/>
        <v>1048.2999999999997</v>
      </c>
      <c r="O89" s="8">
        <f>IFERROR(N89/N444, "NA")</f>
        <v>6.506606909081788E-3</v>
      </c>
      <c r="P89" s="9"/>
      <c r="Q89" s="7">
        <v>-266.67</v>
      </c>
      <c r="R89" s="8">
        <f>IFERROR(Q89/Q444, "NA")</f>
        <v>-1.6073229554287844E-4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-266.67</v>
      </c>
      <c r="X89" s="8">
        <f>IFERROR(W89/W444, "NA")</f>
        <v>-1.6927614215691972E-3</v>
      </c>
      <c r="Y89" s="9"/>
      <c r="Z89" s="7">
        <v>261.07000000000016</v>
      </c>
      <c r="AA89" s="8">
        <f>IFERROR(Z89/Z444, "NA")</f>
        <v>1.9207266445779559E-4</v>
      </c>
      <c r="AB89" s="9"/>
      <c r="AC89" s="10">
        <f t="shared" si="23"/>
        <v>-527.74000000000024</v>
      </c>
      <c r="AD89" s="8">
        <f>IFERROR(AC89/AC444, "NA")</f>
        <v>-1.7599023519977446E-3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-24901.91</v>
      </c>
      <c r="F94" s="8">
        <f>IFERROR(E94/E444, "NA")</f>
        <v>-3.7418685028244962E-2</v>
      </c>
      <c r="G94" s="9"/>
      <c r="H94" s="10">
        <f t="shared" ref="H94:H124" si="24">IFERROR(B94-E94, "NA")</f>
        <v>24901.91</v>
      </c>
      <c r="I94" s="8">
        <f>IFERROR(H94/H444, "NA")</f>
        <v>0.31165159673524295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-56141.89</v>
      </c>
      <c r="U94" s="8">
        <f>IFERROR(T94/T444, "NA")</f>
        <v>-3.7389077172140177E-2</v>
      </c>
      <c r="V94" s="9"/>
      <c r="W94" s="10">
        <f t="shared" ref="W94:W124" si="26">IFERROR(Q94-T94, "NA")</f>
        <v>56141.89</v>
      </c>
      <c r="X94" s="8">
        <f>IFERROR(W94/W444, "NA")</f>
        <v>0.35637614102066778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-10614.289999999999</v>
      </c>
      <c r="C96" s="8">
        <f>IFERROR(B96/B444, "NA")</f>
        <v>-1.423978037583541E-2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-10614.289999999999</v>
      </c>
      <c r="I96" s="8">
        <f>IFERROR(H96/H444, "NA")</f>
        <v>-0.13283962662747242</v>
      </c>
      <c r="J96" s="9"/>
      <c r="K96" s="7">
        <v>-3428.33</v>
      </c>
      <c r="L96" s="8">
        <f>IFERROR(K96/K444, "NA")</f>
        <v>-5.8675759780943467E-3</v>
      </c>
      <c r="M96" s="9"/>
      <c r="N96" s="10">
        <f t="shared" si="25"/>
        <v>-7185.9599999999991</v>
      </c>
      <c r="O96" s="8">
        <f>IFERROR(N96/N444, "NA")</f>
        <v>-4.460194313115079E-2</v>
      </c>
      <c r="P96" s="9"/>
      <c r="Q96" s="7">
        <v>-25336.71</v>
      </c>
      <c r="R96" s="8">
        <f>IFERROR(Q96/Q444, "NA")</f>
        <v>-1.5271412456610055E-2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-25336.71</v>
      </c>
      <c r="X96" s="8">
        <f>IFERROR(W96/W444, "NA")</f>
        <v>-0.16083175924358378</v>
      </c>
      <c r="Y96" s="9"/>
      <c r="Z96" s="7">
        <v>-8779.1</v>
      </c>
      <c r="AA96" s="8">
        <f>IFERROR(Z96/Z444, "NA")</f>
        <v>-6.4589004042648803E-3</v>
      </c>
      <c r="AB96" s="9"/>
      <c r="AC96" s="10">
        <f t="shared" si="27"/>
        <v>-16557.61</v>
      </c>
      <c r="AD96" s="8">
        <f>IFERROR(AC96/AC444, "NA")</f>
        <v>-5.5216160955132002E-2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-12363.710000000001</v>
      </c>
      <c r="C98" s="8">
        <f>IFERROR(B98/B444, "NA")</f>
        <v>-1.658674438238639E-2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-12363.710000000001</v>
      </c>
      <c r="I98" s="8">
        <f>IFERROR(H98/H444, "NA")</f>
        <v>-0.15473391250195231</v>
      </c>
      <c r="J98" s="9"/>
      <c r="K98" s="7">
        <v>-10183.32</v>
      </c>
      <c r="L98" s="8">
        <f>IFERROR(K98/K444, "NA")</f>
        <v>-1.7428720050067445E-2</v>
      </c>
      <c r="M98" s="9"/>
      <c r="N98" s="10">
        <f t="shared" si="25"/>
        <v>-2180.3900000000012</v>
      </c>
      <c r="O98" s="8">
        <f>IFERROR(N98/N444, "NA")</f>
        <v>-1.3533283066386388E-2</v>
      </c>
      <c r="P98" s="9"/>
      <c r="Q98" s="7">
        <v>-27907.93</v>
      </c>
      <c r="R98" s="8">
        <f>IFERROR(Q98/Q444, "NA")</f>
        <v>-1.68211859329882E-2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-27907.93</v>
      </c>
      <c r="X98" s="8">
        <f>IFERROR(W98/W444, "NA")</f>
        <v>-0.17715328780835354</v>
      </c>
      <c r="Y98" s="9"/>
      <c r="Z98" s="7">
        <v>-25213.040000000001</v>
      </c>
      <c r="AA98" s="8">
        <f>IFERROR(Z98/Z444, "NA")</f>
        <v>-1.8549568207304461E-2</v>
      </c>
      <c r="AB98" s="9"/>
      <c r="AC98" s="10">
        <f t="shared" si="27"/>
        <v>-2694.8899999999994</v>
      </c>
      <c r="AD98" s="8">
        <f>IFERROR(AC98/AC444, "NA")</f>
        <v>-8.9868936396240544E-3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-1390.35</v>
      </c>
      <c r="C100" s="8">
        <f>IFERROR(B100/B444, "NA")</f>
        <v>-1.8652475714854939E-3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-1390.35</v>
      </c>
      <c r="I100" s="8">
        <f>IFERROR(H100/H444, "NA")</f>
        <v>-1.7400464362807715E-2</v>
      </c>
      <c r="J100" s="9"/>
      <c r="K100" s="7">
        <v>-441.87</v>
      </c>
      <c r="L100" s="8">
        <f>IFERROR(K100/K444, "NA")</f>
        <v>-7.562591108325479E-4</v>
      </c>
      <c r="M100" s="9"/>
      <c r="N100" s="10">
        <f t="shared" si="25"/>
        <v>-948.4799999999999</v>
      </c>
      <c r="O100" s="8">
        <f>IFERROR(N100/N444, "NA")</f>
        <v>-5.8870423744404226E-3</v>
      </c>
      <c r="P100" s="9"/>
      <c r="Q100" s="7">
        <v>-5496.05</v>
      </c>
      <c r="R100" s="8">
        <f>IFERROR(Q100/Q444, "NA")</f>
        <v>-3.3126813399273897E-3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-5496.05</v>
      </c>
      <c r="X100" s="8">
        <f>IFERROR(W100/W444, "NA")</f>
        <v>-3.4887694195130256E-2</v>
      </c>
      <c r="Y100" s="9"/>
      <c r="Z100" s="7">
        <v>-7555.6</v>
      </c>
      <c r="AA100" s="8">
        <f>IFERROR(Z100/Z444, "NA")</f>
        <v>-5.5587552134573849E-3</v>
      </c>
      <c r="AB100" s="9"/>
      <c r="AC100" s="10">
        <f t="shared" si="27"/>
        <v>2059.5500000000002</v>
      </c>
      <c r="AD100" s="8">
        <f>IFERROR(AC100/AC444, "NA")</f>
        <v>6.8681678270681654E-3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-6382.92</v>
      </c>
      <c r="C102" s="8">
        <f>IFERROR(B102/B444, "NA")</f>
        <v>-8.5631143445795595E-3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-6382.92</v>
      </c>
      <c r="I102" s="8">
        <f>IFERROR(H102/H444, "NA")</f>
        <v>-7.9883318582121499E-2</v>
      </c>
      <c r="J102" s="9"/>
      <c r="K102" s="7">
        <v>-2215.6999999999998</v>
      </c>
      <c r="L102" s="8">
        <f>IFERROR(K102/K444, "NA")</f>
        <v>-3.7921635591275176E-3</v>
      </c>
      <c r="M102" s="9"/>
      <c r="N102" s="10">
        <f t="shared" si="25"/>
        <v>-4167.22</v>
      </c>
      <c r="O102" s="8">
        <f>IFERROR(N102/N444, "NA")</f>
        <v>-2.5865174514608239E-2</v>
      </c>
      <c r="P102" s="9"/>
      <c r="Q102" s="7">
        <v>-16136.61</v>
      </c>
      <c r="R102" s="8">
        <f>IFERROR(Q102/Q444, "NA")</f>
        <v>-9.7261573014593601E-3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-16136.61</v>
      </c>
      <c r="X102" s="8">
        <f>IFERROR(W102/W444, "NA")</f>
        <v>-0.10243158541608625</v>
      </c>
      <c r="Y102" s="9"/>
      <c r="Z102" s="7">
        <v>-5027.7999999999993</v>
      </c>
      <c r="AA102" s="8">
        <f>IFERROR(Z102/Z444, "NA")</f>
        <v>-3.6990191992986709E-3</v>
      </c>
      <c r="AB102" s="9"/>
      <c r="AC102" s="10">
        <f t="shared" si="27"/>
        <v>-11108.810000000001</v>
      </c>
      <c r="AD102" s="8">
        <f>IFERROR(AC102/AC444, "NA")</f>
        <v>-3.704555433906101E-2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-4603.57</v>
      </c>
      <c r="C104" s="8">
        <f>IFERROR(B104/B444, "NA")</f>
        <v>-6.1759972400211999E-3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-4603.57</v>
      </c>
      <c r="I104" s="8">
        <f>IFERROR(H104/H444, "NA")</f>
        <v>-5.7614453717906071E-2</v>
      </c>
      <c r="J104" s="9"/>
      <c r="K104" s="7">
        <v>-4877.37</v>
      </c>
      <c r="L104" s="8">
        <f>IFERROR(K104/K444, "NA")</f>
        <v>-8.3476033661514567E-3</v>
      </c>
      <c r="M104" s="9"/>
      <c r="N104" s="10">
        <f t="shared" si="25"/>
        <v>273.80000000000018</v>
      </c>
      <c r="O104" s="8">
        <f>IFERROR(N104/N444, "NA")</f>
        <v>1.6994266638429793E-3</v>
      </c>
      <c r="P104" s="9"/>
      <c r="Q104" s="7">
        <v>-9588.82</v>
      </c>
      <c r="R104" s="8">
        <f>IFERROR(Q104/Q444, "NA")</f>
        <v>-5.7795516936568177E-3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-9588.82</v>
      </c>
      <c r="X104" s="8">
        <f>IFERROR(W104/W444, "NA")</f>
        <v>-6.0867681307875454E-2</v>
      </c>
      <c r="Y104" s="9"/>
      <c r="Z104" s="7">
        <v>-10911.39</v>
      </c>
      <c r="AA104" s="8">
        <f>IFERROR(Z104/Z444, "NA")</f>
        <v>-8.0276544614017124E-3</v>
      </c>
      <c r="AB104" s="9"/>
      <c r="AC104" s="10">
        <f t="shared" si="27"/>
        <v>1322.5699999999997</v>
      </c>
      <c r="AD104" s="8">
        <f>IFERROR(AC104/AC444, "NA")</f>
        <v>4.4104939054868978E-3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-1729</v>
      </c>
      <c r="C106" s="8">
        <f>IFERROR(B106/B444, "NA")</f>
        <v>-2.3195692099819607E-3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-1729</v>
      </c>
      <c r="I106" s="8">
        <f>IFERROR(H106/H444, "NA")</f>
        <v>-2.1638726136076914E-2</v>
      </c>
      <c r="J106" s="9"/>
      <c r="K106" s="7">
        <v>-3688.28</v>
      </c>
      <c r="L106" s="8">
        <f>IFERROR(K106/K444, "NA")</f>
        <v>-6.3124795829123271E-3</v>
      </c>
      <c r="M106" s="9"/>
      <c r="N106" s="10">
        <f t="shared" si="25"/>
        <v>1959.2800000000002</v>
      </c>
      <c r="O106" s="8">
        <f>IFERROR(N106/N444, "NA")</f>
        <v>1.2160893622842478E-2</v>
      </c>
      <c r="P106" s="9"/>
      <c r="Q106" s="7">
        <v>-2907.77</v>
      </c>
      <c r="R106" s="8">
        <f>IFERROR(Q106/Q444, "NA")</f>
        <v>-1.7526251434758901E-3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-2907.77</v>
      </c>
      <c r="X106" s="8">
        <f>IFERROR(W106/W444, "NA")</f>
        <v>-1.8457872572078839E-2</v>
      </c>
      <c r="Y106" s="9"/>
      <c r="Z106" s="7">
        <v>-10799.960000000001</v>
      </c>
      <c r="AA106" s="8">
        <f>IFERROR(Z106/Z444, "NA")</f>
        <v>-7.945673931273654E-3</v>
      </c>
      <c r="AB106" s="9"/>
      <c r="AC106" s="10">
        <f t="shared" si="27"/>
        <v>7892.1900000000005</v>
      </c>
      <c r="AD106" s="8">
        <f>IFERROR(AC106/AC444, "NA")</f>
        <v>2.6318800438498265E-2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-80.010000000000005</v>
      </c>
      <c r="L108" s="8">
        <f>IFERROR(K108/K444, "NA")</f>
        <v>-1.369368625562092E-4</v>
      </c>
      <c r="M108" s="9"/>
      <c r="N108" s="10">
        <f t="shared" si="25"/>
        <v>80.010000000000005</v>
      </c>
      <c r="O108" s="8">
        <f>IFERROR(N108/N444, "NA")</f>
        <v>4.9660747762628448E-4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-80.010000000000005</v>
      </c>
      <c r="AA108" s="8">
        <f>IFERROR(Z108/Z444, "NA")</f>
        <v>-5.88644190572192E-5</v>
      </c>
      <c r="AB108" s="9"/>
      <c r="AC108" s="10">
        <f t="shared" si="27"/>
        <v>80.010000000000005</v>
      </c>
      <c r="AD108" s="8">
        <f>IFERROR(AC108/AC444, "NA")</f>
        <v>2.668165899559243E-4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-8.4974883153466038E-6</v>
      </c>
      <c r="AB111" s="9"/>
      <c r="AC111" s="10">
        <f t="shared" si="27"/>
        <v>11.55</v>
      </c>
      <c r="AD111" s="8">
        <f>IFERROR(AC111/AC444, "NA")</f>
        <v>3.8516830571065187E-5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-37083.839999999997</v>
      </c>
      <c r="C118" s="15">
        <f>IFERROR(B118/B444, "NA")</f>
        <v>-4.9750453124290009E-2</v>
      </c>
      <c r="D118" s="2"/>
      <c r="E118" s="14">
        <f>IFERROR(E94+E95+E96+E97+E98+E99+E100+E101+E102+E103+E104+E105+E106+E107+E108+E109+E110+E111+E112+E113+E114+E115+E116+E117, "NA")</f>
        <v>-24901.91</v>
      </c>
      <c r="F118" s="15">
        <f>IFERROR(E118/E444, "NA")</f>
        <v>-3.7418685028244962E-2</v>
      </c>
      <c r="G118" s="2"/>
      <c r="H118" s="14">
        <f t="shared" si="24"/>
        <v>-12181.929999999997</v>
      </c>
      <c r="I118" s="15">
        <f>IFERROR(H118/H444, "NA")</f>
        <v>-0.15245890519309391</v>
      </c>
      <c r="J118" s="2"/>
      <c r="K118" s="14">
        <f>IFERROR(K94+K95+K96+K97+K98+K99+K100+K101+K102+K103+K104+K105+K106+K107+K108+K109+K110+K111+K112+K113+K114+K115+K116+K117, "NA")</f>
        <v>-24914.879999999997</v>
      </c>
      <c r="L118" s="15">
        <f>IFERROR(K118/K444, "NA")</f>
        <v>-4.2641738509741844E-2</v>
      </c>
      <c r="M118" s="2"/>
      <c r="N118" s="14">
        <f t="shared" si="25"/>
        <v>-12168.96</v>
      </c>
      <c r="O118" s="15">
        <f>IFERROR(N118/N444, "NA")</f>
        <v>-7.5530515322274089E-2</v>
      </c>
      <c r="P118" s="2"/>
      <c r="Q118" s="14">
        <f>IFERROR(Q94+Q95+Q96+Q97+Q98+Q99+Q100+Q101+Q102+Q103+Q104+Q105+Q106+Q107+Q108+Q109+Q110+Q111+Q112+Q113+Q114+Q115+Q116+Q117, "NA")</f>
        <v>-87373.89</v>
      </c>
      <c r="R118" s="15">
        <f>IFERROR(Q118/Q444, "NA")</f>
        <v>-5.2663613868117715E-2</v>
      </c>
      <c r="S118" s="2"/>
      <c r="T118" s="14">
        <f>IFERROR(T94+T95+T96+T97+T98+T99+T100+T101+T102+T103+T104+T105+T106+T107+T108+T109+T110+T111+T112+T113+T114+T115+T116+T117, "NA")</f>
        <v>-56141.89</v>
      </c>
      <c r="U118" s="15">
        <f>IFERROR(T118/T444, "NA")</f>
        <v>-3.7389077172140177E-2</v>
      </c>
      <c r="V118" s="2"/>
      <c r="W118" s="14">
        <f t="shared" si="26"/>
        <v>-31232</v>
      </c>
      <c r="X118" s="15">
        <f>IFERROR(W118/W444, "NA")</f>
        <v>-0.19825373952244033</v>
      </c>
      <c r="Y118" s="2"/>
      <c r="Z118" s="14">
        <f>IFERROR(Z94+Z95+Z96+Z97+Z98+Z99+Z100+Z101+Z102+Z103+Z104+Z105+Z106+Z107+Z108+Z109+Z110+Z111+Z112+Z113+Z114+Z115+Z116+Z117, "NA")</f>
        <v>-68378.45</v>
      </c>
      <c r="AA118" s="15">
        <f>IFERROR(Z118/Z444, "NA")</f>
        <v>-5.0306933324373325E-2</v>
      </c>
      <c r="AB118" s="2"/>
      <c r="AC118" s="14">
        <f t="shared" si="27"/>
        <v>-18995.440000000002</v>
      </c>
      <c r="AD118" s="15">
        <f>IFERROR(AC118/AC444, "NA")</f>
        <v>-6.3345813342236754E-2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745397.03000000014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665493.99000000011</v>
      </c>
      <c r="F122" s="15">
        <f>IFERROR(E122/E444, "NA")</f>
        <v>1.0000000000000002</v>
      </c>
      <c r="G122" s="2"/>
      <c r="H122" s="14">
        <f t="shared" si="24"/>
        <v>79903.040000000037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584283.87000000011</v>
      </c>
      <c r="L122" s="15">
        <f>IFERROR(K122/K444, "NA")</f>
        <v>1.0000000000000002</v>
      </c>
      <c r="M122" s="2"/>
      <c r="N122" s="14">
        <f t="shared" si="25"/>
        <v>161113.16000000003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1659094.08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1501558.59</v>
      </c>
      <c r="U122" s="15">
        <f>IFERROR(T122/T444, "NA")</f>
        <v>1</v>
      </c>
      <c r="V122" s="2"/>
      <c r="W122" s="14">
        <f t="shared" si="26"/>
        <v>157535.49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1359225.1700000004</v>
      </c>
      <c r="AA122" s="15">
        <f>IFERROR(Z122/Z444, "NA")</f>
        <v>1.0000000000000004</v>
      </c>
      <c r="AB122" s="2"/>
      <c r="AC122" s="14">
        <f t="shared" si="27"/>
        <v>299868.90999999968</v>
      </c>
      <c r="AD122" s="15">
        <f>IFERROR(AC122/AC444, "NA")</f>
        <v>0.99999999999999845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745397.03000000014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665493.99000000011</v>
      </c>
      <c r="F124" s="15">
        <f>IFERROR(E124/E444, "NA")</f>
        <v>1.0000000000000002</v>
      </c>
      <c r="G124" s="2"/>
      <c r="H124" s="14">
        <f t="shared" si="24"/>
        <v>79903.040000000037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584283.87000000011</v>
      </c>
      <c r="L124" s="15">
        <f>IFERROR(K124/K444, "NA")</f>
        <v>1.0000000000000002</v>
      </c>
      <c r="M124" s="2"/>
      <c r="N124" s="14">
        <f t="shared" si="25"/>
        <v>161113.16000000003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1659094.08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1501558.59</v>
      </c>
      <c r="U124" s="15">
        <f>IFERROR(T124/T444, "NA")</f>
        <v>1</v>
      </c>
      <c r="V124" s="2"/>
      <c r="W124" s="14">
        <f t="shared" si="26"/>
        <v>157535.49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1359225.1700000004</v>
      </c>
      <c r="AA124" s="15">
        <f>IFERROR(Z124/Z444, "NA")</f>
        <v>1.0000000000000004</v>
      </c>
      <c r="AB124" s="2"/>
      <c r="AC124" s="14">
        <f t="shared" si="27"/>
        <v>299868.90999999968</v>
      </c>
      <c r="AD124" s="15">
        <f>IFERROR(AC124/AC444, "NA")</f>
        <v>0.99999999999999845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154504.95000000001</v>
      </c>
      <c r="F129" s="8">
        <f>IFERROR(E129/E444, "NA")</f>
        <v>0.23216580813900364</v>
      </c>
      <c r="G129" s="9"/>
      <c r="H129" s="10">
        <f t="shared" ref="H129:H141" si="28">IFERROR(-(B129-E129), "NA")</f>
        <v>154504.95000000001</v>
      </c>
      <c r="I129" s="8">
        <f>IFERROR(H129/H444, "NA")</f>
        <v>1.9336554654240932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362434.11</v>
      </c>
      <c r="U129" s="8">
        <f>IFERROR(T129/T444, "NA")</f>
        <v>0.24137194007194882</v>
      </c>
      <c r="V129" s="9"/>
      <c r="W129" s="10">
        <f t="shared" ref="W129:W141" si="30">IFERROR(-(Q129-T129), "NA")</f>
        <v>362434.11</v>
      </c>
      <c r="X129" s="8">
        <f>IFERROR(W129/W444, "NA")</f>
        <v>2.3006505391261358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41080.93</v>
      </c>
      <c r="C130" s="8">
        <f>IFERROR(B130/B444, "NA")</f>
        <v>5.5112816856809854E-2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-41080.93</v>
      </c>
      <c r="I130" s="8">
        <f>IFERROR(H130/H444, "NA")</f>
        <v>-0.51413475632466521</v>
      </c>
      <c r="J130" s="9"/>
      <c r="K130" s="7">
        <v>36944.300000000003</v>
      </c>
      <c r="L130" s="8">
        <f>IFERROR(K130/K444, "NA")</f>
        <v>6.3230052885081364E-2</v>
      </c>
      <c r="M130" s="9"/>
      <c r="N130" s="10">
        <f t="shared" si="29"/>
        <v>-4136.6299999999974</v>
      </c>
      <c r="O130" s="8">
        <f>IFERROR(N130/N444, "NA")</f>
        <v>-2.5675307963669736E-2</v>
      </c>
      <c r="P130" s="9"/>
      <c r="Q130" s="7">
        <v>93777.7</v>
      </c>
      <c r="R130" s="8">
        <f>IFERROR(Q130/Q444, "NA")</f>
        <v>5.6523437176028014E-2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-93777.7</v>
      </c>
      <c r="X130" s="8">
        <f>IFERROR(W130/W444, "NA")</f>
        <v>-0.59527983186518796</v>
      </c>
      <c r="Y130" s="9"/>
      <c r="Z130" s="7">
        <v>88814.94</v>
      </c>
      <c r="AA130" s="8">
        <f>IFERROR(Z130/Z444, "NA")</f>
        <v>6.5342330292485692E-2</v>
      </c>
      <c r="AB130" s="9"/>
      <c r="AC130" s="10">
        <f t="shared" si="31"/>
        <v>-4962.7599999999948</v>
      </c>
      <c r="AD130" s="8">
        <f>IFERROR(AC130/AC444, "NA")</f>
        <v>-1.6549765028992143E-2</v>
      </c>
    </row>
    <row r="131" spans="1:30" ht="16.5" customHeight="1" x14ac:dyDescent="0.45">
      <c r="A131" s="12" t="s">
        <v>123</v>
      </c>
      <c r="B131" s="7">
        <v>23511.760000000002</v>
      </c>
      <c r="C131" s="8">
        <f>IFERROR(B131/B444, "NA")</f>
        <v>3.1542599519077771E-2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-23511.760000000002</v>
      </c>
      <c r="I131" s="8">
        <f>IFERROR(H131/H444, "NA")</f>
        <v>-0.2942536354061121</v>
      </c>
      <c r="J131" s="9"/>
      <c r="K131" s="7">
        <v>17920.59</v>
      </c>
      <c r="L131" s="8">
        <f>IFERROR(K131/K444, "NA")</f>
        <v>3.0671033242796863E-2</v>
      </c>
      <c r="M131" s="9"/>
      <c r="N131" s="10">
        <f t="shared" si="29"/>
        <v>-5591.1700000000019</v>
      </c>
      <c r="O131" s="8">
        <f>IFERROR(N131/N444, "NA")</f>
        <v>-3.4703372461939178E-2</v>
      </c>
      <c r="P131" s="9"/>
      <c r="Q131" s="7">
        <v>51903.630000000005</v>
      </c>
      <c r="R131" s="8">
        <f>IFERROR(Q131/Q444, "NA")</f>
        <v>3.1284319934406613E-2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-51903.630000000005</v>
      </c>
      <c r="X131" s="8">
        <f>IFERROR(W131/W444, "NA")</f>
        <v>-0.32947261598005634</v>
      </c>
      <c r="Y131" s="9"/>
      <c r="Z131" s="7">
        <v>43124.759999999995</v>
      </c>
      <c r="AA131" s="8">
        <f>IFERROR(Z131/Z444, "NA")</f>
        <v>3.1727458372478486E-2</v>
      </c>
      <c r="AB131" s="9"/>
      <c r="AC131" s="10">
        <f t="shared" si="31"/>
        <v>-8778.8700000000099</v>
      </c>
      <c r="AD131" s="8">
        <f>IFERROR(AC131/AC444, "NA")</f>
        <v>-2.9275692501766874E-2</v>
      </c>
    </row>
    <row r="132" spans="1:30" ht="16.5" customHeight="1" x14ac:dyDescent="0.45">
      <c r="A132" s="12" t="s">
        <v>124</v>
      </c>
      <c r="B132" s="7">
        <v>26510.670000000002</v>
      </c>
      <c r="C132" s="8">
        <f>IFERROR(B132/B444, "NA")</f>
        <v>3.5565837980331104E-2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-26510.670000000002</v>
      </c>
      <c r="I132" s="8">
        <f>IFERROR(H132/H444, "NA")</f>
        <v>-0.33178549902481796</v>
      </c>
      <c r="J132" s="9"/>
      <c r="K132" s="7">
        <v>20260.310000000001</v>
      </c>
      <c r="L132" s="8">
        <f>IFERROR(K132/K444, "NA")</f>
        <v>3.4675456640622306E-2</v>
      </c>
      <c r="M132" s="9"/>
      <c r="N132" s="10">
        <f t="shared" si="29"/>
        <v>-6250.3600000000006</v>
      </c>
      <c r="O132" s="8">
        <f>IFERROR(N132/N444, "NA")</f>
        <v>-3.8794844567631839E-2</v>
      </c>
      <c r="P132" s="9"/>
      <c r="Q132" s="7">
        <v>61069.17</v>
      </c>
      <c r="R132" s="8">
        <f>IFERROR(Q132/Q444, "NA")</f>
        <v>3.6808744444438012E-2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-61069.17</v>
      </c>
      <c r="X132" s="8">
        <f>IFERROR(W132/W444, "NA")</f>
        <v>-0.38765341066955772</v>
      </c>
      <c r="Y132" s="9"/>
      <c r="Z132" s="7">
        <v>46902.61</v>
      </c>
      <c r="AA132" s="8">
        <f>IFERROR(Z132/Z444, "NA")</f>
        <v>3.450687276487089E-2</v>
      </c>
      <c r="AB132" s="9"/>
      <c r="AC132" s="10">
        <f t="shared" si="31"/>
        <v>-14166.559999999998</v>
      </c>
      <c r="AD132" s="8">
        <f>IFERROR(AC132/AC444, "NA")</f>
        <v>-4.7242510068816371E-2</v>
      </c>
    </row>
    <row r="133" spans="1:30" ht="16.5" customHeight="1" x14ac:dyDescent="0.45">
      <c r="A133" s="12" t="s">
        <v>125</v>
      </c>
      <c r="B133" s="7">
        <v>17434.8</v>
      </c>
      <c r="C133" s="8">
        <f>IFERROR(B133/B444, "NA")</f>
        <v>2.3389950990279636E-2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-17434.8</v>
      </c>
      <c r="I133" s="8">
        <f>IFERROR(H133/H444, "NA")</f>
        <v>-0.21819945774278415</v>
      </c>
      <c r="J133" s="9"/>
      <c r="K133" s="7">
        <v>11782.919999999998</v>
      </c>
      <c r="L133" s="8">
        <f>IFERROR(K133/K444, "NA")</f>
        <v>2.0166430403084717E-2</v>
      </c>
      <c r="M133" s="9"/>
      <c r="N133" s="10">
        <f t="shared" si="29"/>
        <v>-5651.880000000001</v>
      </c>
      <c r="O133" s="8">
        <f>IFERROR(N133/N444, "NA")</f>
        <v>-3.5080188359535622E-2</v>
      </c>
      <c r="P133" s="9"/>
      <c r="Q133" s="7">
        <v>38318.869999999995</v>
      </c>
      <c r="R133" s="8">
        <f>IFERROR(Q133/Q444, "NA")</f>
        <v>2.3096261063145974E-2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-38318.869999999995</v>
      </c>
      <c r="X133" s="8">
        <f>IFERROR(W133/W444, "NA")</f>
        <v>-0.24323960270793582</v>
      </c>
      <c r="Y133" s="9"/>
      <c r="Z133" s="7">
        <v>26420</v>
      </c>
      <c r="AA133" s="8">
        <f>IFERROR(Z133/Z444, "NA")</f>
        <v>1.943754470055907E-2</v>
      </c>
      <c r="AB133" s="9"/>
      <c r="AC133" s="10">
        <f t="shared" si="31"/>
        <v>-11898.869999999995</v>
      </c>
      <c r="AD133" s="8">
        <f>IFERROR(AC133/AC444, "NA")</f>
        <v>-3.9680238941742878E-2</v>
      </c>
    </row>
    <row r="134" spans="1:30" ht="16.5" customHeight="1" x14ac:dyDescent="0.45">
      <c r="A134" s="12" t="s">
        <v>126</v>
      </c>
      <c r="B134" s="7">
        <v>6957.49</v>
      </c>
      <c r="C134" s="8">
        <f>IFERROR(B134/B444, "NA")</f>
        <v>9.3339384515658715E-3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-6957.49</v>
      </c>
      <c r="I134" s="8">
        <f>IFERROR(H134/H444, "NA")</f>
        <v>-8.7074158880563204E-2</v>
      </c>
      <c r="J134" s="9"/>
      <c r="K134" s="7">
        <v>6262.4100000000008</v>
      </c>
      <c r="L134" s="8">
        <f>IFERROR(K134/K444, "NA")</f>
        <v>1.0718094956138359E-2</v>
      </c>
      <c r="M134" s="9"/>
      <c r="N134" s="10">
        <f t="shared" si="29"/>
        <v>-695.07999999999902</v>
      </c>
      <c r="O134" s="8">
        <f>IFERROR(N134/N444, "NA")</f>
        <v>-4.3142347900072152E-3</v>
      </c>
      <c r="P134" s="9"/>
      <c r="Q134" s="7">
        <v>14496.94</v>
      </c>
      <c r="R134" s="8">
        <f>IFERROR(Q134/Q444, "NA")</f>
        <v>8.7378649437408629E-3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-14496.94</v>
      </c>
      <c r="X134" s="8">
        <f>IFERROR(W134/W444, "NA")</f>
        <v>-9.202332756891797E-2</v>
      </c>
      <c r="Y134" s="9"/>
      <c r="Z134" s="7">
        <v>15149.22</v>
      </c>
      <c r="AA134" s="8">
        <f>IFERROR(Z134/Z444, "NA")</f>
        <v>1.1145482245594378E-2</v>
      </c>
      <c r="AB134" s="9"/>
      <c r="AC134" s="10">
        <f t="shared" si="31"/>
        <v>652.27999999999884</v>
      </c>
      <c r="AD134" s="8">
        <f>IFERROR(AC134/AC444, "NA")</f>
        <v>2.1752171640601172E-3</v>
      </c>
    </row>
    <row r="135" spans="1:30" ht="16.5" customHeight="1" x14ac:dyDescent="0.45">
      <c r="A135" s="12" t="s">
        <v>127</v>
      </c>
      <c r="B135" s="7">
        <v>6110.16</v>
      </c>
      <c r="C135" s="8">
        <f>IFERROR(B135/B444, "NA")</f>
        <v>8.197188550643943E-3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-6110.16</v>
      </c>
      <c r="I135" s="8">
        <f>IFERROR(H135/H444, "NA")</f>
        <v>-7.6469681253679422E-2</v>
      </c>
      <c r="J135" s="9"/>
      <c r="K135" s="7">
        <v>5447.43</v>
      </c>
      <c r="L135" s="8">
        <f>IFERROR(K135/K444, "NA")</f>
        <v>9.3232592575249428E-3</v>
      </c>
      <c r="M135" s="9"/>
      <c r="N135" s="10">
        <f t="shared" si="29"/>
        <v>-662.72999999999956</v>
      </c>
      <c r="O135" s="8">
        <f>IFERROR(N135/N444, "NA")</f>
        <v>-4.1134442400608331E-3</v>
      </c>
      <c r="P135" s="9"/>
      <c r="Q135" s="7">
        <v>14358.349999999999</v>
      </c>
      <c r="R135" s="8">
        <f>IFERROR(Q135/Q444, "NA")</f>
        <v>8.6543314047627714E-3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-14358.349999999999</v>
      </c>
      <c r="X135" s="8">
        <f>IFERROR(W135/W444, "NA")</f>
        <v>-9.1143589295339097E-2</v>
      </c>
      <c r="Y135" s="9"/>
      <c r="Z135" s="7">
        <v>12458.28</v>
      </c>
      <c r="AA135" s="8">
        <f>IFERROR(Z135/Z444, "NA")</f>
        <v>9.1657219679061718E-3</v>
      </c>
      <c r="AB135" s="9"/>
      <c r="AC135" s="10">
        <f t="shared" si="31"/>
        <v>-1900.0699999999979</v>
      </c>
      <c r="AD135" s="8">
        <f>IFERROR(AC135/AC444, "NA")</f>
        <v>-6.3363354340401513E-3</v>
      </c>
    </row>
    <row r="136" spans="1:30" ht="16.5" customHeight="1" x14ac:dyDescent="0.45">
      <c r="A136" s="12" t="s">
        <v>128</v>
      </c>
      <c r="B136" s="7">
        <v>6986.4</v>
      </c>
      <c r="C136" s="8">
        <f>IFERROR(B136/B444, "NA")</f>
        <v>9.372723151311723E-3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-6986.4</v>
      </c>
      <c r="I136" s="8">
        <f>IFERROR(H136/H444, "NA")</f>
        <v>-8.7435972398546988E-2</v>
      </c>
      <c r="J136" s="9"/>
      <c r="K136" s="7">
        <v>5525</v>
      </c>
      <c r="L136" s="8">
        <f>IFERROR(K136/K444, "NA")</f>
        <v>9.4560200677797253E-3</v>
      </c>
      <c r="M136" s="9"/>
      <c r="N136" s="10">
        <f t="shared" si="29"/>
        <v>-1461.3999999999996</v>
      </c>
      <c r="O136" s="8">
        <f>IFERROR(N136/N444, "NA")</f>
        <v>-9.0706432671297573E-3</v>
      </c>
      <c r="P136" s="9"/>
      <c r="Q136" s="7">
        <v>13904.960000000001</v>
      </c>
      <c r="R136" s="8">
        <f>IFERROR(Q136/Q444, "NA")</f>
        <v>8.3810557626726023E-3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-13904.960000000001</v>
      </c>
      <c r="X136" s="8">
        <f>IFERROR(W136/W444, "NA")</f>
        <v>-8.8265571142096308E-2</v>
      </c>
      <c r="Y136" s="9"/>
      <c r="Z136" s="7">
        <v>13946.029999999999</v>
      </c>
      <c r="AA136" s="8">
        <f>IFERROR(Z136/Z444, "NA")</f>
        <v>1.026027939138296E-2</v>
      </c>
      <c r="AB136" s="9"/>
      <c r="AC136" s="10">
        <f t="shared" si="31"/>
        <v>41.06999999999789</v>
      </c>
      <c r="AD136" s="8">
        <f>IFERROR(AC136/AC444, "NA")</f>
        <v>1.3695984688775461E-4</v>
      </c>
    </row>
    <row r="137" spans="1:30" ht="16.5" customHeight="1" x14ac:dyDescent="0.45">
      <c r="A137" s="12" t="s">
        <v>129</v>
      </c>
      <c r="B137" s="7">
        <v>3634.1199999999994</v>
      </c>
      <c r="C137" s="8">
        <f>IFERROR(B137/B444, "NA")</f>
        <v>4.8754151864543911E-3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-3634.1199999999994</v>
      </c>
      <c r="I137" s="8">
        <f>IFERROR(H137/H444, "NA")</f>
        <v>-4.5481623727958255E-2</v>
      </c>
      <c r="J137" s="9"/>
      <c r="K137" s="7">
        <v>3446.6900000000005</v>
      </c>
      <c r="L137" s="8">
        <f>IFERROR(K137/K444, "NA")</f>
        <v>5.8989990601657381E-3</v>
      </c>
      <c r="M137" s="9"/>
      <c r="N137" s="10">
        <f t="shared" si="29"/>
        <v>-187.42999999999893</v>
      </c>
      <c r="O137" s="8">
        <f>IFERROR(N137/N444, "NA")</f>
        <v>-1.1633438261654037E-3</v>
      </c>
      <c r="P137" s="9"/>
      <c r="Q137" s="7">
        <v>8430</v>
      </c>
      <c r="R137" s="8">
        <f>IFERROR(Q137/Q444, "NA")</f>
        <v>5.0810861792720038E-3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-8430</v>
      </c>
      <c r="X137" s="8">
        <f>IFERROR(W137/W444, "NA")</f>
        <v>-5.3511751542461961E-2</v>
      </c>
      <c r="Y137" s="9"/>
      <c r="Z137" s="7">
        <v>7193.1</v>
      </c>
      <c r="AA137" s="8">
        <f>IFERROR(Z137/Z444, "NA")</f>
        <v>5.2920591516120918E-3</v>
      </c>
      <c r="AB137" s="9"/>
      <c r="AC137" s="10">
        <f t="shared" si="31"/>
        <v>-1236.8999999999996</v>
      </c>
      <c r="AD137" s="8">
        <f>IFERROR(AC137/AC444, "NA")</f>
        <v>-4.1248024011558884E-3</v>
      </c>
    </row>
    <row r="138" spans="1:30" ht="16.5" customHeight="1" x14ac:dyDescent="0.45">
      <c r="A138" s="12" t="s">
        <v>130</v>
      </c>
      <c r="B138" s="7">
        <v>43042.19</v>
      </c>
      <c r="C138" s="8">
        <f>IFERROR(B138/B444, "NA")</f>
        <v>5.7743978400343239E-2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-43042.19</v>
      </c>
      <c r="I138" s="8">
        <f>IFERROR(H138/H444, "NA")</f>
        <v>-0.53868025546962894</v>
      </c>
      <c r="J138" s="9"/>
      <c r="K138" s="7">
        <v>28826.63</v>
      </c>
      <c r="L138" s="8">
        <f>IFERROR(K138/K444, "NA")</f>
        <v>4.9336686292572138E-2</v>
      </c>
      <c r="M138" s="9"/>
      <c r="N138" s="10">
        <f t="shared" si="29"/>
        <v>-14215.560000000001</v>
      </c>
      <c r="O138" s="8">
        <f>IFERROR(N138/N444, "NA")</f>
        <v>-8.8233388259531365E-2</v>
      </c>
      <c r="P138" s="9"/>
      <c r="Q138" s="7">
        <v>90935.22</v>
      </c>
      <c r="R138" s="8">
        <f>IFERROR(Q138/Q444, "NA")</f>
        <v>5.4810164834052086E-2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-90935.22</v>
      </c>
      <c r="X138" s="8">
        <f>IFERROR(W138/W444, "NA")</f>
        <v>-0.57723640558708389</v>
      </c>
      <c r="Y138" s="9"/>
      <c r="Z138" s="7">
        <v>72616.12999999999</v>
      </c>
      <c r="AA138" s="8">
        <f>IFERROR(Z138/Z444, "NA")</f>
        <v>5.3424650751574883E-2</v>
      </c>
      <c r="AB138" s="9"/>
      <c r="AC138" s="10">
        <f t="shared" si="31"/>
        <v>-18319.090000000011</v>
      </c>
      <c r="AD138" s="8">
        <f>IFERROR(AC138/AC444, "NA")</f>
        <v>-6.1090327770224669E-2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19.8</v>
      </c>
      <c r="C140" s="8">
        <f>IFERROR(B140/B444, "NA")</f>
        <v>2.6563025076716497E-5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-19.8</v>
      </c>
      <c r="I140" s="8">
        <f>IFERROR(H140/H444, "NA")</f>
        <v>-2.4780033400481372E-4</v>
      </c>
      <c r="J140" s="9"/>
      <c r="K140" s="7">
        <v>74.77</v>
      </c>
      <c r="L140" s="8">
        <f>IFERROR(K140/K444, "NA")</f>
        <v>1.2796861908921086E-4</v>
      </c>
      <c r="M140" s="9"/>
      <c r="N140" s="10">
        <f t="shared" si="29"/>
        <v>54.97</v>
      </c>
      <c r="O140" s="8">
        <f>IFERROR(N140/N444, "NA")</f>
        <v>3.4118876446840213E-4</v>
      </c>
      <c r="P140" s="9"/>
      <c r="Q140" s="7">
        <v>41.86</v>
      </c>
      <c r="R140" s="8">
        <f>IFERROR(Q140/Q444, "NA")</f>
        <v>2.5230636709884466E-5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-41.86</v>
      </c>
      <c r="X140" s="8">
        <f>IFERROR(W140/W444, "NA")</f>
        <v>-2.6571790267704125E-4</v>
      </c>
      <c r="Y140" s="9"/>
      <c r="Z140" s="7">
        <v>108.43</v>
      </c>
      <c r="AA140" s="8">
        <f>IFERROR(Z140/Z444, "NA")</f>
        <v>7.9773390305890238E-5</v>
      </c>
      <c r="AB140" s="9"/>
      <c r="AC140" s="10">
        <f t="shared" si="31"/>
        <v>66.570000000000007</v>
      </c>
      <c r="AD140" s="8">
        <f>IFERROR(AC140/AC444, "NA")</f>
        <v>2.2199700529141209E-4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175288.32000000001</v>
      </c>
      <c r="C141" s="15">
        <f>IFERROR(B141/B444, "NA")</f>
        <v>0.23516101211189425</v>
      </c>
      <c r="D141" s="2"/>
      <c r="E141" s="14">
        <f>IFERROR(E129+E130+E131+E132+E133+E134+E135+E136+E137+E138+E139+E140, "NA")</f>
        <v>154504.95000000001</v>
      </c>
      <c r="F141" s="15">
        <f>IFERROR(E141/E444, "NA")</f>
        <v>0.23216580813900364</v>
      </c>
      <c r="G141" s="2"/>
      <c r="H141" s="14">
        <f t="shared" si="28"/>
        <v>-20783.369999999995</v>
      </c>
      <c r="I141" s="15">
        <f>IFERROR(H141/H444, "NA")</f>
        <v>-0.26010737513866788</v>
      </c>
      <c r="J141" s="2"/>
      <c r="K141" s="14">
        <f>IFERROR(K129+K130+K131+K132+K133+K134+K135+K136+K137+K138+K139+K140, "NA")</f>
        <v>136491.04999999999</v>
      </c>
      <c r="L141" s="15">
        <f>IFERROR(K141/K444, "NA")</f>
        <v>0.23360400142485532</v>
      </c>
      <c r="M141" s="2"/>
      <c r="N141" s="14">
        <f t="shared" si="29"/>
        <v>-38797.270000000019</v>
      </c>
      <c r="O141" s="15">
        <f>IFERROR(N141/N444, "NA")</f>
        <v>-0.24080757897120267</v>
      </c>
      <c r="P141" s="2"/>
      <c r="Q141" s="14">
        <f>IFERROR(Q129+Q130+Q131+Q132+Q133+Q134+Q135+Q136+Q137+Q138+Q139+Q140, "NA")</f>
        <v>387236.69999999995</v>
      </c>
      <c r="R141" s="15">
        <f>IFERROR(Q141/Q444, "NA")</f>
        <v>0.2334024963792288</v>
      </c>
      <c r="S141" s="2"/>
      <c r="T141" s="14">
        <f>IFERROR(T129+T130+T131+T132+T133+T134+T135+T136+T137+T138+T139+T140, "NA")</f>
        <v>362434.11</v>
      </c>
      <c r="U141" s="15">
        <f>IFERROR(T141/T444, "NA")</f>
        <v>0.24137194007194882</v>
      </c>
      <c r="V141" s="2"/>
      <c r="W141" s="14">
        <f t="shared" si="30"/>
        <v>-24802.589999999967</v>
      </c>
      <c r="X141" s="15">
        <f>IFERROR(W141/W444, "NA")</f>
        <v>-0.15744128513517791</v>
      </c>
      <c r="Y141" s="2"/>
      <c r="Z141" s="14">
        <f>IFERROR(Z129+Z130+Z131+Z132+Z133+Z134+Z135+Z136+Z137+Z138+Z139+Z140, "NA")</f>
        <v>326733.5</v>
      </c>
      <c r="AA141" s="15">
        <f>IFERROR(Z141/Z444, "NA")</f>
        <v>0.24038217302877052</v>
      </c>
      <c r="AB141" s="2"/>
      <c r="AC141" s="14">
        <f t="shared" si="31"/>
        <v>-60503.199999999953</v>
      </c>
      <c r="AD141" s="15">
        <f>IFERROR(AC141/AC444, "NA")</f>
        <v>-0.20176549813049952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8316.24</v>
      </c>
      <c r="C144" s="8">
        <f>IFERROR(B144/B444, "NA")</f>
        <v>1.1156792508282465E-2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-8316.24</v>
      </c>
      <c r="I144" s="8">
        <f>IFERROR(H144/H444, "NA")</f>
        <v>-0.10407914392243393</v>
      </c>
      <c r="J144" s="9"/>
      <c r="K144" s="7">
        <v>7187.76</v>
      </c>
      <c r="L144" s="8">
        <f>IFERROR(K144/K444, "NA")</f>
        <v>1.2301828561517538E-2</v>
      </c>
      <c r="M144" s="9"/>
      <c r="N144" s="10">
        <f t="shared" si="33"/>
        <v>-1128.4799999999996</v>
      </c>
      <c r="O144" s="8">
        <f>IFERROR(N144/N444, "NA")</f>
        <v>-7.0042695457031524E-3</v>
      </c>
      <c r="P144" s="9"/>
      <c r="Q144" s="7">
        <v>19203.97</v>
      </c>
      <c r="R144" s="8">
        <f>IFERROR(Q144/Q444, "NA")</f>
        <v>1.1574973493968467E-2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-19203.97</v>
      </c>
      <c r="X144" s="8">
        <f>IFERROR(W144/W444, "NA")</f>
        <v>-0.12190249955740133</v>
      </c>
      <c r="Y144" s="9"/>
      <c r="Z144" s="7">
        <v>14370.88</v>
      </c>
      <c r="AA144" s="8">
        <f>IFERROR(Z144/Z444, "NA")</f>
        <v>1.0572847175865645E-2</v>
      </c>
      <c r="AB144" s="9"/>
      <c r="AC144" s="10">
        <f t="shared" si="35"/>
        <v>-4833.090000000002</v>
      </c>
      <c r="AD144" s="8">
        <f>IFERROR(AC144/AC444, "NA")</f>
        <v>-1.6117342741533289E-2</v>
      </c>
    </row>
    <row r="145" spans="1:30" ht="16.5" customHeight="1" x14ac:dyDescent="0.45">
      <c r="A145" s="12" t="s">
        <v>136</v>
      </c>
      <c r="B145" s="7">
        <v>1858.3600000000001</v>
      </c>
      <c r="C145" s="8">
        <f>IFERROR(B145/B444, "NA")</f>
        <v>2.4931143071498423E-3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-1858.3600000000001</v>
      </c>
      <c r="I145" s="8">
        <f>IFERROR(H145/H444, "NA")</f>
        <v>-2.3257688318241699E-2</v>
      </c>
      <c r="J145" s="9"/>
      <c r="K145" s="7">
        <v>402.63</v>
      </c>
      <c r="L145" s="8">
        <f>IFERROR(K145/K444, "NA")</f>
        <v>6.8909997464075123E-4</v>
      </c>
      <c r="M145" s="9"/>
      <c r="N145" s="10">
        <f t="shared" si="33"/>
        <v>-1455.73</v>
      </c>
      <c r="O145" s="8">
        <f>IFERROR(N145/N444, "NA")</f>
        <v>-9.0354506112349832E-3</v>
      </c>
      <c r="P145" s="9"/>
      <c r="Q145" s="7">
        <v>1236.32</v>
      </c>
      <c r="R145" s="8">
        <f>IFERROR(Q145/Q444, "NA")</f>
        <v>7.4517775387396951E-4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-1236.32</v>
      </c>
      <c r="X145" s="8">
        <f>IFERROR(W145/W444, "NA")</f>
        <v>-7.8478824041490584E-3</v>
      </c>
      <c r="Y145" s="9"/>
      <c r="Z145" s="7">
        <v>878.29000000000008</v>
      </c>
      <c r="AA145" s="8">
        <f>IFERROR(Z145/Z444, "NA")</f>
        <v>6.4616961147062938E-4</v>
      </c>
      <c r="AB145" s="9"/>
      <c r="AC145" s="10">
        <f t="shared" si="35"/>
        <v>-358.02999999999986</v>
      </c>
      <c r="AD145" s="8">
        <f>IFERROR(AC145/AC444, "NA")</f>
        <v>-1.1939550518925077E-3</v>
      </c>
    </row>
    <row r="146" spans="1:30" ht="16.5" customHeight="1" x14ac:dyDescent="0.45">
      <c r="A146" s="12" t="s">
        <v>137</v>
      </c>
      <c r="B146" s="7">
        <v>-542.77000000000021</v>
      </c>
      <c r="C146" s="8">
        <f>IFERROR(B146/B444, "NA")</f>
        <v>-7.2816227883279894E-4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542.77000000000021</v>
      </c>
      <c r="I146" s="8">
        <f>IFERROR(H146/H444, "NA")</f>
        <v>6.7928579438279188E-3</v>
      </c>
      <c r="J146" s="9"/>
      <c r="K146" s="7">
        <v>1654.85</v>
      </c>
      <c r="L146" s="8">
        <f>IFERROR(K146/K444, "NA")</f>
        <v>2.8322705536950729E-3</v>
      </c>
      <c r="M146" s="9"/>
      <c r="N146" s="10">
        <f t="shared" si="33"/>
        <v>2197.62</v>
      </c>
      <c r="O146" s="8">
        <f>IFERROR(N146/N444, "NA")</f>
        <v>1.3640226533946696E-2</v>
      </c>
      <c r="P146" s="9"/>
      <c r="Q146" s="7">
        <v>564.88</v>
      </c>
      <c r="R146" s="8">
        <f>IFERROR(Q146/Q444, "NA")</f>
        <v>3.4047496571140798E-4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-564.88</v>
      </c>
      <c r="X146" s="8">
        <f>IFERROR(W146/W444, "NA")</f>
        <v>-3.5857316976638091E-3</v>
      </c>
      <c r="Y146" s="9"/>
      <c r="Z146" s="7">
        <v>3422.8600000000006</v>
      </c>
      <c r="AA146" s="8">
        <f>IFERROR(Z146/Z444, "NA")</f>
        <v>2.5182435372352622E-3</v>
      </c>
      <c r="AB146" s="9"/>
      <c r="AC146" s="10">
        <f t="shared" si="35"/>
        <v>2857.9800000000005</v>
      </c>
      <c r="AD146" s="8">
        <f>IFERROR(AC146/AC444, "NA")</f>
        <v>9.5307646264496011E-3</v>
      </c>
    </row>
    <row r="147" spans="1:30" ht="16.5" customHeight="1" x14ac:dyDescent="0.45">
      <c r="A147" s="12" t="s">
        <v>138</v>
      </c>
      <c r="B147" s="7">
        <v>425.11</v>
      </c>
      <c r="C147" s="8">
        <f>IFERROR(B147/B444, "NA")</f>
        <v>5.7031351466479551E-4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-425.11</v>
      </c>
      <c r="I147" s="8">
        <f>IFERROR(H147/H444, "NA")</f>
        <v>-5.3203232317568872E-3</v>
      </c>
      <c r="J147" s="9"/>
      <c r="K147" s="7">
        <v>128.70999999999998</v>
      </c>
      <c r="L147" s="8">
        <f>IFERROR(K147/K444, "NA")</f>
        <v>2.2028675890025851E-4</v>
      </c>
      <c r="M147" s="9"/>
      <c r="N147" s="10">
        <f t="shared" si="33"/>
        <v>-296.40000000000003</v>
      </c>
      <c r="O147" s="8">
        <f>IFERROR(N147/N444, "NA")</f>
        <v>-1.8397007420126324E-3</v>
      </c>
      <c r="P147" s="9"/>
      <c r="Q147" s="7">
        <v>552.61999999999989</v>
      </c>
      <c r="R147" s="8">
        <f>IFERROR(Q147/Q444, "NA")</f>
        <v>3.3308539079351056E-4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-552.61999999999989</v>
      </c>
      <c r="X147" s="8">
        <f>IFERROR(W147/W444, "NA")</f>
        <v>-3.5079079641038343E-3</v>
      </c>
      <c r="Y147" s="9"/>
      <c r="Z147" s="7">
        <v>88.53</v>
      </c>
      <c r="AA147" s="8">
        <f>IFERROR(Z147/Z444, "NA")</f>
        <v>6.5132696152176174E-5</v>
      </c>
      <c r="AB147" s="9"/>
      <c r="AC147" s="10">
        <f t="shared" si="35"/>
        <v>-464.08999999999992</v>
      </c>
      <c r="AD147" s="8">
        <f>IFERROR(AC147/AC444, "NA")</f>
        <v>-1.5476429350411809E-3</v>
      </c>
    </row>
    <row r="148" spans="1:30" ht="16.5" customHeight="1" x14ac:dyDescent="0.45">
      <c r="A148" s="13" t="s">
        <v>139</v>
      </c>
      <c r="B148" s="14">
        <f>IFERROR(B143+B144+B145+B146+B147, "NA")</f>
        <v>10056.94</v>
      </c>
      <c r="C148" s="15">
        <f>IFERROR(B148/B444, "NA")</f>
        <v>1.3492058051264305E-2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-10056.94</v>
      </c>
      <c r="I148" s="15">
        <f>IFERROR(H148/H444, "NA")</f>
        <v>-0.12586429752860462</v>
      </c>
      <c r="J148" s="2"/>
      <c r="K148" s="14">
        <f>IFERROR(K143+K144+K145+K146+K147, "NA")</f>
        <v>9373.9499999999989</v>
      </c>
      <c r="L148" s="15">
        <f>IFERROR(K148/K444, "NA")</f>
        <v>1.6043485848753619E-2</v>
      </c>
      <c r="M148" s="2"/>
      <c r="N148" s="14">
        <f t="shared" si="33"/>
        <v>-682.9900000000016</v>
      </c>
      <c r="O148" s="15">
        <f>IFERROR(N148/N444, "NA")</f>
        <v>-4.2391943650040842E-3</v>
      </c>
      <c r="P148" s="2"/>
      <c r="Q148" s="14">
        <f>IFERROR(Q143+Q144+Q145+Q146+Q147, "NA")</f>
        <v>21557.79</v>
      </c>
      <c r="R148" s="15">
        <f>IFERROR(Q148/Q444, "NA")</f>
        <v>1.2993711604347355E-2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-21557.79</v>
      </c>
      <c r="X148" s="15">
        <f>IFERROR(W148/W444, "NA")</f>
        <v>-0.13684402162331805</v>
      </c>
      <c r="Y148" s="2"/>
      <c r="Z148" s="14">
        <f>IFERROR(Z143+Z144+Z145+Z146+Z147, "NA")</f>
        <v>18760.559999999998</v>
      </c>
      <c r="AA148" s="15">
        <f>IFERROR(Z148/Z444, "NA")</f>
        <v>1.3802393020723711E-2</v>
      </c>
      <c r="AB148" s="2"/>
      <c r="AC148" s="14">
        <f t="shared" si="35"/>
        <v>-2797.2300000000032</v>
      </c>
      <c r="AD148" s="15">
        <f>IFERROR(AC148/AC444, "NA")</f>
        <v>-9.3281761020173846E-3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185345.25999999998</v>
      </c>
      <c r="C149" s="15">
        <f>IFERROR(B149/B444, "NA")</f>
        <v>0.24865307016315852</v>
      </c>
      <c r="D149" s="2"/>
      <c r="E149" s="14">
        <f>IFERROR(E127+E129+E130+E131+E132+E133+E134+E135+E136+E137+E138+E139+E140+E143+E144+E145+E146+E147, "NA")</f>
        <v>154504.95000000001</v>
      </c>
      <c r="F149" s="15">
        <f>IFERROR(E149/E444, "NA")</f>
        <v>0.23216580813900364</v>
      </c>
      <c r="G149" s="2"/>
      <c r="H149" s="14">
        <f t="shared" si="32"/>
        <v>-30840.309999999969</v>
      </c>
      <c r="I149" s="15">
        <f>IFERROR(H149/H444, "NA")</f>
        <v>-0.38597167266727217</v>
      </c>
      <c r="J149" s="2"/>
      <c r="K149" s="14">
        <f>IFERROR(K127+K129+K130+K131+K132+K133+K134+K135+K136+K137+K138+K139+K140+K143+K144+K145+K146+K147, "NA")</f>
        <v>145865</v>
      </c>
      <c r="L149" s="15">
        <f>IFERROR(K149/K444, "NA")</f>
        <v>0.24964748727360897</v>
      </c>
      <c r="M149" s="2"/>
      <c r="N149" s="14">
        <f t="shared" si="33"/>
        <v>-39480.25999999998</v>
      </c>
      <c r="O149" s="15">
        <f>IFERROR(N149/N444, "NA")</f>
        <v>-0.2450467733362065</v>
      </c>
      <c r="P149" s="2"/>
      <c r="Q149" s="14">
        <f>IFERROR(Q127+Q129+Q130+Q131+Q132+Q133+Q134+Q135+Q136+Q137+Q138+Q139+Q140+Q143+Q144+Q145+Q146+Q147, "NA")</f>
        <v>408794.48999999993</v>
      </c>
      <c r="R149" s="15">
        <f>IFERROR(Q149/Q444, "NA")</f>
        <v>0.24639620798357614</v>
      </c>
      <c r="S149" s="2"/>
      <c r="T149" s="14">
        <f>IFERROR(T127+T129+T130+T131+T132+T133+T134+T135+T136+T137+T138+T139+T140+T143+T144+T145+T146+T147, "NA")</f>
        <v>362434.11</v>
      </c>
      <c r="U149" s="15">
        <f>IFERROR(T149/T444, "NA")</f>
        <v>0.24137194007194882</v>
      </c>
      <c r="V149" s="2"/>
      <c r="W149" s="14">
        <f t="shared" si="34"/>
        <v>-46360.379999999946</v>
      </c>
      <c r="X149" s="15">
        <f>IFERROR(W149/W444, "NA")</f>
        <v>-0.29428530675849579</v>
      </c>
      <c r="Y149" s="2"/>
      <c r="Z149" s="14">
        <f>IFERROR(Z127+Z129+Z130+Z131+Z132+Z133+Z134+Z135+Z136+Z137+Z138+Z139+Z140+Z143+Z144+Z145+Z146+Z147, "NA")</f>
        <v>345494.06</v>
      </c>
      <c r="AA149" s="15">
        <f>IFERROR(Z149/Z444, "NA")</f>
        <v>0.25418456604949424</v>
      </c>
      <c r="AB149" s="2"/>
      <c r="AC149" s="14">
        <f t="shared" si="35"/>
        <v>-63300.429999999935</v>
      </c>
      <c r="AD149" s="15">
        <f>IFERROR(AC149/AC444, "NA")</f>
        <v>-0.21109367423251682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10935.699999999999</v>
      </c>
      <c r="F153" s="8">
        <f>IFERROR(E153/E444, "NA")</f>
        <v>1.643245493471699E-2</v>
      </c>
      <c r="G153" s="9"/>
      <c r="H153" s="10">
        <f t="shared" ref="H153:H158" si="36">IFERROR(-(B153-E153), "NA")</f>
        <v>10935.699999999999</v>
      </c>
      <c r="I153" s="8">
        <f>IFERROR(H153/H444, "NA")</f>
        <v>0.13686212689780006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29714.010000000006</v>
      </c>
      <c r="U153" s="8">
        <f>IFERROR(T153/T444, "NA")</f>
        <v>1.9788778272048647E-2</v>
      </c>
      <c r="V153" s="9"/>
      <c r="W153" s="10">
        <f t="shared" ref="W153:W158" si="38">IFERROR(-(Q153-T153), "NA")</f>
        <v>29714.010000000006</v>
      </c>
      <c r="X153" s="8">
        <f>IFERROR(W153/W444, "NA")</f>
        <v>0.18861787905696684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24134.93</v>
      </c>
      <c r="C154" s="8">
        <f>IFERROR(B154/B444, "NA")</f>
        <v>3.2378623778525115E-2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-24134.93</v>
      </c>
      <c r="I154" s="8">
        <f>IFERROR(H154/H444, "NA")</f>
        <v>-0.30205271288802016</v>
      </c>
      <c r="J154" s="9"/>
      <c r="K154" s="7">
        <v>20538.560000000001</v>
      </c>
      <c r="L154" s="8">
        <f>IFERROR(K154/K444, "NA")</f>
        <v>3.5151680637700987E-2</v>
      </c>
      <c r="M154" s="9"/>
      <c r="N154" s="10">
        <f t="shared" si="37"/>
        <v>-3596.369999999999</v>
      </c>
      <c r="O154" s="8">
        <f>IFERROR(N154/N444, "NA")</f>
        <v>-2.2322012677300839E-2</v>
      </c>
      <c r="P154" s="9"/>
      <c r="Q154" s="7">
        <v>52583.939999999995</v>
      </c>
      <c r="R154" s="8">
        <f>IFERROR(Q154/Q444, "NA")</f>
        <v>3.1694369013721024E-2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-52583.939999999995</v>
      </c>
      <c r="X154" s="8">
        <f>IFERROR(W154/W444, "NA")</f>
        <v>-0.33379107145951681</v>
      </c>
      <c r="Y154" s="9"/>
      <c r="Z154" s="7">
        <v>49261.98</v>
      </c>
      <c r="AA154" s="8">
        <f>IFERROR(Z154/Z444, "NA")</f>
        <v>3.6242692592280357E-2</v>
      </c>
      <c r="AB154" s="9"/>
      <c r="AC154" s="10">
        <f t="shared" si="39"/>
        <v>-3321.9599999999919</v>
      </c>
      <c r="AD154" s="8">
        <f>IFERROR(AC154/AC444, "NA")</f>
        <v>-1.1078040734532934E-2</v>
      </c>
    </row>
    <row r="155" spans="1:30" ht="16.5" customHeight="1" x14ac:dyDescent="0.45">
      <c r="A155" s="12" t="s">
        <v>144</v>
      </c>
      <c r="B155" s="7">
        <v>9122.11</v>
      </c>
      <c r="C155" s="8">
        <f>IFERROR(B155/B444, "NA")</f>
        <v>1.2237921044574059E-2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-9122.11</v>
      </c>
      <c r="I155" s="8">
        <f>IFERROR(H155/H444, "NA")</f>
        <v>-0.1141647426681137</v>
      </c>
      <c r="J155" s="9"/>
      <c r="K155" s="7">
        <v>6675.8399999999992</v>
      </c>
      <c r="L155" s="8">
        <f>IFERROR(K155/K444, "NA")</f>
        <v>1.1425679096703455E-2</v>
      </c>
      <c r="M155" s="9"/>
      <c r="N155" s="10">
        <f t="shared" si="37"/>
        <v>-2446.2700000000013</v>
      </c>
      <c r="O155" s="8">
        <f>IFERROR(N155/N444, "NA")</f>
        <v>-1.5183551734693808E-2</v>
      </c>
      <c r="P155" s="9"/>
      <c r="Q155" s="7">
        <v>19514.97</v>
      </c>
      <c r="R155" s="8">
        <f>IFERROR(Q155/Q444, "NA")</f>
        <v>1.1762425190499142E-2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-19514.97</v>
      </c>
      <c r="X155" s="8">
        <f>IFERROR(W155/W444, "NA")</f>
        <v>-0.12387665788832727</v>
      </c>
      <c r="Y155" s="9"/>
      <c r="Z155" s="7">
        <v>16472.89</v>
      </c>
      <c r="AA155" s="8">
        <f>IFERROR(Z155/Z444, "NA")</f>
        <v>1.2119323835064061E-2</v>
      </c>
      <c r="AB155" s="9"/>
      <c r="AC155" s="10">
        <f t="shared" si="39"/>
        <v>-3042.0800000000017</v>
      </c>
      <c r="AD155" s="8">
        <f>IFERROR(AC155/AC444, "NA")</f>
        <v>-1.0144699562218706E-2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340.31</v>
      </c>
      <c r="AA156" s="8">
        <f>IFERROR(Z156/Z444, "NA")</f>
        <v>2.5037058429399158E-4</v>
      </c>
      <c r="AB156" s="9"/>
      <c r="AC156" s="10">
        <f t="shared" si="39"/>
        <v>340.31</v>
      </c>
      <c r="AD156" s="8">
        <f>IFERROR(AC156/AC444, "NA")</f>
        <v>1.1348625637782851E-3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33257.040000000001</v>
      </c>
      <c r="C158" s="15">
        <f>IFERROR(B158/B444, "NA")</f>
        <v>4.4616544823099173E-2</v>
      </c>
      <c r="D158" s="2"/>
      <c r="E158" s="14">
        <f>IFERROR(E153+E154+E155+E156+E157, "NA")</f>
        <v>10935.699999999999</v>
      </c>
      <c r="F158" s="15">
        <f>IFERROR(E158/E444, "NA")</f>
        <v>1.643245493471699E-2</v>
      </c>
      <c r="G158" s="2"/>
      <c r="H158" s="14">
        <f t="shared" si="36"/>
        <v>-22321.340000000004</v>
      </c>
      <c r="I158" s="15">
        <f>IFERROR(H158/H444, "NA")</f>
        <v>-0.27935532865833379</v>
      </c>
      <c r="J158" s="2"/>
      <c r="K158" s="14">
        <f>IFERROR(K153+K154+K155+K156+K157, "NA")</f>
        <v>27214.400000000001</v>
      </c>
      <c r="L158" s="15">
        <f>IFERROR(K158/K444, "NA")</f>
        <v>4.6577359734404446E-2</v>
      </c>
      <c r="M158" s="2"/>
      <c r="N158" s="14">
        <f t="shared" si="37"/>
        <v>-6042.6399999999994</v>
      </c>
      <c r="O158" s="15">
        <f>IFERROR(N158/N444, "NA")</f>
        <v>-3.7505564411994638E-2</v>
      </c>
      <c r="P158" s="2"/>
      <c r="Q158" s="14">
        <f>IFERROR(Q153+Q154+Q155+Q156+Q157, "NA")</f>
        <v>72098.91</v>
      </c>
      <c r="R158" s="15">
        <f>IFERROR(Q158/Q444, "NA")</f>
        <v>4.3456794204220175E-2</v>
      </c>
      <c r="S158" s="2"/>
      <c r="T158" s="14">
        <f>IFERROR(T153+T154+T155+T156+T157, "NA")</f>
        <v>29714.010000000006</v>
      </c>
      <c r="U158" s="15">
        <f>IFERROR(T158/T444, "NA")</f>
        <v>1.9788778272048647E-2</v>
      </c>
      <c r="V158" s="2"/>
      <c r="W158" s="14">
        <f t="shared" si="38"/>
        <v>-42384.899999999994</v>
      </c>
      <c r="X158" s="15">
        <f>IFERROR(W158/W444, "NA")</f>
        <v>-0.2690498502908773</v>
      </c>
      <c r="Y158" s="2"/>
      <c r="Z158" s="14">
        <f>IFERROR(Z153+Z154+Z155+Z156+Z157, "NA")</f>
        <v>66075.179999999993</v>
      </c>
      <c r="AA158" s="15">
        <f>IFERROR(Z158/Z444, "NA")</f>
        <v>4.8612387011638399E-2</v>
      </c>
      <c r="AB158" s="2"/>
      <c r="AC158" s="14">
        <f t="shared" si="39"/>
        <v>-6023.7300000000105</v>
      </c>
      <c r="AD158" s="15">
        <f>IFERROR(AC158/AC444, "NA")</f>
        <v>-2.0087877732973408E-2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1824.29</v>
      </c>
      <c r="C161" s="8">
        <f>IFERROR(B161/B444, "NA")</f>
        <v>2.4474071220809664E-3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-1824.29</v>
      </c>
      <c r="I161" s="8">
        <f>IFERROR(H161/H444, "NA")</f>
        <v>-2.2831296531396039E-2</v>
      </c>
      <c r="J161" s="9"/>
      <c r="K161" s="7">
        <v>1924.8600000000001</v>
      </c>
      <c r="L161" s="8">
        <f>IFERROR(K161/K444, "NA")</f>
        <v>3.2943918167722139E-3</v>
      </c>
      <c r="M161" s="9"/>
      <c r="N161" s="10">
        <f t="shared" si="41"/>
        <v>100.57000000000016</v>
      </c>
      <c r="O161" s="8">
        <f>IFERROR(N161/N444, "NA")</f>
        <v>6.2421964785496192E-4</v>
      </c>
      <c r="P161" s="9"/>
      <c r="Q161" s="7">
        <v>4585.8600000000006</v>
      </c>
      <c r="R161" s="8">
        <f>IFERROR(Q161/Q444, "NA")</f>
        <v>2.7640747172095271E-3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-4585.8600000000006</v>
      </c>
      <c r="X161" s="8">
        <f>IFERROR(W161/W444, "NA")</f>
        <v>-2.9110011972540289E-2</v>
      </c>
      <c r="Y161" s="9"/>
      <c r="Z161" s="7">
        <v>5211.3500000000004</v>
      </c>
      <c r="AA161" s="8">
        <f>IFERROR(Z161/Z444, "NA")</f>
        <v>3.8340593707516472E-3</v>
      </c>
      <c r="AB161" s="9"/>
      <c r="AC161" s="10">
        <f t="shared" si="43"/>
        <v>625.48999999999978</v>
      </c>
      <c r="AD161" s="8">
        <f>IFERROR(AC161/AC444, "NA")</f>
        <v>2.085878125878403E-3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1824.29</v>
      </c>
      <c r="C166" s="15">
        <f>IFERROR(B166/B444, "NA")</f>
        <v>2.4474071220809664E-3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-1824.29</v>
      </c>
      <c r="I166" s="15">
        <f>IFERROR(H166/H444, "NA")</f>
        <v>-2.2831296531396039E-2</v>
      </c>
      <c r="J166" s="2"/>
      <c r="K166" s="14">
        <f>IFERROR(K160+K161+K162+K163+K164+K165, "NA")</f>
        <v>1924.8600000000001</v>
      </c>
      <c r="L166" s="15">
        <f>IFERROR(K166/K444, "NA")</f>
        <v>3.2943918167722139E-3</v>
      </c>
      <c r="M166" s="2"/>
      <c r="N166" s="14">
        <f t="shared" si="41"/>
        <v>100.57000000000016</v>
      </c>
      <c r="O166" s="15">
        <f>IFERROR(N166/N444, "NA")</f>
        <v>6.2421964785496192E-4</v>
      </c>
      <c r="P166" s="2"/>
      <c r="Q166" s="14">
        <f>IFERROR(Q160+Q161+Q162+Q163+Q164+Q165, "NA")</f>
        <v>4585.8600000000006</v>
      </c>
      <c r="R166" s="15">
        <f>IFERROR(Q166/Q444, "NA")</f>
        <v>2.7640747172095271E-3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-4585.8600000000006</v>
      </c>
      <c r="X166" s="15">
        <f>IFERROR(W166/W444, "NA")</f>
        <v>-2.9110011972540289E-2</v>
      </c>
      <c r="Y166" s="2"/>
      <c r="Z166" s="14">
        <f>IFERROR(Z160+Z161+Z162+Z163+Z164+Z165, "NA")</f>
        <v>5211.3500000000004</v>
      </c>
      <c r="AA166" s="15">
        <f>IFERROR(Z166/Z444, "NA")</f>
        <v>3.8340593707516472E-3</v>
      </c>
      <c r="AB166" s="2"/>
      <c r="AC166" s="14">
        <f t="shared" si="43"/>
        <v>625.48999999999978</v>
      </c>
      <c r="AD166" s="15">
        <f>IFERROR(AC166/AC444, "NA")</f>
        <v>2.085878125878403E-3</v>
      </c>
    </row>
    <row r="167" spans="1:30" ht="16.5" customHeight="1" x14ac:dyDescent="0.45">
      <c r="A167" s="6" t="s">
        <v>155</v>
      </c>
      <c r="B167" s="7">
        <v>987.49</v>
      </c>
      <c r="C167" s="8">
        <f>IFERROR(B167/B444, "NA")</f>
        <v>1.3247839208589279E-3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-987.49</v>
      </c>
      <c r="I167" s="8">
        <f>IFERROR(H167/H444, "NA")</f>
        <v>-1.2358603627596642E-2</v>
      </c>
      <c r="J167" s="9"/>
      <c r="K167" s="7">
        <v>1072.8600000000001</v>
      </c>
      <c r="L167" s="8">
        <f>IFERROR(K167/K444, "NA")</f>
        <v>1.8361965049625624E-3</v>
      </c>
      <c r="M167" s="9"/>
      <c r="N167" s="10">
        <f t="shared" si="41"/>
        <v>85.370000000000118</v>
      </c>
      <c r="O167" s="8">
        <f>IFERROR(N167/N444, "NA")</f>
        <v>5.2987602005944204E-4</v>
      </c>
      <c r="P167" s="9"/>
      <c r="Q167" s="7">
        <v>2277.4300000000003</v>
      </c>
      <c r="R167" s="8">
        <f>IFERROR(Q167/Q444, "NA")</f>
        <v>1.3726949107069324E-3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-2277.4300000000003</v>
      </c>
      <c r="X167" s="8">
        <f>IFERROR(W167/W444, "NA")</f>
        <v>-1.4456615458523031E-2</v>
      </c>
      <c r="Y167" s="9"/>
      <c r="Z167" s="7">
        <v>2970.45</v>
      </c>
      <c r="AA167" s="8">
        <f>IFERROR(Z167/Z444, "NA")</f>
        <v>2.1853994949195947E-3</v>
      </c>
      <c r="AB167" s="9"/>
      <c r="AC167" s="10">
        <f t="shared" si="43"/>
        <v>693.01999999999953</v>
      </c>
      <c r="AD167" s="8">
        <f>IFERROR(AC167/AC444, "NA")</f>
        <v>2.3110765300744223E-3</v>
      </c>
    </row>
    <row r="168" spans="1:30" ht="16.5" customHeight="1" x14ac:dyDescent="0.45">
      <c r="A168" s="6" t="s">
        <v>156</v>
      </c>
      <c r="B168" s="7">
        <v>241.2</v>
      </c>
      <c r="C168" s="8">
        <f>IFERROR(B168/B444, "NA")</f>
        <v>3.235859418436373E-4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-241.2</v>
      </c>
      <c r="I168" s="8">
        <f>IFERROR(H168/H444, "NA")</f>
        <v>-3.018658614240458E-3</v>
      </c>
      <c r="J168" s="9"/>
      <c r="K168" s="7">
        <v>287</v>
      </c>
      <c r="L168" s="8">
        <f>IFERROR(K168/K444, "NA")</f>
        <v>4.911995944710916E-4</v>
      </c>
      <c r="M168" s="9"/>
      <c r="N168" s="10">
        <f t="shared" si="41"/>
        <v>45.800000000000011</v>
      </c>
      <c r="O168" s="8">
        <f>IFERROR(N168/N444, "NA")</f>
        <v>2.8427224691018416E-4</v>
      </c>
      <c r="P168" s="9"/>
      <c r="Q168" s="7">
        <v>632.79999999999995</v>
      </c>
      <c r="R168" s="8">
        <f>IFERROR(Q168/Q444, "NA")</f>
        <v>3.8141296966112974E-4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-632.79999999999995</v>
      </c>
      <c r="X168" s="8">
        <f>IFERROR(W168/W444, "NA")</f>
        <v>-4.0168726424756728E-3</v>
      </c>
      <c r="Y168" s="9"/>
      <c r="Z168" s="7">
        <v>671.80000000000007</v>
      </c>
      <c r="AA168" s="8">
        <f>IFERROR(Z168/Z444, "NA")</f>
        <v>4.9425217751080937E-4</v>
      </c>
      <c r="AB168" s="9"/>
      <c r="AC168" s="10">
        <f t="shared" si="43"/>
        <v>39.000000000000114</v>
      </c>
      <c r="AD168" s="8">
        <f>IFERROR(AC168/AC444, "NA")</f>
        <v>1.30056830499701E-4</v>
      </c>
    </row>
    <row r="169" spans="1:30" ht="16.5" customHeight="1" x14ac:dyDescent="0.45">
      <c r="A169" s="6" t="s">
        <v>157</v>
      </c>
      <c r="B169" s="7">
        <v>-17044.59</v>
      </c>
      <c r="C169" s="8">
        <f>IFERROR(B169/B444, "NA")</f>
        <v>-2.2866458161229862E-2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17044.59</v>
      </c>
      <c r="I169" s="8">
        <f>IFERROR(H169/H444, "NA")</f>
        <v>0.21331591388763171</v>
      </c>
      <c r="J169" s="9"/>
      <c r="K169" s="7">
        <v>-11757.31</v>
      </c>
      <c r="L169" s="8">
        <f>IFERROR(K169/K444, "NA")</f>
        <v>-2.0122598968888187E-2</v>
      </c>
      <c r="M169" s="9"/>
      <c r="N169" s="10">
        <f t="shared" si="41"/>
        <v>5287.2800000000007</v>
      </c>
      <c r="O169" s="8">
        <f>IFERROR(N169/N444, "NA")</f>
        <v>3.2817182655966774E-2</v>
      </c>
      <c r="P169" s="9"/>
      <c r="Q169" s="7">
        <v>-40184.239999999998</v>
      </c>
      <c r="R169" s="8">
        <f>IFERROR(Q169/Q444, "NA")</f>
        <v>-2.4220591517028375E-2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40184.239999999998</v>
      </c>
      <c r="X169" s="8">
        <f>IFERROR(W169/W444, "NA")</f>
        <v>0.25508055359462178</v>
      </c>
      <c r="Y169" s="9"/>
      <c r="Z169" s="7">
        <v>-32069.420000000002</v>
      </c>
      <c r="AA169" s="8">
        <f>IFERROR(Z169/Z444, "NA")</f>
        <v>-2.3593897985276422E-2</v>
      </c>
      <c r="AB169" s="9"/>
      <c r="AC169" s="10">
        <f t="shared" si="43"/>
        <v>8114.8199999999961</v>
      </c>
      <c r="AD169" s="8">
        <f>IFERROR(AC169/AC444, "NA")</f>
        <v>2.7061224853220003E-2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19265.429999999997</v>
      </c>
      <c r="C170" s="15">
        <f>IFERROR(B170/B444, "NA")</f>
        <v>2.5845863646652839E-2</v>
      </c>
      <c r="D170" s="2"/>
      <c r="E170" s="14">
        <f>IFERROR(E151+E153+E154+E155+E156+E157+E160+E161+E162+E163+E164+E165+E167+E168+E169, "NA")</f>
        <v>10935.699999999999</v>
      </c>
      <c r="F170" s="15">
        <f>IFERROR(E170/E444, "NA")</f>
        <v>1.643245493471699E-2</v>
      </c>
      <c r="G170" s="2"/>
      <c r="H170" s="14">
        <f t="shared" si="40"/>
        <v>-8329.7299999999977</v>
      </c>
      <c r="I170" s="15">
        <f>IFERROR(H170/H444, "NA")</f>
        <v>-0.10424797354393517</v>
      </c>
      <c r="J170" s="2"/>
      <c r="K170" s="14">
        <f>IFERROR(K151+K153+K154+K155+K156+K157+K160+K161+K162+K163+K164+K165+K167+K168+K169, "NA")</f>
        <v>18741.810000000005</v>
      </c>
      <c r="L170" s="15">
        <f>IFERROR(K170/K444, "NA")</f>
        <v>3.2076548681722133E-2</v>
      </c>
      <c r="M170" s="2"/>
      <c r="N170" s="14">
        <f t="shared" si="41"/>
        <v>-523.61999999999171</v>
      </c>
      <c r="O170" s="15">
        <f>IFERROR(N170/N444, "NA")</f>
        <v>-3.2500138412032364E-3</v>
      </c>
      <c r="P170" s="2"/>
      <c r="Q170" s="14">
        <f>IFERROR(Q151+Q153+Q154+Q155+Q156+Q157+Q160+Q161+Q162+Q163+Q164+Q165+Q167+Q168+Q169, "NA")</f>
        <v>39410.760000000017</v>
      </c>
      <c r="R170" s="15">
        <f>IFERROR(Q170/Q444, "NA")</f>
        <v>2.3754385284769395E-2</v>
      </c>
      <c r="S170" s="2"/>
      <c r="T170" s="14">
        <f>IFERROR(T151+T153+T154+T155+T156+T157+T160+T161+T162+T163+T164+T165+T167+T168+T169, "NA")</f>
        <v>29714.010000000006</v>
      </c>
      <c r="U170" s="15">
        <f>IFERROR(T170/T444, "NA")</f>
        <v>1.9788778272048647E-2</v>
      </c>
      <c r="V170" s="2"/>
      <c r="W170" s="14">
        <f t="shared" si="42"/>
        <v>-9696.7500000000109</v>
      </c>
      <c r="X170" s="15">
        <f>IFERROR(W170/W444, "NA")</f>
        <v>-6.155279676979461E-2</v>
      </c>
      <c r="Y170" s="2"/>
      <c r="Z170" s="14">
        <f>IFERROR(Z151+Z153+Z154+Z155+Z156+Z157+Z160+Z161+Z162+Z163+Z164+Z165+Z167+Z168+Z169, "NA")</f>
        <v>42859.360000000001</v>
      </c>
      <c r="AA170" s="15">
        <f>IFERROR(Z170/Z444, "NA")</f>
        <v>3.1532200069544034E-2</v>
      </c>
      <c r="AB170" s="2"/>
      <c r="AC170" s="14">
        <f t="shared" si="43"/>
        <v>3448.599999999984</v>
      </c>
      <c r="AD170" s="15">
        <f>IFERROR(AC170/AC444, "NA")</f>
        <v>1.1500358606699115E-2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204610.69</v>
      </c>
      <c r="C171" s="15">
        <f>IFERROR(B171/B444, "NA")</f>
        <v>0.27449893380981139</v>
      </c>
      <c r="D171" s="2"/>
      <c r="E171" s="14">
        <f>IFERROR(E127+E129+E130+E131+E132+E133+E134+E135+E136+E137+E138+E139+E140+E143+E144+E145+E146+E147+E151+E153+E154+E155+E156+E157+E160+E161+E162+E163+E164+E165+E167+E168+E169, "NA")</f>
        <v>165440.65000000002</v>
      </c>
      <c r="F171" s="15">
        <f>IFERROR(E171/E444, "NA")</f>
        <v>0.24859826307372065</v>
      </c>
      <c r="G171" s="2"/>
      <c r="H171" s="14">
        <f t="shared" si="40"/>
        <v>-39170.039999999979</v>
      </c>
      <c r="I171" s="15">
        <f>IFERROR(H171/H444, "NA")</f>
        <v>-0.4902196462112075</v>
      </c>
      <c r="J171" s="2"/>
      <c r="K171" s="14">
        <f>IFERROR(K127+K129+K130+K131+K132+K133+K134+K135+K136+K137+K138+K139+K140+K143+K144+K145+K146+K147+K151+K153+K154+K155+K156+K157+K160+K161+K162+K163+K164+K165+K167+K168+K169, "NA")</f>
        <v>164606.80999999997</v>
      </c>
      <c r="L171" s="15">
        <f>IFERROR(K171/K444, "NA")</f>
        <v>0.28172403595533102</v>
      </c>
      <c r="M171" s="2"/>
      <c r="N171" s="14">
        <f t="shared" si="41"/>
        <v>-40003.880000000034</v>
      </c>
      <c r="O171" s="15">
        <f>IFERROR(N171/N444, "NA")</f>
        <v>-0.24829678717741013</v>
      </c>
      <c r="P171" s="2"/>
      <c r="Q171" s="14">
        <f>IFERROR(Q127+Q129+Q130+Q131+Q132+Q133+Q134+Q135+Q136+Q137+Q138+Q139+Q140+Q143+Q144+Q145+Q146+Q147+Q151+Q153+Q154+Q155+Q156+Q157+Q160+Q161+Q162+Q163+Q164+Q165+Q167+Q168+Q169, "NA")</f>
        <v>448205.24999999988</v>
      </c>
      <c r="R171" s="15">
        <f>IFERROR(Q171/Q444, "NA")</f>
        <v>0.27015059326834551</v>
      </c>
      <c r="S171" s="2"/>
      <c r="T171" s="14">
        <f>IFERROR(T127+T129+T130+T131+T132+T133+T134+T135+T136+T137+T138+T139+T140+T143+T144+T145+T146+T147+T151+T153+T154+T155+T156+T157+T160+T161+T162+T163+T164+T165+T167+T168+T169, "NA")</f>
        <v>392148.12</v>
      </c>
      <c r="U171" s="15">
        <f>IFERROR(T171/T444, "NA")</f>
        <v>0.26116071834399746</v>
      </c>
      <c r="V171" s="2"/>
      <c r="W171" s="14">
        <f t="shared" si="42"/>
        <v>-56057.129999999888</v>
      </c>
      <c r="X171" s="15">
        <f>IFERROR(W171/W444, "NA")</f>
        <v>-0.35583810352828998</v>
      </c>
      <c r="Y171" s="2"/>
      <c r="Z171" s="14">
        <f>IFERROR(Z127+Z129+Z130+Z131+Z132+Z133+Z134+Z135+Z136+Z137+Z138+Z139+Z140+Z143+Z144+Z145+Z146+Z147+Z151+Z153+Z154+Z155+Z156+Z157+Z160+Z161+Z162+Z163+Z164+Z165+Z167+Z168+Z169, "NA")</f>
        <v>388353.42</v>
      </c>
      <c r="AA171" s="15">
        <f>IFERROR(Z171/Z444, "NA")</f>
        <v>0.28571676611903823</v>
      </c>
      <c r="AB171" s="2"/>
      <c r="AC171" s="14">
        <f t="shared" si="43"/>
        <v>-59851.8299999999</v>
      </c>
      <c r="AD171" s="15">
        <f>IFERROR(AC171/AC444, "NA")</f>
        <v>-0.19959331562581753</v>
      </c>
    </row>
    <row r="172" spans="1:30" ht="16.5" customHeight="1" x14ac:dyDescent="0.45">
      <c r="A172" s="22" t="s">
        <v>160</v>
      </c>
      <c r="B172" s="23">
        <f>IFERROR(B124-B171, "NA")</f>
        <v>540786.34000000008</v>
      </c>
      <c r="C172" s="24">
        <f>IFERROR(B172/B444, "NA")</f>
        <v>0.72550106619018873</v>
      </c>
      <c r="D172" s="25"/>
      <c r="E172" s="23">
        <f>IFERROR(E124-E171, "NA")</f>
        <v>500053.34000000008</v>
      </c>
      <c r="F172" s="24">
        <f>IFERROR(E172/E444, "NA")</f>
        <v>0.75140173692627954</v>
      </c>
      <c r="G172" s="25"/>
      <c r="H172" s="23">
        <f>IFERROR(B172-E172, "NA")</f>
        <v>40733</v>
      </c>
      <c r="I172" s="24">
        <f>IFERROR(H172/H444, "NA")</f>
        <v>0.50978035378879183</v>
      </c>
      <c r="J172" s="25"/>
      <c r="K172" s="23">
        <f>IFERROR(K124-K171, "NA")</f>
        <v>419677.06000000017</v>
      </c>
      <c r="L172" s="24">
        <f>IFERROR(K172/K444, "NA")</f>
        <v>0.7182759640446692</v>
      </c>
      <c r="M172" s="25"/>
      <c r="N172" s="23">
        <f>IFERROR(B172-K172, "NA")</f>
        <v>121109.27999999991</v>
      </c>
      <c r="O172" s="24">
        <f>IFERROR(N172/N444, "NA")</f>
        <v>0.75170321282258934</v>
      </c>
      <c r="P172" s="25"/>
      <c r="Q172" s="23">
        <f>IFERROR(Q124-Q171, "NA")</f>
        <v>1210888.83</v>
      </c>
      <c r="R172" s="24">
        <f>IFERROR(Q172/Q444, "NA")</f>
        <v>0.72984940673165444</v>
      </c>
      <c r="S172" s="25"/>
      <c r="T172" s="23">
        <f>IFERROR(T124-T171, "NA")</f>
        <v>1109410.4700000002</v>
      </c>
      <c r="U172" s="24">
        <f>IFERROR(T172/T444, "NA")</f>
        <v>0.73883928165600266</v>
      </c>
      <c r="V172" s="25"/>
      <c r="W172" s="23">
        <f>IFERROR(Q172-T172, "NA")</f>
        <v>101478.35999999987</v>
      </c>
      <c r="X172" s="24">
        <f>IFERROR(W172/W444, "NA")</f>
        <v>0.64416189647170852</v>
      </c>
      <c r="Y172" s="25"/>
      <c r="Z172" s="23">
        <f>IFERROR(Z124-Z171, "NA")</f>
        <v>970871.75000000047</v>
      </c>
      <c r="AA172" s="24">
        <f>IFERROR(Z172/Z444, "NA")</f>
        <v>0.71428323388096215</v>
      </c>
      <c r="AB172" s="25"/>
      <c r="AC172" s="23">
        <f>IFERROR(Q172-Z172, "NA")</f>
        <v>240017.07999999961</v>
      </c>
      <c r="AD172" s="24">
        <f>IFERROR(AC172/AC444, "NA")</f>
        <v>0.80040668437418039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39213.5</v>
      </c>
      <c r="C178" s="8">
        <f>IFERROR(B178/B444, "NA")</f>
        <v>5.2607534537667797E-2</v>
      </c>
      <c r="D178" s="9"/>
      <c r="E178" s="7">
        <v>40048.07</v>
      </c>
      <c r="F178" s="8">
        <f>IFERROR(E178/E444, "NA")</f>
        <v>6.0177958932431531E-2</v>
      </c>
      <c r="G178" s="9"/>
      <c r="H178" s="10">
        <f t="shared" si="44"/>
        <v>834.56999999999971</v>
      </c>
      <c r="I178" s="8">
        <f>IFERROR(H178/H444, "NA")</f>
        <v>1.0444784078302894E-2</v>
      </c>
      <c r="J178" s="9"/>
      <c r="K178" s="7">
        <v>32451.950000000004</v>
      </c>
      <c r="L178" s="8">
        <f>IFERROR(K178/K444, "NA")</f>
        <v>5.5541410034132904E-2</v>
      </c>
      <c r="M178" s="9"/>
      <c r="N178" s="10">
        <f t="shared" si="45"/>
        <v>-6761.5499999999956</v>
      </c>
      <c r="O178" s="8">
        <f>IFERROR(N178/N444, "NA")</f>
        <v>-4.1967707665841784E-2</v>
      </c>
      <c r="P178" s="9"/>
      <c r="Q178" s="7">
        <v>101955.1</v>
      </c>
      <c r="R178" s="8">
        <f>IFERROR(Q178/Q444, "NA")</f>
        <v>6.1452271591494079E-2</v>
      </c>
      <c r="S178" s="9"/>
      <c r="T178" s="7">
        <v>104124.99</v>
      </c>
      <c r="U178" s="8">
        <f>IFERROR(T178/T444, "NA")</f>
        <v>6.9344606792865804E-2</v>
      </c>
      <c r="V178" s="9"/>
      <c r="W178" s="10">
        <f t="shared" si="46"/>
        <v>2169.8899999999994</v>
      </c>
      <c r="X178" s="8">
        <f>IFERROR(W178/W444, "NA")</f>
        <v>1.3773975629237574E-2</v>
      </c>
      <c r="Y178" s="9"/>
      <c r="Z178" s="7">
        <v>84375.07</v>
      </c>
      <c r="AA178" s="8">
        <f>IFERROR(Z178/Z444, "NA")</f>
        <v>6.2075858998402754E-2</v>
      </c>
      <c r="AB178" s="9"/>
      <c r="AC178" s="10">
        <f t="shared" si="47"/>
        <v>-17580.03</v>
      </c>
      <c r="AD178" s="8">
        <f>IFERROR(AC178/AC444, "NA")</f>
        <v>-5.8625717484350047E-2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131414.47</v>
      </c>
      <c r="C180" s="8">
        <f>IFERROR(B180/B444, "NA")</f>
        <v>0.17630130616431353</v>
      </c>
      <c r="D180" s="9"/>
      <c r="E180" s="7">
        <v>127292.22000000002</v>
      </c>
      <c r="F180" s="8">
        <f>IFERROR(E180/E444, "NA")</f>
        <v>0.1912747852163173</v>
      </c>
      <c r="G180" s="9"/>
      <c r="H180" s="10">
        <f t="shared" si="44"/>
        <v>-4122.2499999999854</v>
      </c>
      <c r="I180" s="8">
        <f>IFERROR(H180/H444, "NA")</f>
        <v>-5.1590652871279785E-2</v>
      </c>
      <c r="J180" s="9"/>
      <c r="K180" s="7">
        <v>119826.79</v>
      </c>
      <c r="L180" s="8">
        <f>IFERROR(K180/K444, "NA")</f>
        <v>0.20508317301314513</v>
      </c>
      <c r="M180" s="9"/>
      <c r="N180" s="10">
        <f t="shared" si="45"/>
        <v>-11587.680000000008</v>
      </c>
      <c r="O180" s="8">
        <f>IFERROR(N180/N444, "NA")</f>
        <v>-7.1922616377209689E-2</v>
      </c>
      <c r="P180" s="9"/>
      <c r="Q180" s="7">
        <v>308960.14</v>
      </c>
      <c r="R180" s="8">
        <f>IFERROR(Q180/Q444, "NA")</f>
        <v>0.18622219422300632</v>
      </c>
      <c r="S180" s="9"/>
      <c r="T180" s="7">
        <v>301583.91000000003</v>
      </c>
      <c r="U180" s="8">
        <f>IFERROR(T180/T444, "NA")</f>
        <v>0.20084724765884762</v>
      </c>
      <c r="V180" s="9"/>
      <c r="W180" s="10">
        <f t="shared" si="46"/>
        <v>-7376.2299999999814</v>
      </c>
      <c r="X180" s="8">
        <f>IFERROR(W180/W444, "NA")</f>
        <v>-4.6822655644134424E-2</v>
      </c>
      <c r="Y180" s="9"/>
      <c r="Z180" s="7">
        <v>296478.20999999996</v>
      </c>
      <c r="AA180" s="8">
        <f>IFERROR(Z180/Z444, "NA")</f>
        <v>0.21812295456535724</v>
      </c>
      <c r="AB180" s="9"/>
      <c r="AC180" s="10">
        <f t="shared" si="47"/>
        <v>-12481.930000000051</v>
      </c>
      <c r="AD180" s="8">
        <f>IFERROR(AC180/AC444, "NA")</f>
        <v>-4.1624621905618844E-2</v>
      </c>
    </row>
    <row r="181" spans="1:30" ht="16.5" customHeight="1" x14ac:dyDescent="0.45">
      <c r="A181" s="12" t="s">
        <v>166</v>
      </c>
      <c r="B181" s="7">
        <v>1390.6999999999998</v>
      </c>
      <c r="C181" s="8">
        <f>IFERROR(B181/B444, "NA")</f>
        <v>1.865717119908567E-3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-1390.6999999999998</v>
      </c>
      <c r="I181" s="8">
        <f>IFERROR(H181/H444, "NA")</f>
        <v>-1.740484467174214E-2</v>
      </c>
      <c r="J181" s="9"/>
      <c r="K181" s="7">
        <v>575.64</v>
      </c>
      <c r="L181" s="8">
        <f>IFERROR(K181/K444, "NA")</f>
        <v>9.8520604376773225E-4</v>
      </c>
      <c r="M181" s="9"/>
      <c r="N181" s="10">
        <f t="shared" si="45"/>
        <v>-815.05999999999983</v>
      </c>
      <c r="O181" s="8">
        <f>IFERROR(N181/N444, "NA")</f>
        <v>-5.058928767830013E-3</v>
      </c>
      <c r="P181" s="9"/>
      <c r="Q181" s="7">
        <v>1765.31</v>
      </c>
      <c r="R181" s="8">
        <f>IFERROR(Q181/Q444, "NA")</f>
        <v>1.0640204321625932E-3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-1765.31</v>
      </c>
      <c r="X181" s="8">
        <f>IFERROR(W181/W444, "NA")</f>
        <v>-1.1205792421758424E-2</v>
      </c>
      <c r="Y181" s="9"/>
      <c r="Z181" s="7">
        <v>1817.5299999999997</v>
      </c>
      <c r="AA181" s="8">
        <f>IFERROR(Z181/Z444, "NA")</f>
        <v>1.3371809469949706E-3</v>
      </c>
      <c r="AB181" s="9"/>
      <c r="AC181" s="10">
        <f t="shared" si="47"/>
        <v>52.2199999999998</v>
      </c>
      <c r="AD181" s="8">
        <f>IFERROR(AC181/AC444, "NA")</f>
        <v>1.7414276124857282E-4</v>
      </c>
    </row>
    <row r="182" spans="1:30" ht="16.5" customHeight="1" x14ac:dyDescent="0.45">
      <c r="A182" s="13" t="s">
        <v>167</v>
      </c>
      <c r="B182" s="14">
        <f>IFERROR(B177+B178+B179+B180+B181, "NA")</f>
        <v>172018.67</v>
      </c>
      <c r="C182" s="15">
        <f>IFERROR(B182/B444, "NA")</f>
        <v>0.23077455782188991</v>
      </c>
      <c r="D182" s="2"/>
      <c r="E182" s="14">
        <f>IFERROR(E177+E178+E179+E180+E181, "NA")</f>
        <v>167340.29</v>
      </c>
      <c r="F182" s="15">
        <f>IFERROR(E182/E444, "NA")</f>
        <v>0.25145274414874885</v>
      </c>
      <c r="G182" s="2"/>
      <c r="H182" s="14">
        <f t="shared" si="44"/>
        <v>-4678.3800000000047</v>
      </c>
      <c r="I182" s="15">
        <f>IFERROR(H182/H444, "NA")</f>
        <v>-5.8550713464719267E-2</v>
      </c>
      <c r="J182" s="2"/>
      <c r="K182" s="14">
        <f>IFERROR(K177+K178+K179+K180+K181, "NA")</f>
        <v>152854.38</v>
      </c>
      <c r="L182" s="15">
        <f>IFERROR(K182/K444, "NA")</f>
        <v>0.26160978909104576</v>
      </c>
      <c r="M182" s="2"/>
      <c r="N182" s="14">
        <f t="shared" si="45"/>
        <v>-19164.290000000008</v>
      </c>
      <c r="O182" s="15">
        <f>IFERROR(N182/N444, "NA")</f>
        <v>-0.11894925281088152</v>
      </c>
      <c r="P182" s="2"/>
      <c r="Q182" s="14">
        <f>IFERROR(Q177+Q178+Q179+Q180+Q181, "NA")</f>
        <v>412680.55</v>
      </c>
      <c r="R182" s="15">
        <f>IFERROR(Q182/Q444, "NA")</f>
        <v>0.24873848624666298</v>
      </c>
      <c r="S182" s="2"/>
      <c r="T182" s="14">
        <f>IFERROR(T177+T178+T179+T180+T181, "NA")</f>
        <v>405708.9</v>
      </c>
      <c r="U182" s="15">
        <f>IFERROR(T182/T444, "NA")</f>
        <v>0.2701918544517134</v>
      </c>
      <c r="V182" s="2"/>
      <c r="W182" s="14">
        <f t="shared" si="46"/>
        <v>-6971.6499999999651</v>
      </c>
      <c r="X182" s="15">
        <f>IFERROR(W182/W444, "NA")</f>
        <v>-4.4254472436655166E-2</v>
      </c>
      <c r="Y182" s="2"/>
      <c r="Z182" s="14">
        <f>IFERROR(Z177+Z178+Z179+Z180+Z181, "NA")</f>
        <v>382670.81</v>
      </c>
      <c r="AA182" s="15">
        <f>IFERROR(Z182/Z444, "NA")</f>
        <v>0.28153599451075501</v>
      </c>
      <c r="AB182" s="2"/>
      <c r="AC182" s="14">
        <f t="shared" si="47"/>
        <v>-30009.739999999991</v>
      </c>
      <c r="AD182" s="15">
        <f>IFERROR(AC182/AC444, "NA")</f>
        <v>-0.10007619662872011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3.957622423046145E-3</v>
      </c>
      <c r="D184" s="9"/>
      <c r="E184" s="7">
        <v>2950</v>
      </c>
      <c r="F184" s="8">
        <f>IFERROR(E184/E444, "NA")</f>
        <v>4.4327973570429989E-3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2000</v>
      </c>
      <c r="L184" s="8">
        <f>IFERROR(K184/K444, "NA")</f>
        <v>3.4229936896940181E-3</v>
      </c>
      <c r="M184" s="9"/>
      <c r="N184" s="10">
        <f t="shared" si="45"/>
        <v>-950</v>
      </c>
      <c r="O184" s="8">
        <f>IFERROR(N184/N444, "NA")</f>
        <v>-5.8964767372199755E-3</v>
      </c>
      <c r="P184" s="9"/>
      <c r="Q184" s="7">
        <v>8850</v>
      </c>
      <c r="R184" s="8">
        <f>IFERROR(Q184/Q444, "NA")</f>
        <v>5.3342363803745236E-3</v>
      </c>
      <c r="S184" s="9"/>
      <c r="T184" s="7">
        <v>8850</v>
      </c>
      <c r="U184" s="8">
        <f>IFERROR(T184/T444, "NA")</f>
        <v>5.8938759092976847E-3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5000</v>
      </c>
      <c r="AA184" s="8">
        <f>IFERROR(Z184/Z444, "NA")</f>
        <v>3.6785663702799151E-3</v>
      </c>
      <c r="AB184" s="9"/>
      <c r="AC184" s="10">
        <f t="shared" si="47"/>
        <v>-3850</v>
      </c>
      <c r="AD184" s="8">
        <f>IFERROR(AC184/AC444, "NA")</f>
        <v>-1.2838943523688395E-2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18623.46</v>
      </c>
      <c r="C186" s="8">
        <f>IFERROR(B186/B444, "NA")</f>
        <v>2.498461792905185E-2</v>
      </c>
      <c r="D186" s="9"/>
      <c r="E186" s="7">
        <v>20233.91</v>
      </c>
      <c r="F186" s="8">
        <f>IFERROR(E186/E444, "NA")</f>
        <v>3.0404346701913866E-2</v>
      </c>
      <c r="G186" s="9"/>
      <c r="H186" s="10">
        <f t="shared" ref="H186:H197" si="48">IFERROR(-(B186-E186), "NA")</f>
        <v>1610.4500000000007</v>
      </c>
      <c r="I186" s="8">
        <f>IFERROR(H186/H444, "NA")</f>
        <v>2.0155052924144063E-2</v>
      </c>
      <c r="J186" s="9"/>
      <c r="K186" s="7">
        <v>17504.259999999998</v>
      </c>
      <c r="L186" s="8">
        <f>IFERROR(K186/K444, "NA")</f>
        <v>2.9958485761381704E-2</v>
      </c>
      <c r="M186" s="9"/>
      <c r="N186" s="10">
        <f t="shared" ref="N186:N197" si="49">IFERROR(-(B186-K186), "NA")</f>
        <v>-1119.2000000000007</v>
      </c>
      <c r="O186" s="8">
        <f>IFERROR(N186/N444, "NA")</f>
        <v>-6.9466702782069482E-3</v>
      </c>
      <c r="P186" s="9"/>
      <c r="Q186" s="7">
        <v>45647.64</v>
      </c>
      <c r="R186" s="8">
        <f>IFERROR(Q186/Q444, "NA")</f>
        <v>2.7513593442512915E-2</v>
      </c>
      <c r="S186" s="9"/>
      <c r="T186" s="7">
        <v>51450.07</v>
      </c>
      <c r="U186" s="8">
        <f>IFERROR(T186/T444, "NA")</f>
        <v>3.4264443853636105E-2</v>
      </c>
      <c r="V186" s="9"/>
      <c r="W186" s="10">
        <f t="shared" ref="W186:W197" si="50">IFERROR(-(Q186-T186), "NA")</f>
        <v>5802.43</v>
      </c>
      <c r="X186" s="8">
        <f>IFERROR(W186/W444, "NA")</f>
        <v>3.6832525801011574E-2</v>
      </c>
      <c r="Y186" s="9"/>
      <c r="Z186" s="7">
        <v>46312.87</v>
      </c>
      <c r="AA186" s="8">
        <f>IFERROR(Z186/Z444, "NA")</f>
        <v>3.4072993218629118E-2</v>
      </c>
      <c r="AB186" s="9"/>
      <c r="AC186" s="10">
        <f t="shared" ref="AC186:AC197" si="51">IFERROR(-(Q186-Z186), "NA")</f>
        <v>665.2300000000032</v>
      </c>
      <c r="AD186" s="8">
        <f>IFERROR(AC186/AC444, "NA")</f>
        <v>2.2184027013670837E-3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0.06</v>
      </c>
      <c r="L187" s="8">
        <f>IFERROR(K187/K444, "NA")</f>
        <v>1.0268981069082054E-7</v>
      </c>
      <c r="M187" s="9"/>
      <c r="N187" s="10">
        <f t="shared" si="49"/>
        <v>0.06</v>
      </c>
      <c r="O187" s="8">
        <f>IFERROR(N187/N444, "NA")</f>
        <v>3.7240905708757739E-7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0.11</v>
      </c>
      <c r="AA187" s="8">
        <f>IFERROR(Z187/Z444, "NA")</f>
        <v>8.0928460146158125E-8</v>
      </c>
      <c r="AB187" s="9"/>
      <c r="AC187" s="10">
        <f t="shared" si="51"/>
        <v>0.11</v>
      </c>
      <c r="AD187" s="8">
        <f>IFERROR(AC187/AC444, "NA")</f>
        <v>3.6682695781966842E-7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18623.46</v>
      </c>
      <c r="C193" s="15">
        <f>IFERROR(B193/B444, "NA")</f>
        <v>2.498461792905185E-2</v>
      </c>
      <c r="D193" s="2"/>
      <c r="E193" s="14">
        <f>IFERROR(E186+E187+E188+E189+E190+E191+E192, "NA")</f>
        <v>20233.91</v>
      </c>
      <c r="F193" s="15">
        <f>IFERROR(E193/E444, "NA")</f>
        <v>3.0404346701913866E-2</v>
      </c>
      <c r="G193" s="2"/>
      <c r="H193" s="14">
        <f t="shared" si="48"/>
        <v>1610.4500000000007</v>
      </c>
      <c r="I193" s="15">
        <f>IFERROR(H193/H444, "NA")</f>
        <v>2.0155052924144063E-2</v>
      </c>
      <c r="J193" s="2"/>
      <c r="K193" s="14">
        <f>IFERROR(K186+K187+K188+K189+K190+K191+K192, "NA")</f>
        <v>17504.32</v>
      </c>
      <c r="L193" s="15">
        <f>IFERROR(K193/K444, "NA")</f>
        <v>2.9958588451192397E-2</v>
      </c>
      <c r="M193" s="2"/>
      <c r="N193" s="14">
        <f t="shared" si="49"/>
        <v>-1119.1399999999994</v>
      </c>
      <c r="O193" s="15">
        <f>IFERROR(N193/N444, "NA")</f>
        <v>-6.9462978691498525E-3</v>
      </c>
      <c r="P193" s="2"/>
      <c r="Q193" s="14">
        <f>IFERROR(Q186+Q187+Q188+Q189+Q190+Q191+Q192, "NA")</f>
        <v>45647.64</v>
      </c>
      <c r="R193" s="15">
        <f>IFERROR(Q193/Q444, "NA")</f>
        <v>2.7513593442512915E-2</v>
      </c>
      <c r="S193" s="2"/>
      <c r="T193" s="14">
        <f>IFERROR(T186+T187+T188+T189+T190+T191+T192, "NA")</f>
        <v>51450.07</v>
      </c>
      <c r="U193" s="15">
        <f>IFERROR(T193/T444, "NA")</f>
        <v>3.4264443853636105E-2</v>
      </c>
      <c r="V193" s="2"/>
      <c r="W193" s="14">
        <f t="shared" si="50"/>
        <v>5802.43</v>
      </c>
      <c r="X193" s="15">
        <f>IFERROR(W193/W444, "NA")</f>
        <v>3.6832525801011574E-2</v>
      </c>
      <c r="Y193" s="2"/>
      <c r="Z193" s="14">
        <f>IFERROR(Z186+Z187+Z188+Z189+Z190+Z191+Z192, "NA")</f>
        <v>46312.98</v>
      </c>
      <c r="AA193" s="15">
        <f>IFERROR(Z193/Z444, "NA")</f>
        <v>3.4073074147089259E-2</v>
      </c>
      <c r="AB193" s="2"/>
      <c r="AC193" s="14">
        <f t="shared" si="51"/>
        <v>665.34000000000378</v>
      </c>
      <c r="AD193" s="15">
        <f>IFERROR(AC193/AC444, "NA")</f>
        <v>2.2187695283249053E-3</v>
      </c>
    </row>
    <row r="194" spans="1:30" ht="16.5" customHeight="1" x14ac:dyDescent="0.45">
      <c r="A194" s="6" t="s">
        <v>178</v>
      </c>
      <c r="B194" s="7">
        <v>1173.04</v>
      </c>
      <c r="C194" s="8">
        <f>IFERROR(B194/B444, "NA")</f>
        <v>1.573711663433915E-3</v>
      </c>
      <c r="D194" s="9"/>
      <c r="E194" s="7">
        <v>1362.33</v>
      </c>
      <c r="F194" s="8">
        <f>IFERROR(E194/E444, "NA")</f>
        <v>2.0470958723458944E-3</v>
      </c>
      <c r="G194" s="9"/>
      <c r="H194" s="10">
        <f t="shared" si="48"/>
        <v>189.28999999999996</v>
      </c>
      <c r="I194" s="8">
        <f>IFERROR(H194/H444, "NA")</f>
        <v>2.3689962234227867E-3</v>
      </c>
      <c r="J194" s="9"/>
      <c r="K194" s="7">
        <v>2382.1099999999997</v>
      </c>
      <c r="L194" s="8">
        <f>IFERROR(K194/K444, "NA")</f>
        <v>4.0769737490785078E-3</v>
      </c>
      <c r="M194" s="9"/>
      <c r="N194" s="10">
        <f t="shared" si="49"/>
        <v>1209.0699999999997</v>
      </c>
      <c r="O194" s="8">
        <f>IFERROR(N194/N444, "NA")</f>
        <v>7.5044769775479509E-3</v>
      </c>
      <c r="P194" s="9"/>
      <c r="Q194" s="7">
        <v>4067.68</v>
      </c>
      <c r="R194" s="8">
        <f>IFERROR(Q194/Q444, "NA")</f>
        <v>2.4517476429064228E-3</v>
      </c>
      <c r="S194" s="9"/>
      <c r="T194" s="7">
        <v>3316.49</v>
      </c>
      <c r="U194" s="8">
        <f>IFERROR(T194/T444, "NA")</f>
        <v>2.208698363212054E-3</v>
      </c>
      <c r="V194" s="9"/>
      <c r="W194" s="10">
        <f t="shared" si="50"/>
        <v>-751.19</v>
      </c>
      <c r="X194" s="8">
        <f>IFERROR(W194/W444, "NA")</f>
        <v>-4.768385841184105E-3</v>
      </c>
      <c r="Y194" s="9"/>
      <c r="Z194" s="7">
        <v>3996.87</v>
      </c>
      <c r="AA194" s="8">
        <f>IFERROR(Z194/Z444, "NA")</f>
        <v>2.9405503136761368E-3</v>
      </c>
      <c r="AB194" s="9"/>
      <c r="AC194" s="10">
        <f t="shared" si="51"/>
        <v>-70.809999999999945</v>
      </c>
      <c r="AD194" s="8">
        <f>IFERROR(AC194/AC444, "NA")</f>
        <v>-2.3613651712009728E-4</v>
      </c>
    </row>
    <row r="195" spans="1:30" ht="16.5" customHeight="1" x14ac:dyDescent="0.45">
      <c r="A195" s="6" t="s">
        <v>179</v>
      </c>
      <c r="B195" s="7">
        <v>982.42000000000007</v>
      </c>
      <c r="C195" s="8">
        <f>IFERROR(B195/B444, "NA")</f>
        <v>1.3179821765589811E-3</v>
      </c>
      <c r="D195" s="9"/>
      <c r="E195" s="7">
        <v>680.38</v>
      </c>
      <c r="F195" s="8">
        <f>IFERROR(E195/E444, "NA")</f>
        <v>1.0223683612830222E-3</v>
      </c>
      <c r="G195" s="9"/>
      <c r="H195" s="10">
        <f t="shared" si="48"/>
        <v>-302.04000000000008</v>
      </c>
      <c r="I195" s="8">
        <f>IFERROR(H195/H444, "NA")</f>
        <v>-3.7800814587279777E-3</v>
      </c>
      <c r="J195" s="9"/>
      <c r="K195" s="7">
        <v>942.21</v>
      </c>
      <c r="L195" s="8">
        <f>IFERROR(K195/K444, "NA")</f>
        <v>1.6125894421833004E-3</v>
      </c>
      <c r="M195" s="9"/>
      <c r="N195" s="10">
        <f t="shared" si="49"/>
        <v>-40.210000000000036</v>
      </c>
      <c r="O195" s="8">
        <f>IFERROR(N195/N444, "NA")</f>
        <v>-2.4957613642485833E-4</v>
      </c>
      <c r="P195" s="9"/>
      <c r="Q195" s="7">
        <v>4040.15</v>
      </c>
      <c r="R195" s="8">
        <f>IFERROR(Q195/Q444, "NA")</f>
        <v>2.4351542499627264E-3</v>
      </c>
      <c r="S195" s="9"/>
      <c r="T195" s="7">
        <v>1630.85</v>
      </c>
      <c r="U195" s="8">
        <f>IFERROR(T195/T444, "NA")</f>
        <v>1.0861048052743648E-3</v>
      </c>
      <c r="V195" s="9"/>
      <c r="W195" s="10">
        <f t="shared" si="50"/>
        <v>-2409.3000000000002</v>
      </c>
      <c r="X195" s="8">
        <f>IFERROR(W195/W444, "NA")</f>
        <v>-1.5293696677491531E-2</v>
      </c>
      <c r="Y195" s="9"/>
      <c r="Z195" s="7">
        <v>3433.61</v>
      </c>
      <c r="AA195" s="8">
        <f>IFERROR(Z195/Z444, "NA")</f>
        <v>2.5261524549313637E-3</v>
      </c>
      <c r="AB195" s="9"/>
      <c r="AC195" s="10">
        <f t="shared" si="51"/>
        <v>-606.54</v>
      </c>
      <c r="AD195" s="8">
        <f>IFERROR(AC195/AC444, "NA")</f>
        <v>-2.0226838454176516E-3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195747.59000000003</v>
      </c>
      <c r="C196" s="15">
        <f>IFERROR(B196/B444, "NA")</f>
        <v>0.26260849201398079</v>
      </c>
      <c r="D196" s="2"/>
      <c r="E196" s="14">
        <f>IFERROR(E175+E177+E178+E179+E180+E181+E183+E184+E186+E187+E188+E189+E190+E191+E192+E194+E195, "NA")</f>
        <v>192566.91</v>
      </c>
      <c r="F196" s="15">
        <f>IFERROR(E196/E444, "NA")</f>
        <v>0.28935935244133459</v>
      </c>
      <c r="G196" s="2"/>
      <c r="H196" s="14">
        <f t="shared" si="48"/>
        <v>-3180.6800000000221</v>
      </c>
      <c r="I196" s="15">
        <f>IFERROR(H196/H444, "NA")</f>
        <v>-3.9806745775880628E-2</v>
      </c>
      <c r="J196" s="2"/>
      <c r="K196" s="14">
        <f>IFERROR(K175+K177+K178+K179+K180+K181+K183+K184+K186+K187+K188+K189+K190+K191+K192+K194+K195, "NA")</f>
        <v>175683.02</v>
      </c>
      <c r="L196" s="15">
        <f>IFERROR(K196/K444, "NA")</f>
        <v>0.30068093442319399</v>
      </c>
      <c r="M196" s="2"/>
      <c r="N196" s="14">
        <f t="shared" si="49"/>
        <v>-20064.570000000036</v>
      </c>
      <c r="O196" s="15">
        <f>IFERROR(N196/N444, "NA")</f>
        <v>-0.12453712657612843</v>
      </c>
      <c r="P196" s="2"/>
      <c r="Q196" s="14">
        <f>IFERROR(Q175+Q177+Q178+Q179+Q180+Q181+Q183+Q184+Q186+Q187+Q188+Q189+Q190+Q191+Q192+Q194+Q195, "NA")</f>
        <v>475286.02</v>
      </c>
      <c r="R196" s="15">
        <f>IFERROR(Q196/Q444, "NA")</f>
        <v>0.28647321796241959</v>
      </c>
      <c r="S196" s="2"/>
      <c r="T196" s="14">
        <f>IFERROR(T175+T177+T178+T179+T180+T181+T183+T184+T186+T187+T188+T189+T190+T191+T192+T194+T195, "NA")</f>
        <v>470956.31</v>
      </c>
      <c r="U196" s="15">
        <f>IFERROR(T196/T444, "NA")</f>
        <v>0.31364497738313357</v>
      </c>
      <c r="V196" s="2"/>
      <c r="W196" s="14">
        <f t="shared" si="50"/>
        <v>-4329.710000000021</v>
      </c>
      <c r="X196" s="15">
        <f>IFERROR(W196/W444, "NA")</f>
        <v>-2.7484029154319585E-2</v>
      </c>
      <c r="Y196" s="2"/>
      <c r="Z196" s="14">
        <f>IFERROR(Z175+Z177+Z178+Z179+Z180+Z181+Z183+Z184+Z186+Z187+Z188+Z189+Z190+Z191+Z192+Z194+Z195, "NA")</f>
        <v>441414.26999999996</v>
      </c>
      <c r="AA196" s="15">
        <f>IFERROR(Z196/Z444, "NA")</f>
        <v>0.32475433779673163</v>
      </c>
      <c r="AB196" s="2"/>
      <c r="AC196" s="14">
        <f t="shared" si="51"/>
        <v>-33871.750000000058</v>
      </c>
      <c r="AD196" s="15">
        <f>IFERROR(AC196/AC444, "NA")</f>
        <v>-0.11295519098662159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195747.59000000003</v>
      </c>
      <c r="C197" s="15">
        <f>IFERROR(B197/B444, "NA")</f>
        <v>0.26260849201398079</v>
      </c>
      <c r="D197" s="2"/>
      <c r="E197" s="14">
        <f>IFERROR(E175+E177+E178+E179+E180+E181+E183+E184+E186+E187+E188+E189+E190+E191+E192+E194+E195, "NA")</f>
        <v>192566.91</v>
      </c>
      <c r="F197" s="15">
        <f>IFERROR(E197/E444, "NA")</f>
        <v>0.28935935244133459</v>
      </c>
      <c r="G197" s="2"/>
      <c r="H197" s="14">
        <f t="shared" si="48"/>
        <v>-3180.6800000000221</v>
      </c>
      <c r="I197" s="15">
        <f>IFERROR(H197/H444, "NA")</f>
        <v>-3.9806745775880628E-2</v>
      </c>
      <c r="J197" s="2"/>
      <c r="K197" s="14">
        <f>IFERROR(K175+K177+K178+K179+K180+K181+K183+K184+K186+K187+K188+K189+K190+K191+K192+K194+K195, "NA")</f>
        <v>175683.02</v>
      </c>
      <c r="L197" s="15">
        <f>IFERROR(K197/K444, "NA")</f>
        <v>0.30068093442319399</v>
      </c>
      <c r="M197" s="2"/>
      <c r="N197" s="14">
        <f t="shared" si="49"/>
        <v>-20064.570000000036</v>
      </c>
      <c r="O197" s="15">
        <f>IFERROR(N197/N444, "NA")</f>
        <v>-0.12453712657612843</v>
      </c>
      <c r="P197" s="2"/>
      <c r="Q197" s="14">
        <f>IFERROR(Q175+Q177+Q178+Q179+Q180+Q181+Q183+Q184+Q186+Q187+Q188+Q189+Q190+Q191+Q192+Q194+Q195, "NA")</f>
        <v>475286.02</v>
      </c>
      <c r="R197" s="15">
        <f>IFERROR(Q197/Q444, "NA")</f>
        <v>0.28647321796241959</v>
      </c>
      <c r="S197" s="2"/>
      <c r="T197" s="14">
        <f>IFERROR(T175+T177+T178+T179+T180+T181+T183+T184+T186+T187+T188+T189+T190+T191+T192+T194+T195, "NA")</f>
        <v>470956.31</v>
      </c>
      <c r="U197" s="15">
        <f>IFERROR(T197/T444, "NA")</f>
        <v>0.31364497738313357</v>
      </c>
      <c r="V197" s="2"/>
      <c r="W197" s="14">
        <f t="shared" si="50"/>
        <v>-4329.710000000021</v>
      </c>
      <c r="X197" s="15">
        <f>IFERROR(W197/W444, "NA")</f>
        <v>-2.7484029154319585E-2</v>
      </c>
      <c r="Y197" s="2"/>
      <c r="Z197" s="14">
        <f>IFERROR(Z175+Z177+Z178+Z179+Z180+Z181+Z183+Z184+Z186+Z187+Z188+Z189+Z190+Z191+Z192+Z194+Z195, "NA")</f>
        <v>441414.26999999996</v>
      </c>
      <c r="AA197" s="15">
        <f>IFERROR(Z197/Z444, "NA")</f>
        <v>0.32475433779673163</v>
      </c>
      <c r="AB197" s="2"/>
      <c r="AC197" s="14">
        <f t="shared" si="51"/>
        <v>-33871.750000000058</v>
      </c>
      <c r="AD197" s="15">
        <f>IFERROR(AC197/AC444, "NA")</f>
        <v>-0.11295519098662159</v>
      </c>
    </row>
    <row r="198" spans="1:30" ht="16.5" customHeight="1" x14ac:dyDescent="0.45">
      <c r="A198" s="22" t="s">
        <v>181</v>
      </c>
      <c r="B198" s="23">
        <f>IFERROR(B172-B197, "NA")</f>
        <v>345038.75000000006</v>
      </c>
      <c r="C198" s="24">
        <f>IFERROR(B198/B444, "NA")</f>
        <v>0.46289257417620788</v>
      </c>
      <c r="D198" s="25"/>
      <c r="E198" s="23">
        <f>IFERROR(E172-E197, "NA")</f>
        <v>307486.43000000005</v>
      </c>
      <c r="F198" s="24">
        <f>IFERROR(E198/E444, "NA")</f>
        <v>0.46204238448494489</v>
      </c>
      <c r="G198" s="25"/>
      <c r="H198" s="23">
        <f>IFERROR(B198-E198, "NA")</f>
        <v>37552.320000000007</v>
      </c>
      <c r="I198" s="24">
        <f>IFERROR(H198/H444, "NA")</f>
        <v>0.46997360801291149</v>
      </c>
      <c r="J198" s="25"/>
      <c r="K198" s="23">
        <f>IFERROR(K172-K197, "NA")</f>
        <v>243994.04000000018</v>
      </c>
      <c r="L198" s="24">
        <f>IFERROR(K198/K444, "NA")</f>
        <v>0.41759502962147521</v>
      </c>
      <c r="M198" s="25"/>
      <c r="N198" s="23">
        <f>IFERROR(B198-K198, "NA")</f>
        <v>101044.70999999988</v>
      </c>
      <c r="O198" s="24">
        <f>IFERROR(N198/N444, "NA")</f>
        <v>0.62716608624646086</v>
      </c>
      <c r="P198" s="25"/>
      <c r="Q198" s="23">
        <f>IFERROR(Q172-Q197, "NA")</f>
        <v>735602.81</v>
      </c>
      <c r="R198" s="24">
        <f>IFERROR(Q198/Q444, "NA")</f>
        <v>0.44337618876923485</v>
      </c>
      <c r="S198" s="25"/>
      <c r="T198" s="23">
        <f>IFERROR(T172-T197, "NA")</f>
        <v>638454.16000000015</v>
      </c>
      <c r="U198" s="24">
        <f>IFERROR(T198/T444, "NA")</f>
        <v>0.42519430427286897</v>
      </c>
      <c r="V198" s="25"/>
      <c r="W198" s="23">
        <f>IFERROR(Q198-T198, "NA")</f>
        <v>97148.649999999907</v>
      </c>
      <c r="X198" s="24">
        <f>IFERROR(W198/W444, "NA")</f>
        <v>0.61667786731738927</v>
      </c>
      <c r="Y198" s="25"/>
      <c r="Z198" s="23">
        <f>IFERROR(Z172-Z197, "NA")</f>
        <v>529457.48000000045</v>
      </c>
      <c r="AA198" s="24">
        <f>IFERROR(Z198/Z444, "NA")</f>
        <v>0.38952889608423047</v>
      </c>
      <c r="AB198" s="25"/>
      <c r="AC198" s="23">
        <f>IFERROR(Q198-Z198, "NA")</f>
        <v>206145.32999999961</v>
      </c>
      <c r="AD198" s="24">
        <f>IFERROR(AC198/AC444, "NA")</f>
        <v>0.68745149338755895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12886.380000000001</v>
      </c>
      <c r="F201" s="8">
        <f>IFERROR(E201/E444, "NA")</f>
        <v>1.9363630917237886E-2</v>
      </c>
      <c r="G201" s="9"/>
      <c r="H201" s="10">
        <f t="shared" ref="H201:H209" si="52">IFERROR(-(B201-E201), "NA")</f>
        <v>12886.380000000001</v>
      </c>
      <c r="I201" s="8">
        <f>IFERROR(H201/H444, "NA")</f>
        <v>0.16127521556126018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30076.05</v>
      </c>
      <c r="U201" s="8">
        <f>IFERROR(T201/T444, "NA")</f>
        <v>2.0029887744839846E-2</v>
      </c>
      <c r="V201" s="9"/>
      <c r="W201" s="10">
        <f t="shared" ref="W201:W209" si="54">IFERROR(-(Q201-T201), "NA")</f>
        <v>30076.05</v>
      </c>
      <c r="X201" s="8">
        <f>IFERROR(W201/W444, "NA")</f>
        <v>0.1909160278741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7020.17</v>
      </c>
      <c r="C202" s="8">
        <f>IFERROR(B202/B444, "NA")</f>
        <v>9.4180278663036788E-3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-7020.17</v>
      </c>
      <c r="I202" s="8">
        <f>IFERROR(H202/H444, "NA")</f>
        <v>-8.7858609634877433E-2</v>
      </c>
      <c r="J202" s="9"/>
      <c r="K202" s="7">
        <v>5044.66</v>
      </c>
      <c r="L202" s="8">
        <f>IFERROR(K202/K444, "NA")</f>
        <v>8.6339196733259127E-3</v>
      </c>
      <c r="M202" s="9"/>
      <c r="N202" s="10">
        <f t="shared" si="53"/>
        <v>-1975.5100000000002</v>
      </c>
      <c r="O202" s="8">
        <f>IFERROR(N202/N444, "NA")</f>
        <v>-1.2261630272784667E-2</v>
      </c>
      <c r="P202" s="9"/>
      <c r="Q202" s="7">
        <v>16836.53</v>
      </c>
      <c r="R202" s="8">
        <f>IFERROR(Q202/Q444, "NA")</f>
        <v>1.0148026084210967E-2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-16836.53</v>
      </c>
      <c r="X202" s="8">
        <f>IFERROR(W202/W444, "NA")</f>
        <v>-0.10687452078258683</v>
      </c>
      <c r="Y202" s="9"/>
      <c r="Z202" s="7">
        <v>13912</v>
      </c>
      <c r="AA202" s="8">
        <f>IFERROR(Z202/Z444, "NA")</f>
        <v>1.0235243068666836E-2</v>
      </c>
      <c r="AB202" s="9"/>
      <c r="AC202" s="10">
        <f t="shared" si="55"/>
        <v>-2924.5299999999988</v>
      </c>
      <c r="AD202" s="8">
        <f>IFERROR(AC202/AC444, "NA")</f>
        <v>-9.7526949359304956E-3</v>
      </c>
    </row>
    <row r="203" spans="1:30" ht="16.5" customHeight="1" x14ac:dyDescent="0.45">
      <c r="A203" s="6" t="s">
        <v>185</v>
      </c>
      <c r="B203" s="7">
        <v>5617.7099999999991</v>
      </c>
      <c r="C203" s="8">
        <f>IFERROR(B203/B444, "NA")</f>
        <v>7.5365339193798489E-3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-5617.7099999999991</v>
      </c>
      <c r="I203" s="8">
        <f>IFERROR(H203/H444, "NA")</f>
        <v>-7.030658658293848E-2</v>
      </c>
      <c r="J203" s="9"/>
      <c r="K203" s="7">
        <v>3875.1400000000003</v>
      </c>
      <c r="L203" s="8">
        <f>IFERROR(K203/K444, "NA")</f>
        <v>6.6322898833404394E-3</v>
      </c>
      <c r="M203" s="9"/>
      <c r="N203" s="10">
        <f t="shared" si="53"/>
        <v>-1742.5699999999988</v>
      </c>
      <c r="O203" s="8">
        <f>IFERROR(N203/N444, "NA")</f>
        <v>-1.081581417681832E-2</v>
      </c>
      <c r="P203" s="9"/>
      <c r="Q203" s="7">
        <v>11246.37</v>
      </c>
      <c r="R203" s="8">
        <f>IFERROR(Q203/Q444, "NA")</f>
        <v>6.7786210170793929E-3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-11246.37</v>
      </c>
      <c r="X203" s="8">
        <f>IFERROR(W203/W444, "NA")</f>
        <v>-7.1389437389632021E-2</v>
      </c>
      <c r="Y203" s="9"/>
      <c r="Z203" s="7">
        <v>9164.4600000000009</v>
      </c>
      <c r="AA203" s="8">
        <f>IFERROR(Z203/Z444, "NA")</f>
        <v>6.7424148715550941E-3</v>
      </c>
      <c r="AB203" s="9"/>
      <c r="AC203" s="10">
        <f t="shared" si="55"/>
        <v>-2081.91</v>
      </c>
      <c r="AD203" s="8">
        <f>IFERROR(AC203/AC444, "NA")</f>
        <v>-6.942733743221326E-3</v>
      </c>
    </row>
    <row r="204" spans="1:30" ht="16.5" customHeight="1" x14ac:dyDescent="0.45">
      <c r="A204" s="6" t="s">
        <v>186</v>
      </c>
      <c r="B204" s="7">
        <v>218.88</v>
      </c>
      <c r="C204" s="8">
        <f>IFERROR(B204/B444, "NA")</f>
        <v>2.9364216812079327E-4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-218.88</v>
      </c>
      <c r="I204" s="8">
        <f>IFERROR(H204/H444, "NA")</f>
        <v>-2.7393200559077588E-3</v>
      </c>
      <c r="J204" s="9"/>
      <c r="K204" s="7">
        <v>1363.9099999999999</v>
      </c>
      <c r="L204" s="8">
        <f>IFERROR(K204/K444, "NA")</f>
        <v>2.3343276616552837E-3</v>
      </c>
      <c r="M204" s="9"/>
      <c r="N204" s="10">
        <f t="shared" si="53"/>
        <v>1145.0299999999997</v>
      </c>
      <c r="O204" s="8">
        <f>IFERROR(N204/N444, "NA")</f>
        <v>7.1069923772831434E-3</v>
      </c>
      <c r="P204" s="9"/>
      <c r="Q204" s="7">
        <v>1527.75</v>
      </c>
      <c r="R204" s="8">
        <f>IFERROR(Q204/Q444, "NA")</f>
        <v>9.2083385651041557E-4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-1527.75</v>
      </c>
      <c r="X204" s="8">
        <f>IFERROR(W204/W444, "NA")</f>
        <v>-9.6978147590742886E-3</v>
      </c>
      <c r="Y204" s="9"/>
      <c r="Z204" s="7">
        <v>1902.01</v>
      </c>
      <c r="AA204" s="8">
        <f>IFERROR(Z204/Z444, "NA")</f>
        <v>1.3993340043872201E-3</v>
      </c>
      <c r="AB204" s="9"/>
      <c r="AC204" s="10">
        <f t="shared" si="55"/>
        <v>374.26</v>
      </c>
      <c r="AD204" s="8">
        <f>IFERROR(AC204/AC444, "NA")</f>
        <v>1.2480787021235372E-3</v>
      </c>
    </row>
    <row r="205" spans="1:30" ht="16.5" customHeight="1" x14ac:dyDescent="0.45">
      <c r="A205" s="6" t="s">
        <v>187</v>
      </c>
      <c r="B205" s="7">
        <v>2533.2600000000002</v>
      </c>
      <c r="C205" s="8">
        <f>IFERROR(B205/B444, "NA")</f>
        <v>3.3985378235274161E-3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-2533.2600000000002</v>
      </c>
      <c r="I205" s="8">
        <f>IFERROR(H205/H444, "NA")</f>
        <v>-3.1704175460658304E-2</v>
      </c>
      <c r="J205" s="9"/>
      <c r="K205" s="7">
        <v>2086.13</v>
      </c>
      <c r="L205" s="8">
        <f>IFERROR(K205/K444, "NA")</f>
        <v>3.570404912940691E-3</v>
      </c>
      <c r="M205" s="9"/>
      <c r="N205" s="10">
        <f t="shared" si="53"/>
        <v>-447.13000000000011</v>
      </c>
      <c r="O205" s="8">
        <f>IFERROR(N205/N444, "NA")</f>
        <v>-2.7752543615928086E-3</v>
      </c>
      <c r="P205" s="9"/>
      <c r="Q205" s="7">
        <v>6271.0399999999991</v>
      </c>
      <c r="R205" s="8">
        <f>IFERROR(Q205/Q444, "NA")</f>
        <v>3.7797977074332028E-3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-6271.0399999999991</v>
      </c>
      <c r="X205" s="8">
        <f>IFERROR(W205/W444, "NA")</f>
        <v>-3.980715710472605E-2</v>
      </c>
      <c r="Y205" s="9"/>
      <c r="Z205" s="7">
        <v>6008.7800000000007</v>
      </c>
      <c r="AA205" s="8">
        <f>IFERROR(Z205/Z444, "NA")</f>
        <v>4.4207392068821103E-3</v>
      </c>
      <c r="AB205" s="9"/>
      <c r="AC205" s="10">
        <f t="shared" si="55"/>
        <v>-262.2599999999984</v>
      </c>
      <c r="AD205" s="8">
        <f>IFERROR(AC205/AC444, "NA")</f>
        <v>-8.7458216325259682E-4</v>
      </c>
    </row>
    <row r="206" spans="1:30" ht="16.5" customHeight="1" x14ac:dyDescent="0.45">
      <c r="A206" s="6" t="s">
        <v>188</v>
      </c>
      <c r="B206" s="7">
        <v>119.48</v>
      </c>
      <c r="C206" s="8">
        <f>IFERROR(B206/B444, "NA")</f>
        <v>1.602904159679842E-4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-119.48</v>
      </c>
      <c r="I206" s="8">
        <f>IFERROR(H206/H444, "NA")</f>
        <v>-1.4953123185300577E-3</v>
      </c>
      <c r="J206" s="9"/>
      <c r="K206" s="7">
        <v>411.77</v>
      </c>
      <c r="L206" s="8">
        <f>IFERROR(K206/K444, "NA")</f>
        <v>7.0474305580265283E-4</v>
      </c>
      <c r="M206" s="9"/>
      <c r="N206" s="10">
        <f t="shared" si="53"/>
        <v>292.28999999999996</v>
      </c>
      <c r="O206" s="8">
        <f>IFERROR(N206/N444, "NA")</f>
        <v>1.8141907216021329E-3</v>
      </c>
      <c r="P206" s="9"/>
      <c r="Q206" s="7">
        <v>445.65000000000003</v>
      </c>
      <c r="R206" s="8">
        <f>IFERROR(Q206/Q444, "NA")</f>
        <v>2.6861044552699509E-4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-445.65000000000003</v>
      </c>
      <c r="X206" s="8">
        <f>IFERROR(W206/W444, "NA")</f>
        <v>-2.8288863671290833E-3</v>
      </c>
      <c r="Y206" s="9"/>
      <c r="Z206" s="7">
        <v>439.89</v>
      </c>
      <c r="AA206" s="8">
        <f>IFERROR(Z206/Z444, "NA")</f>
        <v>3.2363291212448637E-4</v>
      </c>
      <c r="AB206" s="9"/>
      <c r="AC206" s="10">
        <f t="shared" si="55"/>
        <v>-5.7600000000000477</v>
      </c>
      <c r="AD206" s="8">
        <f>IFERROR(AC206/AC444, "NA")</f>
        <v>-1.9208393427648251E-5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497.99</v>
      </c>
      <c r="R207" s="8">
        <f>IFERROR(Q207/Q444, "NA")</f>
        <v>3.0015778249296144E-4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-497.99</v>
      </c>
      <c r="X207" s="8">
        <f>IFERROR(W207/W444, "NA")</f>
        <v>-3.1611289621151402E-3</v>
      </c>
      <c r="Y207" s="9"/>
      <c r="Z207" s="7">
        <v>770.77</v>
      </c>
      <c r="AA207" s="8">
        <f>IFERROR(Z207/Z444, "NA")</f>
        <v>5.6706572024413002E-4</v>
      </c>
      <c r="AB207" s="9"/>
      <c r="AC207" s="10">
        <f t="shared" si="55"/>
        <v>272.77999999999997</v>
      </c>
      <c r="AD207" s="8">
        <f>IFERROR(AC207/AC444, "NA")</f>
        <v>9.0966415958226496E-4</v>
      </c>
    </row>
    <row r="208" spans="1:30" ht="16.5" customHeight="1" x14ac:dyDescent="0.45">
      <c r="A208" s="6" t="s">
        <v>190</v>
      </c>
      <c r="B208" s="7">
        <v>811.3900000000001</v>
      </c>
      <c r="C208" s="8">
        <f>IFERROR(B208/B444, "NA")</f>
        <v>1.0885339857069193E-3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-811.3900000000001</v>
      </c>
      <c r="I208" s="8">
        <f>IFERROR(H208/H444, "NA")</f>
        <v>-1.0154682475159891E-2</v>
      </c>
      <c r="J208" s="9"/>
      <c r="K208" s="7">
        <v>1199.44</v>
      </c>
      <c r="L208" s="8">
        <f>IFERROR(K208/K444, "NA")</f>
        <v>2.0528377755832964E-3</v>
      </c>
      <c r="M208" s="9"/>
      <c r="N208" s="10">
        <f t="shared" si="53"/>
        <v>388.04999999999995</v>
      </c>
      <c r="O208" s="8">
        <f>IFERROR(N208/N444, "NA")</f>
        <v>2.4085555767139064E-3</v>
      </c>
      <c r="P208" s="9"/>
      <c r="Q208" s="7">
        <v>2631.6</v>
      </c>
      <c r="R208" s="8">
        <f>IFERROR(Q208/Q444, "NA")</f>
        <v>1.5861668314795022E-3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-2631.6</v>
      </c>
      <c r="X208" s="8">
        <f>IFERROR(W208/W444, "NA")</f>
        <v>-1.6704807278664635E-2</v>
      </c>
      <c r="Y208" s="9"/>
      <c r="Z208" s="7">
        <v>1584.8000000000002</v>
      </c>
      <c r="AA208" s="8">
        <f>IFERROR(Z208/Z444, "NA")</f>
        <v>1.1659583967239219E-3</v>
      </c>
      <c r="AB208" s="9"/>
      <c r="AC208" s="10">
        <f t="shared" si="55"/>
        <v>-1046.7999999999997</v>
      </c>
      <c r="AD208" s="8">
        <f>IFERROR(AC208/AC444, "NA")</f>
        <v>-3.490858722232989E-3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16320.889999999998</v>
      </c>
      <c r="C209" s="15">
        <f>IFERROR(B209/B444, "NA")</f>
        <v>2.1895566179006638E-2</v>
      </c>
      <c r="D209" s="2"/>
      <c r="E209" s="14">
        <f>IFERROR(E201+E202+E203+E204+E205+E206+E207+E208, "NA")</f>
        <v>12886.380000000001</v>
      </c>
      <c r="F209" s="15">
        <f>IFERROR(E209/E444, "NA")</f>
        <v>1.9363630917237886E-2</v>
      </c>
      <c r="G209" s="2"/>
      <c r="H209" s="14">
        <f t="shared" si="52"/>
        <v>-3434.5099999999966</v>
      </c>
      <c r="I209" s="15">
        <f>IFERROR(H209/H444, "NA")</f>
        <v>-4.298347096681171E-2</v>
      </c>
      <c r="J209" s="2"/>
      <c r="K209" s="14">
        <f>IFERROR(K201+K202+K203+K204+K205+K206+K207+K208, "NA")</f>
        <v>13981.050000000001</v>
      </c>
      <c r="L209" s="15">
        <f>IFERROR(K209/K444, "NA")</f>
        <v>2.3928522962648278E-2</v>
      </c>
      <c r="M209" s="2"/>
      <c r="N209" s="14">
        <f t="shared" si="53"/>
        <v>-2339.8399999999965</v>
      </c>
      <c r="O209" s="15">
        <f>IFERROR(N209/N444, "NA")</f>
        <v>-1.4522960135596596E-2</v>
      </c>
      <c r="P209" s="2"/>
      <c r="Q209" s="14">
        <f>IFERROR(Q201+Q202+Q203+Q204+Q205+Q206+Q207+Q208, "NA")</f>
        <v>39456.93</v>
      </c>
      <c r="R209" s="15">
        <f>IFERROR(Q209/Q444, "NA")</f>
        <v>2.378221372473344E-2</v>
      </c>
      <c r="S209" s="2"/>
      <c r="T209" s="14">
        <f>IFERROR(T201+T202+T203+T204+T205+T206+T207+T208, "NA")</f>
        <v>30076.05</v>
      </c>
      <c r="U209" s="15">
        <f>IFERROR(T209/T444, "NA")</f>
        <v>2.0029887744839846E-2</v>
      </c>
      <c r="V209" s="2"/>
      <c r="W209" s="14">
        <f t="shared" si="54"/>
        <v>-9380.880000000001</v>
      </c>
      <c r="X209" s="15">
        <f>IFERROR(W209/W444, "NA")</f>
        <v>-5.9547724769828066E-2</v>
      </c>
      <c r="Y209" s="2"/>
      <c r="Z209" s="14">
        <f>IFERROR(Z201+Z202+Z203+Z204+Z205+Z206+Z207+Z208, "NA")</f>
        <v>33782.71</v>
      </c>
      <c r="AA209" s="15">
        <f>IFERROR(Z209/Z444, "NA")</f>
        <v>2.4854388180583796E-2</v>
      </c>
      <c r="AB209" s="2"/>
      <c r="AC209" s="14">
        <f t="shared" si="55"/>
        <v>-5674.2200000000012</v>
      </c>
      <c r="AD209" s="15">
        <f>IFERROR(AC209/AC444, "NA")</f>
        <v>-1.8922335096359266E-2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22845.78</v>
      </c>
      <c r="F213" s="8">
        <f>IFERROR(E213/E444, "NA")</f>
        <v>3.4329055323249424E-2</v>
      </c>
      <c r="G213" s="9"/>
      <c r="H213" s="10">
        <f t="shared" ref="H213:H227" si="56">IFERROR(-(B213-E213), "NA")</f>
        <v>22845.78</v>
      </c>
      <c r="I213" s="8">
        <f>IFERROR(H213/H444, "NA")</f>
        <v>0.28591878356568146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53141.5</v>
      </c>
      <c r="U213" s="8">
        <f>IFERROR(T213/T444, "NA")</f>
        <v>3.5390893404965304E-2</v>
      </c>
      <c r="V213" s="9"/>
      <c r="W213" s="10">
        <f t="shared" ref="W213:W227" si="58">IFERROR(-(Q213-T213), "NA")</f>
        <v>53141.5</v>
      </c>
      <c r="X213" s="8">
        <f>IFERROR(W213/W444, "NA")</f>
        <v>0.3373303374369801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20944.730000000003</v>
      </c>
      <c r="C214" s="8">
        <f>IFERROR(B214/B444, "NA")</f>
        <v>2.8098756980558404E-2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-20944.730000000003</v>
      </c>
      <c r="I214" s="8">
        <f>IFERROR(H214/H444, "NA")</f>
        <v>-0.26212682270912335</v>
      </c>
      <c r="J214" s="9"/>
      <c r="K214" s="7">
        <v>3175</v>
      </c>
      <c r="L214" s="8">
        <f>IFERROR(K214/K444, "NA")</f>
        <v>5.4340024823892538E-3</v>
      </c>
      <c r="M214" s="9"/>
      <c r="N214" s="10">
        <f t="shared" si="57"/>
        <v>-17769.730000000003</v>
      </c>
      <c r="O214" s="8">
        <f>IFERROR(N214/N444, "NA")</f>
        <v>-0.11029347323334729</v>
      </c>
      <c r="P214" s="9"/>
      <c r="Q214" s="7">
        <v>49209.51</v>
      </c>
      <c r="R214" s="8">
        <f>IFERROR(Q214/Q444, "NA")</f>
        <v>2.9660469887277278E-2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-49209.51</v>
      </c>
      <c r="X214" s="8">
        <f>IFERROR(W214/W444, "NA")</f>
        <v>-0.31237094574689173</v>
      </c>
      <c r="Y214" s="9"/>
      <c r="Z214" s="7">
        <v>6556</v>
      </c>
      <c r="AA214" s="8">
        <f>IFERROR(Z214/Z444, "NA")</f>
        <v>4.8233362247110242E-3</v>
      </c>
      <c r="AB214" s="9"/>
      <c r="AC214" s="10">
        <f t="shared" si="59"/>
        <v>-42653.51</v>
      </c>
      <c r="AD214" s="8">
        <f>IFERROR(AC214/AC444, "NA")</f>
        <v>-0.14224052103300733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13.82</v>
      </c>
      <c r="C216" s="8">
        <f>IFERROR(B216/B444, "NA")</f>
        <v>1.8540454876778888E-5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-13.82</v>
      </c>
      <c r="I216" s="8">
        <f>IFERROR(H216/H444, "NA")</f>
        <v>-1.7295962706800633E-4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-13.82</v>
      </c>
      <c r="O216" s="8">
        <f>IFERROR(N216/N444, "NA")</f>
        <v>-8.5778219482505322E-5</v>
      </c>
      <c r="P216" s="9"/>
      <c r="Q216" s="7">
        <v>15.92</v>
      </c>
      <c r="R216" s="8">
        <f>IFERROR(Q216/Q444, "NA")</f>
        <v>9.5955980989336054E-6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-15.92</v>
      </c>
      <c r="X216" s="8">
        <f>IFERROR(W216/W444, "NA")</f>
        <v>-1.010565936602603E-4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-15.92</v>
      </c>
      <c r="AD216" s="8">
        <f>IFERROR(AC216/AC444, "NA")</f>
        <v>-5.308986516808292E-5</v>
      </c>
    </row>
    <row r="217" spans="1:30" ht="16.5" customHeight="1" x14ac:dyDescent="0.45">
      <c r="A217" s="12" t="s">
        <v>197</v>
      </c>
      <c r="B217" s="7">
        <v>23061.289999999997</v>
      </c>
      <c r="C217" s="8">
        <f>IFERROR(B217/B444, "NA")</f>
        <v>3.0938263867244006E-2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-23061.289999999997</v>
      </c>
      <c r="I217" s="8">
        <f>IFERROR(H217/H444, "NA")</f>
        <v>-0.28861592750413484</v>
      </c>
      <c r="J217" s="9"/>
      <c r="K217" s="7">
        <v>1102.5</v>
      </c>
      <c r="L217" s="8">
        <f>IFERROR(K217/K444, "NA")</f>
        <v>1.8869252714438275E-3</v>
      </c>
      <c r="M217" s="9"/>
      <c r="N217" s="10">
        <f t="shared" si="57"/>
        <v>-21958.789999999997</v>
      </c>
      <c r="O217" s="8">
        <f>IFERROR(N217/N444, "NA")</f>
        <v>-0.13629420464473538</v>
      </c>
      <c r="P217" s="9"/>
      <c r="Q217" s="7">
        <v>49613.159999999996</v>
      </c>
      <c r="R217" s="8">
        <f>IFERROR(Q217/Q444, "NA")</f>
        <v>2.9903765312694019E-2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-49613.159999999996</v>
      </c>
      <c r="X217" s="8">
        <f>IFERROR(W217/W444, "NA")</f>
        <v>-0.31493322552270603</v>
      </c>
      <c r="Y217" s="9"/>
      <c r="Z217" s="7">
        <v>3764.2800000000007</v>
      </c>
      <c r="AA217" s="8">
        <f>IFERROR(Z217/Z444, "NA")</f>
        <v>2.7694307632634562E-3</v>
      </c>
      <c r="AB217" s="9"/>
      <c r="AC217" s="10">
        <f t="shared" si="59"/>
        <v>-45848.88</v>
      </c>
      <c r="AD217" s="8">
        <f>IFERROR(AC217/AC444, "NA")</f>
        <v>-0.15289641063490034</v>
      </c>
    </row>
    <row r="218" spans="1:30" ht="16.5" customHeight="1" x14ac:dyDescent="0.45">
      <c r="A218" s="13" t="s">
        <v>198</v>
      </c>
      <c r="B218" s="14">
        <f>IFERROR(B213+B214+B215+B216+B217, "NA")</f>
        <v>44019.839999999997</v>
      </c>
      <c r="C218" s="15">
        <f>IFERROR(B218/B444, "NA")</f>
        <v>5.9055561302679187E-2</v>
      </c>
      <c r="D218" s="2"/>
      <c r="E218" s="14">
        <f>IFERROR(E213+E214+E215+E216+E217, "NA")</f>
        <v>22845.78</v>
      </c>
      <c r="F218" s="15">
        <f>IFERROR(E218/E444, "NA")</f>
        <v>3.4329055323249424E-2</v>
      </c>
      <c r="G218" s="2"/>
      <c r="H218" s="14">
        <f t="shared" si="56"/>
        <v>-21174.059999999998</v>
      </c>
      <c r="I218" s="15">
        <f>IFERROR(H218/H444, "NA")</f>
        <v>-0.26499692627464472</v>
      </c>
      <c r="J218" s="2"/>
      <c r="K218" s="14">
        <f>IFERROR(K213+K214+K215+K216+K217, "NA")</f>
        <v>4277.5</v>
      </c>
      <c r="L218" s="15">
        <f>IFERROR(K218/K444, "NA")</f>
        <v>7.3209277538330815E-3</v>
      </c>
      <c r="M218" s="2"/>
      <c r="N218" s="14">
        <f t="shared" si="57"/>
        <v>-39742.339999999997</v>
      </c>
      <c r="O218" s="15">
        <f>IFERROR(N218/N444, "NA")</f>
        <v>-0.24667345609756514</v>
      </c>
      <c r="P218" s="2"/>
      <c r="Q218" s="14">
        <f>IFERROR(Q213+Q214+Q215+Q216+Q217, "NA")</f>
        <v>98838.59</v>
      </c>
      <c r="R218" s="15">
        <f>IFERROR(Q218/Q444, "NA")</f>
        <v>5.9573830798070229E-2</v>
      </c>
      <c r="S218" s="2"/>
      <c r="T218" s="14">
        <f>IFERROR(T213+T214+T215+T216+T217, "NA")</f>
        <v>53141.5</v>
      </c>
      <c r="U218" s="15">
        <f>IFERROR(T218/T444, "NA")</f>
        <v>3.5390893404965304E-2</v>
      </c>
      <c r="V218" s="2"/>
      <c r="W218" s="14">
        <f t="shared" si="58"/>
        <v>-45697.09</v>
      </c>
      <c r="X218" s="15">
        <f>IFERROR(W218/W444, "NA")</f>
        <v>-0.29007489042627793</v>
      </c>
      <c r="Y218" s="2"/>
      <c r="Z218" s="14">
        <f>IFERROR(Z213+Z214+Z215+Z216+Z217, "NA")</f>
        <v>10320.280000000001</v>
      </c>
      <c r="AA218" s="15">
        <f>IFERROR(Z218/Z444, "NA")</f>
        <v>7.5927669879744808E-3</v>
      </c>
      <c r="AB218" s="2"/>
      <c r="AC218" s="14">
        <f t="shared" si="59"/>
        <v>-88518.31</v>
      </c>
      <c r="AD218" s="15">
        <f>IFERROR(AC218/AC444, "NA")</f>
        <v>-0.29519002153307577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1721.6200000000001</v>
      </c>
      <c r="C222" s="8">
        <f>IFERROR(B222/B444, "NA")</f>
        <v>2.3096684460897302E-3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-1721.6200000000001</v>
      </c>
      <c r="I222" s="8">
        <f>IFERROR(H222/H444, "NA")</f>
        <v>-2.1546364193402397E-2</v>
      </c>
      <c r="J222" s="9"/>
      <c r="K222" s="7">
        <v>300</v>
      </c>
      <c r="L222" s="8">
        <f>IFERROR(K222/K444, "NA")</f>
        <v>5.1344905345410271E-4</v>
      </c>
      <c r="M222" s="9"/>
      <c r="N222" s="10">
        <f t="shared" si="57"/>
        <v>-1421.6200000000001</v>
      </c>
      <c r="O222" s="8">
        <f>IFERROR(N222/N444, "NA")</f>
        <v>-8.8237360622806967E-3</v>
      </c>
      <c r="P222" s="9"/>
      <c r="Q222" s="7">
        <v>3238.6499999999996</v>
      </c>
      <c r="R222" s="8">
        <f>IFERROR(Q222/Q444, "NA")</f>
        <v>1.9520592828587511E-3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-3238.6499999999996</v>
      </c>
      <c r="X222" s="8">
        <f>IFERROR(W222/W444, "NA")</f>
        <v>-2.0558224689560426E-2</v>
      </c>
      <c r="Y222" s="9"/>
      <c r="Z222" s="7">
        <v>1100</v>
      </c>
      <c r="AA222" s="8">
        <f>IFERROR(Z222/Z444, "NA")</f>
        <v>8.0928460146158124E-4</v>
      </c>
      <c r="AB222" s="9"/>
      <c r="AC222" s="10">
        <f t="shared" si="59"/>
        <v>-2138.6499999999996</v>
      </c>
      <c r="AD222" s="8">
        <f>IFERROR(AC222/AC444, "NA")</f>
        <v>-7.1319497576457615E-3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665.49</v>
      </c>
      <c r="F226" s="8">
        <f>IFERROR(E226/E444, "NA")</f>
        <v>9.9999400445374416E-4</v>
      </c>
      <c r="G226" s="9"/>
      <c r="H226" s="10">
        <f t="shared" si="56"/>
        <v>665.49</v>
      </c>
      <c r="I226" s="8">
        <f>IFERROR(H226/H444, "NA")</f>
        <v>8.328719407922399E-3</v>
      </c>
      <c r="J226" s="9"/>
      <c r="K226" s="7">
        <v>1221.6999999999998</v>
      </c>
      <c r="L226" s="8">
        <f>IFERROR(K226/K444, "NA")</f>
        <v>2.0909356953495908E-3</v>
      </c>
      <c r="M226" s="9"/>
      <c r="N226" s="10">
        <f t="shared" si="57"/>
        <v>1221.6999999999998</v>
      </c>
      <c r="O226" s="8">
        <f>IFERROR(N226/N444, "NA")</f>
        <v>7.5828690840648869E-3</v>
      </c>
      <c r="P226" s="9"/>
      <c r="Q226" s="7">
        <v>0</v>
      </c>
      <c r="R226" s="8">
        <f>IFERROR(Q226/Q444, "NA")</f>
        <v>0</v>
      </c>
      <c r="S226" s="9"/>
      <c r="T226" s="7">
        <v>1501.56</v>
      </c>
      <c r="U226" s="8">
        <f>IFERROR(T226/T444, "NA")</f>
        <v>1.0000009390242974E-3</v>
      </c>
      <c r="V226" s="9"/>
      <c r="W226" s="10">
        <f t="shared" si="58"/>
        <v>1501.56</v>
      </c>
      <c r="X226" s="8">
        <f>IFERROR(W226/W444, "NA")</f>
        <v>9.5315665060615867E-3</v>
      </c>
      <c r="Y226" s="9"/>
      <c r="Z226" s="7">
        <v>3402.58</v>
      </c>
      <c r="AA226" s="8">
        <f>IFERROR(Z226/Z444, "NA")</f>
        <v>2.5033232720374065E-3</v>
      </c>
      <c r="AB226" s="9"/>
      <c r="AC226" s="10">
        <f t="shared" si="59"/>
        <v>3402.58</v>
      </c>
      <c r="AD226" s="8">
        <f>IFERROR(AC226/AC444, "NA")</f>
        <v>1.1346891546709521E-2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45741.46</v>
      </c>
      <c r="C227" s="15">
        <f>IFERROR(B227/B444, "NA")</f>
        <v>6.1365229748768915E-2</v>
      </c>
      <c r="D227" s="2"/>
      <c r="E227" s="14">
        <f>IFERROR(E211+E213+E214+E215+E216+E217+E219+E220+E221+E222+E223+E224+E225+E226, "NA")</f>
        <v>23511.27</v>
      </c>
      <c r="F227" s="15">
        <f>IFERROR(E227/E444, "NA")</f>
        <v>3.5329049327703171E-2</v>
      </c>
      <c r="G227" s="2"/>
      <c r="H227" s="14">
        <f t="shared" si="56"/>
        <v>-22230.19</v>
      </c>
      <c r="I227" s="15">
        <f>IFERROR(H227/H444, "NA")</f>
        <v>-0.2782145710601247</v>
      </c>
      <c r="J227" s="2"/>
      <c r="K227" s="14">
        <f>IFERROR(K211+K213+K214+K215+K216+K217+K219+K220+K221+K222+K223+K224+K225+K226, "NA")</f>
        <v>5799.2</v>
      </c>
      <c r="L227" s="15">
        <f>IFERROR(K227/K444, "NA")</f>
        <v>9.9253125026367746E-3</v>
      </c>
      <c r="M227" s="2"/>
      <c r="N227" s="14">
        <f t="shared" si="57"/>
        <v>-39942.26</v>
      </c>
      <c r="O227" s="15">
        <f>IFERROR(N227/N444, "NA")</f>
        <v>-0.24791432307578098</v>
      </c>
      <c r="P227" s="2"/>
      <c r="Q227" s="14">
        <f>IFERROR(Q211+Q213+Q214+Q215+Q216+Q217+Q219+Q220+Q221+Q222+Q223+Q224+Q225+Q226, "NA")</f>
        <v>102077.23999999999</v>
      </c>
      <c r="R227" s="15">
        <f>IFERROR(Q227/Q444, "NA")</f>
        <v>6.1525890080928979E-2</v>
      </c>
      <c r="S227" s="2"/>
      <c r="T227" s="14">
        <f>IFERROR(T211+T213+T214+T215+T216+T217+T219+T220+T221+T222+T223+T224+T225+T226, "NA")</f>
        <v>54643.06</v>
      </c>
      <c r="U227" s="15">
        <f>IFERROR(T227/T444, "NA")</f>
        <v>3.6390894343989601E-2</v>
      </c>
      <c r="V227" s="2"/>
      <c r="W227" s="14">
        <f t="shared" si="58"/>
        <v>-47434.179999999993</v>
      </c>
      <c r="X227" s="15">
        <f>IFERROR(W227/W444, "NA")</f>
        <v>-0.30110154860977673</v>
      </c>
      <c r="Y227" s="2"/>
      <c r="Z227" s="14">
        <f>IFERROR(Z211+Z213+Z214+Z215+Z216+Z217+Z219+Z220+Z221+Z222+Z223+Z224+Z225+Z226, "NA")</f>
        <v>14822.86</v>
      </c>
      <c r="AA227" s="15">
        <f>IFERROR(Z227/Z444, "NA")</f>
        <v>1.0905374861473468E-2</v>
      </c>
      <c r="AB227" s="2"/>
      <c r="AC227" s="14">
        <f t="shared" si="59"/>
        <v>-87254.37999999999</v>
      </c>
      <c r="AD227" s="15">
        <f>IFERROR(AC227/AC444, "NA")</f>
        <v>-0.29097507974401199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11404.52</v>
      </c>
      <c r="F229" s="8">
        <f>IFERROR(E229/E444, "NA")</f>
        <v>1.7136924106557296E-2</v>
      </c>
      <c r="G229" s="9"/>
      <c r="H229" s="10">
        <f t="shared" ref="H229:H236" si="60">IFERROR(-(B229-E229), "NA")</f>
        <v>11404.52</v>
      </c>
      <c r="I229" s="8">
        <f>IFERROR(H229/H444, "NA")</f>
        <v>0.14272948813962516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26044.950000000004</v>
      </c>
      <c r="U229" s="8">
        <f>IFERROR(T229/T444, "NA")</f>
        <v>1.7345277216255679E-2</v>
      </c>
      <c r="V229" s="9"/>
      <c r="W229" s="10">
        <f t="shared" ref="W229:W236" si="62">IFERROR(-(Q229-T229), "NA")</f>
        <v>26044.950000000004</v>
      </c>
      <c r="X229" s="8">
        <f>IFERROR(W229/W444, "NA")</f>
        <v>0.16532750810626867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83.95</v>
      </c>
      <c r="C230" s="8">
        <f>IFERROR(B230/B444, "NA")</f>
        <v>1.1262454319143181E-4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-83.95</v>
      </c>
      <c r="I230" s="8">
        <f>IFERROR(H230/H444, "NA")</f>
        <v>-1.0506483858436421E-3</v>
      </c>
      <c r="J230" s="9"/>
      <c r="K230" s="7">
        <v>100</v>
      </c>
      <c r="L230" s="8">
        <f>IFERROR(K230/K444, "NA")</f>
        <v>1.711496844847009E-4</v>
      </c>
      <c r="M230" s="9"/>
      <c r="N230" s="10">
        <f t="shared" si="61"/>
        <v>16.049999999999997</v>
      </c>
      <c r="O230" s="8">
        <f>IFERROR(N230/N444, "NA")</f>
        <v>9.9619422770926932E-5</v>
      </c>
      <c r="P230" s="9"/>
      <c r="Q230" s="7">
        <v>83.95</v>
      </c>
      <c r="R230" s="8">
        <f>IFERROR(Q230/Q444, "NA")</f>
        <v>5.0599903291801269E-5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-5.3289579383032995E-4</v>
      </c>
      <c r="Y230" s="9"/>
      <c r="Z230" s="7">
        <v>532.33999999999992</v>
      </c>
      <c r="AA230" s="8">
        <f>IFERROR(Z230/Z444, "NA")</f>
        <v>3.9164960431096194E-4</v>
      </c>
      <c r="AB230" s="9"/>
      <c r="AC230" s="10">
        <f t="shared" si="63"/>
        <v>448.38999999999993</v>
      </c>
      <c r="AD230" s="8">
        <f>IFERROR(AC230/AC444, "NA")</f>
        <v>1.4952867237887372E-3</v>
      </c>
    </row>
    <row r="231" spans="1:30" ht="16.5" customHeight="1" x14ac:dyDescent="0.45">
      <c r="A231" s="6" t="s">
        <v>210</v>
      </c>
      <c r="B231" s="7">
        <v>1392.9099999999999</v>
      </c>
      <c r="C231" s="8">
        <f>IFERROR(B231/B444, "NA")</f>
        <v>1.868681982808544E-3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-1392.9099999999999</v>
      </c>
      <c r="I231" s="8">
        <f>IFERROR(H231/H444, "NA")</f>
        <v>-1.7432503193870963E-2</v>
      </c>
      <c r="J231" s="9"/>
      <c r="K231" s="7">
        <v>2582.2800000000002</v>
      </c>
      <c r="L231" s="8">
        <f>IFERROR(K231/K444, "NA")</f>
        <v>4.4195640725115349E-3</v>
      </c>
      <c r="M231" s="9"/>
      <c r="N231" s="10">
        <f t="shared" si="61"/>
        <v>1189.3700000000003</v>
      </c>
      <c r="O231" s="8">
        <f>IFERROR(N231/N444, "NA")</f>
        <v>7.3822026704708672E-3</v>
      </c>
      <c r="P231" s="9"/>
      <c r="Q231" s="7">
        <v>3346.3</v>
      </c>
      <c r="R231" s="8">
        <f>IFERROR(Q231/Q444, "NA")</f>
        <v>2.0169440903556237E-3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-3346.3</v>
      </c>
      <c r="X231" s="8">
        <f>IFERROR(W231/W444, "NA")</f>
        <v>-2.1241562774204088E-2</v>
      </c>
      <c r="Y231" s="9"/>
      <c r="Z231" s="7">
        <v>3589.2</v>
      </c>
      <c r="AA231" s="8">
        <f>IFERROR(Z231/Z444, "NA")</f>
        <v>2.6406220832417338E-3</v>
      </c>
      <c r="AB231" s="9"/>
      <c r="AC231" s="10">
        <f t="shared" si="63"/>
        <v>242.89999999999964</v>
      </c>
      <c r="AD231" s="8">
        <f>IFERROR(AC231/AC444, "NA")</f>
        <v>8.1002061867633927E-4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17</v>
      </c>
      <c r="L233" s="8">
        <f>IFERROR(K233/K444, "NA")</f>
        <v>2.9095446362399155E-5</v>
      </c>
      <c r="M233" s="9"/>
      <c r="N233" s="10">
        <f t="shared" si="61"/>
        <v>17</v>
      </c>
      <c r="O233" s="8">
        <f>IFERROR(N233/N444, "NA")</f>
        <v>1.0551589950814692E-4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34</v>
      </c>
      <c r="AA233" s="8">
        <f>IFERROR(Z233/Z444, "NA")</f>
        <v>2.501425131790342E-5</v>
      </c>
      <c r="AB233" s="9"/>
      <c r="AC233" s="10">
        <f t="shared" si="63"/>
        <v>34</v>
      </c>
      <c r="AD233" s="8">
        <f>IFERROR(AC233/AC444, "NA")</f>
        <v>1.1338287787153387E-4</v>
      </c>
    </row>
    <row r="234" spans="1:30" ht="16.5" customHeight="1" x14ac:dyDescent="0.45">
      <c r="A234" s="6" t="s">
        <v>213</v>
      </c>
      <c r="B234" s="7">
        <v>10932.949999999999</v>
      </c>
      <c r="C234" s="8">
        <f>IFERROR(B234/B444, "NA")</f>
        <v>1.4667284091539778E-2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-10932.949999999999</v>
      </c>
      <c r="I234" s="8">
        <f>IFERROR(H234/H444, "NA")</f>
        <v>-0.13682771018474382</v>
      </c>
      <c r="J234" s="9"/>
      <c r="K234" s="7">
        <v>8193.010000000002</v>
      </c>
      <c r="L234" s="8">
        <f>IFERROR(K234/K444, "NA")</f>
        <v>1.4022310764799997E-2</v>
      </c>
      <c r="M234" s="9"/>
      <c r="N234" s="10">
        <f t="shared" si="61"/>
        <v>-2739.9399999999969</v>
      </c>
      <c r="O234" s="8">
        <f>IFERROR(N234/N444, "NA")</f>
        <v>-1.7006307864608928E-2</v>
      </c>
      <c r="P234" s="9"/>
      <c r="Q234" s="7">
        <v>26030.45</v>
      </c>
      <c r="R234" s="8">
        <f>IFERROR(Q234/Q444, "NA")</f>
        <v>1.5689556314974012E-2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-26030.45</v>
      </c>
      <c r="X234" s="8">
        <f>IFERROR(W234/W444, "NA")</f>
        <v>-0.1652354653545052</v>
      </c>
      <c r="Y234" s="9"/>
      <c r="Z234" s="7">
        <v>20704.710000000003</v>
      </c>
      <c r="AA234" s="8">
        <f>IFERROR(Z234/Z444, "NA")</f>
        <v>1.5232729982479654E-2</v>
      </c>
      <c r="AB234" s="9"/>
      <c r="AC234" s="10">
        <f t="shared" si="63"/>
        <v>-5325.739999999998</v>
      </c>
      <c r="AD234" s="8">
        <f>IFERROR(AC234/AC444, "NA")</f>
        <v>-1.7760227293986547E-2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12409.81</v>
      </c>
      <c r="C236" s="15">
        <f>IFERROR(B236/B444, "NA")</f>
        <v>1.6648590617539753E-2</v>
      </c>
      <c r="D236" s="2"/>
      <c r="E236" s="14">
        <f>IFERROR(E229+E230+E231+E232+E233+E234+E235, "NA")</f>
        <v>11404.52</v>
      </c>
      <c r="F236" s="15">
        <f>IFERROR(E236/E444, "NA")</f>
        <v>1.7136924106557296E-2</v>
      </c>
      <c r="G236" s="2"/>
      <c r="H236" s="14">
        <f t="shared" si="60"/>
        <v>-1005.2899999999991</v>
      </c>
      <c r="I236" s="15">
        <f>IFERROR(H236/H444, "NA")</f>
        <v>-1.258137362483328E-2</v>
      </c>
      <c r="J236" s="2"/>
      <c r="K236" s="14">
        <f>IFERROR(K229+K230+K231+K232+K233+K234+K235, "NA")</f>
        <v>10892.290000000003</v>
      </c>
      <c r="L236" s="15">
        <f>IFERROR(K236/K444, "NA")</f>
        <v>1.8642119968158632E-2</v>
      </c>
      <c r="M236" s="2"/>
      <c r="N236" s="14">
        <f t="shared" si="61"/>
        <v>-1517.5199999999968</v>
      </c>
      <c r="O236" s="15">
        <f>IFERROR(N236/N444, "NA")</f>
        <v>-9.418969871858987E-3</v>
      </c>
      <c r="P236" s="2"/>
      <c r="Q236" s="14">
        <f>IFERROR(Q229+Q230+Q231+Q232+Q233+Q234+Q235, "NA")</f>
        <v>29460.7</v>
      </c>
      <c r="R236" s="15">
        <f>IFERROR(Q236/Q444, "NA")</f>
        <v>1.7757100308621439E-2</v>
      </c>
      <c r="S236" s="2"/>
      <c r="T236" s="14">
        <f>IFERROR(T229+T230+T231+T232+T233+T234+T235, "NA")</f>
        <v>26044.950000000004</v>
      </c>
      <c r="U236" s="15">
        <f>IFERROR(T236/T444, "NA")</f>
        <v>1.7345277216255679E-2</v>
      </c>
      <c r="V236" s="2"/>
      <c r="W236" s="14">
        <f t="shared" si="62"/>
        <v>-3415.7499999999964</v>
      </c>
      <c r="X236" s="15">
        <f>IFERROR(W236/W444, "NA")</f>
        <v>-2.1682415816270964E-2</v>
      </c>
      <c r="Y236" s="2"/>
      <c r="Z236" s="14">
        <f>IFERROR(Z229+Z230+Z231+Z232+Z233+Z234+Z235, "NA")</f>
        <v>24860.250000000004</v>
      </c>
      <c r="AA236" s="15">
        <f>IFERROR(Z236/Z444, "NA")</f>
        <v>1.8290015921350253E-2</v>
      </c>
      <c r="AB236" s="2"/>
      <c r="AC236" s="14">
        <f t="shared" si="63"/>
        <v>-4600.4499999999971</v>
      </c>
      <c r="AD236" s="15">
        <f>IFERROR(AC236/AC444, "NA")</f>
        <v>-1.5341537073649932E-2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42618.920000000006</v>
      </c>
      <c r="F240" s="8">
        <f>IFERROR(E240/E444, "NA")</f>
        <v>6.4041029130856617E-2</v>
      </c>
      <c r="G240" s="9"/>
      <c r="H240" s="10">
        <f t="shared" ref="H240:H263" si="64">IFERROR(-(B240-E240), "NA")</f>
        <v>42618.920000000006</v>
      </c>
      <c r="I240" s="8">
        <f>IFERROR(H240/H444, "NA")</f>
        <v>0.53338296014769881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97453.180000000008</v>
      </c>
      <c r="U240" s="8">
        <f>IFERROR(T240/T444, "NA")</f>
        <v>6.4901350269655475E-2</v>
      </c>
      <c r="V240" s="9"/>
      <c r="W240" s="10">
        <f t="shared" ref="W240:W263" si="66">IFERROR(-(Q240-T240), "NA")</f>
        <v>97453.180000000008</v>
      </c>
      <c r="X240" s="8">
        <f>IFERROR(W240/W444, "NA")</f>
        <v>0.61861095553770151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101.95</v>
      </c>
      <c r="C241" s="8">
        <f>IFERROR(B241/B444, "NA")</f>
        <v>1.3677274780662864E-4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-101.95</v>
      </c>
      <c r="I241" s="8">
        <f>IFERROR(H241/H444, "NA")</f>
        <v>-1.275921416757109E-3</v>
      </c>
      <c r="J241" s="9"/>
      <c r="K241" s="7">
        <v>47.41</v>
      </c>
      <c r="L241" s="8">
        <f>IFERROR(K241/K444, "NA")</f>
        <v>8.11420654141967E-5</v>
      </c>
      <c r="M241" s="9"/>
      <c r="N241" s="10">
        <f t="shared" si="65"/>
        <v>-54.540000000000006</v>
      </c>
      <c r="O241" s="8">
        <f>IFERROR(N241/N444, "NA")</f>
        <v>-3.3851983289260787E-4</v>
      </c>
      <c r="P241" s="9"/>
      <c r="Q241" s="7">
        <v>561.48</v>
      </c>
      <c r="R241" s="8">
        <f>IFERROR(Q241/Q444, "NA")</f>
        <v>3.3842565455962569E-4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-561.48</v>
      </c>
      <c r="X241" s="8">
        <f>IFERROR(W241/W444, "NA")</f>
        <v>-3.5641492593192813E-3</v>
      </c>
      <c r="Y241" s="9"/>
      <c r="Z241" s="7">
        <v>242.23</v>
      </c>
      <c r="AA241" s="8">
        <f>IFERROR(Z241/Z444, "NA")</f>
        <v>1.7821182637458075E-4</v>
      </c>
      <c r="AB241" s="9"/>
      <c r="AC241" s="10">
        <f t="shared" si="67"/>
        <v>-319.25</v>
      </c>
      <c r="AD241" s="8">
        <f>IFERROR(AC241/AC444, "NA")</f>
        <v>-1.0646318753084467E-3</v>
      </c>
    </row>
    <row r="242" spans="1:30" ht="16.5" customHeight="1" x14ac:dyDescent="0.45">
      <c r="A242" s="12" t="s">
        <v>219</v>
      </c>
      <c r="B242" s="7">
        <v>8317.8499999999985</v>
      </c>
      <c r="C242" s="8">
        <f>IFERROR(B242/B444, "NA")</f>
        <v>1.11589524310286E-2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-8317.8499999999985</v>
      </c>
      <c r="I242" s="8">
        <f>IFERROR(H242/H444, "NA")</f>
        <v>-0.1040992933435323</v>
      </c>
      <c r="J242" s="9"/>
      <c r="K242" s="7">
        <v>6725.68</v>
      </c>
      <c r="L242" s="8">
        <f>IFERROR(K242/K444, "NA")</f>
        <v>1.1510980099450632E-2</v>
      </c>
      <c r="M242" s="9"/>
      <c r="N242" s="10">
        <f t="shared" si="65"/>
        <v>-1592.1699999999983</v>
      </c>
      <c r="O242" s="8">
        <f>IFERROR(N242/N444, "NA")</f>
        <v>-9.8823088070521242E-3</v>
      </c>
      <c r="P242" s="9"/>
      <c r="Q242" s="7">
        <v>20669.05</v>
      </c>
      <c r="R242" s="8">
        <f>IFERROR(Q242/Q444, "NA")</f>
        <v>1.2458033724042942E-2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-20669.05</v>
      </c>
      <c r="X242" s="8">
        <f>IFERROR(W242/W444, "NA")</f>
        <v>-0.13120249919557808</v>
      </c>
      <c r="Y242" s="9"/>
      <c r="Z242" s="7">
        <v>15319.24</v>
      </c>
      <c r="AA242" s="8">
        <f>IFERROR(Z242/Z444, "NA")</f>
        <v>1.1270568216449376E-2</v>
      </c>
      <c r="AB242" s="9"/>
      <c r="AC242" s="10">
        <f t="shared" si="67"/>
        <v>-5349.8099999999995</v>
      </c>
      <c r="AD242" s="8">
        <f>IFERROR(AC242/AC444, "NA")</f>
        <v>-1.7840495701938547E-2</v>
      </c>
    </row>
    <row r="243" spans="1:30" ht="16.5" customHeight="1" x14ac:dyDescent="0.45">
      <c r="A243" s="12" t="s">
        <v>220</v>
      </c>
      <c r="B243" s="7">
        <v>17974.169999999998</v>
      </c>
      <c r="C243" s="8">
        <f>IFERROR(B243/B444, "NA")</f>
        <v>2.4113551941574007E-2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-17974.169999999998</v>
      </c>
      <c r="I243" s="8">
        <f>IFERROR(H243/H444, "NA")</f>
        <v>-0.22494976411410617</v>
      </c>
      <c r="J243" s="9"/>
      <c r="K243" s="7">
        <v>15231.5</v>
      </c>
      <c r="L243" s="8">
        <f>IFERROR(K243/K444, "NA")</f>
        <v>2.6068664192287219E-2</v>
      </c>
      <c r="M243" s="9"/>
      <c r="N243" s="10">
        <f t="shared" si="65"/>
        <v>-2742.6699999999983</v>
      </c>
      <c r="O243" s="8">
        <f>IFERROR(N243/N444, "NA")</f>
        <v>-1.702325247670642E-2</v>
      </c>
      <c r="P243" s="9"/>
      <c r="Q243" s="7">
        <v>45382.51</v>
      </c>
      <c r="R243" s="8">
        <f>IFERROR(Q243/Q444, "NA")</f>
        <v>2.7353789364374079E-2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-45382.51</v>
      </c>
      <c r="X243" s="8">
        <f>IFERROR(W243/W444, "NA")</f>
        <v>-0.28807800705733039</v>
      </c>
      <c r="Y243" s="9"/>
      <c r="Z243" s="7">
        <v>37926.840000000004</v>
      </c>
      <c r="AA243" s="8">
        <f>IFERROR(Z243/Z444, "NA")</f>
        <v>2.7903279630997421E-2</v>
      </c>
      <c r="AB243" s="9"/>
      <c r="AC243" s="10">
        <f t="shared" si="67"/>
        <v>-7455.6699999999983</v>
      </c>
      <c r="AD243" s="8">
        <f>IFERROR(AC243/AC444, "NA")</f>
        <v>-2.4863097678248788E-2</v>
      </c>
    </row>
    <row r="244" spans="1:30" ht="16.5" customHeight="1" x14ac:dyDescent="0.45">
      <c r="A244" s="12" t="s">
        <v>221</v>
      </c>
      <c r="B244" s="7">
        <v>559.58000000000004</v>
      </c>
      <c r="C244" s="8">
        <f>IFERROR(B244/B444, "NA")</f>
        <v>7.5071401880954635E-4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-559.58000000000004</v>
      </c>
      <c r="I244" s="8">
        <f>IFERROR(H244/H444, "NA")</f>
        <v>-7.0032379243643271E-3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-559.58000000000004</v>
      </c>
      <c r="O244" s="8">
        <f>IFERROR(N244/N444, "NA")</f>
        <v>-3.4732110027511096E-3</v>
      </c>
      <c r="P244" s="9"/>
      <c r="Q244" s="7">
        <v>1296.83</v>
      </c>
      <c r="R244" s="8">
        <f>IFERROR(Q244/Q444, "NA")</f>
        <v>7.8164946498995391E-4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-1296.83</v>
      </c>
      <c r="X244" s="8">
        <f>IFERROR(W244/W444, "NA")</f>
        <v>-8.2319863289218188E-3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-1296.83</v>
      </c>
      <c r="AD244" s="8">
        <f>IFERROR(AC244/AC444, "NA")</f>
        <v>-4.3246563973570957E-3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2522.94</v>
      </c>
      <c r="C246" s="8">
        <f>IFERROR(B246/B444, "NA")</f>
        <v>3.3846928528813696E-3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-2522.94</v>
      </c>
      <c r="I246" s="8">
        <f>IFERROR(H246/H444, "NA")</f>
        <v>-3.1575018922934579E-2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-2522.94</v>
      </c>
      <c r="O246" s="8">
        <f>IFERROR(N246/N444, "NA")</f>
        <v>-1.5659428441475543E-2</v>
      </c>
      <c r="P246" s="9"/>
      <c r="Q246" s="7">
        <v>5630.42</v>
      </c>
      <c r="R246" s="8">
        <f>IFERROR(Q246/Q444, "NA")</f>
        <v>3.3936713221229746E-3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-5630.42</v>
      </c>
      <c r="X246" s="8">
        <f>IFERROR(W246/W444, "NA")</f>
        <v>-3.5740644854057965E-2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-5630.42</v>
      </c>
      <c r="AD246" s="8">
        <f>IFERROR(AC246/AC444, "NA")</f>
        <v>-1.8776271271336523E-2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62.769999999999996</v>
      </c>
      <c r="L247" s="8">
        <f>IFERROR(K247/K444, "NA")</f>
        <v>1.0743065695104675E-4</v>
      </c>
      <c r="M247" s="9"/>
      <c r="N247" s="10">
        <f t="shared" si="65"/>
        <v>62.769999999999996</v>
      </c>
      <c r="O247" s="8">
        <f>IFERROR(N247/N444, "NA")</f>
        <v>3.8960194188978719E-4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192.01999999999998</v>
      </c>
      <c r="AA247" s="8">
        <f>IFERROR(Z247/Z444, "NA")</f>
        <v>1.4127166288422984E-4</v>
      </c>
      <c r="AB247" s="9"/>
      <c r="AC247" s="10">
        <f t="shared" si="67"/>
        <v>192.01999999999998</v>
      </c>
      <c r="AD247" s="8">
        <f>IFERROR(AC247/AC444, "NA")</f>
        <v>6.4034647673211567E-4</v>
      </c>
    </row>
    <row r="248" spans="1:30" ht="16.5" customHeight="1" x14ac:dyDescent="0.45">
      <c r="A248" s="12" t="s">
        <v>225</v>
      </c>
      <c r="B248" s="7">
        <v>1437.67</v>
      </c>
      <c r="C248" s="8">
        <f>IFERROR(B248/B444, "NA")</f>
        <v>1.9287305182850004E-3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-1437.67</v>
      </c>
      <c r="I248" s="8">
        <f>IFERROR(H248/H444, "NA")</f>
        <v>-1.7992682130742451E-2</v>
      </c>
      <c r="J248" s="9"/>
      <c r="K248" s="7">
        <v>2392.87</v>
      </c>
      <c r="L248" s="8">
        <f>IFERROR(K248/K444, "NA")</f>
        <v>4.0953894551290625E-3</v>
      </c>
      <c r="M248" s="9"/>
      <c r="N248" s="10">
        <f t="shared" si="65"/>
        <v>955.19999999999982</v>
      </c>
      <c r="O248" s="8">
        <f>IFERROR(N248/N444, "NA")</f>
        <v>5.928752188834231E-3</v>
      </c>
      <c r="P248" s="9"/>
      <c r="Q248" s="7">
        <v>3616.16</v>
      </c>
      <c r="R248" s="8">
        <f>IFERROR(Q248/Q444, "NA")</f>
        <v>2.1795991219497328E-3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-3616.16</v>
      </c>
      <c r="X248" s="8">
        <f>IFERROR(W248/W444, "NA")</f>
        <v>-2.2954573601161238E-2</v>
      </c>
      <c r="Y248" s="9"/>
      <c r="Z248" s="7">
        <v>3169.88</v>
      </c>
      <c r="AA248" s="8">
        <f>IFERROR(Z248/Z444, "NA")</f>
        <v>2.3321227931645794E-3</v>
      </c>
      <c r="AB248" s="9"/>
      <c r="AC248" s="10">
        <f t="shared" si="67"/>
        <v>-446.27999999999975</v>
      </c>
      <c r="AD248" s="8">
        <f>IFERROR(AC248/AC444, "NA")</f>
        <v>-1.4882503157796502E-3</v>
      </c>
    </row>
    <row r="249" spans="1:30" ht="16.5" customHeight="1" x14ac:dyDescent="0.45">
      <c r="A249" s="12" t="s">
        <v>226</v>
      </c>
      <c r="B249" s="7">
        <v>14312.699999999999</v>
      </c>
      <c r="C249" s="8">
        <f>IFERROR(B249/B444, "NA")</f>
        <v>1.9201444899773747E-2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-14312.699999999999</v>
      </c>
      <c r="I249" s="8">
        <f>IFERROR(H249/H444, "NA")</f>
        <v>-0.17912585053084329</v>
      </c>
      <c r="J249" s="9"/>
      <c r="K249" s="7">
        <v>8399.57</v>
      </c>
      <c r="L249" s="8">
        <f>IFERROR(K249/K444, "NA")</f>
        <v>1.4375837553071591E-2</v>
      </c>
      <c r="M249" s="9"/>
      <c r="N249" s="10">
        <f t="shared" si="65"/>
        <v>-5913.1299999999992</v>
      </c>
      <c r="O249" s="8">
        <f>IFERROR(N249/N444, "NA")</f>
        <v>-3.6701719462271104E-2</v>
      </c>
      <c r="P249" s="9"/>
      <c r="Q249" s="7">
        <v>31721.040000000001</v>
      </c>
      <c r="R249" s="8">
        <f>IFERROR(Q249/Q444, "NA")</f>
        <v>1.9119494417097795E-2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-31721.040000000001</v>
      </c>
      <c r="X249" s="8">
        <f>IFERROR(W249/W444, "NA")</f>
        <v>-0.20135805588950148</v>
      </c>
      <c r="Y249" s="9"/>
      <c r="Z249" s="7">
        <v>20082.439999999999</v>
      </c>
      <c r="AA249" s="8">
        <f>IFERROR(Z249/Z444, "NA")</f>
        <v>1.4774917683432833E-2</v>
      </c>
      <c r="AB249" s="9"/>
      <c r="AC249" s="10">
        <f t="shared" si="67"/>
        <v>-11638.600000000002</v>
      </c>
      <c r="AD249" s="8">
        <f>IFERROR(AC249/AC444, "NA")</f>
        <v>-3.8812293011636308E-2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3.94</v>
      </c>
      <c r="L250" s="8">
        <f>IFERROR(K250/K444, "NA")</f>
        <v>6.7432975686972156E-6</v>
      </c>
      <c r="M250" s="9"/>
      <c r="N250" s="10">
        <f t="shared" si="65"/>
        <v>3.94</v>
      </c>
      <c r="O250" s="8">
        <f>IFERROR(N250/N444, "NA")</f>
        <v>2.445486141541758E-5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4.54</v>
      </c>
      <c r="AA250" s="8">
        <f>IFERROR(Z250/Z444, "NA")</f>
        <v>3.3401382642141629E-6</v>
      </c>
      <c r="AB250" s="9"/>
      <c r="AC250" s="10">
        <f t="shared" si="67"/>
        <v>4.54</v>
      </c>
      <c r="AD250" s="8">
        <f>IFERROR(AC250/AC444, "NA")</f>
        <v>1.5139948986375405E-5</v>
      </c>
    </row>
    <row r="251" spans="1:30" ht="16.5" customHeight="1" x14ac:dyDescent="0.45">
      <c r="A251" s="12" t="s">
        <v>228</v>
      </c>
      <c r="B251" s="7">
        <v>71.27</v>
      </c>
      <c r="C251" s="8">
        <f>IFERROR(B251/B444, "NA")</f>
        <v>9.561347460694872E-5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-71.27</v>
      </c>
      <c r="I251" s="8">
        <f>IFERROR(H251/H444, "NA")</f>
        <v>-8.9195605073348855E-4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-71.27</v>
      </c>
      <c r="O251" s="8">
        <f>IFERROR(N251/N444, "NA")</f>
        <v>-4.4235989164386066E-4</v>
      </c>
      <c r="P251" s="9"/>
      <c r="Q251" s="7">
        <v>166.55</v>
      </c>
      <c r="R251" s="8">
        <f>IFERROR(Q251/Q444, "NA")</f>
        <v>1.0038610950863016E-4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-166.55</v>
      </c>
      <c r="X251" s="8">
        <f>IFERROR(W251/W444, "NA")</f>
        <v>-1.0572220900826857E-3</v>
      </c>
      <c r="Y251" s="9"/>
      <c r="Z251" s="7">
        <v>69.53</v>
      </c>
      <c r="AA251" s="8">
        <f>IFERROR(Z251/Z444, "NA")</f>
        <v>5.1154143945112494E-5</v>
      </c>
      <c r="AB251" s="9"/>
      <c r="AC251" s="10">
        <f t="shared" si="67"/>
        <v>-97.02000000000001</v>
      </c>
      <c r="AD251" s="8">
        <f>IFERROR(AC251/AC444, "NA")</f>
        <v>-3.2354137679694759E-4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132.16</v>
      </c>
      <c r="L252" s="8">
        <f>IFERROR(K252/K444, "NA")</f>
        <v>2.261914230149807E-4</v>
      </c>
      <c r="M252" s="9"/>
      <c r="N252" s="10">
        <f t="shared" si="65"/>
        <v>132.16</v>
      </c>
      <c r="O252" s="8">
        <f>IFERROR(N252/N444, "NA")</f>
        <v>8.2029301641157039E-4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160.19999999999999</v>
      </c>
      <c r="AA252" s="8">
        <f>IFERROR(Z252/Z444, "NA")</f>
        <v>1.1786126650376846E-4</v>
      </c>
      <c r="AB252" s="9"/>
      <c r="AC252" s="10">
        <f t="shared" si="67"/>
        <v>160.19999999999999</v>
      </c>
      <c r="AD252" s="8">
        <f>IFERROR(AC252/AC444, "NA")</f>
        <v>5.3423344220646248E-4</v>
      </c>
    </row>
    <row r="253" spans="1:30" ht="16.5" customHeight="1" x14ac:dyDescent="0.45">
      <c r="A253" s="12" t="s">
        <v>230</v>
      </c>
      <c r="B253" s="7">
        <v>441.85</v>
      </c>
      <c r="C253" s="8">
        <f>IFERROR(B253/B444, "NA")</f>
        <v>5.9277134495692855E-4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-441.85</v>
      </c>
      <c r="I253" s="8">
        <f>IFERROR(H253/H444, "NA")</f>
        <v>-5.5298271505064113E-3</v>
      </c>
      <c r="J253" s="9"/>
      <c r="K253" s="7">
        <v>1332.63</v>
      </c>
      <c r="L253" s="8">
        <f>IFERROR(K253/K444, "NA")</f>
        <v>2.28079204034847E-3</v>
      </c>
      <c r="M253" s="9"/>
      <c r="N253" s="10">
        <f t="shared" si="65"/>
        <v>890.78000000000009</v>
      </c>
      <c r="O253" s="8">
        <f>IFERROR(N253/N444, "NA")</f>
        <v>5.5289089978745364E-3</v>
      </c>
      <c r="P253" s="9"/>
      <c r="Q253" s="7">
        <v>441.85</v>
      </c>
      <c r="R253" s="8">
        <f>IFERROR(Q253/Q444, "NA")</f>
        <v>2.6632003894559134E-4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-441.85</v>
      </c>
      <c r="X253" s="8">
        <f>IFERROR(W253/W444, "NA")</f>
        <v>-2.8047648183910814E-3</v>
      </c>
      <c r="Y253" s="9"/>
      <c r="Z253" s="7">
        <v>2277.21</v>
      </c>
      <c r="AA253" s="8">
        <f>IFERROR(Z253/Z444, "NA")</f>
        <v>1.6753736248130251E-3</v>
      </c>
      <c r="AB253" s="9"/>
      <c r="AC253" s="10">
        <f t="shared" si="67"/>
        <v>1835.3600000000001</v>
      </c>
      <c r="AD253" s="8">
        <f>IFERROR(AC253/AC444, "NA")</f>
        <v>6.1205411391264241E-3</v>
      </c>
    </row>
    <row r="254" spans="1:30" ht="16.5" customHeight="1" x14ac:dyDescent="0.45">
      <c r="A254" s="12" t="s">
        <v>231</v>
      </c>
      <c r="B254" s="7">
        <v>881.6</v>
      </c>
      <c r="C254" s="8">
        <f>IFERROR(B254/B444, "NA")</f>
        <v>1.1827253993754174E-3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-881.6</v>
      </c>
      <c r="I254" s="8">
        <f>IFERROR(H254/H444, "NA")</f>
        <v>-1.1033372447406252E-2</v>
      </c>
      <c r="J254" s="9"/>
      <c r="K254" s="7">
        <v>2746.65</v>
      </c>
      <c r="L254" s="8">
        <f>IFERROR(K254/K444, "NA")</f>
        <v>4.700882808899038E-3</v>
      </c>
      <c r="M254" s="9"/>
      <c r="N254" s="10">
        <f t="shared" si="65"/>
        <v>1865.0500000000002</v>
      </c>
      <c r="O254" s="8">
        <f>IFERROR(N254/N444, "NA")</f>
        <v>1.1576025198686437E-2</v>
      </c>
      <c r="P254" s="9"/>
      <c r="Q254" s="7">
        <v>5826.85</v>
      </c>
      <c r="R254" s="8">
        <f>IFERROR(Q254/Q444, "NA")</f>
        <v>3.5120672602243267E-3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-5826.85</v>
      </c>
      <c r="X254" s="8">
        <f>IFERROR(W254/W444, "NA")</f>
        <v>-3.6987538490533156E-2</v>
      </c>
      <c r="Y254" s="9"/>
      <c r="Z254" s="7">
        <v>5266</v>
      </c>
      <c r="AA254" s="8">
        <f>IFERROR(Z254/Z444, "NA")</f>
        <v>3.8742661011788066E-3</v>
      </c>
      <c r="AB254" s="9"/>
      <c r="AC254" s="10">
        <f t="shared" si="67"/>
        <v>-560.85000000000036</v>
      </c>
      <c r="AD254" s="8">
        <f>IFERROR(AC254/AC444, "NA")</f>
        <v>-1.8703172663014651E-3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68.03</v>
      </c>
      <c r="L255" s="8">
        <f>IFERROR(K255/K444, "NA")</f>
        <v>1.1643313035494202E-4</v>
      </c>
      <c r="M255" s="9"/>
      <c r="N255" s="10">
        <f t="shared" si="65"/>
        <v>68.03</v>
      </c>
      <c r="O255" s="8">
        <f>IFERROR(N255/N444, "NA")</f>
        <v>4.2224980256113151E-4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68.03</v>
      </c>
      <c r="AA255" s="8">
        <f>IFERROR(Z255/Z444, "NA")</f>
        <v>5.0050574034028526E-5</v>
      </c>
      <c r="AB255" s="9"/>
      <c r="AC255" s="10">
        <f t="shared" si="67"/>
        <v>68.03</v>
      </c>
      <c r="AD255" s="8">
        <f>IFERROR(AC255/AC444, "NA")</f>
        <v>2.2686579945883675E-4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31.38</v>
      </c>
      <c r="L256" s="8">
        <f>IFERROR(K256/K444, "NA")</f>
        <v>5.3706770991299142E-5</v>
      </c>
      <c r="M256" s="9"/>
      <c r="N256" s="10">
        <f t="shared" si="65"/>
        <v>31.38</v>
      </c>
      <c r="O256" s="8">
        <f>IFERROR(N256/N444, "NA")</f>
        <v>1.9476993685680296E-4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31.38</v>
      </c>
      <c r="AA256" s="8">
        <f>IFERROR(Z256/Z444, "NA")</f>
        <v>2.3086682539876745E-5</v>
      </c>
      <c r="AB256" s="9"/>
      <c r="AC256" s="10">
        <f t="shared" si="67"/>
        <v>31.38</v>
      </c>
      <c r="AD256" s="8">
        <f>IFERROR(AC256/AC444, "NA")</f>
        <v>1.046457266943745E-4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46621.579999999987</v>
      </c>
      <c r="C262" s="15">
        <f>IFERROR(B262/B444, "NA")</f>
        <v>6.2545969629098183E-2</v>
      </c>
      <c r="D262" s="2"/>
      <c r="E262" s="14">
        <f>IFERROR(E240+E241+E242+E243+E244+E245+E246+E247+E248+E249+E250+E251+E252+E253+E254+E255+E256+E257+E258+E259+E260+E261, "NA")</f>
        <v>42618.920000000006</v>
      </c>
      <c r="F262" s="15">
        <f>IFERROR(E262/E444, "NA")</f>
        <v>6.4041029130856617E-2</v>
      </c>
      <c r="G262" s="2"/>
      <c r="H262" s="14">
        <f t="shared" si="64"/>
        <v>-4002.6599999999817</v>
      </c>
      <c r="I262" s="15">
        <f>IFERROR(H262/H444, "NA")</f>
        <v>-5.0093963884227433E-2</v>
      </c>
      <c r="J262" s="2"/>
      <c r="K262" s="14">
        <f>IFERROR(K240+K241+K242+K243+K244+K245+K246+K247+K248+K249+K250+K251+K252+K253+K254+K255+K256+K257+K258+K259+K260+K261, "NA")</f>
        <v>37174.590000000004</v>
      </c>
      <c r="L262" s="15">
        <f>IFERROR(K262/K444, "NA")</f>
        <v>6.3624193493481182E-2</v>
      </c>
      <c r="M262" s="2"/>
      <c r="N262" s="14">
        <f t="shared" si="65"/>
        <v>-9446.9899999999834</v>
      </c>
      <c r="O262" s="15">
        <f>IFERROR(N262/N444, "NA")</f>
        <v>-5.8635743970262777E-2</v>
      </c>
      <c r="P262" s="2"/>
      <c r="Q262" s="14">
        <f>IFERROR(Q240+Q241+Q242+Q243+Q244+Q245+Q246+Q247+Q248+Q249+Q250+Q251+Q252+Q253+Q254+Q255+Q256+Q257+Q258+Q259+Q260+Q261, "NA")</f>
        <v>115312.74000000003</v>
      </c>
      <c r="R262" s="15">
        <f>IFERROR(Q262/Q444, "NA")</f>
        <v>6.9503436477815664E-2</v>
      </c>
      <c r="S262" s="2"/>
      <c r="T262" s="14">
        <f>IFERROR(T240+T241+T242+T243+T244+T245+T246+T247+T248+T249+T250+T251+T252+T253+T254+T255+T256+T257+T258+T259+T260+T261, "NA")</f>
        <v>97453.180000000008</v>
      </c>
      <c r="U262" s="15">
        <f>IFERROR(T262/T444, "NA")</f>
        <v>6.4901350269655475E-2</v>
      </c>
      <c r="V262" s="2"/>
      <c r="W262" s="14">
        <f t="shared" si="66"/>
        <v>-17859.560000000027</v>
      </c>
      <c r="X262" s="15">
        <f>IFERROR(W262/W444, "NA")</f>
        <v>-0.11336848604717596</v>
      </c>
      <c r="Y262" s="2"/>
      <c r="Z262" s="14">
        <f>IFERROR(Z240+Z241+Z242+Z243+Z244+Z245+Z246+Z247+Z248+Z249+Z250+Z251+Z252+Z253+Z254+Z255+Z256+Z257+Z258+Z259+Z260+Z261, "NA")</f>
        <v>84809.54</v>
      </c>
      <c r="AA262" s="15">
        <f>IFERROR(Z262/Z444, "NA")</f>
        <v>6.2395504344581847E-2</v>
      </c>
      <c r="AB262" s="2"/>
      <c r="AC262" s="14">
        <f t="shared" si="67"/>
        <v>-30503.200000000041</v>
      </c>
      <c r="AD262" s="15">
        <f>IFERROR(AC262/AC444, "NA")</f>
        <v>-0.10172178236149931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46621.579999999987</v>
      </c>
      <c r="C263" s="15">
        <f>IFERROR(B263/B444, "NA")</f>
        <v>6.2545969629098183E-2</v>
      </c>
      <c r="D263" s="2"/>
      <c r="E263" s="14">
        <f>IFERROR(E238+E240+E241+E242+E243+E244+E245+E246+E247+E248+E249+E250+E251+E252+E253+E254+E255+E256+E257+E258+E259+E260+E261, "NA")</f>
        <v>42618.920000000006</v>
      </c>
      <c r="F263" s="15">
        <f>IFERROR(E263/E444, "NA")</f>
        <v>6.4041029130856617E-2</v>
      </c>
      <c r="G263" s="2"/>
      <c r="H263" s="14">
        <f t="shared" si="64"/>
        <v>-4002.6599999999817</v>
      </c>
      <c r="I263" s="15">
        <f>IFERROR(H263/H444, "NA")</f>
        <v>-5.0093963884227433E-2</v>
      </c>
      <c r="J263" s="2"/>
      <c r="K263" s="14">
        <f>IFERROR(K238+K240+K241+K242+K243+K244+K245+K246+K247+K248+K249+K250+K251+K252+K253+K254+K255+K256+K257+K258+K259+K260+K261, "NA")</f>
        <v>37174.590000000004</v>
      </c>
      <c r="L263" s="15">
        <f>IFERROR(K263/K444, "NA")</f>
        <v>6.3624193493481182E-2</v>
      </c>
      <c r="M263" s="2"/>
      <c r="N263" s="14">
        <f t="shared" si="65"/>
        <v>-9446.9899999999834</v>
      </c>
      <c r="O263" s="15">
        <f>IFERROR(N263/N444, "NA")</f>
        <v>-5.8635743970262777E-2</v>
      </c>
      <c r="P263" s="2"/>
      <c r="Q263" s="14">
        <f>IFERROR(Q238+Q240+Q241+Q242+Q243+Q244+Q245+Q246+Q247+Q248+Q249+Q250+Q251+Q252+Q253+Q254+Q255+Q256+Q257+Q258+Q259+Q260+Q261, "NA")</f>
        <v>115312.74000000003</v>
      </c>
      <c r="R263" s="15">
        <f>IFERROR(Q263/Q444, "NA")</f>
        <v>6.9503436477815664E-2</v>
      </c>
      <c r="S263" s="2"/>
      <c r="T263" s="14">
        <f>IFERROR(T238+T240+T241+T242+T243+T244+T245+T246+T247+T248+T249+T250+T251+T252+T253+T254+T255+T256+T257+T258+T259+T260+T261, "NA")</f>
        <v>97453.180000000008</v>
      </c>
      <c r="U263" s="15">
        <f>IFERROR(T263/T444, "NA")</f>
        <v>6.4901350269655475E-2</v>
      </c>
      <c r="V263" s="2"/>
      <c r="W263" s="14">
        <f t="shared" si="66"/>
        <v>-17859.560000000027</v>
      </c>
      <c r="X263" s="15">
        <f>IFERROR(W263/W444, "NA")</f>
        <v>-0.11336848604717596</v>
      </c>
      <c r="Y263" s="2"/>
      <c r="Z263" s="14">
        <f>IFERROR(Z238+Z240+Z241+Z242+Z243+Z244+Z245+Z246+Z247+Z248+Z249+Z250+Z251+Z252+Z253+Z254+Z255+Z256+Z257+Z258+Z259+Z260+Z261, "NA")</f>
        <v>84809.54</v>
      </c>
      <c r="AA263" s="15">
        <f>IFERROR(Z263/Z444, "NA")</f>
        <v>6.2395504344581847E-2</v>
      </c>
      <c r="AB263" s="2"/>
      <c r="AC263" s="14">
        <f t="shared" si="67"/>
        <v>-30503.200000000041</v>
      </c>
      <c r="AD263" s="15">
        <f>IFERROR(AC263/AC444, "NA")</f>
        <v>-0.10172178236149931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19370.73</v>
      </c>
      <c r="C265" s="8">
        <f>IFERROR(B265/B444, "NA")</f>
        <v>2.5987130643651744E-2</v>
      </c>
      <c r="D265" s="9"/>
      <c r="E265" s="7">
        <v>17858.05</v>
      </c>
      <c r="F265" s="8">
        <f>IFERROR(E265/E444, "NA")</f>
        <v>2.6834276895573467E-2</v>
      </c>
      <c r="G265" s="9"/>
      <c r="H265" s="10">
        <f>IFERROR(-(B265-E265), "NA")</f>
        <v>-1512.6800000000003</v>
      </c>
      <c r="I265" s="8">
        <f>IFERROR(H265/H444, "NA")</f>
        <v>-1.8931444911232408E-2</v>
      </c>
      <c r="J265" s="9"/>
      <c r="K265" s="7">
        <v>15792.07</v>
      </c>
      <c r="L265" s="8">
        <f>IFERROR(K265/K444, "NA")</f>
        <v>2.7028077978603106E-2</v>
      </c>
      <c r="M265" s="9"/>
      <c r="N265" s="10">
        <f>IFERROR(-(B265-K265), "NA")</f>
        <v>-3578.66</v>
      </c>
      <c r="O265" s="8">
        <f>IFERROR(N265/N444, "NA")</f>
        <v>-2.2212089937283828E-2</v>
      </c>
      <c r="P265" s="9"/>
      <c r="Q265" s="7">
        <v>41231.69</v>
      </c>
      <c r="R265" s="8">
        <f>IFERROR(Q265/Q444, "NA")</f>
        <v>2.485193003642084E-2</v>
      </c>
      <c r="S265" s="9"/>
      <c r="T265" s="7">
        <v>41103.759999999995</v>
      </c>
      <c r="U265" s="8">
        <f>IFERROR(T265/T444, "NA")</f>
        <v>2.7374063372378958E-2</v>
      </c>
      <c r="V265" s="9"/>
      <c r="W265" s="10">
        <f>IFERROR(-(Q265-T265), "NA")</f>
        <v>-127.93000000000757</v>
      </c>
      <c r="X265" s="8">
        <f>IFERROR(W265/W444, "NA")</f>
        <v>-8.120709815928308E-4</v>
      </c>
      <c r="Y265" s="9"/>
      <c r="Z265" s="7">
        <v>36394.71</v>
      </c>
      <c r="AA265" s="8">
        <f>IFERROR(Z265/Z444, "NA")</f>
        <v>2.6776071252418022E-2</v>
      </c>
      <c r="AB265" s="9"/>
      <c r="AC265" s="10">
        <f>IFERROR(-(Q265-Z265), "NA")</f>
        <v>-4836.9800000000032</v>
      </c>
      <c r="AD265" s="8">
        <f>IFERROR(AC265/AC444, "NA")</f>
        <v>-1.6130315076678007E-2</v>
      </c>
    </row>
    <row r="266" spans="1:30" ht="16.5" customHeight="1" x14ac:dyDescent="0.45">
      <c r="A266" s="6" t="s">
        <v>242</v>
      </c>
      <c r="B266" s="7">
        <v>69.08</v>
      </c>
      <c r="C266" s="8">
        <f>IFERROR(B266/B444, "NA")</f>
        <v>9.2675443045433107E-5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-69.08</v>
      </c>
      <c r="I266" s="8">
        <f>IFERROR(H266/H444, "NA")</f>
        <v>-8.6454783197235008E-4</v>
      </c>
      <c r="J266" s="9"/>
      <c r="K266" s="7">
        <v>152.77000000000001</v>
      </c>
      <c r="L266" s="8">
        <f>IFERROR(K266/K444, "NA")</f>
        <v>2.6146537298727757E-4</v>
      </c>
      <c r="M266" s="9"/>
      <c r="N266" s="10">
        <f>IFERROR(-(B266-K266), "NA")</f>
        <v>83.690000000000012</v>
      </c>
      <c r="O266" s="8">
        <f>IFERROR(N266/N444, "NA")</f>
        <v>5.1944856646098927E-4</v>
      </c>
      <c r="P266" s="9"/>
      <c r="Q266" s="7">
        <v>113.69999999999999</v>
      </c>
      <c r="R266" s="8">
        <f>IFERROR(Q266/Q444, "NA")</f>
        <v>6.8531375869896404E-5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-113.69999999999999</v>
      </c>
      <c r="X266" s="8">
        <f>IFERROR(W266/W444, "NA")</f>
        <v>-7.2174212934494951E-4</v>
      </c>
      <c r="Y266" s="9"/>
      <c r="Z266" s="7">
        <v>195.34</v>
      </c>
      <c r="AA266" s="8">
        <f>IFERROR(Z266/Z444, "NA")</f>
        <v>1.4371423095409572E-4</v>
      </c>
      <c r="AB266" s="9"/>
      <c r="AC266" s="10">
        <f>IFERROR(-(Q266-Z266), "NA")</f>
        <v>81.640000000000015</v>
      </c>
      <c r="AD266" s="8">
        <f>IFERROR(AC266/AC444, "NA")</f>
        <v>2.722522985127067E-4</v>
      </c>
    </row>
    <row r="267" spans="1:30" ht="16.5" customHeight="1" x14ac:dyDescent="0.45">
      <c r="A267" s="19" t="s">
        <v>243</v>
      </c>
      <c r="B267" s="14">
        <f>IFERROR(B265+B266, "NA")</f>
        <v>19439.810000000001</v>
      </c>
      <c r="C267" s="15">
        <f>IFERROR(B267/B444, "NA")</f>
        <v>2.6079806086697181E-2</v>
      </c>
      <c r="D267" s="2"/>
      <c r="E267" s="14">
        <f>IFERROR(E265+E266, "NA")</f>
        <v>17858.05</v>
      </c>
      <c r="F267" s="15">
        <f>IFERROR(E267/E444, "NA")</f>
        <v>2.6834276895573467E-2</v>
      </c>
      <c r="G267" s="2"/>
      <c r="H267" s="14">
        <f>IFERROR(-(B267-E267), "NA")</f>
        <v>-1581.760000000002</v>
      </c>
      <c r="I267" s="15">
        <f>IFERROR(H267/H444, "NA")</f>
        <v>-1.9795992743204781E-2</v>
      </c>
      <c r="J267" s="2"/>
      <c r="K267" s="14">
        <f>IFERROR(K265+K266, "NA")</f>
        <v>15944.84</v>
      </c>
      <c r="L267" s="15">
        <f>IFERROR(K267/K444, "NA")</f>
        <v>2.7289543351590385E-2</v>
      </c>
      <c r="M267" s="2"/>
      <c r="N267" s="14">
        <f>IFERROR(-(B267-K267), "NA")</f>
        <v>-3494.9700000000012</v>
      </c>
      <c r="O267" s="15">
        <f>IFERROR(N267/N444, "NA")</f>
        <v>-2.1692641370822847E-2</v>
      </c>
      <c r="P267" s="2"/>
      <c r="Q267" s="14">
        <f>IFERROR(Q265+Q266, "NA")</f>
        <v>41345.39</v>
      </c>
      <c r="R267" s="15">
        <f>IFERROR(Q267/Q444, "NA")</f>
        <v>2.4920461412290734E-2</v>
      </c>
      <c r="S267" s="2"/>
      <c r="T267" s="14">
        <f>IFERROR(T265+T266, "NA")</f>
        <v>41103.759999999995</v>
      </c>
      <c r="U267" s="15">
        <f>IFERROR(T267/T444, "NA")</f>
        <v>2.7374063372378958E-2</v>
      </c>
      <c r="V267" s="2"/>
      <c r="W267" s="14">
        <f>IFERROR(-(Q267-T267), "NA")</f>
        <v>-241.63000000000466</v>
      </c>
      <c r="X267" s="15">
        <f>IFERROR(W267/W444, "NA")</f>
        <v>-1.5338131109377618E-3</v>
      </c>
      <c r="Y267" s="2"/>
      <c r="Z267" s="14">
        <f>IFERROR(Z265+Z266, "NA")</f>
        <v>36590.049999999996</v>
      </c>
      <c r="AA267" s="15">
        <f>IFERROR(Z267/Z444, "NA")</f>
        <v>2.6919785483372118E-2</v>
      </c>
      <c r="AB267" s="2"/>
      <c r="AC267" s="14">
        <f>IFERROR(-(Q267-Z267), "NA")</f>
        <v>-4755.3400000000038</v>
      </c>
      <c r="AD267" s="15">
        <f>IFERROR(AC267/AC444, "NA")</f>
        <v>-1.5858062778165302E-2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1169.06</v>
      </c>
      <c r="C270" s="8">
        <f>IFERROR(B270/B444, "NA")</f>
        <v>1.5683722270801105E-3</v>
      </c>
      <c r="D270" s="9"/>
      <c r="E270" s="7">
        <v>1362.33</v>
      </c>
      <c r="F270" s="8">
        <f>IFERROR(E270/E444, "NA")</f>
        <v>2.0470958723458944E-3</v>
      </c>
      <c r="G270" s="9"/>
      <c r="H270" s="10">
        <f>IFERROR(-(B270-E270), "NA")</f>
        <v>193.26999999999998</v>
      </c>
      <c r="I270" s="8">
        <f>IFERROR(H270/H444, "NA")</f>
        <v>2.4188065935914316E-3</v>
      </c>
      <c r="J270" s="9"/>
      <c r="K270" s="7">
        <v>937.7700000000001</v>
      </c>
      <c r="L270" s="8">
        <f>IFERROR(K270/K444, "NA")</f>
        <v>1.6049903961921799E-3</v>
      </c>
      <c r="M270" s="9"/>
      <c r="N270" s="10">
        <f>IFERROR(-(B270-K270), "NA")</f>
        <v>-231.28999999999985</v>
      </c>
      <c r="O270" s="8">
        <f>IFERROR(N270/N444, "NA")</f>
        <v>-1.4355748468964286E-3</v>
      </c>
      <c r="P270" s="9"/>
      <c r="Q270" s="7">
        <v>3591.75</v>
      </c>
      <c r="R270" s="8">
        <f>IFERROR(Q270/Q444, "NA")</f>
        <v>2.1648862733570839E-3</v>
      </c>
      <c r="S270" s="9"/>
      <c r="T270" s="7">
        <v>3316.49</v>
      </c>
      <c r="U270" s="8">
        <f>IFERROR(T270/T444, "NA")</f>
        <v>2.208698363212054E-3</v>
      </c>
      <c r="V270" s="9"/>
      <c r="W270" s="10">
        <f>IFERROR(-(Q270-T270), "NA")</f>
        <v>-275.26000000000022</v>
      </c>
      <c r="X270" s="8">
        <f>IFERROR(W270/W444, "NA")</f>
        <v>-1.7472888172690498E-3</v>
      </c>
      <c r="Y270" s="9"/>
      <c r="Z270" s="7">
        <v>2804.3100000000004</v>
      </c>
      <c r="AA270" s="8">
        <f>IFERROR(Z270/Z444, "NA")</f>
        <v>2.063168091567934E-3</v>
      </c>
      <c r="AB270" s="9"/>
      <c r="AC270" s="10">
        <f>IFERROR(-(Q270-Z270), "NA")</f>
        <v>-787.4399999999996</v>
      </c>
      <c r="AD270" s="8">
        <f>IFERROR(AC270/AC444, "NA")</f>
        <v>-2.6259474515047234E-3</v>
      </c>
    </row>
    <row r="271" spans="1:30" ht="16.5" customHeight="1" x14ac:dyDescent="0.45">
      <c r="A271" s="6" t="s">
        <v>246</v>
      </c>
      <c r="B271" s="7">
        <v>4819.2699999999995</v>
      </c>
      <c r="C271" s="8">
        <f>IFERROR(B271/B444, "NA")</f>
        <v>6.4653732253266418E-3</v>
      </c>
      <c r="D271" s="9"/>
      <c r="E271" s="7">
        <v>4414.83</v>
      </c>
      <c r="F271" s="8">
        <f>IFERROR(E271/E444, "NA")</f>
        <v>6.6339141545064895E-3</v>
      </c>
      <c r="G271" s="9"/>
      <c r="H271" s="10">
        <f>IFERROR(-(B271-E271), "NA")</f>
        <v>-404.4399999999996</v>
      </c>
      <c r="I271" s="8">
        <f>IFERROR(H271/H444, "NA")</f>
        <v>-5.0616347012579169E-3</v>
      </c>
      <c r="J271" s="9"/>
      <c r="K271" s="7">
        <v>3932.37</v>
      </c>
      <c r="L271" s="8">
        <f>IFERROR(K271/K444, "NA")</f>
        <v>6.7302388477710326E-3</v>
      </c>
      <c r="M271" s="9"/>
      <c r="N271" s="10">
        <f>IFERROR(-(B271-K271), "NA")</f>
        <v>-886.89999999999964</v>
      </c>
      <c r="O271" s="8">
        <f>IFERROR(N271/N444, "NA")</f>
        <v>-5.5048265455162042E-3</v>
      </c>
      <c r="P271" s="9"/>
      <c r="Q271" s="7">
        <v>14269.529999999999</v>
      </c>
      <c r="R271" s="8">
        <f>IFERROR(Q271/Q444, "NA")</f>
        <v>8.6007961646153291E-3</v>
      </c>
      <c r="S271" s="9"/>
      <c r="T271" s="7">
        <v>9791.76</v>
      </c>
      <c r="U271" s="8">
        <f>IFERROR(T271/T444, "NA")</f>
        <v>6.5210642230084407E-3</v>
      </c>
      <c r="V271" s="9"/>
      <c r="W271" s="10">
        <f>IFERROR(-(Q271-T271), "NA")</f>
        <v>-4477.7699999999986</v>
      </c>
      <c r="X271" s="8">
        <f>IFERROR(W271/W444, "NA")</f>
        <v>-2.8423880866463799E-2</v>
      </c>
      <c r="Y271" s="9"/>
      <c r="Z271" s="7">
        <v>11675.91</v>
      </c>
      <c r="AA271" s="8">
        <f>IFERROR(Z271/Z444, "NA")</f>
        <v>8.5901219736829928E-3</v>
      </c>
      <c r="AB271" s="9"/>
      <c r="AC271" s="10">
        <f>IFERROR(-(Q271-Z271), "NA")</f>
        <v>-2593.619999999999</v>
      </c>
      <c r="AD271" s="8">
        <f>IFERROR(AC271/AC444, "NA")</f>
        <v>-8.6491794030931646E-3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5988.33</v>
      </c>
      <c r="C273" s="15">
        <f>IFERROR(B273/B444, "NA")</f>
        <v>8.0337454524067528E-3</v>
      </c>
      <c r="D273" s="2"/>
      <c r="E273" s="14">
        <f>IFERROR(E269+E270+E271+E272, "NA")</f>
        <v>5777.16</v>
      </c>
      <c r="F273" s="15">
        <f>IFERROR(E273/E444, "NA")</f>
        <v>8.6810100268523843E-3</v>
      </c>
      <c r="G273" s="2"/>
      <c r="H273" s="14">
        <f>IFERROR(-(B273-E273), "NA")</f>
        <v>-211.17000000000007</v>
      </c>
      <c r="I273" s="15">
        <f>IFERROR(H273/H444, "NA")</f>
        <v>-2.6428281076664915E-3</v>
      </c>
      <c r="J273" s="2"/>
      <c r="K273" s="14">
        <f>IFERROR(K269+K270+K271+K272, "NA")</f>
        <v>4870.1400000000003</v>
      </c>
      <c r="L273" s="15">
        <f>IFERROR(K273/K444, "NA")</f>
        <v>8.3352292439632138E-3</v>
      </c>
      <c r="M273" s="2"/>
      <c r="N273" s="14">
        <f>IFERROR(-(B273-K273), "NA")</f>
        <v>-1118.1899999999996</v>
      </c>
      <c r="O273" s="15">
        <f>IFERROR(N273/N444, "NA")</f>
        <v>-6.9404013924126333E-3</v>
      </c>
      <c r="P273" s="2"/>
      <c r="Q273" s="14">
        <f>IFERROR(Q269+Q270+Q271+Q272, "NA")</f>
        <v>17861.28</v>
      </c>
      <c r="R273" s="15">
        <f>IFERROR(Q273/Q444, "NA")</f>
        <v>1.0765682437972414E-2</v>
      </c>
      <c r="S273" s="2"/>
      <c r="T273" s="14">
        <f>IFERROR(T269+T270+T271+T272, "NA")</f>
        <v>13108.25</v>
      </c>
      <c r="U273" s="15">
        <f>IFERROR(T273/T444, "NA")</f>
        <v>8.7297625862204943E-3</v>
      </c>
      <c r="V273" s="2"/>
      <c r="W273" s="14">
        <f>IFERROR(-(Q273-T273), "NA")</f>
        <v>-4753.0299999999988</v>
      </c>
      <c r="X273" s="15">
        <f>IFERROR(W273/W444, "NA")</f>
        <v>-3.0171169683732846E-2</v>
      </c>
      <c r="Y273" s="2"/>
      <c r="Z273" s="14">
        <f>IFERROR(Z269+Z270+Z271+Z272, "NA")</f>
        <v>14480.220000000001</v>
      </c>
      <c r="AA273" s="15">
        <f>IFERROR(Z273/Z444, "NA")</f>
        <v>1.0653290065250927E-2</v>
      </c>
      <c r="AB273" s="2"/>
      <c r="AC273" s="14">
        <f>IFERROR(-(Q273-Z273), "NA")</f>
        <v>-3381.0599999999977</v>
      </c>
      <c r="AD273" s="15">
        <f>IFERROR(AC273/AC444, "NA")</f>
        <v>-1.1275126854597884E-2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1.3020309458437202E-3</v>
      </c>
      <c r="D287" s="9"/>
      <c r="E287" s="7">
        <v>2703</v>
      </c>
      <c r="F287" s="8">
        <f>IFERROR(E287/E444, "NA")</f>
        <v>4.0616444935888899E-3</v>
      </c>
      <c r="G287" s="9"/>
      <c r="H287" s="10">
        <f t="shared" si="72"/>
        <v>1732.47</v>
      </c>
      <c r="I287" s="8">
        <f>IFERROR(H287/H444, "NA")</f>
        <v>2.1682153770369677E-2</v>
      </c>
      <c r="J287" s="9"/>
      <c r="K287" s="7">
        <v>970.53</v>
      </c>
      <c r="L287" s="8">
        <f>IFERROR(K287/K444, "NA")</f>
        <v>1.6610590328293676E-3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2911.59</v>
      </c>
      <c r="R287" s="8">
        <f>IFERROR(Q287/Q444, "NA")</f>
        <v>1.754927604828775E-3</v>
      </c>
      <c r="S287" s="9"/>
      <c r="T287" s="7">
        <v>8109</v>
      </c>
      <c r="U287" s="8">
        <f>IFERROR(T287/T444, "NA")</f>
        <v>5.4003886721463194E-3</v>
      </c>
      <c r="V287" s="9"/>
      <c r="W287" s="10">
        <f t="shared" si="74"/>
        <v>5197.41</v>
      </c>
      <c r="X287" s="8">
        <f>IFERROR(W287/W444, "NA")</f>
        <v>3.2991994375362654E-2</v>
      </c>
      <c r="Y287" s="9"/>
      <c r="Z287" s="7">
        <v>2911.59</v>
      </c>
      <c r="AA287" s="8">
        <f>IFERROR(Z287/Z444, "NA")</f>
        <v>2.1420954116086596E-3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949.93000000000006</v>
      </c>
      <c r="C288" s="8">
        <f>IFERROR(B288/B444, "NA")</f>
        <v>1.2743946672285507E-3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-949.93000000000006</v>
      </c>
      <c r="I288" s="8">
        <f>IFERROR(H288/H444, "NA")</f>
        <v>-1.1888533903090541E-2</v>
      </c>
      <c r="J288" s="9"/>
      <c r="K288" s="7">
        <v>678.11</v>
      </c>
      <c r="L288" s="8">
        <f>IFERROR(K288/K444, "NA")</f>
        <v>1.1605831254592053E-3</v>
      </c>
      <c r="M288" s="9"/>
      <c r="N288" s="10">
        <f t="shared" si="73"/>
        <v>-271.82000000000005</v>
      </c>
      <c r="O288" s="8">
        <f>IFERROR(N288/N444, "NA")</f>
        <v>-1.6871371649590883E-3</v>
      </c>
      <c r="P288" s="9"/>
      <c r="Q288" s="7">
        <v>2849.8100000000004</v>
      </c>
      <c r="R288" s="8">
        <f>IFERROR(Q288/Q444, "NA")</f>
        <v>1.7176904157237426E-3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-2849.8100000000004</v>
      </c>
      <c r="X288" s="8">
        <f>IFERROR(W288/W444, "NA")</f>
        <v>-1.8089955476064477E-2</v>
      </c>
      <c r="Y288" s="9"/>
      <c r="Z288" s="7">
        <v>2040.97</v>
      </c>
      <c r="AA288" s="8">
        <f>IFERROR(Z288/Z444, "NA")</f>
        <v>1.5015687209500397E-3</v>
      </c>
      <c r="AB288" s="9"/>
      <c r="AC288" s="10">
        <f t="shared" si="75"/>
        <v>-808.84000000000037</v>
      </c>
      <c r="AD288" s="8">
        <f>IFERROR(AC288/AC444, "NA")</f>
        <v>-2.6973119687532794E-3</v>
      </c>
    </row>
    <row r="289" spans="1:30" ht="16.5" customHeight="1" x14ac:dyDescent="0.45">
      <c r="A289" s="6" t="s">
        <v>262</v>
      </c>
      <c r="B289" s="7">
        <v>1175.8499999999999</v>
      </c>
      <c r="C289" s="8">
        <f>IFERROR(B289/B444, "NA")</f>
        <v>1.5774814664877318E-3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-1175.8499999999999</v>
      </c>
      <c r="I289" s="8">
        <f>IFERROR(H289/H444, "NA")</f>
        <v>-1.4715960744422232E-2</v>
      </c>
      <c r="J289" s="9"/>
      <c r="K289" s="7">
        <v>961.71</v>
      </c>
      <c r="L289" s="8">
        <f>IFERROR(K289/K444, "NA")</f>
        <v>1.6459636306578171E-3</v>
      </c>
      <c r="M289" s="9"/>
      <c r="N289" s="10">
        <f t="shared" si="73"/>
        <v>-214.13999999999987</v>
      </c>
      <c r="O289" s="8">
        <f>IFERROR(N289/N444, "NA")</f>
        <v>-1.3291279247455629E-3</v>
      </c>
      <c r="P289" s="9"/>
      <c r="Q289" s="7">
        <v>3171.9100000000003</v>
      </c>
      <c r="R289" s="8">
        <f>IFERROR(Q289/Q444, "NA")</f>
        <v>1.911832510426413E-3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-3171.9100000000003</v>
      </c>
      <c r="X289" s="8">
        <f>IFERROR(W289/W444, "NA")</f>
        <v>-2.0134574120409317E-2</v>
      </c>
      <c r="Y289" s="9"/>
      <c r="Z289" s="7">
        <v>2886.9900000000002</v>
      </c>
      <c r="AA289" s="8">
        <f>IFERROR(Z289/Z444, "NA")</f>
        <v>2.1239968650668827E-3</v>
      </c>
      <c r="AB289" s="9"/>
      <c r="AC289" s="10">
        <f t="shared" si="75"/>
        <v>-284.92000000000007</v>
      </c>
      <c r="AD289" s="8">
        <f>IFERROR(AC289/AC444, "NA")</f>
        <v>-9.5014851656345406E-4</v>
      </c>
    </row>
    <row r="290" spans="1:30" ht="16.5" customHeight="1" x14ac:dyDescent="0.45">
      <c r="A290" s="6" t="s">
        <v>263</v>
      </c>
      <c r="B290" s="7">
        <v>1379.71</v>
      </c>
      <c r="C290" s="8">
        <f>IFERROR(B290/B444, "NA")</f>
        <v>1.8509732994240666E-3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-1379.71</v>
      </c>
      <c r="I290" s="8">
        <f>IFERROR(H290/H444, "NA")</f>
        <v>-1.7267302971201087E-2</v>
      </c>
      <c r="J290" s="9"/>
      <c r="K290" s="7">
        <v>3320.8100000000004</v>
      </c>
      <c r="L290" s="8">
        <f>IFERROR(K290/K444, "NA")</f>
        <v>5.6835558373363971E-3</v>
      </c>
      <c r="M290" s="9"/>
      <c r="N290" s="10">
        <f t="shared" si="73"/>
        <v>1941.1000000000004</v>
      </c>
      <c r="O290" s="8">
        <f>IFERROR(N290/N444, "NA")</f>
        <v>1.2048053678544944E-2</v>
      </c>
      <c r="P290" s="9"/>
      <c r="Q290" s="7">
        <v>9161.2199999999993</v>
      </c>
      <c r="R290" s="8">
        <f>IFERROR(Q290/Q444, "NA")</f>
        <v>5.5218206793914903E-3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-9161.2199999999993</v>
      </c>
      <c r="X290" s="8">
        <f>IFERROR(W290/W444, "NA")</f>
        <v>-5.8153372297251878E-2</v>
      </c>
      <c r="Y290" s="9"/>
      <c r="Z290" s="7">
        <v>6154.21</v>
      </c>
      <c r="AA290" s="8">
        <f>IFERROR(Z290/Z444, "NA")</f>
        <v>4.5277339883280712E-3</v>
      </c>
      <c r="AB290" s="9"/>
      <c r="AC290" s="10">
        <f t="shared" si="75"/>
        <v>-3007.0099999999993</v>
      </c>
      <c r="AD290" s="8">
        <f>IFERROR(AC290/AC444, "NA")</f>
        <v>-1.0027748458484736E-2</v>
      </c>
    </row>
    <row r="291" spans="1:30" ht="16.5" customHeight="1" x14ac:dyDescent="0.45">
      <c r="A291" s="6" t="s">
        <v>264</v>
      </c>
      <c r="B291" s="7">
        <v>4980.0899999999992</v>
      </c>
      <c r="C291" s="8">
        <f>IFERROR(B291/B444, "NA")</f>
        <v>6.681124017894194E-3</v>
      </c>
      <c r="D291" s="9"/>
      <c r="E291" s="7">
        <v>8246.81</v>
      </c>
      <c r="F291" s="8">
        <f>IFERROR(E291/E444, "NA")</f>
        <v>1.2392012736283313E-2</v>
      </c>
      <c r="G291" s="9"/>
      <c r="H291" s="10">
        <f t="shared" si="72"/>
        <v>3266.7200000000003</v>
      </c>
      <c r="I291" s="8">
        <f>IFERROR(H291/H444, "NA")</f>
        <v>4.0883550863646721E-2</v>
      </c>
      <c r="J291" s="9"/>
      <c r="K291" s="7">
        <v>3126.23</v>
      </c>
      <c r="L291" s="8">
        <f>IFERROR(K291/K444, "NA")</f>
        <v>5.3505327812660647E-3</v>
      </c>
      <c r="M291" s="9"/>
      <c r="N291" s="10">
        <f t="shared" si="73"/>
        <v>-1853.8599999999992</v>
      </c>
      <c r="O291" s="8">
        <f>IFERROR(N291/N444, "NA")</f>
        <v>-1.1506570909539599E-2</v>
      </c>
      <c r="P291" s="9"/>
      <c r="Q291" s="7">
        <v>15630.8</v>
      </c>
      <c r="R291" s="8">
        <f>IFERROR(Q291/Q444, "NA")</f>
        <v>9.4212861033172984E-3</v>
      </c>
      <c r="S291" s="9"/>
      <c r="T291" s="7">
        <v>18515.71</v>
      </c>
      <c r="U291" s="8">
        <f>IFERROR(T291/T444, "NA")</f>
        <v>1.2330994024016072E-2</v>
      </c>
      <c r="V291" s="9"/>
      <c r="W291" s="10">
        <f t="shared" si="74"/>
        <v>2884.91</v>
      </c>
      <c r="X291" s="8">
        <f>IFERROR(W291/W444, "NA")</f>
        <v>1.8312762413091807E-2</v>
      </c>
      <c r="Y291" s="9"/>
      <c r="Z291" s="7">
        <v>6090.64</v>
      </c>
      <c r="AA291" s="8">
        <f>IFERROR(Z291/Z444, "NA")</f>
        <v>4.480964695496332E-3</v>
      </c>
      <c r="AB291" s="9"/>
      <c r="AC291" s="10">
        <f t="shared" si="75"/>
        <v>-9540.16</v>
      </c>
      <c r="AD291" s="8">
        <f>IFERROR(AC291/AC444, "NA")</f>
        <v>-3.1814435181026252E-2</v>
      </c>
    </row>
    <row r="292" spans="1:30" ht="16.5" customHeight="1" x14ac:dyDescent="0.45">
      <c r="A292" s="6" t="s">
        <v>265</v>
      </c>
      <c r="B292" s="7">
        <v>1720.4499999999998</v>
      </c>
      <c r="C292" s="8">
        <f>IFERROR(B292/B444, "NA")</f>
        <v>2.3080988127897419E-3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-1720.4499999999998</v>
      </c>
      <c r="I292" s="8">
        <f>IFERROR(H292/H444, "NA")</f>
        <v>-2.1531721446393016E-2</v>
      </c>
      <c r="J292" s="9"/>
      <c r="K292" s="7">
        <v>1100.3900000000001</v>
      </c>
      <c r="L292" s="8">
        <f>IFERROR(K292/K444, "NA")</f>
        <v>1.8833140131012005E-3</v>
      </c>
      <c r="M292" s="9"/>
      <c r="N292" s="10">
        <f t="shared" si="73"/>
        <v>-620.05999999999972</v>
      </c>
      <c r="O292" s="8">
        <f>IFERROR(N292/N444, "NA")</f>
        <v>-3.8485993322953855E-3</v>
      </c>
      <c r="P292" s="9"/>
      <c r="Q292" s="7">
        <v>3424.1400000000003</v>
      </c>
      <c r="R292" s="8">
        <f>IFERROR(Q292/Q444, "NA")</f>
        <v>2.0638612609599574E-3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-3424.1400000000003</v>
      </c>
      <c r="X292" s="8">
        <f>IFERROR(W292/W444, "NA")</f>
        <v>-2.1735673656774104E-2</v>
      </c>
      <c r="Y292" s="9"/>
      <c r="Z292" s="7">
        <v>1100.3900000000001</v>
      </c>
      <c r="AA292" s="8">
        <f>IFERROR(Z292/Z444, "NA")</f>
        <v>8.0957152963846322E-4</v>
      </c>
      <c r="AB292" s="9"/>
      <c r="AC292" s="10">
        <f t="shared" si="75"/>
        <v>-2323.75</v>
      </c>
      <c r="AD292" s="8">
        <f>IFERROR(AC292/AC444, "NA")</f>
        <v>-7.7492194839404952E-3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2.2297108069965508E-4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-2.3482327696444784E-3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-1.2336390591475449E-3</v>
      </c>
    </row>
    <row r="294" spans="1:30" ht="16.5" customHeight="1" x14ac:dyDescent="0.45">
      <c r="A294" s="6" t="s">
        <v>267</v>
      </c>
      <c r="B294" s="7">
        <v>2927.22</v>
      </c>
      <c r="C294" s="8">
        <f>IFERROR(B294/B444, "NA")</f>
        <v>3.9270615285386902E-3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-2927.22</v>
      </c>
      <c r="I294" s="8">
        <f>IFERROR(H294/H444, "NA")</f>
        <v>-3.6634651197251046E-2</v>
      </c>
      <c r="J294" s="9"/>
      <c r="K294" s="7">
        <v>1268.1799999999998</v>
      </c>
      <c r="L294" s="8">
        <f>IFERROR(K294/K444, "NA")</f>
        <v>2.1704860686980795E-3</v>
      </c>
      <c r="M294" s="9"/>
      <c r="N294" s="10">
        <f t="shared" si="73"/>
        <v>-1659.04</v>
      </c>
      <c r="O294" s="8">
        <f>IFERROR(N294/N444, "NA")</f>
        <v>-1.029735870117624E-2</v>
      </c>
      <c r="P294" s="9"/>
      <c r="Q294" s="7">
        <v>5958.85</v>
      </c>
      <c r="R294" s="8">
        <f>IFERROR(Q294/Q444, "NA")</f>
        <v>3.5916287519994045E-3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-5958.85</v>
      </c>
      <c r="X294" s="8">
        <f>IFERROR(W294/W444, "NA")</f>
        <v>-3.7825444920379536E-2</v>
      </c>
      <c r="Y294" s="9"/>
      <c r="Z294" s="7">
        <v>3804.54</v>
      </c>
      <c r="AA294" s="8">
        <f>IFERROR(Z294/Z444, "NA")</f>
        <v>2.7990505796769496E-3</v>
      </c>
      <c r="AB294" s="9"/>
      <c r="AC294" s="10">
        <f t="shared" si="75"/>
        <v>-2154.3100000000004</v>
      </c>
      <c r="AD294" s="8">
        <f>IFERROR(AC294/AC444, "NA")</f>
        <v>-7.1841725772771817E-3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14103.78</v>
      </c>
      <c r="C295" s="15">
        <f>IFERROR(B295/B444, "NA")</f>
        <v>1.8921164738206698E-2</v>
      </c>
      <c r="D295" s="2"/>
      <c r="E295" s="14">
        <f>IFERROR(E286+E287+E288+E289+E290+E291+E292+E293+E294, "NA")</f>
        <v>10949.81</v>
      </c>
      <c r="F295" s="15">
        <f>IFERROR(E295/E444, "NA")</f>
        <v>1.6453657229872205E-2</v>
      </c>
      <c r="G295" s="2"/>
      <c r="H295" s="14">
        <f t="shared" si="72"/>
        <v>-3153.9700000000012</v>
      </c>
      <c r="I295" s="15">
        <f>IFERROR(H295/H444, "NA")</f>
        <v>-3.9472465628341544E-2</v>
      </c>
      <c r="J295" s="2"/>
      <c r="K295" s="14">
        <f>IFERROR(K286+K287+K288+K289+K290+K291+K292+K293+K294, "NA")</f>
        <v>11425.96</v>
      </c>
      <c r="L295" s="15">
        <f>IFERROR(K295/K444, "NA")</f>
        <v>1.9555494489348131E-2</v>
      </c>
      <c r="M295" s="2"/>
      <c r="N295" s="14">
        <f t="shared" si="73"/>
        <v>-2677.8200000000015</v>
      </c>
      <c r="O295" s="15">
        <f>IFERROR(N295/N444, "NA")</f>
        <v>-1.6620740354170951E-2</v>
      </c>
      <c r="P295" s="2"/>
      <c r="Q295" s="14">
        <f>IFERROR(Q286+Q287+Q288+Q289+Q290+Q291+Q292+Q293+Q294, "NA")</f>
        <v>43478.25</v>
      </c>
      <c r="R295" s="15">
        <f>IFERROR(Q295/Q444, "NA")</f>
        <v>2.6206018407346737E-2</v>
      </c>
      <c r="S295" s="2"/>
      <c r="T295" s="14">
        <f>IFERROR(T286+T287+T288+T289+T290+T291+T292+T293+T294, "NA")</f>
        <v>26624.71</v>
      </c>
      <c r="U295" s="15">
        <f>IFERROR(T295/T444, "NA")</f>
        <v>1.7731382696162392E-2</v>
      </c>
      <c r="V295" s="2"/>
      <c r="W295" s="14">
        <f t="shared" si="74"/>
        <v>-16853.54</v>
      </c>
      <c r="X295" s="15">
        <f>IFERROR(W295/W444, "NA")</f>
        <v>-0.10698249645206932</v>
      </c>
      <c r="Y295" s="2"/>
      <c r="Z295" s="14">
        <f>IFERROR(Z286+Z287+Z288+Z289+Z290+Z291+Z292+Z293+Z294, "NA")</f>
        <v>24989.33</v>
      </c>
      <c r="AA295" s="15">
        <f>IFERROR(Z295/Z444, "NA")</f>
        <v>1.8384981790765399E-2</v>
      </c>
      <c r="AB295" s="2"/>
      <c r="AC295" s="14">
        <f t="shared" si="75"/>
        <v>-18488.919999999998</v>
      </c>
      <c r="AD295" s="15">
        <f>IFERROR(AC295/AC444, "NA")</f>
        <v>-6.1656675245192936E-2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8651.42</v>
      </c>
      <c r="F297" s="8">
        <f>IFERROR(E297/E444, "NA")</f>
        <v>1.299999719005727E-2</v>
      </c>
      <c r="G297" s="9"/>
      <c r="H297" s="10">
        <f t="shared" ref="H297:H325" si="76">IFERROR(-(B297-E297), "NA")</f>
        <v>8651.42</v>
      </c>
      <c r="I297" s="8">
        <f>IFERROR(H297/H444, "NA")</f>
        <v>0.10827397806141038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19520.259999999998</v>
      </c>
      <c r="U297" s="8">
        <f>IFERROR(T297/T444, "NA")</f>
        <v>1.2999998887822285E-2</v>
      </c>
      <c r="V297" s="9"/>
      <c r="W297" s="10">
        <f t="shared" ref="W297:W325" si="78">IFERROR(-(Q297-T297), "NA")</f>
        <v>19520.259999999998</v>
      </c>
      <c r="X297" s="8">
        <f>IFERROR(W297/W444, "NA")</f>
        <v>0.12391023762328095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1793.01</v>
      </c>
      <c r="C299" s="8">
        <f>IFERROR(B299/B444, "NA")</f>
        <v>2.4054429087274468E-3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-1793.01</v>
      </c>
      <c r="I299" s="8">
        <f>IFERROR(H299/H444, "NA")</f>
        <v>-2.2439822064341971E-2</v>
      </c>
      <c r="J299" s="9"/>
      <c r="K299" s="7">
        <v>1074.9099999999999</v>
      </c>
      <c r="L299" s="8">
        <f>IFERROR(K299/K444, "NA")</f>
        <v>1.8397050734944983E-3</v>
      </c>
      <c r="M299" s="9"/>
      <c r="N299" s="10">
        <f t="shared" si="77"/>
        <v>-718.10000000000014</v>
      </c>
      <c r="O299" s="8">
        <f>IFERROR(N299/N444, "NA")</f>
        <v>-4.4571157315764897E-3</v>
      </c>
      <c r="P299" s="9"/>
      <c r="Q299" s="7">
        <v>5566.74</v>
      </c>
      <c r="R299" s="8">
        <f>IFERROR(Q299/Q444, "NA")</f>
        <v>3.3552889297272397E-3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-5566.74</v>
      </c>
      <c r="X299" s="8">
        <f>IFERROR(W299/W444, "NA")</f>
        <v>-3.5336418479416924E-2</v>
      </c>
      <c r="Y299" s="9"/>
      <c r="Z299" s="7">
        <v>3224.7299999999996</v>
      </c>
      <c r="AA299" s="8">
        <f>IFERROR(Z299/Z444, "NA")</f>
        <v>2.3724766662465498E-3</v>
      </c>
      <c r="AB299" s="9"/>
      <c r="AC299" s="10">
        <f t="shared" si="79"/>
        <v>-2342.0100000000002</v>
      </c>
      <c r="AD299" s="8">
        <f>IFERROR(AC299/AC444, "NA")</f>
        <v>-7.8101127589385614E-3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197.01</v>
      </c>
      <c r="R304" s="8">
        <f>IFERROR(Q304/Q444, "NA")</f>
        <v>1.1874552647430336E-4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-197.01</v>
      </c>
      <c r="X304" s="8">
        <f>IFERROR(W304/W444, "NA")</f>
        <v>-1.2505753465457212E-3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-197.01</v>
      </c>
      <c r="AD304" s="8">
        <f>IFERROR(AC304/AC444, "NA")</f>
        <v>-6.5698708145502614E-4</v>
      </c>
    </row>
    <row r="305" spans="1:30" ht="16.5" customHeight="1" x14ac:dyDescent="0.45">
      <c r="A305" s="6" t="s">
        <v>277</v>
      </c>
      <c r="B305" s="7">
        <v>-87</v>
      </c>
      <c r="C305" s="8">
        <f>IFERROR(B305/B444, "NA")</f>
        <v>-1.1671632230678461E-4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87</v>
      </c>
      <c r="I305" s="8">
        <f>IFERROR(H305/H444, "NA")</f>
        <v>1.0888196494150905E-3</v>
      </c>
      <c r="J305" s="9"/>
      <c r="K305" s="7">
        <v>73.33</v>
      </c>
      <c r="L305" s="8">
        <f>IFERROR(K305/K444, "NA")</f>
        <v>1.2550406363263117E-4</v>
      </c>
      <c r="M305" s="9"/>
      <c r="N305" s="10">
        <f t="shared" si="77"/>
        <v>160.32999999999998</v>
      </c>
      <c r="O305" s="8">
        <f>IFERROR(N305/N444, "NA")</f>
        <v>9.951390687141879E-4</v>
      </c>
      <c r="P305" s="9"/>
      <c r="Q305" s="7">
        <v>-51.41</v>
      </c>
      <c r="R305" s="8">
        <f>IFERROR(Q305/Q444, "NA")</f>
        <v>-3.0986790092096522E-5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51.41</v>
      </c>
      <c r="X305" s="8">
        <f>IFERROR(W305/W444, "NA")</f>
        <v>3.2633916332123E-4</v>
      </c>
      <c r="Y305" s="9"/>
      <c r="Z305" s="7">
        <v>174.99</v>
      </c>
      <c r="AA305" s="8">
        <f>IFERROR(Z305/Z444, "NA")</f>
        <v>1.2874246582705648E-4</v>
      </c>
      <c r="AB305" s="9"/>
      <c r="AC305" s="10">
        <f t="shared" si="79"/>
        <v>226.4</v>
      </c>
      <c r="AD305" s="8">
        <f>IFERROR(AC305/AC444, "NA")</f>
        <v>7.5499657500339025E-4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211.94</v>
      </c>
      <c r="C310" s="8">
        <f>IFERROR(B310/B444, "NA")</f>
        <v>2.8433169367471183E-4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-211.94</v>
      </c>
      <c r="I310" s="8">
        <f>IFERROR(H310/H444, "NA")</f>
        <v>-2.6524647873222332E-3</v>
      </c>
      <c r="J310" s="9"/>
      <c r="K310" s="7">
        <v>28.59</v>
      </c>
      <c r="L310" s="8">
        <f>IFERROR(K310/K444, "NA")</f>
        <v>4.8931694794175985E-5</v>
      </c>
      <c r="M310" s="9"/>
      <c r="N310" s="10">
        <f t="shared" si="77"/>
        <v>-183.35</v>
      </c>
      <c r="O310" s="8">
        <f>IFERROR(N310/N444, "NA")</f>
        <v>-1.1380200102834551E-3</v>
      </c>
      <c r="P310" s="9"/>
      <c r="Q310" s="7">
        <v>309.37</v>
      </c>
      <c r="R310" s="8">
        <f>IFERROR(Q310/Q444, "NA")</f>
        <v>1.8646923265496794E-4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-309.37</v>
      </c>
      <c r="X310" s="8">
        <f>IFERROR(W310/W444, "NA")</f>
        <v>-1.9638114560725332E-3</v>
      </c>
      <c r="Y310" s="9"/>
      <c r="Z310" s="7">
        <v>241.48</v>
      </c>
      <c r="AA310" s="8">
        <f>IFERROR(Z310/Z444, "NA")</f>
        <v>1.7766004141903877E-4</v>
      </c>
      <c r="AB310" s="9"/>
      <c r="AC310" s="10">
        <f t="shared" si="79"/>
        <v>-67.890000000000015</v>
      </c>
      <c r="AD310" s="8">
        <f>IFERROR(AC310/AC444, "NA")</f>
        <v>-2.2639892878524814E-4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1.0094665638250001E-4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-1.0631255217475122E-3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-5.585107172330733E-4</v>
      </c>
    </row>
    <row r="312" spans="1:30" ht="16.5" customHeight="1" x14ac:dyDescent="0.45">
      <c r="A312" s="6" t="s">
        <v>284</v>
      </c>
      <c r="B312" s="7">
        <v>1100.69</v>
      </c>
      <c r="C312" s="8">
        <f>IFERROR(B312/B444, "NA")</f>
        <v>1.4766492965500547E-3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-1100.69</v>
      </c>
      <c r="I312" s="8">
        <f>IFERROR(H312/H444, "NA")</f>
        <v>-1.3775320688674668E-2</v>
      </c>
      <c r="J312" s="9"/>
      <c r="K312" s="7">
        <v>319.11</v>
      </c>
      <c r="L312" s="8">
        <f>IFERROR(K312/K444, "NA")</f>
        <v>5.4615575815912911E-4</v>
      </c>
      <c r="M312" s="9"/>
      <c r="N312" s="10">
        <f t="shared" si="77"/>
        <v>-781.58</v>
      </c>
      <c r="O312" s="8">
        <f>IFERROR(N312/N444, "NA")</f>
        <v>-4.8511245139751455E-3</v>
      </c>
      <c r="P312" s="9"/>
      <c r="Q312" s="7">
        <v>2079.5300000000002</v>
      </c>
      <c r="R312" s="8">
        <f>IFERROR(Q312/Q444, "NA")</f>
        <v>1.2534129469017213E-3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-2079.5300000000002</v>
      </c>
      <c r="X312" s="8">
        <f>IFERROR(W312/W444, "NA")</f>
        <v>-1.320039059135183E-2</v>
      </c>
      <c r="Y312" s="9"/>
      <c r="Z312" s="7">
        <v>770.28</v>
      </c>
      <c r="AA312" s="8">
        <f>IFERROR(Z312/Z444, "NA")</f>
        <v>5.6670522073984256E-4</v>
      </c>
      <c r="AB312" s="9"/>
      <c r="AC312" s="10">
        <f t="shared" si="79"/>
        <v>-1309.2500000000002</v>
      </c>
      <c r="AD312" s="8">
        <f>IFERROR(AC312/AC444, "NA")</f>
        <v>-4.3660744956854633E-3</v>
      </c>
    </row>
    <row r="313" spans="1:30" ht="16.5" customHeight="1" x14ac:dyDescent="0.45">
      <c r="A313" s="6" t="s">
        <v>285</v>
      </c>
      <c r="B313" s="7">
        <v>202.75</v>
      </c>
      <c r="C313" s="8">
        <f>IFERROR(B313/B444, "NA")</f>
        <v>2.7200269365173081E-4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-202.75</v>
      </c>
      <c r="I313" s="8">
        <f>IFERROR(H313/H444, "NA")</f>
        <v>-2.5374503898725241E-3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-202.75</v>
      </c>
      <c r="O313" s="8">
        <f>IFERROR(N313/N444, "NA")</f>
        <v>-1.2584322720751052E-3</v>
      </c>
      <c r="P313" s="9"/>
      <c r="Q313" s="7">
        <v>774.8</v>
      </c>
      <c r="R313" s="8">
        <f>IFERROR(Q313/Q444, "NA")</f>
        <v>4.6700184717674356E-4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-774.8</v>
      </c>
      <c r="X313" s="8">
        <f>IFERROR(W313/W444, "NA")</f>
        <v>-4.9182568321588993E-3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-774.8</v>
      </c>
      <c r="AD313" s="8">
        <f>IFERROR(AC313/AC444, "NA")</f>
        <v>-2.583795699260719E-3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1249.6300000000001</v>
      </c>
      <c r="C315" s="8">
        <f>IFERROR(B315/B444, "NA")</f>
        <v>1.6764622740715778E-3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-1249.6300000000001</v>
      </c>
      <c r="I315" s="8">
        <f>IFERROR(H315/H444, "NA")</f>
        <v>-1.5639329867799766E-2</v>
      </c>
      <c r="J315" s="9"/>
      <c r="K315" s="7">
        <v>605.44000000000005</v>
      </c>
      <c r="L315" s="8">
        <f>IFERROR(K315/K444, "NA")</f>
        <v>1.0362086497441732E-3</v>
      </c>
      <c r="M315" s="9"/>
      <c r="N315" s="10">
        <f t="shared" si="77"/>
        <v>-644.19000000000005</v>
      </c>
      <c r="O315" s="8">
        <f>IFERROR(N315/N444, "NA")</f>
        <v>-3.998369841420775E-3</v>
      </c>
      <c r="P315" s="9"/>
      <c r="Q315" s="7">
        <v>3748.89</v>
      </c>
      <c r="R315" s="8">
        <f>IFERROR(Q315/Q444, "NA")</f>
        <v>2.2596006128838696E-3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-3748.89</v>
      </c>
      <c r="X315" s="8">
        <f>IFERROR(W315/W444, "NA")</f>
        <v>-2.3797113907475707E-2</v>
      </c>
      <c r="Y315" s="9"/>
      <c r="Z315" s="7">
        <v>1816.32</v>
      </c>
      <c r="AA315" s="8">
        <f>IFERROR(Z315/Z444, "NA")</f>
        <v>1.336290733933363E-3</v>
      </c>
      <c r="AB315" s="9"/>
      <c r="AC315" s="10">
        <f t="shared" si="79"/>
        <v>-1932.57</v>
      </c>
      <c r="AD315" s="8">
        <f>IFERROR(AC315/AC444, "NA")</f>
        <v>-6.4447161261232417E-3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1.7705329467169999E-3</v>
      </c>
      <c r="D318" s="9"/>
      <c r="E318" s="7">
        <v>3210</v>
      </c>
      <c r="F318" s="8">
        <f>IFERROR(E318/E444, "NA")</f>
        <v>4.8234845817315347E-3</v>
      </c>
      <c r="G318" s="9"/>
      <c r="H318" s="10">
        <f t="shared" si="76"/>
        <v>1890.25</v>
      </c>
      <c r="I318" s="8">
        <f>IFERROR(H318/H444, "NA")</f>
        <v>2.3656797038010057E-2</v>
      </c>
      <c r="J318" s="9"/>
      <c r="K318" s="7">
        <v>1319.75</v>
      </c>
      <c r="L318" s="8">
        <f>IFERROR(K318/K444, "NA")</f>
        <v>2.2587479609868402E-3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3959.25</v>
      </c>
      <c r="R318" s="8">
        <f>IFERROR(Q318/Q444, "NA")</f>
        <v>2.3863926993217886E-3</v>
      </c>
      <c r="S318" s="9"/>
      <c r="T318" s="7">
        <v>9630</v>
      </c>
      <c r="U318" s="8">
        <f>IFERROR(T318/T444, "NA")</f>
        <v>6.4133361589307014E-3</v>
      </c>
      <c r="V318" s="9"/>
      <c r="W318" s="10">
        <f t="shared" si="78"/>
        <v>5670.75</v>
      </c>
      <c r="X318" s="8">
        <f>IFERROR(W318/W444, "NA")</f>
        <v>3.5996650659479969E-2</v>
      </c>
      <c r="Y318" s="9"/>
      <c r="Z318" s="7">
        <v>3959.25</v>
      </c>
      <c r="AA318" s="8">
        <f>IFERROR(Z318/Z444, "NA")</f>
        <v>2.9128727803061508E-3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1190.1799999999998</v>
      </c>
      <c r="C319" s="8">
        <f>IFERROR(B319/B444, "NA")</f>
        <v>1.5967061204952746E-3</v>
      </c>
      <c r="D319" s="9"/>
      <c r="E319" s="7">
        <v>1084</v>
      </c>
      <c r="F319" s="8">
        <f>IFERROR(E319/E444, "NA")</f>
        <v>1.6288651983168174E-3</v>
      </c>
      <c r="G319" s="9"/>
      <c r="H319" s="10">
        <f t="shared" si="76"/>
        <v>-106.17999999999984</v>
      </c>
      <c r="I319" s="8">
        <f>IFERROR(H319/H444, "NA")</f>
        <v>-1.3288605790217718E-3</v>
      </c>
      <c r="J319" s="9"/>
      <c r="K319" s="7">
        <v>1052.8699999999999</v>
      </c>
      <c r="L319" s="8">
        <f>IFERROR(K319/K444, "NA")</f>
        <v>1.8019836830340703E-3</v>
      </c>
      <c r="M319" s="9"/>
      <c r="N319" s="10">
        <f t="shared" si="77"/>
        <v>-137.30999999999995</v>
      </c>
      <c r="O319" s="8">
        <f>IFERROR(N319/N444, "NA")</f>
        <v>-8.5225812714492051E-4</v>
      </c>
      <c r="P319" s="9"/>
      <c r="Q319" s="7">
        <v>3450.08</v>
      </c>
      <c r="R319" s="8">
        <f>IFERROR(Q319/Q444, "NA")</f>
        <v>2.0794962995709077E-3</v>
      </c>
      <c r="S319" s="9"/>
      <c r="T319" s="7">
        <v>3252</v>
      </c>
      <c r="U319" s="8">
        <f>IFERROR(T319/T444, "NA")</f>
        <v>2.165749656162268E-3</v>
      </c>
      <c r="V319" s="9"/>
      <c r="W319" s="10">
        <f t="shared" si="78"/>
        <v>-198.07999999999993</v>
      </c>
      <c r="X319" s="8">
        <f>IFERROR(W319/W444, "NA")</f>
        <v>-1.2573674668482635E-3</v>
      </c>
      <c r="Y319" s="9"/>
      <c r="Z319" s="7">
        <v>3094.78</v>
      </c>
      <c r="AA319" s="8">
        <f>IFERROR(Z319/Z444, "NA")</f>
        <v>2.276870726282975E-3</v>
      </c>
      <c r="AB319" s="9"/>
      <c r="AC319" s="10">
        <f t="shared" si="79"/>
        <v>-355.29999999999973</v>
      </c>
      <c r="AD319" s="8">
        <f>IFERROR(AC319/AC444, "NA")</f>
        <v>-1.1848510737575281E-3</v>
      </c>
    </row>
    <row r="320" spans="1:30" ht="16.5" customHeight="1" x14ac:dyDescent="0.45">
      <c r="A320" s="6" t="s">
        <v>292</v>
      </c>
      <c r="B320" s="7">
        <v>5503.94</v>
      </c>
      <c r="C320" s="8">
        <f>IFERROR(B320/B444, "NA")</f>
        <v>7.3839038505425754E-3</v>
      </c>
      <c r="D320" s="9"/>
      <c r="E320" s="7">
        <v>4243</v>
      </c>
      <c r="F320" s="8">
        <f>IFERROR(E320/E444, "NA")</f>
        <v>6.3757149782825238E-3</v>
      </c>
      <c r="G320" s="9"/>
      <c r="H320" s="10">
        <f t="shared" si="76"/>
        <v>-1260.9399999999996</v>
      </c>
      <c r="I320" s="8">
        <f>IFERROR(H320/H444, "NA")</f>
        <v>-1.5780876422223724E-2</v>
      </c>
      <c r="J320" s="9"/>
      <c r="K320" s="7">
        <v>3938.52</v>
      </c>
      <c r="L320" s="8">
        <f>IFERROR(K320/K444, "NA")</f>
        <v>6.7407645533668417E-3</v>
      </c>
      <c r="M320" s="9"/>
      <c r="N320" s="10">
        <f t="shared" si="77"/>
        <v>-1565.4199999999996</v>
      </c>
      <c r="O320" s="8">
        <f>IFERROR(N320/N444, "NA")</f>
        <v>-9.7162764357672533E-3</v>
      </c>
      <c r="P320" s="9"/>
      <c r="Q320" s="7">
        <v>15788.759999999998</v>
      </c>
      <c r="R320" s="8">
        <f>IFERROR(Q320/Q444, "NA")</f>
        <v>9.516494688474807E-3</v>
      </c>
      <c r="S320" s="9"/>
      <c r="T320" s="7">
        <v>12729</v>
      </c>
      <c r="U320" s="8">
        <f>IFERROR(T320/T444, "NA")</f>
        <v>8.4771916892034151E-3</v>
      </c>
      <c r="V320" s="9"/>
      <c r="W320" s="10">
        <f t="shared" si="78"/>
        <v>-3059.7599999999984</v>
      </c>
      <c r="X320" s="8">
        <f>IFERROR(W320/W444, "NA")</f>
        <v>-1.9422671043839063E-2</v>
      </c>
      <c r="Y320" s="9"/>
      <c r="Z320" s="7">
        <v>12678.93</v>
      </c>
      <c r="AA320" s="8">
        <f>IFERROR(Z320/Z444, "NA")</f>
        <v>9.3280571018266242E-3</v>
      </c>
      <c r="AB320" s="9"/>
      <c r="AC320" s="10">
        <f t="shared" si="79"/>
        <v>-3109.8299999999981</v>
      </c>
      <c r="AD320" s="8">
        <f>IFERROR(AC320/AC444, "NA")</f>
        <v>-1.0370631620330353E-2</v>
      </c>
    </row>
    <row r="321" spans="1:30" ht="16.5" customHeight="1" x14ac:dyDescent="0.45">
      <c r="A321" s="6" t="s">
        <v>293</v>
      </c>
      <c r="B321" s="7">
        <v>17044.59</v>
      </c>
      <c r="C321" s="8">
        <f>IFERROR(B321/B444, "NA")</f>
        <v>2.2866458161229862E-2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-17044.59</v>
      </c>
      <c r="I321" s="8">
        <f>IFERROR(H321/H444, "NA")</f>
        <v>-0.21331591388763171</v>
      </c>
      <c r="J321" s="9"/>
      <c r="K321" s="7">
        <v>10994.699999999999</v>
      </c>
      <c r="L321" s="8">
        <f>IFERROR(K321/K444, "NA")</f>
        <v>1.8817394360039409E-2</v>
      </c>
      <c r="M321" s="9"/>
      <c r="N321" s="10">
        <f t="shared" si="77"/>
        <v>-6049.8900000000012</v>
      </c>
      <c r="O321" s="8">
        <f>IFERROR(N321/N444, "NA")</f>
        <v>-3.7550563839726069E-2</v>
      </c>
      <c r="P321" s="9"/>
      <c r="Q321" s="7">
        <v>40184.239999999998</v>
      </c>
      <c r="R321" s="8">
        <f>IFERROR(Q321/Q444, "NA")</f>
        <v>2.4220591517028375E-2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-40184.239999999998</v>
      </c>
      <c r="X321" s="8">
        <f>IFERROR(W321/W444, "NA")</f>
        <v>-0.25508055359462178</v>
      </c>
      <c r="Y321" s="9"/>
      <c r="Z321" s="7">
        <v>30090.850000000002</v>
      </c>
      <c r="AA321" s="8">
        <f>IFERROR(Z321/Z444, "NA")</f>
        <v>2.2138237772627477E-2</v>
      </c>
      <c r="AB321" s="9"/>
      <c r="AC321" s="10">
        <f t="shared" si="79"/>
        <v>-10093.389999999996</v>
      </c>
      <c r="AD321" s="8">
        <f>IFERROR(AC321/AC444, "NA")</f>
        <v>-3.365934134352238E-2</v>
      </c>
    </row>
    <row r="322" spans="1:30" ht="16.5" customHeight="1" x14ac:dyDescent="0.45">
      <c r="A322" s="6" t="s">
        <v>294</v>
      </c>
      <c r="B322" s="7">
        <v>2216.5</v>
      </c>
      <c r="C322" s="8">
        <f>IFERROR(B322/B444, "NA")</f>
        <v>2.9735830849768746E-3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-2216.5</v>
      </c>
      <c r="I322" s="8">
        <f>IFERROR(H322/H444, "NA")</f>
        <v>-2.7739870723316646E-2</v>
      </c>
      <c r="J322" s="9"/>
      <c r="K322" s="7">
        <v>1420.83</v>
      </c>
      <c r="L322" s="8">
        <f>IFERROR(K322/K444, "NA")</f>
        <v>2.4317460620639757E-3</v>
      </c>
      <c r="M322" s="9"/>
      <c r="N322" s="10">
        <f t="shared" si="77"/>
        <v>-795.67000000000007</v>
      </c>
      <c r="O322" s="8">
        <f>IFERROR(N322/N444, "NA")</f>
        <v>-4.9385785742145456E-3</v>
      </c>
      <c r="P322" s="9"/>
      <c r="Q322" s="7">
        <v>5010.76</v>
      </c>
      <c r="R322" s="8">
        <f>IFERROR(Q322/Q444, "NA")</f>
        <v>3.0201783373249094E-3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-5010.76</v>
      </c>
      <c r="X322" s="8">
        <f>IFERROR(W322/W444, "NA")</f>
        <v>-3.1807181988007908E-2</v>
      </c>
      <c r="Y322" s="9"/>
      <c r="Z322" s="7">
        <v>4002.3099999999995</v>
      </c>
      <c r="AA322" s="8">
        <f>IFERROR(Z322/Z444, "NA")</f>
        <v>2.9445525938870008E-3</v>
      </c>
      <c r="AB322" s="9"/>
      <c r="AC322" s="10">
        <f t="shared" si="79"/>
        <v>-1008.4500000000007</v>
      </c>
      <c r="AD322" s="8">
        <f>IFERROR(AC322/AC444, "NA")</f>
        <v>-3.3629695055749534E-3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-2.3020468345211706E-5</v>
      </c>
      <c r="AB323" s="9"/>
      <c r="AC323" s="10">
        <f t="shared" si="79"/>
        <v>-31.29</v>
      </c>
      <c r="AD323" s="8">
        <f>IFERROR(AC323/AC444, "NA")</f>
        <v>-1.0434559554706749E-4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31745.98</v>
      </c>
      <c r="C324" s="15">
        <f>IFERROR(B324/B444, "NA")</f>
        <v>4.258935670833032E-2</v>
      </c>
      <c r="D324" s="2"/>
      <c r="E324" s="14">
        <f>IFERROR(E297+E298+E299+E300+E301+E302+E303+E304+E305+E306+E307+E308+E309+E310+E311+E312+E313+E314+E315+E316+E317+E318+E319+E320+E321+E322+E323, "NA")</f>
        <v>17188.419999999998</v>
      </c>
      <c r="F324" s="15">
        <f>IFERROR(E324/E444, "NA")</f>
        <v>2.5828061948388142E-2</v>
      </c>
      <c r="G324" s="2"/>
      <c r="H324" s="14">
        <f t="shared" si="76"/>
        <v>-14557.560000000001</v>
      </c>
      <c r="I324" s="15">
        <f>IFERROR(H324/H444, "NA")</f>
        <v>-0.18219031466136951</v>
      </c>
      <c r="J324" s="2"/>
      <c r="K324" s="14">
        <f>IFERROR(K297+K298+K299+K300+K301+K302+K303+K304+K305+K306+K307+K308+K309+K310+K311+K312+K313+K314+K315+K316+K317+K318+K319+K320+K321+K322+K323, "NA")</f>
        <v>20828.050000000003</v>
      </c>
      <c r="L324" s="15">
        <f>IFERROR(K324/K444, "NA")</f>
        <v>3.5647141859315751E-2</v>
      </c>
      <c r="M324" s="2"/>
      <c r="N324" s="14">
        <f t="shared" si="77"/>
        <v>-10917.929999999997</v>
      </c>
      <c r="O324" s="15">
        <f>IFERROR(N324/N444, "NA")</f>
        <v>-6.7765600277469543E-2</v>
      </c>
      <c r="P324" s="2"/>
      <c r="Q324" s="14">
        <f>IFERROR(Q297+Q298+Q299+Q300+Q301+Q302+Q303+Q304+Q305+Q306+Q307+Q308+Q309+Q310+Q311+Q312+Q313+Q314+Q315+Q316+Q317+Q318+Q319+Q320+Q321+Q322+Q323, "NA")</f>
        <v>81185.499999999985</v>
      </c>
      <c r="R324" s="15">
        <f>IFERROR(Q324/Q444, "NA")</f>
        <v>4.8933632503830031E-2</v>
      </c>
      <c r="S324" s="2"/>
      <c r="T324" s="14">
        <f>IFERROR(T297+T298+T299+T300+T301+T302+T303+T304+T305+T306+T307+T308+T309+T310+T311+T312+T313+T314+T315+T316+T317+T318+T319+T320+T321+T322+T323, "NA")</f>
        <v>45131.259999999995</v>
      </c>
      <c r="U324" s="15">
        <f>IFERROR(T324/T444, "NA")</f>
        <v>3.0056276392118667E-2</v>
      </c>
      <c r="V324" s="2"/>
      <c r="W324" s="14">
        <f t="shared" si="78"/>
        <v>-36054.239999999991</v>
      </c>
      <c r="X324" s="15">
        <f>IFERROR(W324/W444, "NA")</f>
        <v>-0.22886423878200393</v>
      </c>
      <c r="Y324" s="2"/>
      <c r="Z324" s="14">
        <f>IFERROR(Z297+Z298+Z299+Z300+Z301+Z302+Z303+Z304+Z305+Z306+Z307+Z308+Z309+Z310+Z311+Z312+Z313+Z314+Z315+Z316+Z317+Z318+Z319+Z320+Z321+Z322+Z323, "NA")</f>
        <v>60022.63</v>
      </c>
      <c r="AA324" s="15">
        <f>IFERROR(Z324/Z444, "NA")</f>
        <v>4.4159445634750862E-2</v>
      </c>
      <c r="AB324" s="2"/>
      <c r="AC324" s="14">
        <f t="shared" si="79"/>
        <v>-21162.869999999988</v>
      </c>
      <c r="AD324" s="15">
        <f>IFERROR(AC324/AC444, "NA")</f>
        <v>-7.0573738371210198E-2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192371.63999999998</v>
      </c>
      <c r="C325" s="15">
        <f>IFERROR(B325/B444, "NA")</f>
        <v>0.25807942916005444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142194.53</v>
      </c>
      <c r="F325" s="15">
        <f>IFERROR(E325/E444, "NA")</f>
        <v>0.21366763958304116</v>
      </c>
      <c r="G325" s="2"/>
      <c r="H325" s="14">
        <f t="shared" si="76"/>
        <v>-50177.109999999986</v>
      </c>
      <c r="I325" s="15">
        <f>IFERROR(H325/H444, "NA")</f>
        <v>-0.62797498067657953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120916.12000000001</v>
      </c>
      <c r="L325" s="15">
        <f>IFERROR(K325/K444, "NA")</f>
        <v>0.20694755787114236</v>
      </c>
      <c r="M325" s="2"/>
      <c r="N325" s="14">
        <f t="shared" si="77"/>
        <v>-71455.519999999975</v>
      </c>
      <c r="O325" s="15">
        <f>IFERROR(N325/N444, "NA")</f>
        <v>-0.44351138044837529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470178.02999999991</v>
      </c>
      <c r="R325" s="15">
        <f>IFERROR(Q325/Q444, "NA")</f>
        <v>0.28339443535353936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334185.22000000003</v>
      </c>
      <c r="U325" s="15">
        <f>IFERROR(T325/T444, "NA")</f>
        <v>0.22255889462162112</v>
      </c>
      <c r="V325" s="2"/>
      <c r="W325" s="14">
        <f t="shared" si="78"/>
        <v>-135992.80999999988</v>
      </c>
      <c r="X325" s="15">
        <f>IFERROR(W325/W444, "NA")</f>
        <v>-0.86325189327179475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294357.59000000003</v>
      </c>
      <c r="AA325" s="15">
        <f>IFERROR(Z325/Z444, "NA")</f>
        <v>0.21656278628212869</v>
      </c>
      <c r="AB325" s="2"/>
      <c r="AC325" s="14">
        <f t="shared" si="79"/>
        <v>-175820.43999999989</v>
      </c>
      <c r="AD325" s="15">
        <f>IFERROR(AC325/AC444, "NA")</f>
        <v>-0.58632433752468638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52829.58</v>
      </c>
      <c r="C329" s="8">
        <f>IFERROR(B329/B444, "NA")</f>
        <v>7.0874417087494965E-2</v>
      </c>
      <c r="D329" s="9"/>
      <c r="E329" s="7">
        <v>61009.64</v>
      </c>
      <c r="F329" s="8">
        <f>IFERROR(E329/E444, "NA")</f>
        <v>9.1675718964794858E-2</v>
      </c>
      <c r="G329" s="9"/>
      <c r="H329" s="10">
        <f t="shared" si="80"/>
        <v>8180.0599999999977</v>
      </c>
      <c r="I329" s="8">
        <f>IFERROR(H329/H444, "NA")</f>
        <v>0.10237482829188969</v>
      </c>
      <c r="J329" s="9"/>
      <c r="K329" s="7">
        <v>52186.869999999995</v>
      </c>
      <c r="L329" s="8">
        <f>IFERROR(K329/K444, "NA")</f>
        <v>8.9317663347441026E-2</v>
      </c>
      <c r="M329" s="9"/>
      <c r="N329" s="10">
        <f t="shared" si="81"/>
        <v>-642.7100000000064</v>
      </c>
      <c r="O329" s="8">
        <f>IFERROR(N329/N444, "NA")</f>
        <v>-3.9891837513459875E-3</v>
      </c>
      <c r="P329" s="9"/>
      <c r="Q329" s="7">
        <v>158488.74</v>
      </c>
      <c r="R329" s="8">
        <f>IFERROR(Q329/Q444, "NA")</f>
        <v>9.552727715115468E-2</v>
      </c>
      <c r="S329" s="9"/>
      <c r="T329" s="7">
        <v>158531.46</v>
      </c>
      <c r="U329" s="8">
        <f>IFERROR(T329/T444, "NA")</f>
        <v>0.10557793818754684</v>
      </c>
      <c r="V329" s="9"/>
      <c r="W329" s="10">
        <f t="shared" si="82"/>
        <v>42.720000000001164</v>
      </c>
      <c r="X329" s="8">
        <f>IFERROR(W329/W444, "NA")</f>
        <v>2.7117699002301749E-4</v>
      </c>
      <c r="Y329" s="9"/>
      <c r="Z329" s="7">
        <v>156560.60999999999</v>
      </c>
      <c r="AA329" s="8">
        <f>IFERROR(Z329/Z444, "NA")</f>
        <v>0.11518371897130186</v>
      </c>
      <c r="AB329" s="9"/>
      <c r="AC329" s="10">
        <f t="shared" si="83"/>
        <v>-1928.1300000000047</v>
      </c>
      <c r="AD329" s="8">
        <f>IFERROR(AC329/AC444, "NA")</f>
        <v>-6.4299096561894449E-3</v>
      </c>
    </row>
    <row r="330" spans="1:30" ht="16.5" customHeight="1" x14ac:dyDescent="0.45">
      <c r="A330" s="6" t="s">
        <v>301</v>
      </c>
      <c r="B330" s="7">
        <v>5267.02</v>
      </c>
      <c r="C330" s="8">
        <f>IFERROR(B330/B444, "NA")</f>
        <v>7.0660598151296638E-3</v>
      </c>
      <c r="D330" s="9"/>
      <c r="E330" s="7">
        <v>6065</v>
      </c>
      <c r="F330" s="8">
        <f>IFERROR(E330/E444, "NA")</f>
        <v>9.1135308374460308E-3</v>
      </c>
      <c r="G330" s="9"/>
      <c r="H330" s="10">
        <f t="shared" si="80"/>
        <v>797.97999999999956</v>
      </c>
      <c r="I330" s="8">
        <f>IFERROR(H330/H444, "NA")</f>
        <v>9.9868540671293506E-3</v>
      </c>
      <c r="J330" s="9"/>
      <c r="K330" s="7">
        <v>3542.6499999999996</v>
      </c>
      <c r="L330" s="8">
        <f>IFERROR(K330/K444, "NA")</f>
        <v>6.0632342973972559E-3</v>
      </c>
      <c r="M330" s="9"/>
      <c r="N330" s="10">
        <f t="shared" si="81"/>
        <v>-1724.3700000000008</v>
      </c>
      <c r="O330" s="8">
        <f>IFERROR(N330/N444, "NA")</f>
        <v>-1.0702850096168434E-2</v>
      </c>
      <c r="P330" s="9"/>
      <c r="Q330" s="7">
        <v>17718.239999999998</v>
      </c>
      <c r="R330" s="8">
        <f>IFERROR(Q330/Q444, "NA")</f>
        <v>1.0679466712339783E-2</v>
      </c>
      <c r="S330" s="9"/>
      <c r="T330" s="7">
        <v>18195</v>
      </c>
      <c r="U330" s="8">
        <f>IFERROR(T330/T444, "NA")</f>
        <v>1.2117409284708631E-2</v>
      </c>
      <c r="V330" s="9"/>
      <c r="W330" s="10">
        <f t="shared" si="82"/>
        <v>476.76000000000204</v>
      </c>
      <c r="X330" s="8">
        <f>IFERROR(W330/W444, "NA")</f>
        <v>3.0263656779815269E-3</v>
      </c>
      <c r="Y330" s="9"/>
      <c r="Z330" s="7">
        <v>15627.49</v>
      </c>
      <c r="AA330" s="8">
        <f>IFERROR(Z330/Z444, "NA")</f>
        <v>1.1497351833177133E-2</v>
      </c>
      <c r="AB330" s="9"/>
      <c r="AC330" s="10">
        <f t="shared" si="83"/>
        <v>-2090.7499999999982</v>
      </c>
      <c r="AD330" s="8">
        <f>IFERROR(AC330/AC444, "NA")</f>
        <v>-6.9722132914679189E-3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2.6182020070565615E-4</v>
      </c>
      <c r="D332" s="9"/>
      <c r="E332" s="7">
        <v>195</v>
      </c>
      <c r="F332" s="8">
        <f>IFERROR(E332/E444, "NA")</f>
        <v>2.9301541851640164E-4</v>
      </c>
      <c r="G332" s="9"/>
      <c r="H332" s="10">
        <f t="shared" si="80"/>
        <v>-0.15999999999999659</v>
      </c>
      <c r="I332" s="8">
        <f>IFERROR(H332/H444, "NA")</f>
        <v>-2.0024269414529973E-6</v>
      </c>
      <c r="J332" s="9"/>
      <c r="K332" s="7">
        <v>195.16</v>
      </c>
      <c r="L332" s="8">
        <f>IFERROR(K332/K444, "NA")</f>
        <v>3.3401572424034229E-4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585.48</v>
      </c>
      <c r="R332" s="8">
        <f>IFERROR(Q332/Q444, "NA")</f>
        <v>3.5289138033691255E-4</v>
      </c>
      <c r="S332" s="9"/>
      <c r="T332" s="7">
        <v>585</v>
      </c>
      <c r="U332" s="8">
        <f>IFERROR(T332/T444, "NA")</f>
        <v>3.8959518722476224E-4</v>
      </c>
      <c r="V332" s="9"/>
      <c r="W332" s="10">
        <f t="shared" si="82"/>
        <v>-0.48000000000001819</v>
      </c>
      <c r="X332" s="8">
        <f>IFERROR(W332/W444, "NA")</f>
        <v>-3.046932472168768E-6</v>
      </c>
      <c r="Y332" s="9"/>
      <c r="Z332" s="7">
        <v>585.48</v>
      </c>
      <c r="AA332" s="8">
        <f>IFERROR(Z332/Z444, "NA")</f>
        <v>4.3074540769429695E-4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7186.9400000000005</v>
      </c>
      <c r="C333" s="8">
        <f>IFERROR(B333/B444, "NA")</f>
        <v>9.6417609820634784E-3</v>
      </c>
      <c r="D333" s="9"/>
      <c r="E333" s="7">
        <v>5155</v>
      </c>
      <c r="F333" s="8">
        <f>IFERROR(E333/E444, "NA")</f>
        <v>7.7461255510361563E-3</v>
      </c>
      <c r="G333" s="9"/>
      <c r="H333" s="10">
        <f t="shared" si="80"/>
        <v>-2031.9400000000005</v>
      </c>
      <c r="I333" s="8">
        <f>IFERROR(H333/H444, "NA")</f>
        <v>-2.543007124635057E-2</v>
      </c>
      <c r="J333" s="9"/>
      <c r="K333" s="7">
        <v>2053.8099999999995</v>
      </c>
      <c r="L333" s="8">
        <f>IFERROR(K333/K444, "NA")</f>
        <v>3.5150893349152348E-3</v>
      </c>
      <c r="M333" s="9"/>
      <c r="N333" s="10">
        <f t="shared" si="81"/>
        <v>-5133.130000000001</v>
      </c>
      <c r="O333" s="8">
        <f>IFERROR(N333/N444, "NA")</f>
        <v>-3.186040172013261E-2</v>
      </c>
      <c r="P333" s="9"/>
      <c r="Q333" s="7">
        <v>18329.43</v>
      </c>
      <c r="R333" s="8">
        <f>IFERROR(Q333/Q444, "NA")</f>
        <v>1.1047854501415615E-2</v>
      </c>
      <c r="S333" s="9"/>
      <c r="T333" s="7">
        <v>15465</v>
      </c>
      <c r="U333" s="8">
        <f>IFERROR(T333/T444, "NA")</f>
        <v>1.0299298410993073E-2</v>
      </c>
      <c r="V333" s="9"/>
      <c r="W333" s="10">
        <f t="shared" si="82"/>
        <v>-2864.4300000000003</v>
      </c>
      <c r="X333" s="8">
        <f>IFERROR(W333/W444, "NA")</f>
        <v>-1.8182759960945948E-2</v>
      </c>
      <c r="Y333" s="9"/>
      <c r="Z333" s="7">
        <v>13015.21</v>
      </c>
      <c r="AA333" s="8">
        <f>IFERROR(Z333/Z444, "NA")</f>
        <v>9.57546276162617E-3</v>
      </c>
      <c r="AB333" s="9"/>
      <c r="AC333" s="10">
        <f t="shared" si="83"/>
        <v>-5314.2200000000012</v>
      </c>
      <c r="AD333" s="8">
        <f>IFERROR(AC333/AC444, "NA")</f>
        <v>-1.7721810507131262E-2</v>
      </c>
    </row>
    <row r="334" spans="1:30" ht="16.5" customHeight="1" x14ac:dyDescent="0.45">
      <c r="A334" s="6" t="s">
        <v>305</v>
      </c>
      <c r="B334" s="7">
        <v>8135.74</v>
      </c>
      <c r="C334" s="8">
        <f>IFERROR(B334/B444, "NA")</f>
        <v>1.0914639678668963E-2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-8135.74</v>
      </c>
      <c r="I334" s="8">
        <f>IFERROR(H334/H444, "NA")</f>
        <v>-0.10182015602910723</v>
      </c>
      <c r="J334" s="9"/>
      <c r="K334" s="7">
        <v>8036.78</v>
      </c>
      <c r="L334" s="8">
        <f>IFERROR(K334/K444, "NA")</f>
        <v>1.3754923612729545E-2</v>
      </c>
      <c r="M334" s="9"/>
      <c r="N334" s="10">
        <f t="shared" si="81"/>
        <v>-98.960000000000036</v>
      </c>
      <c r="O334" s="8">
        <f>IFERROR(N334/N444, "NA")</f>
        <v>-6.142266714897779E-4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1.9948356394593365E-3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-2.1008726351122532E-2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-1.1036889419446645E-2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14341.219999999998</v>
      </c>
      <c r="F337" s="8">
        <f>IFERROR(E337/E444, "NA")</f>
        <v>2.15497363094143E-2</v>
      </c>
      <c r="G337" s="9"/>
      <c r="H337" s="10">
        <f t="shared" ref="H337:H344" si="84">IFERROR(-(B337-E337), "NA")</f>
        <v>14341.219999999998</v>
      </c>
      <c r="I337" s="8">
        <f>IFERROR(H337/H444, "NA")</f>
        <v>0.17948278313315727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45482.65</v>
      </c>
      <c r="U337" s="8">
        <f>IFERROR(T337/T444, "NA")</f>
        <v>3.0290293234578346E-2</v>
      </c>
      <c r="V337" s="9"/>
      <c r="W337" s="10">
        <f t="shared" ref="W337:W344" si="86">IFERROR(-(Q337-T337), "NA")</f>
        <v>45482.65</v>
      </c>
      <c r="X337" s="8">
        <f>IFERROR(W337/W444, "NA")</f>
        <v>0.28871367334433662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9184.74</v>
      </c>
      <c r="C338" s="8">
        <f>IFERROR(B338/B444, "NA")</f>
        <v>1.232194338096571E-2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-9184.74</v>
      </c>
      <c r="I338" s="8">
        <f>IFERROR(H338/H444, "NA")</f>
        <v>-0.11494856766400872</v>
      </c>
      <c r="J338" s="9"/>
      <c r="K338" s="7">
        <v>7413.14</v>
      </c>
      <c r="L338" s="8">
        <f>IFERROR(K338/K444, "NA")</f>
        <v>1.2687565720409157E-2</v>
      </c>
      <c r="M338" s="9"/>
      <c r="N338" s="10">
        <f t="shared" si="85"/>
        <v>-1771.5999999999995</v>
      </c>
      <c r="O338" s="8">
        <f>IFERROR(N338/N444, "NA")</f>
        <v>-1.0995998092272532E-2</v>
      </c>
      <c r="P338" s="9"/>
      <c r="Q338" s="7">
        <v>30124.42</v>
      </c>
      <c r="R338" s="8">
        <f>IFERROR(Q338/Q444, "NA")</f>
        <v>1.8157149954992305E-2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-30124.42</v>
      </c>
      <c r="X338" s="8">
        <f>IFERROR(W338/W444, "NA")</f>
        <v>-0.19122306979843082</v>
      </c>
      <c r="Y338" s="9"/>
      <c r="Z338" s="7">
        <v>22935.370000000003</v>
      </c>
      <c r="AA338" s="8">
        <f>IFERROR(Z338/Z444, "NA")</f>
        <v>1.6873856154385372E-2</v>
      </c>
      <c r="AB338" s="9"/>
      <c r="AC338" s="10">
        <f t="shared" si="87"/>
        <v>-7189.0499999999956</v>
      </c>
      <c r="AD338" s="8">
        <f>IFERROR(AC338/AC444, "NA")</f>
        <v>-2.3973975828304416E-2</v>
      </c>
    </row>
    <row r="339" spans="1:30" ht="16.5" customHeight="1" x14ac:dyDescent="0.45">
      <c r="A339" s="12" t="s">
        <v>309</v>
      </c>
      <c r="B339" s="7">
        <v>2504.58</v>
      </c>
      <c r="C339" s="8">
        <f>IFERROR(B339/B444, "NA")</f>
        <v>3.3600616841738687E-3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-2504.58</v>
      </c>
      <c r="I339" s="8">
        <f>IFERROR(H339/H444, "NA")</f>
        <v>-3.1345240431402847E-2</v>
      </c>
      <c r="J339" s="9"/>
      <c r="K339" s="7">
        <v>3129.48</v>
      </c>
      <c r="L339" s="8">
        <f>IFERROR(K339/K444, "NA")</f>
        <v>5.356095146011818E-3</v>
      </c>
      <c r="M339" s="9"/>
      <c r="N339" s="10">
        <f t="shared" si="85"/>
        <v>624.90000000000009</v>
      </c>
      <c r="O339" s="8">
        <f>IFERROR(N339/N444, "NA")</f>
        <v>3.8786403295671189E-3</v>
      </c>
      <c r="P339" s="9"/>
      <c r="Q339" s="7">
        <v>8574.59</v>
      </c>
      <c r="R339" s="8">
        <f>IFERROR(Q339/Q444, "NA")</f>
        <v>5.1682361496944162E-3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-8574.59</v>
      </c>
      <c r="X339" s="8">
        <f>IFERROR(W339/W444, "NA")</f>
        <v>-5.442957647194293E-2</v>
      </c>
      <c r="Y339" s="9"/>
      <c r="Z339" s="7">
        <v>8640.11</v>
      </c>
      <c r="AA339" s="8">
        <f>IFERROR(Z339/Z444, "NA")</f>
        <v>6.3566436163038399E-3</v>
      </c>
      <c r="AB339" s="9"/>
      <c r="AC339" s="10">
        <f t="shared" si="87"/>
        <v>65.520000000000437</v>
      </c>
      <c r="AD339" s="8">
        <f>IFERROR(AC339/AC444, "NA")</f>
        <v>2.184954752394985E-4</v>
      </c>
    </row>
    <row r="340" spans="1:30" ht="16.5" customHeight="1" x14ac:dyDescent="0.45">
      <c r="A340" s="12" t="s">
        <v>310</v>
      </c>
      <c r="B340" s="7">
        <v>2589.83</v>
      </c>
      <c r="C340" s="8">
        <f>IFERROR(B340/B444, "NA")</f>
        <v>3.4744302643652872E-3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-2589.83</v>
      </c>
      <c r="I340" s="8">
        <f>IFERROR(H340/H444, "NA")</f>
        <v>-3.2412158536145791E-2</v>
      </c>
      <c r="J340" s="9"/>
      <c r="K340" s="7">
        <v>2442.7599999999998</v>
      </c>
      <c r="L340" s="8">
        <f>IFERROR(K340/K444, "NA")</f>
        <v>4.1807760327184796E-3</v>
      </c>
      <c r="M340" s="9"/>
      <c r="N340" s="10">
        <f t="shared" si="85"/>
        <v>-147.07000000000016</v>
      </c>
      <c r="O340" s="8">
        <f>IFERROR(N340/N444, "NA")</f>
        <v>-9.1283666709783442E-4</v>
      </c>
      <c r="P340" s="9"/>
      <c r="Q340" s="7">
        <v>7988.52</v>
      </c>
      <c r="R340" s="8">
        <f>IFERROR(Q340/Q444, "NA")</f>
        <v>4.814989153598812E-3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-7988.52</v>
      </c>
      <c r="X340" s="8">
        <f>IFERROR(W340/W444, "NA")</f>
        <v>-5.0709335401184844E-2</v>
      </c>
      <c r="Y340" s="9"/>
      <c r="Z340" s="7">
        <v>7177.48</v>
      </c>
      <c r="AA340" s="8">
        <f>IFERROR(Z340/Z444, "NA")</f>
        <v>5.2805673102713363E-3</v>
      </c>
      <c r="AB340" s="9"/>
      <c r="AC340" s="10">
        <f t="shared" si="87"/>
        <v>-811.04000000000087</v>
      </c>
      <c r="AD340" s="8">
        <f>IFERROR(AC340/AC444, "NA")</f>
        <v>-2.7046485079096744E-3</v>
      </c>
    </row>
    <row r="341" spans="1:30" ht="16.5" customHeight="1" x14ac:dyDescent="0.45">
      <c r="A341" s="12" t="s">
        <v>311</v>
      </c>
      <c r="B341" s="7">
        <v>1864.19</v>
      </c>
      <c r="C341" s="8">
        <f>IFERROR(B341/B444, "NA")</f>
        <v>2.5009356423113197E-3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-1864.19</v>
      </c>
      <c r="I341" s="8">
        <f>IFERROR(H341/H444, "NA")</f>
        <v>-2.3330651749920894E-2</v>
      </c>
      <c r="J341" s="9"/>
      <c r="K341" s="7">
        <v>1749.2800000000002</v>
      </c>
      <c r="L341" s="8">
        <f>IFERROR(K341/K444, "NA")</f>
        <v>2.9938872007539761E-3</v>
      </c>
      <c r="M341" s="9"/>
      <c r="N341" s="10">
        <f t="shared" si="85"/>
        <v>-114.90999999999985</v>
      </c>
      <c r="O341" s="8">
        <f>IFERROR(N341/N444, "NA")</f>
        <v>-7.13225412498891E-4</v>
      </c>
      <c r="P341" s="9"/>
      <c r="Q341" s="7">
        <v>5630.99</v>
      </c>
      <c r="R341" s="8">
        <f>IFERROR(Q341/Q444, "NA")</f>
        <v>3.3940148831101847E-3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-5630.99</v>
      </c>
      <c r="X341" s="8">
        <f>IFERROR(W341/W444, "NA")</f>
        <v>-3.5744263086368668E-2</v>
      </c>
      <c r="Y341" s="9"/>
      <c r="Z341" s="7">
        <v>5246.9</v>
      </c>
      <c r="AA341" s="8">
        <f>IFERROR(Z341/Z444, "NA")</f>
        <v>3.8602139776443369E-3</v>
      </c>
      <c r="AB341" s="9"/>
      <c r="AC341" s="10">
        <f t="shared" si="87"/>
        <v>-384.09000000000015</v>
      </c>
      <c r="AD341" s="8">
        <f>IFERROR(AC341/AC444, "NA")</f>
        <v>-1.2808596929905136E-3</v>
      </c>
    </row>
    <row r="342" spans="1:30" ht="16.5" customHeight="1" x14ac:dyDescent="0.45">
      <c r="A342" s="13" t="s">
        <v>312</v>
      </c>
      <c r="B342" s="14">
        <f>IFERROR(B337+B338+B339+B340+B341, "NA")</f>
        <v>16143.34</v>
      </c>
      <c r="C342" s="15">
        <f>IFERROR(B342/B444, "NA")</f>
        <v>2.1657370971816189E-2</v>
      </c>
      <c r="D342" s="2"/>
      <c r="E342" s="14">
        <f>IFERROR(E337+E338+E339+E340+E341, "NA")</f>
        <v>14341.219999999998</v>
      </c>
      <c r="F342" s="15">
        <f>IFERROR(E342/E444, "NA")</f>
        <v>2.15497363094143E-2</v>
      </c>
      <c r="G342" s="2"/>
      <c r="H342" s="14">
        <f t="shared" si="84"/>
        <v>-1802.1200000000026</v>
      </c>
      <c r="I342" s="15">
        <f>IFERROR(H342/H444, "NA")</f>
        <v>-2.2553835248320987E-2</v>
      </c>
      <c r="J342" s="2"/>
      <c r="K342" s="14">
        <f>IFERROR(K337+K338+K339+K340+K341, "NA")</f>
        <v>14734.660000000002</v>
      </c>
      <c r="L342" s="15">
        <f>IFERROR(K342/K444, "NA")</f>
        <v>2.5218324099893434E-2</v>
      </c>
      <c r="M342" s="2"/>
      <c r="N342" s="14">
        <f t="shared" si="85"/>
        <v>-1408.6799999999985</v>
      </c>
      <c r="O342" s="15">
        <f>IFERROR(N342/N444, "NA")</f>
        <v>-8.7434198423021314E-3</v>
      </c>
      <c r="P342" s="2"/>
      <c r="Q342" s="14">
        <f>IFERROR(Q337+Q338+Q339+Q340+Q341, "NA")</f>
        <v>52318.52</v>
      </c>
      <c r="R342" s="15">
        <f>IFERROR(Q342/Q444, "NA")</f>
        <v>3.1534390141395717E-2</v>
      </c>
      <c r="S342" s="2"/>
      <c r="T342" s="14">
        <f>IFERROR(T337+T338+T339+T340+T341, "NA")</f>
        <v>45482.65</v>
      </c>
      <c r="U342" s="15">
        <f>IFERROR(T342/T444, "NA")</f>
        <v>3.0290293234578346E-2</v>
      </c>
      <c r="V342" s="2"/>
      <c r="W342" s="14">
        <f t="shared" si="86"/>
        <v>-6835.8699999999953</v>
      </c>
      <c r="X342" s="15">
        <f>IFERROR(W342/W444, "NA")</f>
        <v>-4.3392571413590653E-2</v>
      </c>
      <c r="Y342" s="2"/>
      <c r="Z342" s="14">
        <f>IFERROR(Z337+Z338+Z339+Z340+Z341, "NA")</f>
        <v>43999.860000000008</v>
      </c>
      <c r="AA342" s="15">
        <f>IFERROR(Z342/Z444, "NA")</f>
        <v>3.2371281058604887E-2</v>
      </c>
      <c r="AB342" s="2"/>
      <c r="AC342" s="14">
        <f t="shared" si="87"/>
        <v>-8318.6599999999889</v>
      </c>
      <c r="AD342" s="15">
        <f>IFERROR(AC342/AC444, "NA")</f>
        <v>-2.774098855396508E-2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89757.780000000028</v>
      </c>
      <c r="C343" s="15">
        <f>IFERROR(B343/B444, "NA")</f>
        <v>0.12041606873587896</v>
      </c>
      <c r="D343" s="2"/>
      <c r="E343" s="14">
        <f>IFERROR(E328+E329+E330+E331+E332+E333+E334+E335+E337+E338+E339+E340+E341, "NA")</f>
        <v>86765.86</v>
      </c>
      <c r="F343" s="15">
        <f>IFERROR(E343/E444, "NA")</f>
        <v>0.13037812708120775</v>
      </c>
      <c r="G343" s="2"/>
      <c r="H343" s="14">
        <f t="shared" si="84"/>
        <v>-2991.9200000000274</v>
      </c>
      <c r="I343" s="15">
        <f>IFERROR(H343/H444, "NA")</f>
        <v>-3.7444382591701464E-2</v>
      </c>
      <c r="J343" s="2"/>
      <c r="K343" s="14">
        <f>IFERROR(K328+K329+K330+K331+K332+K333+K334+K335+K337+K338+K339+K340+K341, "NA")</f>
        <v>80749.929999999993</v>
      </c>
      <c r="L343" s="15">
        <f>IFERROR(K343/K444, "NA")</f>
        <v>0.13820325041661682</v>
      </c>
      <c r="M343" s="2"/>
      <c r="N343" s="14">
        <f t="shared" si="85"/>
        <v>-9007.8500000000349</v>
      </c>
      <c r="O343" s="15">
        <f>IFERROR(N343/N444, "NA")</f>
        <v>-5.5910082081439112E-2</v>
      </c>
      <c r="P343" s="2"/>
      <c r="Q343" s="14">
        <f>IFERROR(Q328+Q329+Q330+Q331+Q332+Q333+Q334+Q335+Q337+Q338+Q339+Q340+Q341, "NA")</f>
        <v>250750.02999999997</v>
      </c>
      <c r="R343" s="15">
        <f>IFERROR(Q343/Q444, "NA")</f>
        <v>0.15113671552610203</v>
      </c>
      <c r="S343" s="2"/>
      <c r="T343" s="14">
        <f>IFERROR(T328+T329+T330+T331+T332+T333+T334+T335+T337+T338+T339+T340+T341, "NA")</f>
        <v>238259.11</v>
      </c>
      <c r="U343" s="15">
        <f>IFERROR(T343/T444, "NA")</f>
        <v>0.15867453430505163</v>
      </c>
      <c r="V343" s="2"/>
      <c r="W343" s="14">
        <f t="shared" si="86"/>
        <v>-12490.919999999984</v>
      </c>
      <c r="X343" s="15">
        <f>IFERROR(W343/W444, "NA")</f>
        <v>-7.9289561990126697E-2</v>
      </c>
      <c r="Y343" s="2"/>
      <c r="Z343" s="14">
        <f>IFERROR(Z328+Z329+Z330+Z331+Z332+Z333+Z334+Z335+Z337+Z338+Z339+Z340+Z341, "NA")</f>
        <v>229788.64999999997</v>
      </c>
      <c r="AA343" s="15">
        <f>IFERROR(Z343/Z444, "NA")</f>
        <v>0.16905856003240433</v>
      </c>
      <c r="AB343" s="2"/>
      <c r="AC343" s="14">
        <f t="shared" si="87"/>
        <v>-20961.380000000005</v>
      </c>
      <c r="AD343" s="15">
        <f>IFERROR(AC343/AC444, "NA")</f>
        <v>-6.9901811428200386E-2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89757.780000000028</v>
      </c>
      <c r="C344" s="15">
        <f>IFERROR(B344/B444, "NA")</f>
        <v>0.12041606873587896</v>
      </c>
      <c r="D344" s="2"/>
      <c r="E344" s="14">
        <f>IFERROR(E328+E329+E330+E331+E332+E333+E334+E335+E337+E338+E339+E340+E341, "NA")</f>
        <v>86765.86</v>
      </c>
      <c r="F344" s="15">
        <f>IFERROR(E344/E444, "NA")</f>
        <v>0.13037812708120775</v>
      </c>
      <c r="G344" s="2"/>
      <c r="H344" s="14">
        <f t="shared" si="84"/>
        <v>-2991.9200000000274</v>
      </c>
      <c r="I344" s="15">
        <f>IFERROR(H344/H444, "NA")</f>
        <v>-3.7444382591701464E-2</v>
      </c>
      <c r="J344" s="2"/>
      <c r="K344" s="14">
        <f>IFERROR(K328+K329+K330+K331+K332+K333+K334+K335+K337+K338+K339+K340+K341, "NA")</f>
        <v>80749.929999999993</v>
      </c>
      <c r="L344" s="15">
        <f>IFERROR(K344/K444, "NA")</f>
        <v>0.13820325041661682</v>
      </c>
      <c r="M344" s="2"/>
      <c r="N344" s="14">
        <f t="shared" si="85"/>
        <v>-9007.8500000000349</v>
      </c>
      <c r="O344" s="15">
        <f>IFERROR(N344/N444, "NA")</f>
        <v>-5.5910082081439112E-2</v>
      </c>
      <c r="P344" s="2"/>
      <c r="Q344" s="14">
        <f>IFERROR(Q328+Q329+Q330+Q331+Q332+Q333+Q334+Q335+Q337+Q338+Q339+Q340+Q341, "NA")</f>
        <v>250750.02999999997</v>
      </c>
      <c r="R344" s="15">
        <f>IFERROR(Q344/Q444, "NA")</f>
        <v>0.15113671552610203</v>
      </c>
      <c r="S344" s="2"/>
      <c r="T344" s="14">
        <f>IFERROR(T328+T329+T330+T331+T332+T333+T334+T335+T337+T338+T339+T340+T341, "NA")</f>
        <v>238259.11</v>
      </c>
      <c r="U344" s="15">
        <f>IFERROR(T344/T444, "NA")</f>
        <v>0.15867453430505163</v>
      </c>
      <c r="V344" s="2"/>
      <c r="W344" s="14">
        <f t="shared" si="86"/>
        <v>-12490.919999999984</v>
      </c>
      <c r="X344" s="15">
        <f>IFERROR(W344/W444, "NA")</f>
        <v>-7.9289561990126697E-2</v>
      </c>
      <c r="Y344" s="2"/>
      <c r="Z344" s="14">
        <f>IFERROR(Z328+Z329+Z330+Z331+Z332+Z333+Z334+Z335+Z337+Z338+Z339+Z340+Z341, "NA")</f>
        <v>229788.64999999997</v>
      </c>
      <c r="AA344" s="15">
        <f>IFERROR(Z344/Z444, "NA")</f>
        <v>0.16905856003240433</v>
      </c>
      <c r="AB344" s="2"/>
      <c r="AC344" s="14">
        <f t="shared" si="87"/>
        <v>-20961.380000000005</v>
      </c>
      <c r="AD344" s="15">
        <f>IFERROR(AC344/AC444, "NA")</f>
        <v>-6.9901811428200386E-2</v>
      </c>
    </row>
    <row r="345" spans="1:30" ht="16.5" customHeight="1" x14ac:dyDescent="0.45">
      <c r="A345" s="22" t="s">
        <v>315</v>
      </c>
      <c r="B345" s="23">
        <f>IFERROR(B198-B325-B344, "NA")</f>
        <v>62909.330000000045</v>
      </c>
      <c r="C345" s="24">
        <f>IFERROR(B345/B444, "NA")</f>
        <v>8.4397076280274472E-2</v>
      </c>
      <c r="D345" s="25"/>
      <c r="E345" s="23">
        <f>IFERROR(E198-E325-E344, "NA")</f>
        <v>78526.040000000052</v>
      </c>
      <c r="F345" s="24">
        <f>IFERROR(E345/E444, "NA")</f>
        <v>0.11799661782069595</v>
      </c>
      <c r="G345" s="25"/>
      <c r="H345" s="23">
        <f>IFERROR(B345-E345, "NA")</f>
        <v>-15616.710000000006</v>
      </c>
      <c r="I345" s="24">
        <f>IFERROR(H345/H444, "NA")</f>
        <v>-0.1954457552553695</v>
      </c>
      <c r="J345" s="25"/>
      <c r="K345" s="23">
        <f>IFERROR(K198-K325-K344, "NA")</f>
        <v>42327.99000000018</v>
      </c>
      <c r="L345" s="24">
        <f>IFERROR(K345/K444, "NA")</f>
        <v>7.2444221333716058E-2</v>
      </c>
      <c r="M345" s="25"/>
      <c r="N345" s="23">
        <f>IFERROR(B345-K345, "NA")</f>
        <v>20581.339999999866</v>
      </c>
      <c r="O345" s="24">
        <f>IFERROR(N345/N444, "NA")</f>
        <v>0.12774462371664649</v>
      </c>
      <c r="P345" s="25"/>
      <c r="Q345" s="23">
        <f>IFERROR(Q198-Q325-Q344, "NA")</f>
        <v>14674.750000000175</v>
      </c>
      <c r="R345" s="24">
        <f>IFERROR(Q345/Q444, "NA")</f>
        <v>8.8450378895934424E-3</v>
      </c>
      <c r="S345" s="25"/>
      <c r="T345" s="23">
        <f>IFERROR(T198-T325-T344, "NA")</f>
        <v>66009.830000000133</v>
      </c>
      <c r="U345" s="24">
        <f>IFERROR(T345/T444, "NA")</f>
        <v>4.39608753461962E-2</v>
      </c>
      <c r="V345" s="25"/>
      <c r="W345" s="23">
        <f>IFERROR(Q345-T345, "NA")</f>
        <v>-51335.079999999958</v>
      </c>
      <c r="X345" s="24">
        <f>IFERROR(W345/W444, "NA")</f>
        <v>-0.32586358794453213</v>
      </c>
      <c r="Y345" s="25"/>
      <c r="Z345" s="23">
        <f>IFERROR(Z198-Z325-Z344, "NA")</f>
        <v>5311.2400000004563</v>
      </c>
      <c r="AA345" s="24">
        <f>IFERROR(Z345/Z444, "NA")</f>
        <v>3.9075497696974349E-3</v>
      </c>
      <c r="AB345" s="25"/>
      <c r="AC345" s="23">
        <f>IFERROR(Q345-Z345, "NA")</f>
        <v>9363.5099999997183</v>
      </c>
      <c r="AD345" s="24">
        <f>IFERROR(AC345/AC444, "NA")</f>
        <v>3.1225344434672182E-2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52984.55</v>
      </c>
      <c r="C350" s="8">
        <f>IFERROR(B350/B444, "NA")</f>
        <v>7.1082319713562589E-2</v>
      </c>
      <c r="D350" s="9"/>
      <c r="E350" s="7">
        <v>69952</v>
      </c>
      <c r="F350" s="8">
        <f>IFERROR(E350/E444, "NA")</f>
        <v>0.1051128951592786</v>
      </c>
      <c r="G350" s="9"/>
      <c r="H350" s="10">
        <f t="shared" si="88"/>
        <v>16967.449999999997</v>
      </c>
      <c r="I350" s="8">
        <f>IFERROR(H350/H444, "NA")</f>
        <v>0.21235049379848361</v>
      </c>
      <c r="J350" s="9"/>
      <c r="K350" s="7">
        <v>63292.800000000003</v>
      </c>
      <c r="L350" s="8">
        <f>IFERROR(K350/K444, "NA")</f>
        <v>0.10832542750153278</v>
      </c>
      <c r="M350" s="9"/>
      <c r="N350" s="10">
        <f t="shared" si="89"/>
        <v>10308.25</v>
      </c>
      <c r="O350" s="8">
        <f>IFERROR(N350/N444, "NA")</f>
        <v>6.3981427712050329E-2</v>
      </c>
      <c r="P350" s="9"/>
      <c r="Q350" s="7">
        <v>178871.97</v>
      </c>
      <c r="R350" s="8">
        <f>IFERROR(Q350/Q444, "NA")</f>
        <v>0.10781303613596162</v>
      </c>
      <c r="S350" s="9"/>
      <c r="T350" s="7">
        <v>194567</v>
      </c>
      <c r="U350" s="8">
        <f>IFERROR(T350/T444, "NA")</f>
        <v>0.12957669537223984</v>
      </c>
      <c r="V350" s="9"/>
      <c r="W350" s="10">
        <f t="shared" si="90"/>
        <v>15695.029999999999</v>
      </c>
      <c r="X350" s="8">
        <f>IFERROR(W350/W444, "NA")</f>
        <v>9.9628534497210749E-2</v>
      </c>
      <c r="Y350" s="9"/>
      <c r="Z350" s="7">
        <v>169705.34</v>
      </c>
      <c r="AA350" s="8">
        <f>IFERROR(Z350/Z444, "NA")</f>
        <v>0.12485447131618377</v>
      </c>
      <c r="AB350" s="9"/>
      <c r="AC350" s="10">
        <f t="shared" si="91"/>
        <v>-9166.6300000000047</v>
      </c>
      <c r="AD350" s="8">
        <f>IFERROR(AC350/AC444, "NA")</f>
        <v>-3.0568790875986445E-2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6875</v>
      </c>
      <c r="F352" s="8">
        <f>IFERROR(E352/E444, "NA")</f>
        <v>1.0330671806668006E-2</v>
      </c>
      <c r="G352" s="9"/>
      <c r="H352" s="10">
        <f t="shared" si="88"/>
        <v>6875</v>
      </c>
      <c r="I352" s="8">
        <f>IFERROR(H352/H444, "NA")</f>
        <v>8.6041782640560324E-2</v>
      </c>
      <c r="J352" s="9"/>
      <c r="K352" s="7">
        <v>12500</v>
      </c>
      <c r="L352" s="8">
        <f>IFERROR(K352/K444, "NA")</f>
        <v>2.1393710560587614E-2</v>
      </c>
      <c r="M352" s="9"/>
      <c r="N352" s="10">
        <f t="shared" si="89"/>
        <v>12500</v>
      </c>
      <c r="O352" s="8">
        <f>IFERROR(N352/N444, "NA")</f>
        <v>7.7585220226578613E-2</v>
      </c>
      <c r="P352" s="9"/>
      <c r="Q352" s="7">
        <v>0</v>
      </c>
      <c r="R352" s="8">
        <f>IFERROR(Q352/Q444, "NA")</f>
        <v>0</v>
      </c>
      <c r="S352" s="9"/>
      <c r="T352" s="7">
        <v>6875</v>
      </c>
      <c r="U352" s="8">
        <f>IFERROR(T352/T444, "NA")</f>
        <v>4.578575918239727E-3</v>
      </c>
      <c r="V352" s="9"/>
      <c r="W352" s="10">
        <f t="shared" si="90"/>
        <v>6875</v>
      </c>
      <c r="X352" s="8">
        <f>IFERROR(W352/W444, "NA")</f>
        <v>4.3640959887832259E-2</v>
      </c>
      <c r="Y352" s="9"/>
      <c r="Z352" s="7">
        <v>25769.25</v>
      </c>
      <c r="AA352" s="8">
        <f>IFERROR(Z352/Z444, "NA")</f>
        <v>1.8958779287467139E-2</v>
      </c>
      <c r="AB352" s="9"/>
      <c r="AC352" s="10">
        <f t="shared" si="91"/>
        <v>25769.25</v>
      </c>
      <c r="AD352" s="8">
        <f>IFERROR(AC352/AC444, "NA")</f>
        <v>8.5935050752677183E-2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5556.82</v>
      </c>
      <c r="F353" s="8">
        <f>IFERROR(E353/E444, "NA")</f>
        <v>8.3499176303605677E-3</v>
      </c>
      <c r="G353" s="9"/>
      <c r="H353" s="10">
        <f t="shared" si="88"/>
        <v>5556.82</v>
      </c>
      <c r="I353" s="8">
        <f>IFERROR(H353/H444, "NA")</f>
        <v>6.9544537980031768E-2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6774.8</v>
      </c>
      <c r="R353" s="8">
        <f>IFERROR(Q353/Q444, "NA")</f>
        <v>4.0834332914984547E-3</v>
      </c>
      <c r="S353" s="9"/>
      <c r="T353" s="7">
        <v>12784.64</v>
      </c>
      <c r="U353" s="8">
        <f>IFERROR(T353/T444, "NA")</f>
        <v>8.5142465203439047E-3</v>
      </c>
      <c r="V353" s="9"/>
      <c r="W353" s="10">
        <f t="shared" si="90"/>
        <v>6009.8399999999992</v>
      </c>
      <c r="X353" s="8">
        <f>IFERROR(W353/W444, "NA")</f>
        <v>3.8149118017787607E-2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-6774.8</v>
      </c>
      <c r="AD353" s="8">
        <f>IFERROR(AC353/AC444, "NA")</f>
        <v>-2.2592538853060815E-2</v>
      </c>
    </row>
    <row r="354" spans="1:30" ht="16.5" customHeight="1" x14ac:dyDescent="0.45">
      <c r="A354" s="6" t="s">
        <v>323</v>
      </c>
      <c r="B354" s="7">
        <v>4322.99</v>
      </c>
      <c r="C354" s="8">
        <f>IFERROR(B354/B444, "NA")</f>
        <v>5.799580392747204E-3</v>
      </c>
      <c r="D354" s="9"/>
      <c r="E354" s="7">
        <v>6389.33</v>
      </c>
      <c r="F354" s="8">
        <f>IFERROR(E354/E444, "NA")</f>
        <v>9.6008830973815414E-3</v>
      </c>
      <c r="G354" s="9"/>
      <c r="H354" s="10">
        <f t="shared" si="88"/>
        <v>2066.34</v>
      </c>
      <c r="I354" s="8">
        <f>IFERROR(H354/H444, "NA")</f>
        <v>2.586059303876297E-2</v>
      </c>
      <c r="J354" s="9"/>
      <c r="K354" s="7">
        <v>5576.19</v>
      </c>
      <c r="L354" s="8">
        <f>IFERROR(K354/K444, "NA")</f>
        <v>9.5436315912674433E-3</v>
      </c>
      <c r="M354" s="9"/>
      <c r="N354" s="10">
        <f t="shared" si="89"/>
        <v>1253.1999999999998</v>
      </c>
      <c r="O354" s="8">
        <f>IFERROR(N354/N444, "NA")</f>
        <v>7.7783838390358649E-3</v>
      </c>
      <c r="P354" s="9"/>
      <c r="Q354" s="7">
        <v>16730.3</v>
      </c>
      <c r="R354" s="8">
        <f>IFERROR(Q354/Q444, "NA")</f>
        <v>1.0083997165489252E-2</v>
      </c>
      <c r="S354" s="9"/>
      <c r="T354" s="7">
        <v>18641.419999999998</v>
      </c>
      <c r="U354" s="8">
        <f>IFERROR(T354/T444, "NA")</f>
        <v>1.2414713700915259E-2</v>
      </c>
      <c r="V354" s="9"/>
      <c r="W354" s="10">
        <f t="shared" si="90"/>
        <v>1911.119999999999</v>
      </c>
      <c r="X354" s="8">
        <f>IFERROR(W354/W444, "NA")</f>
        <v>1.2131361637939483E-2</v>
      </c>
      <c r="Y354" s="9"/>
      <c r="Z354" s="7">
        <v>15384.31</v>
      </c>
      <c r="AA354" s="8">
        <f>IFERROR(Z354/Z444, "NA")</f>
        <v>1.13184410791922E-2</v>
      </c>
      <c r="AB354" s="9"/>
      <c r="AC354" s="10">
        <f t="shared" si="91"/>
        <v>-1345.9899999999998</v>
      </c>
      <c r="AD354" s="8">
        <f>IFERROR(AC354/AC444, "NA")</f>
        <v>-4.4885946995972311E-3</v>
      </c>
    </row>
    <row r="355" spans="1:30" ht="16.5" customHeight="1" x14ac:dyDescent="0.45">
      <c r="A355" s="6" t="s">
        <v>324</v>
      </c>
      <c r="B355" s="7">
        <v>254.4</v>
      </c>
      <c r="C355" s="8">
        <f>IFERROR(B355/B444, "NA")</f>
        <v>3.4129462522811501E-4</v>
      </c>
      <c r="D355" s="9"/>
      <c r="E355" s="7">
        <v>350</v>
      </c>
      <c r="F355" s="8">
        <f>IFERROR(E355/E444, "NA")</f>
        <v>5.2592511015764397E-4</v>
      </c>
      <c r="G355" s="9"/>
      <c r="H355" s="10">
        <f t="shared" si="88"/>
        <v>95.6</v>
      </c>
      <c r="I355" s="8">
        <f>IFERROR(H355/H444, "NA")</f>
        <v>1.1964500975181914E-3</v>
      </c>
      <c r="J355" s="9"/>
      <c r="K355" s="7">
        <v>508.8</v>
      </c>
      <c r="L355" s="8">
        <f>IFERROR(K355/K444, "NA")</f>
        <v>8.7080959465815828E-4</v>
      </c>
      <c r="M355" s="9"/>
      <c r="N355" s="10">
        <f t="shared" si="89"/>
        <v>254.4</v>
      </c>
      <c r="O355" s="8">
        <f>IFERROR(N355/N444, "NA")</f>
        <v>1.5790144020513281E-3</v>
      </c>
      <c r="P355" s="9"/>
      <c r="Q355" s="7">
        <v>795</v>
      </c>
      <c r="R355" s="8">
        <f>IFERROR(Q355/Q444, "NA")</f>
        <v>4.7917716637262668E-4</v>
      </c>
      <c r="S355" s="9"/>
      <c r="T355" s="7">
        <v>910</v>
      </c>
      <c r="U355" s="8">
        <f>IFERROR(T355/T444, "NA")</f>
        <v>6.0603695790518563E-4</v>
      </c>
      <c r="V355" s="9"/>
      <c r="W355" s="10">
        <f t="shared" si="90"/>
        <v>115</v>
      </c>
      <c r="X355" s="8">
        <f>IFERROR(W355/W444, "NA")</f>
        <v>7.2999423812373967E-4</v>
      </c>
      <c r="Y355" s="9"/>
      <c r="Z355" s="7">
        <v>775.92</v>
      </c>
      <c r="AA355" s="8">
        <f>IFERROR(Z355/Z444, "NA")</f>
        <v>5.7085464360551825E-4</v>
      </c>
      <c r="AB355" s="9"/>
      <c r="AC355" s="10">
        <f t="shared" si="91"/>
        <v>-19.080000000000041</v>
      </c>
      <c r="AD355" s="8">
        <f>IFERROR(AC355/AC444, "NA")</f>
        <v>-6.3627803229084434E-5</v>
      </c>
    </row>
    <row r="356" spans="1:30" ht="16.5" customHeight="1" x14ac:dyDescent="0.45">
      <c r="A356" s="6" t="s">
        <v>325</v>
      </c>
      <c r="B356" s="7">
        <v>8472.5</v>
      </c>
      <c r="C356" s="8">
        <f>IFERROR(B356/B444, "NA")</f>
        <v>1.1366425755680835E-2</v>
      </c>
      <c r="D356" s="9"/>
      <c r="E356" s="7">
        <v>6187.5</v>
      </c>
      <c r="F356" s="8">
        <f>IFERROR(E356/E444, "NA")</f>
        <v>9.297604626001205E-3</v>
      </c>
      <c r="G356" s="9"/>
      <c r="H356" s="10">
        <f t="shared" si="88"/>
        <v>-2285</v>
      </c>
      <c r="I356" s="8">
        <f>IFERROR(H356/H444, "NA")</f>
        <v>-2.859715975762623E-2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-8472.5</v>
      </c>
      <c r="O356" s="8">
        <f>IFERROR(N356/N444, "NA")</f>
        <v>-5.258726226957499E-2</v>
      </c>
      <c r="P356" s="9"/>
      <c r="Q356" s="7">
        <v>20847.5</v>
      </c>
      <c r="R356" s="8">
        <f>IFERROR(Q356/Q444, "NA")</f>
        <v>1.2565592422582811E-2</v>
      </c>
      <c r="S356" s="9"/>
      <c r="T356" s="7">
        <v>18562.5</v>
      </c>
      <c r="U356" s="8">
        <f>IFERROR(T356/T444, "NA")</f>
        <v>1.2362154979247263E-2</v>
      </c>
      <c r="V356" s="9"/>
      <c r="W356" s="10">
        <f t="shared" si="90"/>
        <v>-2285</v>
      </c>
      <c r="X356" s="8">
        <f>IFERROR(W356/W444, "NA")</f>
        <v>-1.4504668122719522E-2</v>
      </c>
      <c r="Y356" s="9"/>
      <c r="Z356" s="7">
        <v>1800</v>
      </c>
      <c r="AA356" s="8">
        <f>IFERROR(Z356/Z444, "NA")</f>
        <v>1.3242838933007694E-3</v>
      </c>
      <c r="AB356" s="9"/>
      <c r="AC356" s="10">
        <f t="shared" si="91"/>
        <v>-19047.5</v>
      </c>
      <c r="AD356" s="8">
        <f>IFERROR(AC356/AC444, "NA")</f>
        <v>-6.3519422537001213E-2</v>
      </c>
    </row>
    <row r="357" spans="1:30" ht="16.5" customHeight="1" x14ac:dyDescent="0.45">
      <c r="A357" s="6" t="s">
        <v>326</v>
      </c>
      <c r="B357" s="7">
        <v>3217.47</v>
      </c>
      <c r="C357" s="8">
        <f>IFERROR(B357/B444, "NA")</f>
        <v>4.316451327958739E-3</v>
      </c>
      <c r="D357" s="9"/>
      <c r="E357" s="7">
        <v>2868.03</v>
      </c>
      <c r="F357" s="8">
        <f>IFERROR(E357/E444, "NA")</f>
        <v>4.309625696244079E-3</v>
      </c>
      <c r="G357" s="9"/>
      <c r="H357" s="10">
        <f t="shared" si="88"/>
        <v>-349.4399999999996</v>
      </c>
      <c r="I357" s="8">
        <f>IFERROR(H357/H444, "NA")</f>
        <v>-4.373300440133435E-3</v>
      </c>
      <c r="J357" s="9"/>
      <c r="K357" s="7">
        <v>1698.21</v>
      </c>
      <c r="L357" s="8">
        <f>IFERROR(K357/K444, "NA")</f>
        <v>2.9064810568876394E-3</v>
      </c>
      <c r="M357" s="9"/>
      <c r="N357" s="10">
        <f t="shared" si="89"/>
        <v>-1519.2599999999998</v>
      </c>
      <c r="O357" s="8">
        <f>IFERROR(N357/N444, "NA")</f>
        <v>-9.4297697345145457E-3</v>
      </c>
      <c r="P357" s="9"/>
      <c r="Q357" s="7">
        <v>10156.17</v>
      </c>
      <c r="R357" s="8">
        <f>IFERROR(Q357/Q444, "NA")</f>
        <v>6.1215154236461383E-3</v>
      </c>
      <c r="S357" s="9"/>
      <c r="T357" s="7">
        <v>7977.24</v>
      </c>
      <c r="U357" s="8">
        <f>IFERROR(T357/T444, "NA")</f>
        <v>5.3126398484390804E-3</v>
      </c>
      <c r="V357" s="9"/>
      <c r="W357" s="10">
        <f t="shared" si="90"/>
        <v>-2178.9300000000003</v>
      </c>
      <c r="X357" s="8">
        <f>IFERROR(W357/W444, "NA")</f>
        <v>-1.383135952413009E-2</v>
      </c>
      <c r="Y357" s="9"/>
      <c r="Z357" s="7">
        <v>6011.73</v>
      </c>
      <c r="AA357" s="8">
        <f>IFERROR(Z357/Z444, "NA")</f>
        <v>4.4229095610405743E-3</v>
      </c>
      <c r="AB357" s="9"/>
      <c r="AC357" s="10">
        <f t="shared" si="91"/>
        <v>-4144.4400000000005</v>
      </c>
      <c r="AD357" s="8">
        <f>IFERROR(AC357/AC444, "NA")</f>
        <v>-1.382083924605588E-2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69251.91</v>
      </c>
      <c r="C358" s="15">
        <f>IFERROR(B358/B444, "NA")</f>
        <v>9.2906071815177474E-2</v>
      </c>
      <c r="D358" s="2"/>
      <c r="E358" s="14">
        <f>IFERROR(E349+E350+E351+E352+E353+E354+E355+E356+E357, "NA")</f>
        <v>98178.680000000008</v>
      </c>
      <c r="F358" s="15">
        <f>IFERROR(E358/E444, "NA")</f>
        <v>0.14752752312609166</v>
      </c>
      <c r="G358" s="2"/>
      <c r="H358" s="14">
        <f t="shared" si="88"/>
        <v>28926.770000000004</v>
      </c>
      <c r="I358" s="15">
        <f>IFERROR(H358/H444, "NA")</f>
        <v>0.36202339735759731</v>
      </c>
      <c r="J358" s="2"/>
      <c r="K358" s="14">
        <f>IFERROR(K349+K350+K351+K352+K353+K354+K355+K356+K357, "NA")</f>
        <v>83576.000000000015</v>
      </c>
      <c r="L358" s="15">
        <f>IFERROR(K358/K444, "NA")</f>
        <v>0.14304006030493366</v>
      </c>
      <c r="M358" s="2"/>
      <c r="N358" s="14">
        <f t="shared" si="89"/>
        <v>14324.090000000011</v>
      </c>
      <c r="O358" s="15">
        <f>IFERROR(N358/N444, "NA")</f>
        <v>8.8907014175626672E-2</v>
      </c>
      <c r="P358" s="2"/>
      <c r="Q358" s="14">
        <f>IFERROR(Q349+Q350+Q351+Q352+Q353+Q354+Q355+Q356+Q357, "NA")</f>
        <v>234175.74</v>
      </c>
      <c r="R358" s="15">
        <f>IFERROR(Q358/Q444, "NA")</f>
        <v>0.1411467516055509</v>
      </c>
      <c r="S358" s="2"/>
      <c r="T358" s="14">
        <f>IFERROR(T349+T350+T351+T352+T353+T354+T355+T356+T357, "NA")</f>
        <v>260317.8</v>
      </c>
      <c r="U358" s="15">
        <f>IFERROR(T358/T444, "NA")</f>
        <v>0.17336506329733026</v>
      </c>
      <c r="V358" s="2"/>
      <c r="W358" s="14">
        <f t="shared" si="90"/>
        <v>26142.059999999998</v>
      </c>
      <c r="X358" s="15">
        <f>IFERROR(W358/W444, "NA")</f>
        <v>0.16594394063204423</v>
      </c>
      <c r="Y358" s="2"/>
      <c r="Z358" s="14">
        <f>IFERROR(Z349+Z350+Z351+Z352+Z353+Z354+Z355+Z356+Z357, "NA")</f>
        <v>219446.55000000002</v>
      </c>
      <c r="AA358" s="15">
        <f>IFERROR(Z358/Z444, "NA")</f>
        <v>0.16144973978079</v>
      </c>
      <c r="AB358" s="2"/>
      <c r="AC358" s="14">
        <f t="shared" si="91"/>
        <v>-14729.189999999973</v>
      </c>
      <c r="AD358" s="15">
        <f>IFERROR(AC358/AC444, "NA")</f>
        <v>-4.9118763262253382E-2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2.253964757818474E-3</v>
      </c>
      <c r="G360" s="9"/>
      <c r="H360" s="10">
        <f t="shared" ref="H360:H383" si="92">IFERROR(-(B360-E360), "NA")</f>
        <v>1500</v>
      </c>
      <c r="I360" s="8">
        <f>IFERROR(H360/H444, "NA")</f>
        <v>1.8772752576122251E-2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4000</v>
      </c>
      <c r="U360" s="8">
        <f>IFERROR(T360/T444, "NA")</f>
        <v>2.6638987160667502E-3</v>
      </c>
      <c r="V360" s="9"/>
      <c r="W360" s="10">
        <f t="shared" ref="W360:W383" si="94">IFERROR(-(Q360-T360), "NA")</f>
        <v>4000</v>
      </c>
      <c r="X360" s="8">
        <f>IFERROR(W360/W444, "NA")</f>
        <v>2.5391103934738771E-2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304.44</v>
      </c>
      <c r="L361" s="8">
        <f>IFERROR(K361/K444, "NA")</f>
        <v>5.2104809944522341E-4</v>
      </c>
      <c r="M361" s="9"/>
      <c r="N361" s="10">
        <f t="shared" si="93"/>
        <v>304.44</v>
      </c>
      <c r="O361" s="8">
        <f>IFERROR(N361/N444, "NA")</f>
        <v>1.8896035556623676E-3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652.15</v>
      </c>
      <c r="AA361" s="8">
        <f>IFERROR(Z361/Z444, "NA")</f>
        <v>4.7979541167560927E-4</v>
      </c>
      <c r="AB361" s="9"/>
      <c r="AC361" s="10">
        <f t="shared" si="95"/>
        <v>652.15</v>
      </c>
      <c r="AD361" s="8">
        <f>IFERROR(AC361/AC444, "NA")</f>
        <v>2.1747836412917888E-3</v>
      </c>
    </row>
    <row r="362" spans="1:30" ht="16.5" customHeight="1" x14ac:dyDescent="0.45">
      <c r="A362" s="6" t="s">
        <v>330</v>
      </c>
      <c r="B362" s="7">
        <v>1015.41</v>
      </c>
      <c r="C362" s="8">
        <f>IFERROR(B362/B444, "NA")</f>
        <v>1.3622404693509444E-3</v>
      </c>
      <c r="D362" s="9"/>
      <c r="E362" s="7">
        <v>400</v>
      </c>
      <c r="F362" s="8">
        <f>IFERROR(E362/E444, "NA")</f>
        <v>6.0105726875159314E-4</v>
      </c>
      <c r="G362" s="9"/>
      <c r="H362" s="10">
        <f t="shared" si="92"/>
        <v>-615.41</v>
      </c>
      <c r="I362" s="8">
        <f>IFERROR(H362/H444, "NA")</f>
        <v>-7.7019597752475957E-3</v>
      </c>
      <c r="J362" s="9"/>
      <c r="K362" s="7">
        <v>236.1</v>
      </c>
      <c r="L362" s="8">
        <f>IFERROR(K362/K444, "NA")</f>
        <v>4.0408440506837883E-4</v>
      </c>
      <c r="M362" s="9"/>
      <c r="N362" s="10">
        <f t="shared" si="93"/>
        <v>-779.31</v>
      </c>
      <c r="O362" s="8">
        <f>IFERROR(N362/N444, "NA")</f>
        <v>-4.8370350379819986E-3</v>
      </c>
      <c r="P362" s="9"/>
      <c r="Q362" s="7">
        <v>2752.84</v>
      </c>
      <c r="R362" s="8">
        <f>IFERROR(Q362/Q444, "NA")</f>
        <v>1.6592428561977631E-3</v>
      </c>
      <c r="S362" s="9"/>
      <c r="T362" s="7">
        <v>1300</v>
      </c>
      <c r="U362" s="8">
        <f>IFERROR(T362/T444, "NA")</f>
        <v>8.6576708272169379E-4</v>
      </c>
      <c r="V362" s="9"/>
      <c r="W362" s="10">
        <f t="shared" si="94"/>
        <v>-1452.8400000000001</v>
      </c>
      <c r="X362" s="8">
        <f>IFERROR(W362/W444, "NA")</f>
        <v>-9.2223028601364689E-3</v>
      </c>
      <c r="Y362" s="9"/>
      <c r="Z362" s="7">
        <v>1146.0999999999999</v>
      </c>
      <c r="AA362" s="8">
        <f>IFERROR(Z362/Z444, "NA")</f>
        <v>8.4320098339556203E-4</v>
      </c>
      <c r="AB362" s="9"/>
      <c r="AC362" s="10">
        <f t="shared" si="95"/>
        <v>-1606.7400000000002</v>
      </c>
      <c r="AD362" s="8">
        <f>IFERROR(AC362/AC444, "NA")</f>
        <v>-5.358141329156128E-3</v>
      </c>
    </row>
    <row r="363" spans="1:30" ht="16.5" customHeight="1" x14ac:dyDescent="0.45">
      <c r="A363" s="6" t="s">
        <v>331</v>
      </c>
      <c r="B363" s="7">
        <v>1644.11</v>
      </c>
      <c r="C363" s="8">
        <f>IFERROR(B363/B444, "NA")</f>
        <v>2.2056835938828465E-3</v>
      </c>
      <c r="D363" s="9"/>
      <c r="E363" s="7">
        <v>250</v>
      </c>
      <c r="F363" s="8">
        <f>IFERROR(E363/E444, "NA")</f>
        <v>3.7566079296974568E-4</v>
      </c>
      <c r="G363" s="9"/>
      <c r="H363" s="10">
        <f t="shared" si="92"/>
        <v>-1394.11</v>
      </c>
      <c r="I363" s="8">
        <f>IFERROR(H363/H444, "NA")</f>
        <v>-1.7447521395931861E-2</v>
      </c>
      <c r="J363" s="9"/>
      <c r="K363" s="7">
        <v>935.23</v>
      </c>
      <c r="L363" s="8">
        <f>IFERROR(K363/K444, "NA")</f>
        <v>1.6006431942062684E-3</v>
      </c>
      <c r="M363" s="9"/>
      <c r="N363" s="10">
        <f t="shared" si="93"/>
        <v>-708.87999999999988</v>
      </c>
      <c r="O363" s="8">
        <f>IFERROR(N363/N444, "NA")</f>
        <v>-4.3998888731373639E-3</v>
      </c>
      <c r="P363" s="9"/>
      <c r="Q363" s="7">
        <v>2694.85</v>
      </c>
      <c r="R363" s="8">
        <f>IFERROR(Q363/Q444, "NA")</f>
        <v>1.6242900462883935E-3</v>
      </c>
      <c r="S363" s="9"/>
      <c r="T363" s="7">
        <v>650</v>
      </c>
      <c r="U363" s="8">
        <f>IFERROR(T363/T444, "NA")</f>
        <v>4.3288354136084689E-4</v>
      </c>
      <c r="V363" s="9"/>
      <c r="W363" s="10">
        <f t="shared" si="94"/>
        <v>-2044.85</v>
      </c>
      <c r="X363" s="8">
        <f>IFERROR(W363/W444, "NA")</f>
        <v>-1.2980249720237643E-2</v>
      </c>
      <c r="Y363" s="9"/>
      <c r="Z363" s="7">
        <v>1389.6</v>
      </c>
      <c r="AA363" s="8">
        <f>IFERROR(Z363/Z444, "NA")</f>
        <v>1.0223471656281939E-3</v>
      </c>
      <c r="AB363" s="9"/>
      <c r="AC363" s="10">
        <f t="shared" si="95"/>
        <v>-1305.25</v>
      </c>
      <c r="AD363" s="8">
        <f>IFERROR(AC363/AC444, "NA")</f>
        <v>-4.3527353335829294E-3</v>
      </c>
    </row>
    <row r="364" spans="1:30" ht="16.5" customHeight="1" x14ac:dyDescent="0.45">
      <c r="A364" s="6" t="s">
        <v>332</v>
      </c>
      <c r="B364" s="7">
        <v>689.44</v>
      </c>
      <c r="C364" s="8">
        <f>IFERROR(B364/B444, "NA")</f>
        <v>9.2492989943896082E-4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-689.44</v>
      </c>
      <c r="I364" s="8">
        <f>IFERROR(H364/H444, "NA")</f>
        <v>-8.6284576907211512E-3</v>
      </c>
      <c r="J364" s="9"/>
      <c r="K364" s="7">
        <v>298.56</v>
      </c>
      <c r="L364" s="8">
        <f>IFERROR(K364/K444, "NA")</f>
        <v>5.1098449799752302E-4</v>
      </c>
      <c r="M364" s="9"/>
      <c r="N364" s="10">
        <f t="shared" si="93"/>
        <v>-390.88000000000005</v>
      </c>
      <c r="O364" s="8">
        <f>IFERROR(N364/N444, "NA")</f>
        <v>-2.4261208705732046E-3</v>
      </c>
      <c r="P364" s="9"/>
      <c r="Q364" s="7">
        <v>2585.9699999999998</v>
      </c>
      <c r="R364" s="8">
        <f>IFERROR(Q364/Q444, "NA")</f>
        <v>1.5586638703454355E-3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-2585.9699999999998</v>
      </c>
      <c r="X364" s="8">
        <f>IFERROR(W364/W444, "NA")</f>
        <v>-1.6415158260529104E-2</v>
      </c>
      <c r="Y364" s="9"/>
      <c r="Z364" s="7">
        <v>1619.09</v>
      </c>
      <c r="AA364" s="8">
        <f>IFERROR(Z364/Z444, "NA")</f>
        <v>1.1911860048913015E-3</v>
      </c>
      <c r="AB364" s="9"/>
      <c r="AC364" s="10">
        <f t="shared" si="95"/>
        <v>-966.87999999999988</v>
      </c>
      <c r="AD364" s="8">
        <f>IFERROR(AC364/AC444, "NA")</f>
        <v>-3.2243422634243724E-3</v>
      </c>
    </row>
    <row r="365" spans="1:30" ht="16.5" customHeight="1" x14ac:dyDescent="0.45">
      <c r="A365" s="6" t="s">
        <v>333</v>
      </c>
      <c r="B365" s="7">
        <v>-16.809999999999999</v>
      </c>
      <c r="C365" s="8">
        <f>IFERROR(B365/B444, "NA")</f>
        <v>-2.2551739976747691E-5</v>
      </c>
      <c r="D365" s="9"/>
      <c r="E365" s="7">
        <v>210</v>
      </c>
      <c r="F365" s="8">
        <f>IFERROR(E365/E444, "NA")</f>
        <v>3.1555506609458637E-4</v>
      </c>
      <c r="G365" s="9"/>
      <c r="H365" s="10">
        <f t="shared" si="92"/>
        <v>226.81</v>
      </c>
      <c r="I365" s="8">
        <f>IFERROR(H365/H444, "NA")</f>
        <v>2.8385653411935252E-3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16.809999999999999</v>
      </c>
      <c r="O365" s="8">
        <f>IFERROR(N365/N444, "NA")</f>
        <v>1.0433660416070292E-4</v>
      </c>
      <c r="P365" s="9"/>
      <c r="Q365" s="7">
        <v>879.39</v>
      </c>
      <c r="R365" s="8">
        <f>IFERROR(Q365/Q444, "NA")</f>
        <v>5.3004227463701147E-4</v>
      </c>
      <c r="S365" s="9"/>
      <c r="T365" s="7">
        <v>210</v>
      </c>
      <c r="U365" s="8">
        <f>IFERROR(T365/T444, "NA")</f>
        <v>1.3985468259350439E-4</v>
      </c>
      <c r="V365" s="9"/>
      <c r="W365" s="10">
        <f t="shared" si="94"/>
        <v>-669.39</v>
      </c>
      <c r="X365" s="8">
        <f>IFERROR(W365/W444, "NA")</f>
        <v>-4.249137765718696E-3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-879.39</v>
      </c>
      <c r="AD365" s="8">
        <f>IFERROR(AC365/AC444, "NA")</f>
        <v>-2.9325814403367107E-3</v>
      </c>
    </row>
    <row r="366" spans="1:30" ht="16.5" customHeight="1" x14ac:dyDescent="0.45">
      <c r="A366" s="6" t="s">
        <v>334</v>
      </c>
      <c r="B366" s="7">
        <v>-1049.3499999999999</v>
      </c>
      <c r="C366" s="8">
        <f>IFERROR(B366/B444, "NA")</f>
        <v>-1.407773250719821E-3</v>
      </c>
      <c r="D366" s="9"/>
      <c r="E366" s="7">
        <v>345</v>
      </c>
      <c r="F366" s="8">
        <f>IFERROR(E366/E444, "NA")</f>
        <v>5.1841189429824904E-4</v>
      </c>
      <c r="G366" s="9"/>
      <c r="H366" s="10">
        <f t="shared" si="92"/>
        <v>1394.35</v>
      </c>
      <c r="I366" s="8">
        <f>IFERROR(H366/H444, "NA")</f>
        <v>1.745052503634404E-2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1049.3499999999999</v>
      </c>
      <c r="O366" s="8">
        <f>IFERROR(N366/N444, "NA")</f>
        <v>6.5131240675808215E-3</v>
      </c>
      <c r="P366" s="9"/>
      <c r="Q366" s="7">
        <v>0</v>
      </c>
      <c r="R366" s="8">
        <f>IFERROR(Q366/Q444, "NA")</f>
        <v>0</v>
      </c>
      <c r="S366" s="9"/>
      <c r="T366" s="7">
        <v>690</v>
      </c>
      <c r="U366" s="8">
        <f>IFERROR(T366/T444, "NA")</f>
        <v>4.5952252852151439E-4</v>
      </c>
      <c r="V366" s="9"/>
      <c r="W366" s="10">
        <f t="shared" si="94"/>
        <v>690</v>
      </c>
      <c r="X366" s="8">
        <f>IFERROR(W366/W444, "NA")</f>
        <v>4.3799654287424378E-3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customHeight="1" x14ac:dyDescent="0.45">
      <c r="A367" s="6" t="s">
        <v>335</v>
      </c>
      <c r="B367" s="7">
        <v>5481.74</v>
      </c>
      <c r="C367" s="8">
        <f>IFERROR(B367/B444, "NA")</f>
        <v>7.354121064850499E-3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-5481.74</v>
      </c>
      <c r="I367" s="8">
        <f>IFERROR(H367/H444, "NA")</f>
        <v>-6.8604899137754929E-2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-5481.74</v>
      </c>
      <c r="O367" s="8">
        <f>IFERROR(N367/N444, "NA")</f>
        <v>-3.4024160409987604E-2</v>
      </c>
      <c r="P367" s="9"/>
      <c r="Q367" s="7">
        <v>5481.74</v>
      </c>
      <c r="R367" s="8">
        <f>IFERROR(Q367/Q444, "NA")</f>
        <v>3.3040561509326822E-3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-5481.74</v>
      </c>
      <c r="X367" s="8">
        <f>IFERROR(W367/W444, "NA")</f>
        <v>-3.4796857520803727E-2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-5481.74</v>
      </c>
      <c r="AD367" s="8">
        <f>IFERROR(AC367/AC444, "NA")</f>
        <v>-1.8280454615985355E-2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7764.54</v>
      </c>
      <c r="C368" s="15">
        <f>IFERROR(B368/B444, "NA")</f>
        <v>1.0416650036826682E-2</v>
      </c>
      <c r="D368" s="2"/>
      <c r="E368" s="14">
        <f>IFERROR(E360+E361+E362+E363+E364+E365+E366+E367, "NA")</f>
        <v>2705</v>
      </c>
      <c r="F368" s="15">
        <f>IFERROR(E368/E444, "NA")</f>
        <v>4.064649779932648E-3</v>
      </c>
      <c r="G368" s="2"/>
      <c r="H368" s="14">
        <f t="shared" si="92"/>
        <v>-5059.54</v>
      </c>
      <c r="I368" s="15">
        <f>IFERROR(H368/H444, "NA")</f>
        <v>-6.3320995045995712E-2</v>
      </c>
      <c r="J368" s="2"/>
      <c r="K368" s="14">
        <f>IFERROR(K360+K361+K362+K363+K364+K365+K366+K367, "NA")</f>
        <v>1774.33</v>
      </c>
      <c r="L368" s="15">
        <f>IFERROR(K368/K444, "NA")</f>
        <v>3.0367601967173936E-3</v>
      </c>
      <c r="M368" s="2"/>
      <c r="N368" s="14">
        <f t="shared" si="93"/>
        <v>-5990.21</v>
      </c>
      <c r="O368" s="15">
        <f>IFERROR(N368/N444, "NA")</f>
        <v>-3.7180140964276284E-2</v>
      </c>
      <c r="P368" s="2"/>
      <c r="Q368" s="14">
        <f>IFERROR(Q360+Q361+Q362+Q363+Q364+Q365+Q366+Q367, "NA")</f>
        <v>14394.789999999999</v>
      </c>
      <c r="R368" s="15">
        <f>IFERROR(Q368/Q444, "NA")</f>
        <v>8.6762951984012855E-3</v>
      </c>
      <c r="S368" s="2"/>
      <c r="T368" s="14">
        <f>IFERROR(T360+T361+T362+T363+T364+T365+T366+T367, "NA")</f>
        <v>6850</v>
      </c>
      <c r="U368" s="15">
        <f>IFERROR(T368/T444, "NA")</f>
        <v>4.5619265512643094E-3</v>
      </c>
      <c r="V368" s="2"/>
      <c r="W368" s="14">
        <f t="shared" si="94"/>
        <v>-7544.7899999999991</v>
      </c>
      <c r="X368" s="15">
        <f>IFERROR(W368/W444, "NA")</f>
        <v>-4.7892636763944424E-2</v>
      </c>
      <c r="Y368" s="2"/>
      <c r="Z368" s="14">
        <f>IFERROR(Z360+Z361+Z362+Z363+Z364+Z365+Z366+Z367, "NA")</f>
        <v>4806.9399999999996</v>
      </c>
      <c r="AA368" s="15">
        <f>IFERROR(Z368/Z444, "NA")</f>
        <v>3.5365295655906664E-3</v>
      </c>
      <c r="AB368" s="2"/>
      <c r="AC368" s="14">
        <f t="shared" si="95"/>
        <v>-9587.8499999999985</v>
      </c>
      <c r="AD368" s="15">
        <f>IFERROR(AC368/AC444, "NA")</f>
        <v>-3.1973471341193702E-2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768</v>
      </c>
      <c r="C370" s="8">
        <f>IFERROR(B370/B444, "NA")</f>
        <v>1.0303233969150641E-3</v>
      </c>
      <c r="D370" s="9"/>
      <c r="E370" s="7">
        <v>635</v>
      </c>
      <c r="F370" s="8">
        <f>IFERROR(E370/E444, "NA")</f>
        <v>9.5417841414315399E-4</v>
      </c>
      <c r="G370" s="9"/>
      <c r="H370" s="10">
        <f t="shared" si="92"/>
        <v>-133</v>
      </c>
      <c r="I370" s="8">
        <f>IFERROR(H370/H444, "NA")</f>
        <v>-1.6645173950828396E-3</v>
      </c>
      <c r="J370" s="9"/>
      <c r="K370" s="7">
        <v>190.6</v>
      </c>
      <c r="L370" s="8">
        <f>IFERROR(K370/K444, "NA")</f>
        <v>3.2621129862783993E-4</v>
      </c>
      <c r="M370" s="9"/>
      <c r="N370" s="10">
        <f t="shared" si="93"/>
        <v>-577.4</v>
      </c>
      <c r="O370" s="8">
        <f>IFERROR(N370/N444, "NA")</f>
        <v>-3.5838164927061195E-3</v>
      </c>
      <c r="P370" s="9"/>
      <c r="Q370" s="7">
        <v>974</v>
      </c>
      <c r="R370" s="8">
        <f>IFERROR(Q370/Q444, "NA")</f>
        <v>5.8706737112822433E-4</v>
      </c>
      <c r="S370" s="9"/>
      <c r="T370" s="7">
        <v>1905</v>
      </c>
      <c r="U370" s="8">
        <f>IFERROR(T370/T444, "NA")</f>
        <v>1.2686817635267898E-3</v>
      </c>
      <c r="V370" s="9"/>
      <c r="W370" s="10">
        <f t="shared" si="94"/>
        <v>931</v>
      </c>
      <c r="X370" s="8">
        <f>IFERROR(W370/W444, "NA")</f>
        <v>5.9097794408104485E-3</v>
      </c>
      <c r="Y370" s="9"/>
      <c r="Z370" s="7">
        <v>1882.6</v>
      </c>
      <c r="AA370" s="8">
        <f>IFERROR(Z370/Z444, "NA")</f>
        <v>1.3850538097377935E-3</v>
      </c>
      <c r="AB370" s="9"/>
      <c r="AC370" s="10">
        <f t="shared" si="95"/>
        <v>908.59999999999991</v>
      </c>
      <c r="AD370" s="8">
        <f>IFERROR(AC370/AC444, "NA")</f>
        <v>3.029990671590461E-3</v>
      </c>
    </row>
    <row r="371" spans="1:30" ht="16.5" customHeight="1" x14ac:dyDescent="0.45">
      <c r="A371" s="20" t="s">
        <v>339</v>
      </c>
      <c r="B371" s="7">
        <v>209.33</v>
      </c>
      <c r="C371" s="8">
        <f>IFERROR(B371/B444, "NA")</f>
        <v>2.8083020400550832E-4</v>
      </c>
      <c r="D371" s="9"/>
      <c r="E371" s="7">
        <v>100</v>
      </c>
      <c r="F371" s="8">
        <f>IFERROR(E371/E444, "NA")</f>
        <v>1.5026431718789828E-4</v>
      </c>
      <c r="G371" s="9"/>
      <c r="H371" s="10">
        <f t="shared" si="92"/>
        <v>-109.33000000000001</v>
      </c>
      <c r="I371" s="8">
        <f>IFERROR(H371/H444, "NA")</f>
        <v>-1.3682833594316306E-3</v>
      </c>
      <c r="J371" s="9"/>
      <c r="K371" s="7">
        <v>792.52</v>
      </c>
      <c r="L371" s="8">
        <f>IFERROR(K371/K444, "NA")</f>
        <v>1.3563954794781517E-3</v>
      </c>
      <c r="M371" s="9"/>
      <c r="N371" s="10">
        <f t="shared" si="93"/>
        <v>583.18999999999994</v>
      </c>
      <c r="O371" s="8">
        <f>IFERROR(N371/N444, "NA")</f>
        <v>3.6197539667150703E-3</v>
      </c>
      <c r="P371" s="9"/>
      <c r="Q371" s="7">
        <v>506.61</v>
      </c>
      <c r="R371" s="8">
        <f>IFERROR(Q371/Q444, "NA")</f>
        <v>3.0535338900130362E-4</v>
      </c>
      <c r="S371" s="9"/>
      <c r="T371" s="7">
        <v>300</v>
      </c>
      <c r="U371" s="8">
        <f>IFERROR(T371/T444, "NA")</f>
        <v>1.9979240370500626E-4</v>
      </c>
      <c r="V371" s="9"/>
      <c r="W371" s="10">
        <f t="shared" si="94"/>
        <v>-206.61</v>
      </c>
      <c r="X371" s="8">
        <f>IFERROR(W371/W444, "NA")</f>
        <v>-1.3115139959890944E-3</v>
      </c>
      <c r="Y371" s="9"/>
      <c r="Z371" s="7">
        <v>1099.52</v>
      </c>
      <c r="AA371" s="8">
        <f>IFERROR(Z371/Z444, "NA")</f>
        <v>8.0893145909003436E-4</v>
      </c>
      <c r="AB371" s="9"/>
      <c r="AC371" s="10">
        <f t="shared" si="95"/>
        <v>592.91</v>
      </c>
      <c r="AD371" s="8">
        <f>IFERROR(AC371/AC444, "NA")</f>
        <v>1.9772306505532692E-3</v>
      </c>
    </row>
    <row r="372" spans="1:30" ht="16.5" customHeight="1" x14ac:dyDescent="0.45">
      <c r="A372" s="20" t="s">
        <v>340</v>
      </c>
      <c r="B372" s="7">
        <v>277.17</v>
      </c>
      <c r="C372" s="8">
        <f>IFERROR(B372/B444, "NA")</f>
        <v>3.7184210406633898E-4</v>
      </c>
      <c r="D372" s="9"/>
      <c r="E372" s="7">
        <v>2500</v>
      </c>
      <c r="F372" s="8">
        <f>IFERROR(E372/E444, "NA")</f>
        <v>3.756607929697457E-3</v>
      </c>
      <c r="G372" s="9"/>
      <c r="H372" s="10">
        <f t="shared" si="92"/>
        <v>2222.83</v>
      </c>
      <c r="I372" s="8">
        <f>IFERROR(H372/H444, "NA")</f>
        <v>2.7819091739187882E-2</v>
      </c>
      <c r="J372" s="9"/>
      <c r="K372" s="7">
        <v>2450</v>
      </c>
      <c r="L372" s="8">
        <f>IFERROR(K372/K444, "NA")</f>
        <v>4.1931672698751719E-3</v>
      </c>
      <c r="M372" s="9"/>
      <c r="N372" s="10">
        <f t="shared" si="93"/>
        <v>2172.83</v>
      </c>
      <c r="O372" s="8">
        <f>IFERROR(N372/N444, "NA")</f>
        <v>1.3486359525193345E-2</v>
      </c>
      <c r="P372" s="9"/>
      <c r="Q372" s="7">
        <v>554.34</v>
      </c>
      <c r="R372" s="8">
        <f>IFERROR(Q372/Q444, "NA")</f>
        <v>3.3412210114088284E-4</v>
      </c>
      <c r="S372" s="9"/>
      <c r="T372" s="7">
        <v>2500</v>
      </c>
      <c r="U372" s="8">
        <f>IFERROR(T372/T444, "NA")</f>
        <v>1.6649366975417189E-3</v>
      </c>
      <c r="V372" s="9"/>
      <c r="W372" s="10">
        <f t="shared" si="94"/>
        <v>1945.6599999999999</v>
      </c>
      <c r="X372" s="8">
        <f>IFERROR(W372/W444, "NA")</f>
        <v>1.2350613820415959E-2</v>
      </c>
      <c r="Y372" s="9"/>
      <c r="Z372" s="7">
        <v>2450</v>
      </c>
      <c r="AA372" s="8">
        <f>IFERROR(Z372/Z444, "NA")</f>
        <v>1.8024975214371583E-3</v>
      </c>
      <c r="AB372" s="9"/>
      <c r="AC372" s="10">
        <f t="shared" si="95"/>
        <v>1895.6599999999999</v>
      </c>
      <c r="AD372" s="8">
        <f>IFERROR(AC372/AC444, "NA")</f>
        <v>6.3216290078221141E-3</v>
      </c>
    </row>
    <row r="373" spans="1:30" ht="16.5" customHeight="1" x14ac:dyDescent="0.45">
      <c r="A373" s="20" t="s">
        <v>341</v>
      </c>
      <c r="B373" s="7">
        <v>383.26</v>
      </c>
      <c r="C373" s="8">
        <f>IFERROR(B373/B444, "NA")</f>
        <v>5.1416893893446291E-4</v>
      </c>
      <c r="D373" s="9"/>
      <c r="E373" s="7">
        <v>325</v>
      </c>
      <c r="F373" s="8">
        <f>IFERROR(E373/E444, "NA")</f>
        <v>4.8835903086066944E-4</v>
      </c>
      <c r="G373" s="9"/>
      <c r="H373" s="10">
        <f t="shared" si="92"/>
        <v>-58.259999999999991</v>
      </c>
      <c r="I373" s="8">
        <f>IFERROR(H373/H444, "NA")</f>
        <v>-7.2913371005658815E-4</v>
      </c>
      <c r="J373" s="9"/>
      <c r="K373" s="7">
        <v>930.61</v>
      </c>
      <c r="L373" s="8">
        <f>IFERROR(K373/K444, "NA")</f>
        <v>1.5927360787830751E-3</v>
      </c>
      <c r="M373" s="9"/>
      <c r="N373" s="10">
        <f t="shared" si="93"/>
        <v>547.35</v>
      </c>
      <c r="O373" s="8">
        <f>IFERROR(N373/N444, "NA")</f>
        <v>3.3973016232814249E-3</v>
      </c>
      <c r="P373" s="9"/>
      <c r="Q373" s="7">
        <v>1445.23</v>
      </c>
      <c r="R373" s="8">
        <f>IFERROR(Q373/Q444, "NA")</f>
        <v>8.7109586937951099E-4</v>
      </c>
      <c r="S373" s="9"/>
      <c r="T373" s="7">
        <v>975</v>
      </c>
      <c r="U373" s="8">
        <f>IFERROR(T373/T444, "NA")</f>
        <v>6.4932531204127039E-4</v>
      </c>
      <c r="V373" s="9"/>
      <c r="W373" s="10">
        <f t="shared" si="94"/>
        <v>-470.23</v>
      </c>
      <c r="X373" s="8">
        <f>IFERROR(W373/W444, "NA")</f>
        <v>-2.9849147008080531E-3</v>
      </c>
      <c r="Y373" s="9"/>
      <c r="Z373" s="7">
        <v>2482.5700000000002</v>
      </c>
      <c r="AA373" s="8">
        <f>IFERROR(Z373/Z444, "NA")</f>
        <v>1.8264597027731618E-3</v>
      </c>
      <c r="AB373" s="9"/>
      <c r="AC373" s="10">
        <f t="shared" si="95"/>
        <v>1037.3400000000001</v>
      </c>
      <c r="AD373" s="8">
        <f>IFERROR(AC373/AC444, "NA")</f>
        <v>3.459311603860499E-3</v>
      </c>
    </row>
    <row r="374" spans="1:30" ht="16.5" customHeight="1" x14ac:dyDescent="0.45">
      <c r="A374" s="20" t="s">
        <v>342</v>
      </c>
      <c r="B374" s="7">
        <v>1940.01</v>
      </c>
      <c r="C374" s="8">
        <f>IFERROR(B374/B444, "NA")</f>
        <v>2.6026532464182208E-3</v>
      </c>
      <c r="D374" s="9"/>
      <c r="E374" s="7">
        <v>1900</v>
      </c>
      <c r="F374" s="8">
        <f>IFERROR(E374/E444, "NA")</f>
        <v>2.8550220265700674E-3</v>
      </c>
      <c r="G374" s="9"/>
      <c r="H374" s="10">
        <f t="shared" si="92"/>
        <v>-40.009999999999991</v>
      </c>
      <c r="I374" s="8">
        <f>IFERROR(H374/H444, "NA")</f>
        <v>-5.0073188704710073E-4</v>
      </c>
      <c r="J374" s="9"/>
      <c r="K374" s="7">
        <v>1498.75</v>
      </c>
      <c r="L374" s="8">
        <f>IFERROR(K374/K444, "NA")</f>
        <v>2.5651058962144549E-3</v>
      </c>
      <c r="M374" s="9"/>
      <c r="N374" s="10">
        <f t="shared" si="93"/>
        <v>-441.26</v>
      </c>
      <c r="O374" s="8">
        <f>IFERROR(N374/N444, "NA")</f>
        <v>-2.7388203421744063E-3</v>
      </c>
      <c r="P374" s="9"/>
      <c r="Q374" s="7">
        <v>5734.03</v>
      </c>
      <c r="R374" s="8">
        <f>IFERROR(Q374/Q444, "NA")</f>
        <v>3.4561210657806695E-3</v>
      </c>
      <c r="S374" s="9"/>
      <c r="T374" s="7">
        <v>5700</v>
      </c>
      <c r="U374" s="8">
        <f>IFERROR(T374/T444, "NA")</f>
        <v>3.7960556703951192E-3</v>
      </c>
      <c r="V374" s="9"/>
      <c r="W374" s="10">
        <f t="shared" si="94"/>
        <v>-34.029999999999745</v>
      </c>
      <c r="X374" s="8">
        <f>IFERROR(W374/W444, "NA")</f>
        <v>-2.1601481672478846E-4</v>
      </c>
      <c r="Y374" s="9"/>
      <c r="Z374" s="7">
        <v>5060.46</v>
      </c>
      <c r="AA374" s="8">
        <f>IFERROR(Z374/Z444, "NA")</f>
        <v>3.7230475948293396E-3</v>
      </c>
      <c r="AB374" s="9"/>
      <c r="AC374" s="10">
        <f t="shared" si="95"/>
        <v>-673.56999999999971</v>
      </c>
      <c r="AD374" s="8">
        <f>IFERROR(AC374/AC444, "NA")</f>
        <v>-2.2462148543508542E-3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205.26</v>
      </c>
      <c r="R375" s="8">
        <f>IFERROR(Q375/Q444, "NA")</f>
        <v>1.2371811971024571E-4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-205.26</v>
      </c>
      <c r="X375" s="8">
        <f>IFERROR(W375/W444, "NA")</f>
        <v>-1.30294449841112E-3</v>
      </c>
      <c r="Y375" s="9"/>
      <c r="Z375" s="7">
        <v>184.99</v>
      </c>
      <c r="AA375" s="8">
        <f>IFERROR(Z375/Z444, "NA")</f>
        <v>1.360995985676163E-4</v>
      </c>
      <c r="AB375" s="9"/>
      <c r="AC375" s="10">
        <f t="shared" si="95"/>
        <v>-20.269999999999982</v>
      </c>
      <c r="AD375" s="8">
        <f>IFERROR(AC375/AC444, "NA")</f>
        <v>-6.7596203954587927E-5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-2413</v>
      </c>
      <c r="R376" s="8">
        <f>IFERROR(Q376/Q444, "NA")</f>
        <v>-1.4544081791913813E-3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2413</v>
      </c>
      <c r="X376" s="8">
        <f>IFERROR(W376/W444, "NA")</f>
        <v>1.5317183448631163E-2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2413</v>
      </c>
      <c r="AD376" s="8">
        <f>IFERROR(AC376/AC444, "NA")</f>
        <v>8.0468495383532717E-3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8983.4599999999991</v>
      </c>
      <c r="C378" s="8">
        <f>IFERROR(B378/B444, "NA")</f>
        <v>1.2051912790690887E-2</v>
      </c>
      <c r="D378" s="9"/>
      <c r="E378" s="7">
        <v>8470.33</v>
      </c>
      <c r="F378" s="8">
        <f>IFERROR(E378/E444, "NA")</f>
        <v>1.2727883538061703E-2</v>
      </c>
      <c r="G378" s="9"/>
      <c r="H378" s="10">
        <f t="shared" si="92"/>
        <v>-513.1299999999992</v>
      </c>
      <c r="I378" s="8">
        <f>IFERROR(H378/H444, "NA")</f>
        <v>-6.4219083529237306E-3</v>
      </c>
      <c r="J378" s="9"/>
      <c r="K378" s="7">
        <v>5824.49</v>
      </c>
      <c r="L378" s="8">
        <f>IFERROR(K378/K444, "NA")</f>
        <v>9.968596257842955E-3</v>
      </c>
      <c r="M378" s="9"/>
      <c r="N378" s="10">
        <f t="shared" si="93"/>
        <v>-3158.9699999999993</v>
      </c>
      <c r="O378" s="8">
        <f>IFERROR(N378/N444, "NA")</f>
        <v>-1.9607150651132402E-2</v>
      </c>
      <c r="P378" s="9"/>
      <c r="Q378" s="7">
        <v>25818.48</v>
      </c>
      <c r="R378" s="8">
        <f>IFERROR(Q378/Q444, "NA")</f>
        <v>1.5561793819431867E-2</v>
      </c>
      <c r="S378" s="9"/>
      <c r="T378" s="7">
        <v>25410.99</v>
      </c>
      <c r="U378" s="8">
        <f>IFERROR(T378/T444, "NA")</f>
        <v>1.6923075908746258E-2</v>
      </c>
      <c r="V378" s="9"/>
      <c r="W378" s="10">
        <f t="shared" si="94"/>
        <v>-407.48999999999796</v>
      </c>
      <c r="X378" s="8">
        <f>IFERROR(W378/W444, "NA")</f>
        <v>-2.5866552355916623E-3</v>
      </c>
      <c r="Y378" s="9"/>
      <c r="Z378" s="7">
        <v>17357.07</v>
      </c>
      <c r="AA378" s="8">
        <f>IFERROR(Z378/Z444, "NA")</f>
        <v>1.276982679771888E-2</v>
      </c>
      <c r="AB378" s="9"/>
      <c r="AC378" s="10">
        <f t="shared" si="95"/>
        <v>-8461.41</v>
      </c>
      <c r="AD378" s="8">
        <f>IFERROR(AC378/AC444, "NA")</f>
        <v>-2.8217029901499276E-2</v>
      </c>
    </row>
    <row r="379" spans="1:30" ht="16.5" customHeight="1" x14ac:dyDescent="0.45">
      <c r="A379" s="20" t="s">
        <v>347</v>
      </c>
      <c r="B379" s="7">
        <v>1157.33</v>
      </c>
      <c r="C379" s="8">
        <f>IFERROR(B379/B444, "NA")</f>
        <v>1.5526356470725404E-3</v>
      </c>
      <c r="D379" s="9"/>
      <c r="E379" s="7">
        <v>200</v>
      </c>
      <c r="F379" s="8">
        <f>IFERROR(E379/E444, "NA")</f>
        <v>3.0052863437579657E-4</v>
      </c>
      <c r="G379" s="9"/>
      <c r="H379" s="10">
        <f t="shared" si="92"/>
        <v>-957.32999999999993</v>
      </c>
      <c r="I379" s="8">
        <f>IFERROR(H379/H444, "NA")</f>
        <v>-1.1981146149132742E-2</v>
      </c>
      <c r="J379" s="9"/>
      <c r="K379" s="7">
        <v>637.39</v>
      </c>
      <c r="L379" s="8">
        <f>IFERROR(K379/K444, "NA")</f>
        <v>1.0908909739370351E-3</v>
      </c>
      <c r="M379" s="9"/>
      <c r="N379" s="10">
        <f t="shared" si="93"/>
        <v>-519.93999999999994</v>
      </c>
      <c r="O379" s="8">
        <f>IFERROR(N379/N444, "NA")</f>
        <v>-3.2271727523685827E-3</v>
      </c>
      <c r="P379" s="9"/>
      <c r="Q379" s="7">
        <v>1390.06</v>
      </c>
      <c r="R379" s="8">
        <f>IFERROR(Q379/Q444, "NA")</f>
        <v>8.3784278224897284E-4</v>
      </c>
      <c r="S379" s="9"/>
      <c r="T379" s="7">
        <v>600</v>
      </c>
      <c r="U379" s="8">
        <f>IFERROR(T379/T444, "NA")</f>
        <v>3.9958480741001252E-4</v>
      </c>
      <c r="V379" s="9"/>
      <c r="W379" s="10">
        <f t="shared" si="94"/>
        <v>-790.06</v>
      </c>
      <c r="X379" s="8">
        <f>IFERROR(W379/W444, "NA")</f>
        <v>-5.0151238936699278E-3</v>
      </c>
      <c r="Y379" s="9"/>
      <c r="Z379" s="7">
        <v>1149.29</v>
      </c>
      <c r="AA379" s="8">
        <f>IFERROR(Z379/Z444, "NA")</f>
        <v>8.4554790873980063E-4</v>
      </c>
      <c r="AB379" s="9"/>
      <c r="AC379" s="10">
        <f t="shared" si="95"/>
        <v>-240.76999999999998</v>
      </c>
      <c r="AD379" s="8">
        <f>IFERROR(AC379/AC444, "NA")</f>
        <v>-8.0291751485674144E-4</v>
      </c>
    </row>
    <row r="380" spans="1:30" ht="16.5" customHeight="1" x14ac:dyDescent="0.45">
      <c r="A380" s="20" t="s">
        <v>348</v>
      </c>
      <c r="B380" s="7">
        <v>11500</v>
      </c>
      <c r="C380" s="8">
        <f>IFERROR(B380/B444, "NA")</f>
        <v>1.5428019615264632E-2</v>
      </c>
      <c r="D380" s="9"/>
      <c r="E380" s="7">
        <v>11500</v>
      </c>
      <c r="F380" s="8">
        <f>IFERROR(E380/E444, "NA")</f>
        <v>1.7280396476608301E-2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11500</v>
      </c>
      <c r="L380" s="8">
        <f>IFERROR(K380/K444, "NA")</f>
        <v>1.9682213715740603E-2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34500</v>
      </c>
      <c r="R380" s="8">
        <f>IFERROR(Q380/Q444, "NA")</f>
        <v>2.0794480804849837E-2</v>
      </c>
      <c r="S380" s="9"/>
      <c r="T380" s="7">
        <v>34500</v>
      </c>
      <c r="U380" s="8">
        <f>IFERROR(T380/T444, "NA")</f>
        <v>2.2976126426075719E-2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34500</v>
      </c>
      <c r="AA380" s="8">
        <f>IFERROR(Z380/Z444, "NA")</f>
        <v>2.5382107954931413E-2</v>
      </c>
      <c r="AB380" s="9"/>
      <c r="AC380" s="10">
        <f t="shared" si="95"/>
        <v>0</v>
      </c>
      <c r="AD380" s="8">
        <f>IFERROR(AC380/AC444, "NA")</f>
        <v>0</v>
      </c>
    </row>
    <row r="381" spans="1:30" ht="16.5" customHeight="1" x14ac:dyDescent="0.45">
      <c r="A381" s="20" t="s">
        <v>349</v>
      </c>
      <c r="B381" s="7">
        <v>4975</v>
      </c>
      <c r="C381" s="8">
        <f>IFERROR(B381/B444, "NA")</f>
        <v>6.6742954422557869E-3</v>
      </c>
      <c r="D381" s="9"/>
      <c r="E381" s="7">
        <v>4000</v>
      </c>
      <c r="F381" s="8">
        <f>IFERROR(E381/E444, "NA")</f>
        <v>6.010572687515931E-3</v>
      </c>
      <c r="G381" s="9"/>
      <c r="H381" s="10">
        <f t="shared" si="92"/>
        <v>-975</v>
      </c>
      <c r="I381" s="8">
        <f>IFERROR(H381/H444, "NA")</f>
        <v>-1.2202289174479464E-2</v>
      </c>
      <c r="J381" s="9"/>
      <c r="K381" s="7">
        <v>19861.52</v>
      </c>
      <c r="L381" s="8">
        <f>IFERROR(K381/K444, "NA")</f>
        <v>3.3992928813865765E-2</v>
      </c>
      <c r="M381" s="9"/>
      <c r="N381" s="10">
        <f t="shared" si="93"/>
        <v>14886.52</v>
      </c>
      <c r="O381" s="8">
        <f>IFERROR(N381/N444, "NA")</f>
        <v>9.2397914608589371E-2</v>
      </c>
      <c r="P381" s="9"/>
      <c r="Q381" s="7">
        <v>22216.51</v>
      </c>
      <c r="R381" s="8">
        <f>IFERROR(Q381/Q444, "NA")</f>
        <v>1.3390747557847953E-2</v>
      </c>
      <c r="S381" s="9"/>
      <c r="T381" s="7">
        <v>12000</v>
      </c>
      <c r="U381" s="8">
        <f>IFERROR(T381/T444, "NA")</f>
        <v>7.9916961482002502E-3</v>
      </c>
      <c r="V381" s="9"/>
      <c r="W381" s="10">
        <f t="shared" si="94"/>
        <v>-10216.509999999998</v>
      </c>
      <c r="X381" s="8">
        <f>IFERROR(W381/W444, "NA")</f>
        <v>-6.4852116815074495E-2</v>
      </c>
      <c r="Y381" s="9"/>
      <c r="Z381" s="7">
        <v>28195.52</v>
      </c>
      <c r="AA381" s="8">
        <f>IFERROR(Z381/Z444, "NA")</f>
        <v>2.0743818332910949E-2</v>
      </c>
      <c r="AB381" s="9"/>
      <c r="AC381" s="10">
        <f t="shared" si="95"/>
        <v>5979.010000000002</v>
      </c>
      <c r="AD381" s="8">
        <f>IFERROR(AC381/AC444, "NA")</f>
        <v>1.9938745900667059E-2</v>
      </c>
    </row>
    <row r="382" spans="1:30" ht="16.5" customHeight="1" x14ac:dyDescent="0.45">
      <c r="A382" s="20" t="s">
        <v>350</v>
      </c>
      <c r="B382" s="7">
        <v>505.62</v>
      </c>
      <c r="C382" s="8">
        <f>IFERROR(B382/B444, "NA")</f>
        <v>6.7832306764087857E-4</v>
      </c>
      <c r="D382" s="9"/>
      <c r="E382" s="7">
        <v>795</v>
      </c>
      <c r="F382" s="8">
        <f>IFERROR(E382/E444, "NA")</f>
        <v>1.1946013216437912E-3</v>
      </c>
      <c r="G382" s="9"/>
      <c r="H382" s="10">
        <f t="shared" si="92"/>
        <v>289.38</v>
      </c>
      <c r="I382" s="8">
        <f>IFERROR(H382/H444, "NA")</f>
        <v>3.6216394269855045E-3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-505.62</v>
      </c>
      <c r="O382" s="8">
        <f>IFERROR(N382/N444, "NA")</f>
        <v>-3.1382911240770144E-3</v>
      </c>
      <c r="P382" s="9"/>
      <c r="Q382" s="7">
        <v>1011.24</v>
      </c>
      <c r="R382" s="8">
        <f>IFERROR(Q382/Q444, "NA")</f>
        <v>6.0951335562598114E-4</v>
      </c>
      <c r="S382" s="9"/>
      <c r="T382" s="7">
        <v>2385</v>
      </c>
      <c r="U382" s="8">
        <f>IFERROR(T382/T444, "NA")</f>
        <v>1.5883496094547997E-3</v>
      </c>
      <c r="V382" s="9"/>
      <c r="W382" s="10">
        <f t="shared" si="94"/>
        <v>1373.76</v>
      </c>
      <c r="X382" s="8">
        <f>IFERROR(W382/W444, "NA")</f>
        <v>8.720320735346683E-3</v>
      </c>
      <c r="Y382" s="9"/>
      <c r="Z382" s="7">
        <v>211.98</v>
      </c>
      <c r="AA382" s="8">
        <f>IFERROR(Z382/Z444, "NA")</f>
        <v>1.5595649983438727E-4</v>
      </c>
      <c r="AB382" s="9"/>
      <c r="AC382" s="10">
        <f t="shared" si="95"/>
        <v>-799.26</v>
      </c>
      <c r="AD382" s="8">
        <f>IFERROR(AC382/AC444, "NA")</f>
        <v>-2.6653646755177107E-3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8948.4599999999991</v>
      </c>
      <c r="C385" s="8">
        <f>IFERROR(B385/B444, "NA")</f>
        <v>1.2004957948383559E-2</v>
      </c>
      <c r="D385" s="9"/>
      <c r="E385" s="7">
        <v>6000</v>
      </c>
      <c r="F385" s="8">
        <f>IFERROR(E385/E444, "NA")</f>
        <v>9.015859031273896E-3</v>
      </c>
      <c r="G385" s="9"/>
      <c r="H385" s="10">
        <f>IFERROR(-(B385-E385), "NA")</f>
        <v>-2948.4599999999991</v>
      </c>
      <c r="I385" s="8">
        <f>IFERROR(H385/H444, "NA")</f>
        <v>-3.6900473373728933E-2</v>
      </c>
      <c r="J385" s="9"/>
      <c r="K385" s="7">
        <v>3769.23</v>
      </c>
      <c r="L385" s="8">
        <f>IFERROR(K385/K444, "NA")</f>
        <v>6.4510252525026924E-3</v>
      </c>
      <c r="M385" s="9"/>
      <c r="N385" s="10">
        <f>IFERROR(-(B385-K385), "NA")</f>
        <v>-5179.2299999999996</v>
      </c>
      <c r="O385" s="8">
        <f>IFERROR(N385/N444, "NA")</f>
        <v>-3.2146536012328218E-2</v>
      </c>
      <c r="P385" s="9"/>
      <c r="Q385" s="7">
        <v>13244.19</v>
      </c>
      <c r="R385" s="8">
        <f>IFERROR(Q385/Q444, "NA")</f>
        <v>7.9827841950951932E-3</v>
      </c>
      <c r="S385" s="9"/>
      <c r="T385" s="7">
        <v>7672.12</v>
      </c>
      <c r="U385" s="8">
        <f>IFERROR(T385/T444, "NA")</f>
        <v>5.1094376543775084E-3</v>
      </c>
      <c r="V385" s="9"/>
      <c r="W385" s="10">
        <f>IFERROR(-(Q385-T385), "NA")</f>
        <v>-5572.0700000000006</v>
      </c>
      <c r="X385" s="8">
        <f>IFERROR(W385/W444, "NA")</f>
        <v>-3.5370252125409972E-2</v>
      </c>
      <c r="Y385" s="9"/>
      <c r="Z385" s="7">
        <v>6982.27</v>
      </c>
      <c r="AA385" s="8">
        <f>IFERROR(Z385/Z444, "NA")</f>
        <v>5.1369487220428688E-3</v>
      </c>
      <c r="AB385" s="9"/>
      <c r="AC385" s="10">
        <f>IFERROR(-(Q385-Z385), "NA")</f>
        <v>-6261.92</v>
      </c>
      <c r="AD385" s="8">
        <f>IFERROR(AC385/AC444, "NA")</f>
        <v>-2.0882191488273982E-2</v>
      </c>
    </row>
    <row r="386" spans="1:30" ht="16.5" customHeight="1" x14ac:dyDescent="0.45">
      <c r="A386" s="6" t="s">
        <v>353</v>
      </c>
      <c r="B386" s="7">
        <v>51.47</v>
      </c>
      <c r="C386" s="8">
        <f>IFERROR(B386/B444, "NA")</f>
        <v>6.9050449530232223E-5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-51.47</v>
      </c>
      <c r="I386" s="8">
        <f>IFERROR(H386/H444, "NA")</f>
        <v>-6.4415571672867488E-4</v>
      </c>
      <c r="J386" s="9"/>
      <c r="K386" s="7">
        <v>328.85</v>
      </c>
      <c r="L386" s="8">
        <f>IFERROR(K386/K444, "NA")</f>
        <v>5.62825737427939E-4</v>
      </c>
      <c r="M386" s="9"/>
      <c r="N386" s="10">
        <f>IFERROR(-(B386-K386), "NA")</f>
        <v>277.38</v>
      </c>
      <c r="O386" s="8">
        <f>IFERROR(N386/N444, "NA")</f>
        <v>1.7216470709158702E-3</v>
      </c>
      <c r="P386" s="9"/>
      <c r="Q386" s="7">
        <v>51.47</v>
      </c>
      <c r="R386" s="8">
        <f>IFERROR(Q386/Q444, "NA")</f>
        <v>3.1022954406539743E-5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-51.47</v>
      </c>
      <c r="X386" s="8">
        <f>IFERROR(W386/W444, "NA")</f>
        <v>-3.2672002988025112E-4</v>
      </c>
      <c r="Y386" s="9"/>
      <c r="Z386" s="7">
        <v>2646.84</v>
      </c>
      <c r="AA386" s="8">
        <f>IFERROR(Z386/Z444, "NA")</f>
        <v>1.9473153223023381E-3</v>
      </c>
      <c r="AB386" s="9"/>
      <c r="AC386" s="10">
        <f>IFERROR(-(Q386-Z386), "NA")</f>
        <v>2595.3700000000003</v>
      </c>
      <c r="AD386" s="8">
        <f>IFERROR(AC386/AC444, "NA")</f>
        <v>8.6550152865130271E-3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4190.92</v>
      </c>
      <c r="C389" s="8">
        <f>IFERROR(B389/B444, "NA")</f>
        <v>5.6223996492178133E-3</v>
      </c>
      <c r="D389" s="9"/>
      <c r="E389" s="7">
        <v>3060.26</v>
      </c>
      <c r="F389" s="8">
        <f>IFERROR(E389/E444, "NA")</f>
        <v>4.5984787931743756E-3</v>
      </c>
      <c r="G389" s="9"/>
      <c r="H389" s="10">
        <f t="shared" si="96"/>
        <v>-1130.6599999999999</v>
      </c>
      <c r="I389" s="8">
        <f>IFERROR(H389/H444, "NA")</f>
        <v>-1.4150400285145588E-2</v>
      </c>
      <c r="J389" s="9"/>
      <c r="K389" s="7">
        <v>1688.9</v>
      </c>
      <c r="L389" s="8">
        <f>IFERROR(K389/K444, "NA")</f>
        <v>2.8905470212621139E-3</v>
      </c>
      <c r="M389" s="9"/>
      <c r="N389" s="10">
        <f t="shared" si="97"/>
        <v>-2502.02</v>
      </c>
      <c r="O389" s="8">
        <f>IFERROR(N389/N444, "NA")</f>
        <v>-1.5529581816904338E-2</v>
      </c>
      <c r="P389" s="9"/>
      <c r="Q389" s="7">
        <v>10997.39</v>
      </c>
      <c r="R389" s="8">
        <f>IFERROR(Q389/Q444, "NA")</f>
        <v>6.6285511669115227E-3</v>
      </c>
      <c r="S389" s="9"/>
      <c r="T389" s="7">
        <v>7119.11</v>
      </c>
      <c r="U389" s="8">
        <f>IFERROR(T389/T444, "NA")</f>
        <v>4.7411469971344903E-3</v>
      </c>
      <c r="V389" s="9"/>
      <c r="W389" s="10">
        <f t="shared" si="98"/>
        <v>-3878.2799999999997</v>
      </c>
      <c r="X389" s="8">
        <f>IFERROR(W389/W444, "NA")</f>
        <v>-2.4618452642004667E-2</v>
      </c>
      <c r="Y389" s="9"/>
      <c r="Z389" s="7">
        <v>3422.05</v>
      </c>
      <c r="AA389" s="8">
        <f>IFERROR(Z389/Z444, "NA")</f>
        <v>2.5176476094832768E-3</v>
      </c>
      <c r="AB389" s="9"/>
      <c r="AC389" s="10">
        <f t="shared" si="99"/>
        <v>-7575.3399999999992</v>
      </c>
      <c r="AD389" s="8">
        <f>IFERROR(AC389/AC444, "NA")</f>
        <v>-2.5262172060451334E-2</v>
      </c>
    </row>
    <row r="390" spans="1:30" ht="16.5" customHeight="1" x14ac:dyDescent="0.45">
      <c r="A390" s="12" t="s">
        <v>356</v>
      </c>
      <c r="B390" s="7">
        <v>12908.55</v>
      </c>
      <c r="C390" s="8">
        <f>IFERROR(B390/B444, "NA")</f>
        <v>1.7317683704749936E-2</v>
      </c>
      <c r="D390" s="9"/>
      <c r="E390" s="7">
        <v>14870.13</v>
      </c>
      <c r="F390" s="8">
        <f>IFERROR(E390/E444, "NA")</f>
        <v>2.2344499309452818E-2</v>
      </c>
      <c r="G390" s="9"/>
      <c r="H390" s="10">
        <f t="shared" si="96"/>
        <v>1961.58</v>
      </c>
      <c r="I390" s="8">
        <f>IFERROR(H390/H444, "NA")</f>
        <v>2.4549503998846589E-2</v>
      </c>
      <c r="J390" s="9"/>
      <c r="K390" s="7">
        <v>10947.39</v>
      </c>
      <c r="L390" s="8">
        <f>IFERROR(K390/K444, "NA")</f>
        <v>1.8736423444309699E-2</v>
      </c>
      <c r="M390" s="9"/>
      <c r="N390" s="10">
        <f t="shared" si="97"/>
        <v>-1961.1599999999999</v>
      </c>
      <c r="O390" s="8">
        <f>IFERROR(N390/N444, "NA")</f>
        <v>-1.2172562439964554E-2</v>
      </c>
      <c r="P390" s="9"/>
      <c r="Q390" s="7">
        <v>36147.03</v>
      </c>
      <c r="R390" s="8">
        <f>IFERROR(Q390/Q444, "NA")</f>
        <v>2.1787209318473368E-2</v>
      </c>
      <c r="S390" s="9"/>
      <c r="T390" s="7">
        <v>34592.54</v>
      </c>
      <c r="U390" s="8">
        <f>IFERROR(T390/T444, "NA")</f>
        <v>2.3037755722871926E-2</v>
      </c>
      <c r="V390" s="9"/>
      <c r="W390" s="10">
        <f t="shared" si="98"/>
        <v>-1554.489999999998</v>
      </c>
      <c r="X390" s="8">
        <f>IFERROR(W390/W444, "NA")</f>
        <v>-9.8675542888780055E-3</v>
      </c>
      <c r="Y390" s="9"/>
      <c r="Z390" s="7">
        <v>25704.35</v>
      </c>
      <c r="AA390" s="8">
        <f>IFERROR(Z390/Z444, "NA")</f>
        <v>1.8911031495980904E-2</v>
      </c>
      <c r="AB390" s="9"/>
      <c r="AC390" s="10">
        <f t="shared" si="99"/>
        <v>-10442.68</v>
      </c>
      <c r="AD390" s="8">
        <f>IFERROR(AC390/AC444, "NA")</f>
        <v>-3.4824150326220868E-2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6146.24</v>
      </c>
      <c r="C392" s="8">
        <f>IFERROR(B392/B444, "NA")</f>
        <v>8.2455922852281826E-3</v>
      </c>
      <c r="D392" s="9"/>
      <c r="E392" s="7">
        <v>2284.41</v>
      </c>
      <c r="F392" s="8">
        <f>IFERROR(E392/E444, "NA")</f>
        <v>3.4326530882720667E-3</v>
      </c>
      <c r="G392" s="9"/>
      <c r="H392" s="10">
        <f t="shared" si="96"/>
        <v>-3861.83</v>
      </c>
      <c r="I392" s="8">
        <f>IFERROR(H392/H444, "NA")</f>
        <v>-4.8331452720697464E-2</v>
      </c>
      <c r="J392" s="9"/>
      <c r="K392" s="7">
        <v>3559.99</v>
      </c>
      <c r="L392" s="8">
        <f>IFERROR(K392/K444, "NA")</f>
        <v>6.0929116526869031E-3</v>
      </c>
      <c r="M392" s="9"/>
      <c r="N392" s="10">
        <f t="shared" si="97"/>
        <v>-2586.25</v>
      </c>
      <c r="O392" s="8">
        <f>IFERROR(N392/N444, "NA")</f>
        <v>-1.6052382064879116E-2</v>
      </c>
      <c r="P392" s="9"/>
      <c r="Q392" s="7">
        <v>15277.17</v>
      </c>
      <c r="R392" s="8">
        <f>IFERROR(Q392/Q444, "NA")</f>
        <v>9.2081396613747177E-3</v>
      </c>
      <c r="S392" s="9"/>
      <c r="T392" s="7">
        <v>5314.24</v>
      </c>
      <c r="U392" s="8">
        <f>IFERROR(T392/T444, "NA")</f>
        <v>3.5391492782176413E-3</v>
      </c>
      <c r="V392" s="9"/>
      <c r="W392" s="10">
        <f t="shared" si="98"/>
        <v>-9962.93</v>
      </c>
      <c r="X392" s="8">
        <f>IFERROR(W392/W444, "NA")</f>
        <v>-6.3242447781131736E-2</v>
      </c>
      <c r="Y392" s="9"/>
      <c r="Z392" s="7">
        <v>6363.83</v>
      </c>
      <c r="AA392" s="8">
        <f>IFERROR(Z392/Z444, "NA")</f>
        <v>4.6819542048356861E-3</v>
      </c>
      <c r="AB392" s="9"/>
      <c r="AC392" s="10">
        <f t="shared" si="99"/>
        <v>-8913.34</v>
      </c>
      <c r="AD392" s="8">
        <f>IFERROR(AC392/AC444, "NA")</f>
        <v>-2.972412178374876E-2</v>
      </c>
    </row>
    <row r="393" spans="1:30" ht="16.5" customHeight="1" x14ac:dyDescent="0.45">
      <c r="A393" s="13" t="s">
        <v>359</v>
      </c>
      <c r="B393" s="14">
        <f>IFERROR(B388+B389+B390+B391+B392, "NA")</f>
        <v>23245.71</v>
      </c>
      <c r="C393" s="15">
        <f>IFERROR(B393/B444, "NA")</f>
        <v>3.1185675639195932E-2</v>
      </c>
      <c r="D393" s="2"/>
      <c r="E393" s="14">
        <f>IFERROR(E388+E389+E390+E391+E392, "NA")</f>
        <v>20214.8</v>
      </c>
      <c r="F393" s="15">
        <f>IFERROR(E393/E444, "NA")</f>
        <v>3.0375631190899258E-2</v>
      </c>
      <c r="G393" s="2"/>
      <c r="H393" s="14">
        <f t="shared" si="96"/>
        <v>-3030.91</v>
      </c>
      <c r="I393" s="15">
        <f>IFERROR(H393/H444, "NA")</f>
        <v>-3.7932349006996463E-2</v>
      </c>
      <c r="J393" s="2"/>
      <c r="K393" s="14">
        <f>IFERROR(K388+K389+K390+K391+K392, "NA")</f>
        <v>16196.279999999999</v>
      </c>
      <c r="L393" s="15">
        <f>IFERROR(K393/K444, "NA")</f>
        <v>2.7719882118258713E-2</v>
      </c>
      <c r="M393" s="2"/>
      <c r="N393" s="14">
        <f t="shared" si="97"/>
        <v>-7049.43</v>
      </c>
      <c r="O393" s="15">
        <f>IFERROR(N393/N444, "NA")</f>
        <v>-4.3754526321748012E-2</v>
      </c>
      <c r="P393" s="2"/>
      <c r="Q393" s="14">
        <f>IFERROR(Q388+Q389+Q390+Q391+Q392, "NA")</f>
        <v>62421.59</v>
      </c>
      <c r="R393" s="15">
        <f>IFERROR(Q393/Q444, "NA")</f>
        <v>3.7623900146759606E-2</v>
      </c>
      <c r="S393" s="2"/>
      <c r="T393" s="14">
        <f>IFERROR(T388+T389+T390+T391+T392, "NA")</f>
        <v>47025.89</v>
      </c>
      <c r="U393" s="15">
        <f>IFERROR(T393/T444, "NA")</f>
        <v>3.1318051998224058E-2</v>
      </c>
      <c r="V393" s="2"/>
      <c r="W393" s="14">
        <f t="shared" si="98"/>
        <v>-15395.699999999997</v>
      </c>
      <c r="X393" s="15">
        <f>IFERROR(W393/W444, "NA")</f>
        <v>-9.7728454712014398E-2</v>
      </c>
      <c r="Y393" s="2"/>
      <c r="Z393" s="14">
        <f>IFERROR(Z388+Z389+Z390+Z391+Z392, "NA")</f>
        <v>35490.229999999996</v>
      </c>
      <c r="AA393" s="15">
        <f>IFERROR(Z393/Z444, "NA")</f>
        <v>2.6110633310299867E-2</v>
      </c>
      <c r="AB393" s="2"/>
      <c r="AC393" s="14">
        <f t="shared" si="99"/>
        <v>-26931.360000000001</v>
      </c>
      <c r="AD393" s="15">
        <f>IFERROR(AC393/AC444, "NA")</f>
        <v>-8.9810444170420958E-2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5323.95</v>
      </c>
      <c r="F394" s="8">
        <f>IFERROR(E394/E444, "NA")</f>
        <v>7.9999971149251094E-3</v>
      </c>
      <c r="G394" s="9"/>
      <c r="H394" s="10">
        <f t="shared" si="96"/>
        <v>5323.95</v>
      </c>
      <c r="I394" s="8">
        <f>IFERROR(H394/H444, "NA")</f>
        <v>6.66301307184307E-2</v>
      </c>
      <c r="J394" s="9"/>
      <c r="K394" s="7">
        <v>6107.39</v>
      </c>
      <c r="L394" s="8">
        <f>IFERROR(K394/K444, "NA")</f>
        <v>1.0452778715250174E-2</v>
      </c>
      <c r="M394" s="9"/>
      <c r="N394" s="10">
        <f t="shared" si="97"/>
        <v>6107.39</v>
      </c>
      <c r="O394" s="8">
        <f>IFERROR(N394/N444, "NA")</f>
        <v>3.7907455852768321E-2</v>
      </c>
      <c r="P394" s="9"/>
      <c r="Q394" s="7">
        <v>6612.06</v>
      </c>
      <c r="R394" s="8">
        <f>IFERROR(Q394/Q444, "NA")</f>
        <v>3.9853436159569683E-3</v>
      </c>
      <c r="S394" s="9"/>
      <c r="T394" s="7">
        <v>9504.27</v>
      </c>
      <c r="U394" s="8">
        <f>IFERROR(T394/T444, "NA")</f>
        <v>6.3296031625379333E-3</v>
      </c>
      <c r="V394" s="9"/>
      <c r="W394" s="10">
        <f t="shared" si="98"/>
        <v>2892.21</v>
      </c>
      <c r="X394" s="8">
        <f>IFERROR(W394/W444, "NA")</f>
        <v>1.8359101177772705E-2</v>
      </c>
      <c r="Y394" s="9"/>
      <c r="Z394" s="7">
        <v>19146.3</v>
      </c>
      <c r="AA394" s="8">
        <f>IFERROR(Z394/Z444, "NA")</f>
        <v>1.4086187059058066E-2</v>
      </c>
      <c r="AB394" s="9"/>
      <c r="AC394" s="10">
        <f t="shared" si="99"/>
        <v>12534.239999999998</v>
      </c>
      <c r="AD394" s="8">
        <f>IFERROR(AC394/AC444, "NA")</f>
        <v>4.1799064798014547E-2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32245.64</v>
      </c>
      <c r="C396" s="15">
        <f>IFERROR(B396/B444, "NA")</f>
        <v>4.3259684037109725E-2</v>
      </c>
      <c r="D396" s="2"/>
      <c r="E396" s="14">
        <f>IFERROR(E385+E386+E388+E389+E390+E391+E392+E394+E395, "NA")</f>
        <v>31538.75</v>
      </c>
      <c r="F396" s="15">
        <f>IFERROR(E396/E444, "NA")</f>
        <v>4.7391487337098269E-2</v>
      </c>
      <c r="G396" s="2"/>
      <c r="H396" s="14">
        <f t="shared" si="96"/>
        <v>-706.88999999999942</v>
      </c>
      <c r="I396" s="15">
        <f>IFERROR(H396/H444, "NA")</f>
        <v>-8.8468473790233645E-3</v>
      </c>
      <c r="J396" s="2"/>
      <c r="K396" s="14">
        <f>IFERROR(K385+K386+K388+K389+K390+K391+K392+K394+K395, "NA")</f>
        <v>26401.75</v>
      </c>
      <c r="L396" s="15">
        <f>IFERROR(K396/K444, "NA")</f>
        <v>4.5186511823439524E-2</v>
      </c>
      <c r="M396" s="2"/>
      <c r="N396" s="14">
        <f t="shared" si="97"/>
        <v>-5843.8899999999994</v>
      </c>
      <c r="O396" s="15">
        <f>IFERROR(N396/N444, "NA")</f>
        <v>-3.6271959410392039E-2</v>
      </c>
      <c r="P396" s="2"/>
      <c r="Q396" s="14">
        <f>IFERROR(Q385+Q386+Q388+Q389+Q390+Q391+Q392+Q394+Q395, "NA")</f>
        <v>82329.31</v>
      </c>
      <c r="R396" s="15">
        <f>IFERROR(Q396/Q444, "NA")</f>
        <v>4.962305091221831E-2</v>
      </c>
      <c r="S396" s="2"/>
      <c r="T396" s="14">
        <f>IFERROR(T385+T386+T388+T389+T390+T391+T392+T394+T395, "NA")</f>
        <v>64202.28</v>
      </c>
      <c r="U396" s="15">
        <f>IFERROR(T396/T444, "NA")</f>
        <v>4.2757092815139501E-2</v>
      </c>
      <c r="V396" s="2"/>
      <c r="W396" s="14">
        <f t="shared" si="98"/>
        <v>-18127.03</v>
      </c>
      <c r="X396" s="15">
        <f>IFERROR(W396/W444, "NA")</f>
        <v>-0.11506632568953193</v>
      </c>
      <c r="Y396" s="2"/>
      <c r="Z396" s="14">
        <f>IFERROR(Z385+Z386+Z388+Z389+Z390+Z391+Z392+Z394+Z395, "NA")</f>
        <v>64265.64</v>
      </c>
      <c r="AA396" s="15">
        <f>IFERROR(Z396/Z444, "NA")</f>
        <v>4.7281084413703142E-2</v>
      </c>
      <c r="AB396" s="2"/>
      <c r="AC396" s="14">
        <f t="shared" si="99"/>
        <v>-18063.669999999998</v>
      </c>
      <c r="AD396" s="15">
        <f>IFERROR(AC396/AC444, "NA")</f>
        <v>-6.0238555574167359E-2</v>
      </c>
    </row>
    <row r="397" spans="1:30" ht="16.5" customHeight="1" x14ac:dyDescent="0.45">
      <c r="A397" s="20" t="s">
        <v>363</v>
      </c>
      <c r="B397" s="7">
        <v>4113.4399999999996</v>
      </c>
      <c r="C397" s="8">
        <f>IFERROR(B397/B444, "NA")</f>
        <v>5.5184550440186214E-3</v>
      </c>
      <c r="D397" s="9"/>
      <c r="E397" s="7">
        <v>16724.240000000002</v>
      </c>
      <c r="F397" s="8">
        <f>IFERROR(E397/E444, "NA")</f>
        <v>2.513056504086536E-2</v>
      </c>
      <c r="G397" s="9"/>
      <c r="H397" s="10">
        <f t="shared" si="96"/>
        <v>12610.800000000003</v>
      </c>
      <c r="I397" s="8">
        <f>IFERROR(H397/H444, "NA")</f>
        <v>0.15782628545797503</v>
      </c>
      <c r="J397" s="9"/>
      <c r="K397" s="7">
        <v>8146.62</v>
      </c>
      <c r="L397" s="8">
        <f>IFERROR(K397/K444, "NA")</f>
        <v>1.3942914426167541E-2</v>
      </c>
      <c r="M397" s="9"/>
      <c r="N397" s="10">
        <f t="shared" si="97"/>
        <v>4033.1800000000003</v>
      </c>
      <c r="O397" s="8">
        <f>IFERROR(N397/N444, "NA")</f>
        <v>2.5033212681074592E-2</v>
      </c>
      <c r="P397" s="9"/>
      <c r="Q397" s="7">
        <v>8675.2800000000007</v>
      </c>
      <c r="R397" s="8">
        <f>IFERROR(Q397/Q444, "NA")</f>
        <v>5.2289258967158758E-3</v>
      </c>
      <c r="S397" s="9"/>
      <c r="T397" s="7">
        <v>40081.81</v>
      </c>
      <c r="U397" s="8">
        <f>IFERROR(T397/T444, "NA")</f>
        <v>2.6693470549157855E-2</v>
      </c>
      <c r="V397" s="9"/>
      <c r="W397" s="10">
        <f t="shared" si="98"/>
        <v>31406.53</v>
      </c>
      <c r="X397" s="8">
        <f>IFERROR(W397/W444, "NA")</f>
        <v>0.1993616168648728</v>
      </c>
      <c r="Y397" s="9"/>
      <c r="Z397" s="7">
        <v>17990.11</v>
      </c>
      <c r="AA397" s="8">
        <f>IFERROR(Z397/Z444, "NA")</f>
        <v>1.3235562728727281E-2</v>
      </c>
      <c r="AB397" s="9"/>
      <c r="AC397" s="10">
        <f t="shared" si="99"/>
        <v>9314.83</v>
      </c>
      <c r="AD397" s="8">
        <f>IFERROR(AC397/AC444, "NA")</f>
        <v>3.106300683188529E-2</v>
      </c>
    </row>
    <row r="398" spans="1:30" ht="16.5" customHeight="1" x14ac:dyDescent="0.45">
      <c r="A398" s="20" t="s">
        <v>364</v>
      </c>
      <c r="B398" s="7">
        <v>198.62</v>
      </c>
      <c r="C398" s="8">
        <f>IFERROR(B398/B444, "NA")</f>
        <v>2.6646202225946621E-4</v>
      </c>
      <c r="D398" s="9"/>
      <c r="E398" s="7">
        <v>75</v>
      </c>
      <c r="F398" s="8">
        <f>IFERROR(E398/E444, "NA")</f>
        <v>1.126982378909237E-4</v>
      </c>
      <c r="G398" s="9"/>
      <c r="H398" s="10">
        <f t="shared" si="96"/>
        <v>-123.62</v>
      </c>
      <c r="I398" s="8">
        <f>IFERROR(H398/H444, "NA")</f>
        <v>-1.5471251156401551E-3</v>
      </c>
      <c r="J398" s="9"/>
      <c r="K398" s="7">
        <v>97.47</v>
      </c>
      <c r="L398" s="8">
        <f>IFERROR(K398/K444, "NA")</f>
        <v>1.6681959746723797E-4</v>
      </c>
      <c r="M398" s="9"/>
      <c r="N398" s="10">
        <f t="shared" si="97"/>
        <v>-101.15</v>
      </c>
      <c r="O398" s="8">
        <f>IFERROR(N398/N444, "NA")</f>
        <v>-6.2781960207347425E-4</v>
      </c>
      <c r="P398" s="9"/>
      <c r="Q398" s="7">
        <v>498.65</v>
      </c>
      <c r="R398" s="8">
        <f>IFERROR(Q398/Q444, "NA")</f>
        <v>3.0055558995183682E-4</v>
      </c>
      <c r="S398" s="9"/>
      <c r="T398" s="7">
        <v>225</v>
      </c>
      <c r="U398" s="8">
        <f>IFERROR(T398/T444, "NA")</f>
        <v>1.498443027787547E-4</v>
      </c>
      <c r="V398" s="9"/>
      <c r="W398" s="10">
        <f t="shared" si="98"/>
        <v>-273.64999999999998</v>
      </c>
      <c r="X398" s="8">
        <f>IFERROR(W398/W444, "NA")</f>
        <v>-1.737068897935316E-3</v>
      </c>
      <c r="Y398" s="9"/>
      <c r="Z398" s="7">
        <v>376.29</v>
      </c>
      <c r="AA398" s="8">
        <f>IFERROR(Z398/Z444, "NA")</f>
        <v>2.7684154789452587E-4</v>
      </c>
      <c r="AB398" s="9"/>
      <c r="AC398" s="10">
        <f t="shared" si="99"/>
        <v>-122.35999999999996</v>
      </c>
      <c r="AD398" s="8">
        <f>IFERROR(AC398/AC444, "NA")</f>
        <v>-4.0804496871649649E-4</v>
      </c>
    </row>
    <row r="399" spans="1:30" ht="16.5" customHeight="1" x14ac:dyDescent="0.45">
      <c r="A399" s="20" t="s">
        <v>365</v>
      </c>
      <c r="B399" s="7">
        <v>100</v>
      </c>
      <c r="C399" s="8">
        <f>IFERROR(B399/B444, "NA")</f>
        <v>1.3415669230664899E-4</v>
      </c>
      <c r="D399" s="9"/>
      <c r="E399" s="7">
        <v>700</v>
      </c>
      <c r="F399" s="8">
        <f>IFERROR(E399/E444, "NA")</f>
        <v>1.0518502203152879E-3</v>
      </c>
      <c r="G399" s="9"/>
      <c r="H399" s="10">
        <f t="shared" si="96"/>
        <v>600</v>
      </c>
      <c r="I399" s="8">
        <f>IFERROR(H399/H444, "NA")</f>
        <v>7.5091010304489001E-3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-100</v>
      </c>
      <c r="O399" s="8">
        <f>IFERROR(N399/N444, "NA")</f>
        <v>-6.2068176181262892E-4</v>
      </c>
      <c r="P399" s="9"/>
      <c r="Q399" s="7">
        <v>100</v>
      </c>
      <c r="R399" s="8">
        <f>IFERROR(Q399/Q444, "NA")</f>
        <v>6.0273857405361842E-5</v>
      </c>
      <c r="S399" s="9"/>
      <c r="T399" s="7">
        <v>2100</v>
      </c>
      <c r="U399" s="8">
        <f>IFERROR(T399/T444, "NA")</f>
        <v>1.398546825935044E-3</v>
      </c>
      <c r="V399" s="9"/>
      <c r="W399" s="10">
        <f t="shared" si="98"/>
        <v>2000</v>
      </c>
      <c r="X399" s="8">
        <f>IFERROR(W399/W444, "NA")</f>
        <v>1.2695551967369385E-2</v>
      </c>
      <c r="Y399" s="9"/>
      <c r="Z399" s="7">
        <v>1562.5</v>
      </c>
      <c r="AA399" s="8">
        <f>IFERROR(Z399/Z444, "NA")</f>
        <v>1.1495519907124734E-3</v>
      </c>
      <c r="AB399" s="9"/>
      <c r="AC399" s="10">
        <f t="shared" si="99"/>
        <v>1462.5</v>
      </c>
      <c r="AD399" s="8">
        <f>IFERROR(AC399/AC444, "NA")</f>
        <v>4.8771311437387733E-3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8333.34</v>
      </c>
      <c r="L401" s="8">
        <f>IFERROR(K401/K444, "NA")</f>
        <v>1.4262485117037375E-2</v>
      </c>
      <c r="M401" s="9"/>
      <c r="N401" s="10">
        <f t="shared" si="97"/>
        <v>8333.34</v>
      </c>
      <c r="O401" s="8">
        <f>IFERROR(N401/N444, "NA")</f>
        <v>5.1723521529836537E-2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25000</v>
      </c>
      <c r="AA401" s="8">
        <f>IFERROR(Z401/Z444, "NA")</f>
        <v>1.8392831851399574E-2</v>
      </c>
      <c r="AB401" s="9"/>
      <c r="AC401" s="10">
        <f t="shared" si="99"/>
        <v>25000</v>
      </c>
      <c r="AD401" s="8">
        <f>IFERROR(AC401/AC444, "NA")</f>
        <v>8.3369763140833733E-2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144373.32999999999</v>
      </c>
      <c r="C403" s="15">
        <f>IFERROR(B403/B444, "NA")</f>
        <v>0.19368648410096292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180347.00000000003</v>
      </c>
      <c r="F403" s="15">
        <f>IFERROR(E403/E444, "NA")</f>
        <v>0.27099718811885892</v>
      </c>
      <c r="G403" s="2"/>
      <c r="H403" s="14">
        <f t="shared" si="96"/>
        <v>35973.670000000042</v>
      </c>
      <c r="I403" s="15">
        <f>IFERROR(H403/H444, "NA")</f>
        <v>0.45021653744338169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172015.39</v>
      </c>
      <c r="L403" s="15">
        <f>IFERROR(K403/K444, "NA")</f>
        <v>0.29440379725012777</v>
      </c>
      <c r="M403" s="2"/>
      <c r="N403" s="14">
        <f t="shared" si="97"/>
        <v>27642.060000000027</v>
      </c>
      <c r="O403" s="15">
        <f>IFERROR(N403/N444, "NA")</f>
        <v>0.17156922500930416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432116.53</v>
      </c>
      <c r="R403" s="15">
        <f>IFERROR(Q403/Q444, "NA")</f>
        <v>0.26045330111719767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460052.87999999995</v>
      </c>
      <c r="U403" s="15">
        <f>IFERROR(T403/T444, "NA")</f>
        <v>0.30638356908870262</v>
      </c>
      <c r="V403" s="2"/>
      <c r="W403" s="14">
        <f t="shared" si="98"/>
        <v>27936.349999999919</v>
      </c>
      <c r="X403" s="15">
        <f>IFERROR(W403/W444, "NA")</f>
        <v>0.17733369160180934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428022.02999999997</v>
      </c>
      <c r="AA403" s="15">
        <f>IFERROR(Z403/Z444, "NA")</f>
        <v>0.31490148905938814</v>
      </c>
      <c r="AB403" s="2"/>
      <c r="AC403" s="14">
        <f t="shared" si="99"/>
        <v>-4094.5000000000582</v>
      </c>
      <c r="AD403" s="15">
        <f>IFERROR(AC403/AC444, "NA")</f>
        <v>-1.3654299807205943E-2</v>
      </c>
    </row>
    <row r="404" spans="1:30" ht="16.5" customHeight="1" x14ac:dyDescent="0.45">
      <c r="A404" s="22" t="s">
        <v>370</v>
      </c>
      <c r="B404" s="23">
        <f>IFERROR(B345-B403, "NA")</f>
        <v>-81463.999999999942</v>
      </c>
      <c r="C404" s="24">
        <f>IFERROR(B404/B444, "NA")</f>
        <v>-0.10928940782068844</v>
      </c>
      <c r="D404" s="25"/>
      <c r="E404" s="23">
        <f>IFERROR(E345-E403, "NA")</f>
        <v>-101820.95999999998</v>
      </c>
      <c r="F404" s="24">
        <f>IFERROR(E404/E444, "NA")</f>
        <v>-0.153000570298163</v>
      </c>
      <c r="G404" s="25"/>
      <c r="H404" s="23">
        <f>IFERROR(B404-E404, "NA")</f>
        <v>20356.960000000036</v>
      </c>
      <c r="I404" s="24">
        <f>IFERROR(H404/H444, "NA")</f>
        <v>0.25477078218801219</v>
      </c>
      <c r="J404" s="25"/>
      <c r="K404" s="23">
        <f>IFERROR(K345-K403, "NA")</f>
        <v>-129687.39999999983</v>
      </c>
      <c r="L404" s="24">
        <f>IFERROR(K404/K444, "NA")</f>
        <v>-0.22195957591641172</v>
      </c>
      <c r="M404" s="25"/>
      <c r="N404" s="23">
        <f>IFERROR(B404-K404, "NA")</f>
        <v>48223.399999999892</v>
      </c>
      <c r="O404" s="24">
        <f>IFERROR(N404/N444, "NA")</f>
        <v>0.29931384872595063</v>
      </c>
      <c r="P404" s="25"/>
      <c r="Q404" s="23">
        <f>IFERROR(Q345-Q403, "NA")</f>
        <v>-417441.77999999985</v>
      </c>
      <c r="R404" s="24">
        <f>IFERROR(Q404/Q444, "NA")</f>
        <v>-0.25160826322760421</v>
      </c>
      <c r="S404" s="25"/>
      <c r="T404" s="23">
        <f>IFERROR(T345-T403, "NA")</f>
        <v>-394043.04999999981</v>
      </c>
      <c r="U404" s="24">
        <f>IFERROR(T404/T444, "NA")</f>
        <v>-0.26242269374250643</v>
      </c>
      <c r="V404" s="25"/>
      <c r="W404" s="23">
        <f>IFERROR(Q404-T404, "NA")</f>
        <v>-23398.73000000004</v>
      </c>
      <c r="X404" s="24">
        <f>IFERROR(W404/W444, "NA")</f>
        <v>-0.14852989634272279</v>
      </c>
      <c r="Y404" s="25"/>
      <c r="Z404" s="23">
        <f>IFERROR(Z345-Z403, "NA")</f>
        <v>-422710.78999999951</v>
      </c>
      <c r="AA404" s="24">
        <f>IFERROR(Z404/Z444, "NA")</f>
        <v>-0.31099393928969071</v>
      </c>
      <c r="AB404" s="25"/>
      <c r="AC404" s="23">
        <f>IFERROR(Q404-Z404, "NA")</f>
        <v>5269.0099999996601</v>
      </c>
      <c r="AD404" s="24">
        <f>IFERROR(AC404/AC444, "NA")</f>
        <v>1.757104462746624E-2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-58898.32</v>
      </c>
      <c r="L407" s="8">
        <f>IFERROR(K407/K444, "NA")</f>
        <v>-0.10080428884678949</v>
      </c>
      <c r="M407" s="9"/>
      <c r="N407" s="10">
        <f t="shared" ref="N407:N429" si="101">IFERROR(-(B407-K407), "NA")</f>
        <v>-58898.32</v>
      </c>
      <c r="O407" s="8">
        <f>IFERROR(N407/N444, "NA")</f>
        <v>-0.36557113025403998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-58938.32</v>
      </c>
      <c r="AA407" s="8">
        <f>IFERROR(Z407/Z444, "NA")</f>
        <v>-4.3361704374559225E-2</v>
      </c>
      <c r="AB407" s="9"/>
      <c r="AC407" s="10">
        <f t="shared" ref="AC407:AC429" si="103">IFERROR(-(Q407-Z407), "NA")</f>
        <v>-58938.32</v>
      </c>
      <c r="AD407" s="8">
        <f>IFERROR(AC407/AC444, "NA")</f>
        <v>-0.19654695113274653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331.69</v>
      </c>
      <c r="L408" s="8">
        <f>IFERROR(K408/K444, "NA")</f>
        <v>5.6768638846730441E-4</v>
      </c>
      <c r="M408" s="9"/>
      <c r="N408" s="10">
        <f t="shared" si="101"/>
        <v>331.69</v>
      </c>
      <c r="O408" s="8">
        <f>IFERROR(N408/N444, "NA")</f>
        <v>2.058739335756309E-3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331.69</v>
      </c>
      <c r="AA408" s="8">
        <f>IFERROR(Z408/Z444, "NA")</f>
        <v>2.4402873587162899E-4</v>
      </c>
      <c r="AB408" s="9"/>
      <c r="AC408" s="10">
        <f t="shared" si="103"/>
        <v>331.69</v>
      </c>
      <c r="AD408" s="8">
        <f>IFERROR(AC408/AC444, "NA")</f>
        <v>1.1061166694473256E-3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28107.75</v>
      </c>
      <c r="C410" s="8">
        <f>IFERROR(B410/B444, "NA")</f>
        <v>3.7708427681822129E-2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-28107.75</v>
      </c>
      <c r="I410" s="8">
        <f>IFERROR(H410/H444, "NA")</f>
        <v>-0.35177322414766682</v>
      </c>
      <c r="J410" s="9"/>
      <c r="K410" s="7">
        <v>33886.379999999997</v>
      </c>
      <c r="L410" s="8">
        <f>IFERROR(K410/K444, "NA")</f>
        <v>5.7996432453286784E-2</v>
      </c>
      <c r="M410" s="9"/>
      <c r="N410" s="10">
        <f t="shared" si="101"/>
        <v>5778.6299999999974</v>
      </c>
      <c r="O410" s="8">
        <f>IFERROR(N410/N444, "NA")</f>
        <v>3.5866902492633107E-2</v>
      </c>
      <c r="P410" s="9"/>
      <c r="Q410" s="7">
        <v>83944.37000000001</v>
      </c>
      <c r="R410" s="8">
        <f>IFERROR(Q410/Q444, "NA")</f>
        <v>5.0596509873629354E-2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-83944.37000000001</v>
      </c>
      <c r="X410" s="8">
        <f>IFERROR(W410/W444, "NA")</f>
        <v>-0.53286005585154184</v>
      </c>
      <c r="Y410" s="9"/>
      <c r="Z410" s="7">
        <v>101492.81</v>
      </c>
      <c r="AA410" s="8">
        <f>IFERROR(Z410/Z444, "NA")</f>
        <v>7.4669607538241811E-2</v>
      </c>
      <c r="AB410" s="9"/>
      <c r="AC410" s="10">
        <f t="shared" si="103"/>
        <v>17548.439999999988</v>
      </c>
      <c r="AD410" s="8">
        <f>IFERROR(AC410/AC444, "NA")</f>
        <v>5.8520371451645251E-2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3.6003631514335384E-4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-3.3586957392359525E-3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-1.6657236441765524E-3</v>
      </c>
      <c r="P411" s="9"/>
      <c r="Q411" s="7">
        <v>536.74</v>
      </c>
      <c r="R411" s="8">
        <f>IFERROR(Q411/Q444, "NA")</f>
        <v>3.2351390223753917E-4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-536.74</v>
      </c>
      <c r="X411" s="8">
        <f>IFERROR(W411/W444, "NA")</f>
        <v>-3.4071052814829222E-3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-536.74</v>
      </c>
      <c r="AD411" s="8">
        <f>IFERROR(AC411/AC444, "NA")</f>
        <v>-1.7899154667284439E-3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348.69000000000005</v>
      </c>
      <c r="C416" s="8">
        <f>IFERROR(B416/B444, "NA")</f>
        <v>4.6779097040405441E-4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-348.69000000000005</v>
      </c>
      <c r="I416" s="8">
        <f>IFERROR(H416/H444, "NA")</f>
        <v>-4.3639140638453795E-3</v>
      </c>
      <c r="J416" s="9"/>
      <c r="K416" s="7">
        <v>-56.39</v>
      </c>
      <c r="L416" s="8">
        <f>IFERROR(K416/K444, "NA")</f>
        <v>-9.6511307080922835E-5</v>
      </c>
      <c r="M416" s="9"/>
      <c r="N416" s="10">
        <f t="shared" si="101"/>
        <v>-405.08000000000004</v>
      </c>
      <c r="O416" s="8">
        <f>IFERROR(N416/N444, "NA")</f>
        <v>-2.5142576807505976E-3</v>
      </c>
      <c r="P416" s="9"/>
      <c r="Q416" s="7">
        <v>134.60000000000002</v>
      </c>
      <c r="R416" s="8">
        <f>IFERROR(Q416/Q444, "NA")</f>
        <v>8.1128612067617062E-5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-134.60000000000002</v>
      </c>
      <c r="X416" s="8">
        <f>IFERROR(W416/W444, "NA")</f>
        <v>-8.5441064740395976E-4</v>
      </c>
      <c r="Y416" s="9"/>
      <c r="Z416" s="7">
        <v>-205.53000000000003</v>
      </c>
      <c r="AA416" s="8">
        <f>IFERROR(Z416/Z444, "NA")</f>
        <v>-1.5121114921672621E-4</v>
      </c>
      <c r="AB416" s="9"/>
      <c r="AC416" s="10">
        <f t="shared" si="103"/>
        <v>-340.13000000000005</v>
      </c>
      <c r="AD416" s="8">
        <f>IFERROR(AC416/AC444, "NA")</f>
        <v>-1.1342623014836712E-3</v>
      </c>
    </row>
    <row r="417" spans="1:30" ht="16.5" customHeight="1" x14ac:dyDescent="0.45">
      <c r="A417" s="6" t="s">
        <v>382</v>
      </c>
      <c r="B417" s="7">
        <v>-255.48</v>
      </c>
      <c r="C417" s="8">
        <f>IFERROR(B417/B444, "NA")</f>
        <v>-3.427435175050268E-4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255.48</v>
      </c>
      <c r="I417" s="8">
        <f>IFERROR(H417/H444, "NA")</f>
        <v>3.1973752187651415E-3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255.48</v>
      </c>
      <c r="O417" s="8">
        <f>IFERROR(N417/N444, "NA")</f>
        <v>1.5857177650789045E-3</v>
      </c>
      <c r="P417" s="9"/>
      <c r="Q417" s="7">
        <v>-266.45</v>
      </c>
      <c r="R417" s="8">
        <f>IFERROR(Q417/Q444, "NA")</f>
        <v>-1.6059969305658663E-4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266.45</v>
      </c>
      <c r="X417" s="8">
        <f>IFERROR(W417/W444, "NA")</f>
        <v>1.6913649108527863E-3</v>
      </c>
      <c r="Y417" s="9"/>
      <c r="Z417" s="7">
        <v>-10.940000000000001</v>
      </c>
      <c r="AA417" s="8">
        <f>IFERROR(Z417/Z444, "NA")</f>
        <v>-8.0487032181724544E-6</v>
      </c>
      <c r="AB417" s="9"/>
      <c r="AC417" s="10">
        <f t="shared" si="103"/>
        <v>255.51</v>
      </c>
      <c r="AD417" s="8">
        <f>IFERROR(AC417/AC444, "NA")</f>
        <v>8.5207232720457707E-4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-2278.69</v>
      </c>
      <c r="L418" s="8">
        <f>IFERROR(K418/K444, "NA")</f>
        <v>-3.8999707453844313E-3</v>
      </c>
      <c r="M418" s="9"/>
      <c r="N418" s="10">
        <f t="shared" si="101"/>
        <v>-2278.69</v>
      </c>
      <c r="O418" s="8">
        <f>IFERROR(N418/N444, "NA")</f>
        <v>-1.4143413238248196E-2</v>
      </c>
      <c r="P418" s="9"/>
      <c r="Q418" s="7">
        <v>-1725.69</v>
      </c>
      <c r="R418" s="8">
        <f>IFERROR(Q418/Q444, "NA")</f>
        <v>-1.0401399298585888E-3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1725.69</v>
      </c>
      <c r="X418" s="8">
        <f>IFERROR(W418/W444, "NA")</f>
        <v>1.0954293537284837E-2</v>
      </c>
      <c r="Y418" s="9"/>
      <c r="Z418" s="7">
        <v>-2278.69</v>
      </c>
      <c r="AA418" s="8">
        <f>IFERROR(Z418/Z444, "NA")</f>
        <v>-1.6764624804586278E-3</v>
      </c>
      <c r="AB418" s="9"/>
      <c r="AC418" s="10">
        <f t="shared" si="103"/>
        <v>-553</v>
      </c>
      <c r="AD418" s="8">
        <f>IFERROR(AC418/AC444, "NA")</f>
        <v>-1.8441391606752421E-3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-20</v>
      </c>
      <c r="R421" s="8">
        <f>IFERROR(Q421/Q444, "NA")</f>
        <v>-1.2054771481072368E-5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20</v>
      </c>
      <c r="X421" s="8">
        <f>IFERROR(W421/W444, "NA")</f>
        <v>1.2695551967369385E-4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20</v>
      </c>
      <c r="AD421" s="8">
        <f>IFERROR(AC421/AC444, "NA")</f>
        <v>6.6695810512666989E-5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-0.99</v>
      </c>
      <c r="R423" s="8">
        <f>IFERROR(Q423/Q444, "NA")</f>
        <v>-5.967111883130823E-7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0.99</v>
      </c>
      <c r="X423" s="8">
        <f>IFERROR(W423/W444, "NA")</f>
        <v>6.2842982238478454E-6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0.99</v>
      </c>
      <c r="AD423" s="8">
        <f>IFERROR(AC423/AC444, "NA")</f>
        <v>3.3014426203770159E-6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6.4287886953346194E-5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-5.9972686896518558E-4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-2.9743070026061182E-4</v>
      </c>
      <c r="P424" s="9"/>
      <c r="Q424" s="7">
        <v>143.76</v>
      </c>
      <c r="R424" s="8">
        <f>IFERROR(Q424/Q444, "NA")</f>
        <v>8.664969740594818E-5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-143.76</v>
      </c>
      <c r="X424" s="8">
        <f>IFERROR(W424/W444, "NA")</f>
        <v>-9.1255627541451132E-4</v>
      </c>
      <c r="Y424" s="9"/>
      <c r="Z424" s="7">
        <v>24.48</v>
      </c>
      <c r="AA424" s="8">
        <f>IFERROR(Z424/Z444, "NA")</f>
        <v>1.8010260948890465E-5</v>
      </c>
      <c r="AB424" s="9"/>
      <c r="AC424" s="10">
        <f t="shared" si="103"/>
        <v>-119.27999999999999</v>
      </c>
      <c r="AD424" s="8">
        <f>IFERROR(AC424/AC444, "NA")</f>
        <v>-3.9777381389754585E-4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-12153.09</v>
      </c>
      <c r="C426" s="8">
        <f>IFERROR(B426/B444, "NA")</f>
        <v>-1.6304183557050125E-2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12153.09</v>
      </c>
      <c r="I426" s="8">
        <f>IFERROR(H426/H444, "NA")</f>
        <v>0.15209796773689704</v>
      </c>
      <c r="J426" s="9"/>
      <c r="K426" s="7">
        <v>-1299.2</v>
      </c>
      <c r="L426" s="8">
        <f>IFERROR(K426/K444, "NA")</f>
        <v>-2.2235767008252343E-3</v>
      </c>
      <c r="M426" s="9"/>
      <c r="N426" s="10">
        <f t="shared" si="101"/>
        <v>10853.89</v>
      </c>
      <c r="O426" s="8">
        <f>IFERROR(N426/N444, "NA")</f>
        <v>6.7368115677204757E-2</v>
      </c>
      <c r="P426" s="9"/>
      <c r="Q426" s="7">
        <v>-12883.89</v>
      </c>
      <c r="R426" s="8">
        <f>IFERROR(Q426/Q444, "NA")</f>
        <v>-7.7656174868636733E-3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12883.89</v>
      </c>
      <c r="X426" s="8">
        <f>IFERROR(W426/W444, "NA")</f>
        <v>8.1784047518435377E-2</v>
      </c>
      <c r="Y426" s="9"/>
      <c r="Z426" s="7">
        <v>-2022.5</v>
      </c>
      <c r="AA426" s="8">
        <f>IFERROR(Z426/Z444, "NA")</f>
        <v>-1.4879800967782255E-3</v>
      </c>
      <c r="AB426" s="9"/>
      <c r="AC426" s="10">
        <f t="shared" si="103"/>
        <v>10861.39</v>
      </c>
      <c r="AD426" s="8">
        <f>IFERROR(AC426/AC444, "NA")</f>
        <v>3.6220460467208802E-2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16364.159999999996</v>
      </c>
      <c r="C428" s="15">
        <f>IFERROR(B428/B444, "NA")</f>
        <v>2.1953615779767725E-2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-16364.159999999996</v>
      </c>
      <c r="I428" s="15">
        <f>IFERROR(H428/H444, "NA")</f>
        <v>-0.20480021786405109</v>
      </c>
      <c r="J428" s="2"/>
      <c r="K428" s="14">
        <f>IFERROR(K407+K408+K409+K410+K411+K412+K413+K414+K415+K416+K417+K418+K419+K420+K421+K422+K423+K424+K425+K426+K427, "NA")</f>
        <v>-28314.53</v>
      </c>
      <c r="L428" s="15">
        <f>IFERROR(K428/K444, "NA")</f>
        <v>-4.8460228758325979E-2</v>
      </c>
      <c r="M428" s="2"/>
      <c r="N428" s="14">
        <f t="shared" si="101"/>
        <v>-44678.689999999995</v>
      </c>
      <c r="O428" s="15">
        <f>IFERROR(N428/N444, "NA")</f>
        <v>-0.27731248024680283</v>
      </c>
      <c r="P428" s="2"/>
      <c r="Q428" s="14">
        <f>IFERROR(Q407+Q408+Q409+Q410+Q411+Q412+Q413+Q414+Q415+Q416+Q417+Q418+Q419+Q420+Q421+Q422+Q423+Q424+Q425+Q426+Q427, "NA")</f>
        <v>69862.450000000012</v>
      </c>
      <c r="R428" s="15">
        <f>IFERROR(Q428/Q444, "NA")</f>
        <v>4.2108793492892226E-2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-69862.450000000012</v>
      </c>
      <c r="X428" s="15">
        <f>IFERROR(W428/W444, "NA")</f>
        <v>-0.44347118227137272</v>
      </c>
      <c r="Y428" s="2"/>
      <c r="Z428" s="14">
        <f>IFERROR(Z407+Z408+Z409+Z410+Z411+Z412+Z413+Z414+Z415+Z416+Z417+Z418+Z419+Z420+Z421+Z422+Z423+Z424+Z425+Z426+Z427, "NA")</f>
        <v>38393</v>
      </c>
      <c r="AA428" s="15">
        <f>IFERROR(Z428/Z444, "NA")</f>
        <v>2.8246239730831353E-2</v>
      </c>
      <c r="AB428" s="2"/>
      <c r="AC428" s="14">
        <f t="shared" si="103"/>
        <v>-31469.450000000012</v>
      </c>
      <c r="AD428" s="15">
        <f>IFERROR(AC428/AC444, "NA")</f>
        <v>-0.10494402370689244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16364.159999999996</v>
      </c>
      <c r="C429" s="15">
        <f>IFERROR(B429/B444, "NA")</f>
        <v>2.1953615779767725E-2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-16364.159999999996</v>
      </c>
      <c r="I429" s="15">
        <f>IFERROR(H429/H444, "NA")</f>
        <v>-0.20480021786405109</v>
      </c>
      <c r="J429" s="2"/>
      <c r="K429" s="14">
        <f>IFERROR(K407+K408+K409+K410+K411+K412+K413+K414+K415+K416+K417+K418+K419+K420+K421+K422+K423+K424+K425+K426+K427, "NA")</f>
        <v>-28314.53</v>
      </c>
      <c r="L429" s="15">
        <f>IFERROR(K429/K444, "NA")</f>
        <v>-4.8460228758325979E-2</v>
      </c>
      <c r="M429" s="2"/>
      <c r="N429" s="14">
        <f t="shared" si="101"/>
        <v>-44678.689999999995</v>
      </c>
      <c r="O429" s="15">
        <f>IFERROR(N429/N444, "NA")</f>
        <v>-0.27731248024680283</v>
      </c>
      <c r="P429" s="2"/>
      <c r="Q429" s="14">
        <f>IFERROR(Q407+Q408+Q409+Q410+Q411+Q412+Q413+Q414+Q415+Q416+Q417+Q418+Q419+Q420+Q421+Q422+Q423+Q424+Q425+Q426+Q427, "NA")</f>
        <v>69862.450000000012</v>
      </c>
      <c r="R429" s="15">
        <f>IFERROR(Q429/Q444, "NA")</f>
        <v>4.2108793492892226E-2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-69862.450000000012</v>
      </c>
      <c r="X429" s="15">
        <f>IFERROR(W429/W444, "NA")</f>
        <v>-0.44347118227137272</v>
      </c>
      <c r="Y429" s="2"/>
      <c r="Z429" s="14">
        <f>IFERROR(Z407+Z408+Z409+Z410+Z411+Z412+Z413+Z414+Z415+Z416+Z417+Z418+Z419+Z420+Z421+Z422+Z423+Z424+Z425+Z426+Z427, "NA")</f>
        <v>38393</v>
      </c>
      <c r="AA429" s="15">
        <f>IFERROR(Z429/Z444, "NA")</f>
        <v>2.8246239730831353E-2</v>
      </c>
      <c r="AB429" s="2"/>
      <c r="AC429" s="14">
        <f t="shared" si="103"/>
        <v>-31469.450000000012</v>
      </c>
      <c r="AD429" s="15">
        <f>IFERROR(AC429/AC444, "NA")</f>
        <v>-0.10494402370689244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-97828.159999999945</v>
      </c>
      <c r="C443" s="24">
        <f>IFERROR(B443/B444, "NA")</f>
        <v>-0.13124302360045617</v>
      </c>
      <c r="D443" s="25"/>
      <c r="E443" s="23">
        <f>IFERROR(E404-E429-E442, "NA")</f>
        <v>-101820.95999999998</v>
      </c>
      <c r="F443" s="24">
        <f>IFERROR(E443/E444, "NA")</f>
        <v>-0.153000570298163</v>
      </c>
      <c r="G443" s="25"/>
      <c r="H443" s="23">
        <f>IFERROR(B443-E443, "NA")</f>
        <v>3992.800000000032</v>
      </c>
      <c r="I443" s="24">
        <f>IFERROR(H443/H444, "NA")</f>
        <v>4.997056432396102E-2</v>
      </c>
      <c r="J443" s="25"/>
      <c r="K443" s="23">
        <f>IFERROR(K404-K429-K442, "NA")</f>
        <v>-101372.86999999984</v>
      </c>
      <c r="L443" s="24">
        <f>IFERROR(K443/K444, "NA")</f>
        <v>-0.17349934715808574</v>
      </c>
      <c r="M443" s="25"/>
      <c r="N443" s="23">
        <f>IFERROR(B443-K443, "NA")</f>
        <v>3544.70999999989</v>
      </c>
      <c r="O443" s="24">
        <f>IFERROR(N443/N444, "NA")</f>
        <v>2.2001368479147757E-2</v>
      </c>
      <c r="P443" s="25"/>
      <c r="Q443" s="23">
        <f>IFERROR(Q404-Q429-Q442, "NA")</f>
        <v>-487304.22999999986</v>
      </c>
      <c r="R443" s="24">
        <f>IFERROR(Q443/Q444, "NA")</f>
        <v>-0.29371705672049642</v>
      </c>
      <c r="S443" s="25"/>
      <c r="T443" s="23">
        <f>IFERROR(T404-T429-T442, "NA")</f>
        <v>-394043.04999999981</v>
      </c>
      <c r="U443" s="24">
        <f>IFERROR(T443/T444, "NA")</f>
        <v>-0.26242269374250643</v>
      </c>
      <c r="V443" s="25"/>
      <c r="W443" s="23">
        <f>IFERROR(Q443-T443, "NA")</f>
        <v>-93261.180000000051</v>
      </c>
      <c r="X443" s="24">
        <f>IFERROR(W443/W444, "NA")</f>
        <v>-0.59200107861409546</v>
      </c>
      <c r="Y443" s="25"/>
      <c r="Z443" s="23">
        <f>IFERROR(Z404-Z429-Z442, "NA")</f>
        <v>-461103.78999999951</v>
      </c>
      <c r="AA443" s="24">
        <f>IFERROR(Z443/Z444, "NA")</f>
        <v>-0.33924017902052206</v>
      </c>
      <c r="AB443" s="25"/>
      <c r="AC443" s="23">
        <f>IFERROR(Q443-Z443, "NA")</f>
        <v>-26200.440000000352</v>
      </c>
      <c r="AD443" s="24">
        <f>IFERROR(AC443/AC444, "NA")</f>
        <v>-8.7372979079426205E-2</v>
      </c>
    </row>
    <row r="444" spans="1:30" ht="15.75" hidden="1" x14ac:dyDescent="0.45">
      <c r="A444" s="26" t="s">
        <v>117</v>
      </c>
      <c r="B444" s="7">
        <v>745397.03</v>
      </c>
      <c r="C444" s="27"/>
      <c r="D444" s="9"/>
      <c r="E444" s="7">
        <v>665493.99</v>
      </c>
      <c r="F444" s="27"/>
      <c r="G444" s="9"/>
      <c r="H444" s="10">
        <f>IFERROR(B444-E444, "NA")</f>
        <v>79903.040000000037</v>
      </c>
      <c r="I444" s="27"/>
      <c r="J444" s="9"/>
      <c r="K444" s="7">
        <v>584283.87</v>
      </c>
      <c r="L444" s="27"/>
      <c r="M444" s="9"/>
      <c r="N444" s="10">
        <f>IFERROR(B444-K444, "NA")</f>
        <v>161113.16000000003</v>
      </c>
      <c r="O444" s="27"/>
      <c r="P444" s="9"/>
      <c r="Q444" s="7">
        <v>1659094.08</v>
      </c>
      <c r="R444" s="27"/>
      <c r="S444" s="9"/>
      <c r="T444" s="7">
        <v>1501558.59</v>
      </c>
      <c r="U444" s="27"/>
      <c r="V444" s="9"/>
      <c r="W444" s="10">
        <f>IFERROR(Q444-T444, "NA")</f>
        <v>157535.49</v>
      </c>
      <c r="X444" s="27"/>
      <c r="Y444" s="9"/>
      <c r="Z444" s="7">
        <v>1359225.17</v>
      </c>
      <c r="AA444" s="27"/>
      <c r="AB444" s="9"/>
      <c r="AC444" s="10">
        <f>IFERROR(Q444-Z444, "NA")</f>
        <v>299868.91000000015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52984.55</v>
      </c>
      <c r="C350" s="8" t="str">
        <f>IFERROR(B350/B444, "NA")</f>
        <v>NA</v>
      </c>
      <c r="D350" s="9"/>
      <c r="E350" s="7">
        <v>69952</v>
      </c>
      <c r="F350" s="8" t="str">
        <f>IFERROR(E350/E444, "NA")</f>
        <v>NA</v>
      </c>
      <c r="G350" s="9"/>
      <c r="H350" s="10">
        <f t="shared" si="88"/>
        <v>16967.449999999997</v>
      </c>
      <c r="I350" s="8" t="str">
        <f>IFERROR(H350/H444, "NA")</f>
        <v>NA</v>
      </c>
      <c r="J350" s="9"/>
      <c r="K350" s="7">
        <v>63292.800000000003</v>
      </c>
      <c r="L350" s="8" t="str">
        <f>IFERROR(K350/K444, "NA")</f>
        <v>NA</v>
      </c>
      <c r="M350" s="9"/>
      <c r="N350" s="10">
        <f t="shared" si="89"/>
        <v>10308.25</v>
      </c>
      <c r="O350" s="8" t="str">
        <f>IFERROR(N350/N444, "NA")</f>
        <v>NA</v>
      </c>
      <c r="P350" s="9"/>
      <c r="Q350" s="7">
        <v>178871.97</v>
      </c>
      <c r="R350" s="8" t="str">
        <f>IFERROR(Q350/Q444, "NA")</f>
        <v>NA</v>
      </c>
      <c r="S350" s="9"/>
      <c r="T350" s="7">
        <v>194567</v>
      </c>
      <c r="U350" s="8" t="str">
        <f>IFERROR(T350/T444, "NA")</f>
        <v>NA</v>
      </c>
      <c r="V350" s="9"/>
      <c r="W350" s="10">
        <f t="shared" si="90"/>
        <v>15695.029999999999</v>
      </c>
      <c r="X350" s="8" t="str">
        <f>IFERROR(W350/W444, "NA")</f>
        <v>NA</v>
      </c>
      <c r="Y350" s="9"/>
      <c r="Z350" s="7">
        <v>169705.34</v>
      </c>
      <c r="AA350" s="8" t="str">
        <f>IFERROR(Z350/Z444, "NA")</f>
        <v>NA</v>
      </c>
      <c r="AB350" s="9"/>
      <c r="AC350" s="10">
        <f t="shared" si="91"/>
        <v>-9166.6300000000047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6875</v>
      </c>
      <c r="F352" s="8" t="str">
        <f>IFERROR(E352/E444, "NA")</f>
        <v>NA</v>
      </c>
      <c r="G352" s="9"/>
      <c r="H352" s="10">
        <f t="shared" si="88"/>
        <v>6875</v>
      </c>
      <c r="I352" s="8" t="str">
        <f>IFERROR(H352/H444, "NA")</f>
        <v>NA</v>
      </c>
      <c r="J352" s="9"/>
      <c r="K352" s="7">
        <v>12500</v>
      </c>
      <c r="L352" s="8" t="str">
        <f>IFERROR(K352/K444, "NA")</f>
        <v>NA</v>
      </c>
      <c r="M352" s="9"/>
      <c r="N352" s="10">
        <f t="shared" si="89"/>
        <v>12500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6875</v>
      </c>
      <c r="U352" s="8" t="str">
        <f>IFERROR(T352/T444, "NA")</f>
        <v>NA</v>
      </c>
      <c r="V352" s="9"/>
      <c r="W352" s="10">
        <f t="shared" si="90"/>
        <v>6875</v>
      </c>
      <c r="X352" s="8" t="str">
        <f>IFERROR(W352/W444, "NA")</f>
        <v>NA</v>
      </c>
      <c r="Y352" s="9"/>
      <c r="Z352" s="7">
        <v>25769.25</v>
      </c>
      <c r="AA352" s="8" t="str">
        <f>IFERROR(Z352/Z444, "NA")</f>
        <v>NA</v>
      </c>
      <c r="AB352" s="9"/>
      <c r="AC352" s="10">
        <f t="shared" si="91"/>
        <v>25769.25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5556.82</v>
      </c>
      <c r="F353" s="8" t="str">
        <f>IFERROR(E353/E444, "NA")</f>
        <v>NA</v>
      </c>
      <c r="G353" s="9"/>
      <c r="H353" s="10">
        <f t="shared" si="88"/>
        <v>5556.82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0</v>
      </c>
      <c r="O353" s="8" t="str">
        <f>IFERROR(N353/N444, "NA")</f>
        <v>NA</v>
      </c>
      <c r="P353" s="9"/>
      <c r="Q353" s="7">
        <v>6774.8</v>
      </c>
      <c r="R353" s="8" t="str">
        <f>IFERROR(Q353/Q444, "NA")</f>
        <v>NA</v>
      </c>
      <c r="S353" s="9"/>
      <c r="T353" s="7">
        <v>12784.64</v>
      </c>
      <c r="U353" s="8" t="str">
        <f>IFERROR(T353/T444, "NA")</f>
        <v>NA</v>
      </c>
      <c r="V353" s="9"/>
      <c r="W353" s="10">
        <f t="shared" si="90"/>
        <v>6009.8399999999992</v>
      </c>
      <c r="X353" s="8" t="str">
        <f>IFERROR(W353/W444, "NA")</f>
        <v>NA</v>
      </c>
      <c r="Y353" s="9"/>
      <c r="Z353" s="7">
        <v>0</v>
      </c>
      <c r="AA353" s="8" t="str">
        <f>IFERROR(Z353/Z444, "NA")</f>
        <v>NA</v>
      </c>
      <c r="AB353" s="9"/>
      <c r="AC353" s="10">
        <f t="shared" si="91"/>
        <v>-6774.8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4322.99</v>
      </c>
      <c r="C354" s="8" t="str">
        <f>IFERROR(B354/B444, "NA")</f>
        <v>NA</v>
      </c>
      <c r="D354" s="9"/>
      <c r="E354" s="7">
        <v>6389.33</v>
      </c>
      <c r="F354" s="8" t="str">
        <f>IFERROR(E354/E444, "NA")</f>
        <v>NA</v>
      </c>
      <c r="G354" s="9"/>
      <c r="H354" s="10">
        <f t="shared" si="88"/>
        <v>2066.34</v>
      </c>
      <c r="I354" s="8" t="str">
        <f>IFERROR(H354/H444, "NA")</f>
        <v>NA</v>
      </c>
      <c r="J354" s="9"/>
      <c r="K354" s="7">
        <v>5576.19</v>
      </c>
      <c r="L354" s="8" t="str">
        <f>IFERROR(K354/K444, "NA")</f>
        <v>NA</v>
      </c>
      <c r="M354" s="9"/>
      <c r="N354" s="10">
        <f t="shared" si="89"/>
        <v>1253.1999999999998</v>
      </c>
      <c r="O354" s="8" t="str">
        <f>IFERROR(N354/N444, "NA")</f>
        <v>NA</v>
      </c>
      <c r="P354" s="9"/>
      <c r="Q354" s="7">
        <v>16730.3</v>
      </c>
      <c r="R354" s="8" t="str">
        <f>IFERROR(Q354/Q444, "NA")</f>
        <v>NA</v>
      </c>
      <c r="S354" s="9"/>
      <c r="T354" s="7">
        <v>18641.419999999998</v>
      </c>
      <c r="U354" s="8" t="str">
        <f>IFERROR(T354/T444, "NA")</f>
        <v>NA</v>
      </c>
      <c r="V354" s="9"/>
      <c r="W354" s="10">
        <f t="shared" si="90"/>
        <v>1911.119999999999</v>
      </c>
      <c r="X354" s="8" t="str">
        <f>IFERROR(W354/W444, "NA")</f>
        <v>NA</v>
      </c>
      <c r="Y354" s="9"/>
      <c r="Z354" s="7">
        <v>15384.31</v>
      </c>
      <c r="AA354" s="8" t="str">
        <f>IFERROR(Z354/Z444, "NA")</f>
        <v>NA</v>
      </c>
      <c r="AB354" s="9"/>
      <c r="AC354" s="10">
        <f t="shared" si="91"/>
        <v>-1345.9899999999998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254.4</v>
      </c>
      <c r="C355" s="8" t="str">
        <f>IFERROR(B355/B444, "NA")</f>
        <v>NA</v>
      </c>
      <c r="D355" s="9"/>
      <c r="E355" s="7">
        <v>350</v>
      </c>
      <c r="F355" s="8" t="str">
        <f>IFERROR(E355/E444, "NA")</f>
        <v>NA</v>
      </c>
      <c r="G355" s="9"/>
      <c r="H355" s="10">
        <f t="shared" si="88"/>
        <v>95.6</v>
      </c>
      <c r="I355" s="8" t="str">
        <f>IFERROR(H355/H444, "NA")</f>
        <v>NA</v>
      </c>
      <c r="J355" s="9"/>
      <c r="K355" s="7">
        <v>508.8</v>
      </c>
      <c r="L355" s="8" t="str">
        <f>IFERROR(K355/K444, "NA")</f>
        <v>NA</v>
      </c>
      <c r="M355" s="9"/>
      <c r="N355" s="10">
        <f t="shared" si="89"/>
        <v>254.4</v>
      </c>
      <c r="O355" s="8" t="str">
        <f>IFERROR(N355/N444, "NA")</f>
        <v>NA</v>
      </c>
      <c r="P355" s="9"/>
      <c r="Q355" s="7">
        <v>795</v>
      </c>
      <c r="R355" s="8" t="str">
        <f>IFERROR(Q355/Q444, "NA")</f>
        <v>NA</v>
      </c>
      <c r="S355" s="9"/>
      <c r="T355" s="7">
        <v>910</v>
      </c>
      <c r="U355" s="8" t="str">
        <f>IFERROR(T355/T444, "NA")</f>
        <v>NA</v>
      </c>
      <c r="V355" s="9"/>
      <c r="W355" s="10">
        <f t="shared" si="90"/>
        <v>115</v>
      </c>
      <c r="X355" s="8" t="str">
        <f>IFERROR(W355/W444, "NA")</f>
        <v>NA</v>
      </c>
      <c r="Y355" s="9"/>
      <c r="Z355" s="7">
        <v>775.92</v>
      </c>
      <c r="AA355" s="8" t="str">
        <f>IFERROR(Z355/Z444, "NA")</f>
        <v>NA</v>
      </c>
      <c r="AB355" s="9"/>
      <c r="AC355" s="10">
        <f t="shared" si="91"/>
        <v>-19.080000000000041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8472.5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-2285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-8472.5</v>
      </c>
      <c r="O356" s="8" t="str">
        <f>IFERROR(N356/N444, "NA")</f>
        <v>NA</v>
      </c>
      <c r="P356" s="9"/>
      <c r="Q356" s="7">
        <v>20847.5</v>
      </c>
      <c r="R356" s="8" t="str">
        <f>IFERROR(Q356/Q444, "NA")</f>
        <v>NA</v>
      </c>
      <c r="S356" s="9"/>
      <c r="T356" s="7">
        <v>18562.5</v>
      </c>
      <c r="U356" s="8" t="str">
        <f>IFERROR(T356/T444, "NA")</f>
        <v>NA</v>
      </c>
      <c r="V356" s="9"/>
      <c r="W356" s="10">
        <f t="shared" si="90"/>
        <v>-2285</v>
      </c>
      <c r="X356" s="8" t="str">
        <f>IFERROR(W356/W444, "NA")</f>
        <v>NA</v>
      </c>
      <c r="Y356" s="9"/>
      <c r="Z356" s="7">
        <v>1800</v>
      </c>
      <c r="AA356" s="8" t="str">
        <f>IFERROR(Z356/Z444, "NA")</f>
        <v>NA</v>
      </c>
      <c r="AB356" s="9"/>
      <c r="AC356" s="10">
        <f t="shared" si="91"/>
        <v>-19047.5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3217.47</v>
      </c>
      <c r="C357" s="8" t="str">
        <f>IFERROR(B357/B444, "NA")</f>
        <v>NA</v>
      </c>
      <c r="D357" s="9"/>
      <c r="E357" s="7">
        <v>2868.03</v>
      </c>
      <c r="F357" s="8" t="str">
        <f>IFERROR(E357/E444, "NA")</f>
        <v>NA</v>
      </c>
      <c r="G357" s="9"/>
      <c r="H357" s="10">
        <f t="shared" si="88"/>
        <v>-349.4399999999996</v>
      </c>
      <c r="I357" s="8" t="str">
        <f>IFERROR(H357/H444, "NA")</f>
        <v>NA</v>
      </c>
      <c r="J357" s="9"/>
      <c r="K357" s="7">
        <v>1698.21</v>
      </c>
      <c r="L357" s="8" t="str">
        <f>IFERROR(K357/K444, "NA")</f>
        <v>NA</v>
      </c>
      <c r="M357" s="9"/>
      <c r="N357" s="10">
        <f t="shared" si="89"/>
        <v>-1519.2599999999998</v>
      </c>
      <c r="O357" s="8" t="str">
        <f>IFERROR(N357/N444, "NA")</f>
        <v>NA</v>
      </c>
      <c r="P357" s="9"/>
      <c r="Q357" s="7">
        <v>10156.17</v>
      </c>
      <c r="R357" s="8" t="str">
        <f>IFERROR(Q357/Q444, "NA")</f>
        <v>NA</v>
      </c>
      <c r="S357" s="9"/>
      <c r="T357" s="7">
        <v>7977.24</v>
      </c>
      <c r="U357" s="8" t="str">
        <f>IFERROR(T357/T444, "NA")</f>
        <v>NA</v>
      </c>
      <c r="V357" s="9"/>
      <c r="W357" s="10">
        <f t="shared" si="90"/>
        <v>-2178.9300000000003</v>
      </c>
      <c r="X357" s="8" t="str">
        <f>IFERROR(W357/W444, "NA")</f>
        <v>NA</v>
      </c>
      <c r="Y357" s="9"/>
      <c r="Z357" s="7">
        <v>6011.73</v>
      </c>
      <c r="AA357" s="8" t="str">
        <f>IFERROR(Z357/Z444, "NA")</f>
        <v>NA</v>
      </c>
      <c r="AB357" s="9"/>
      <c r="AC357" s="10">
        <f t="shared" si="91"/>
        <v>-4144.4400000000005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69251.91</v>
      </c>
      <c r="C358" s="15" t="str">
        <f>IFERROR(B358/B444, "NA")</f>
        <v>NA</v>
      </c>
      <c r="D358" s="2"/>
      <c r="E358" s="14">
        <f>IFERROR(E349+E350+E351+E352+E353+E354+E355+E356+E357, "NA")</f>
        <v>98178.680000000008</v>
      </c>
      <c r="F358" s="15" t="str">
        <f>IFERROR(E358/E444, "NA")</f>
        <v>NA</v>
      </c>
      <c r="G358" s="2"/>
      <c r="H358" s="14">
        <f t="shared" si="88"/>
        <v>28926.770000000004</v>
      </c>
      <c r="I358" s="15" t="str">
        <f>IFERROR(H358/H444, "NA")</f>
        <v>NA</v>
      </c>
      <c r="J358" s="2"/>
      <c r="K358" s="14">
        <f>IFERROR(K349+K350+K351+K352+K353+K354+K355+K356+K357, "NA")</f>
        <v>83576.000000000015</v>
      </c>
      <c r="L358" s="15" t="str">
        <f>IFERROR(K358/K444, "NA")</f>
        <v>NA</v>
      </c>
      <c r="M358" s="2"/>
      <c r="N358" s="14">
        <f t="shared" si="89"/>
        <v>14324.090000000011</v>
      </c>
      <c r="O358" s="15" t="str">
        <f>IFERROR(N358/N444, "NA")</f>
        <v>NA</v>
      </c>
      <c r="P358" s="2"/>
      <c r="Q358" s="14">
        <f>IFERROR(Q349+Q350+Q351+Q352+Q353+Q354+Q355+Q356+Q357, "NA")</f>
        <v>234175.74</v>
      </c>
      <c r="R358" s="15" t="str">
        <f>IFERROR(Q358/Q444, "NA")</f>
        <v>NA</v>
      </c>
      <c r="S358" s="2"/>
      <c r="T358" s="14">
        <f>IFERROR(T349+T350+T351+T352+T353+T354+T355+T356+T357, "NA")</f>
        <v>260317.8</v>
      </c>
      <c r="U358" s="15" t="str">
        <f>IFERROR(T358/T444, "NA")</f>
        <v>NA</v>
      </c>
      <c r="V358" s="2"/>
      <c r="W358" s="14">
        <f t="shared" si="90"/>
        <v>26142.059999999998</v>
      </c>
      <c r="X358" s="15" t="str">
        <f>IFERROR(W358/W444, "NA")</f>
        <v>NA</v>
      </c>
      <c r="Y358" s="2"/>
      <c r="Z358" s="14">
        <f>IFERROR(Z349+Z350+Z351+Z352+Z353+Z354+Z355+Z356+Z357, "NA")</f>
        <v>219446.55000000002</v>
      </c>
      <c r="AA358" s="15" t="str">
        <f>IFERROR(Z358/Z444, "NA")</f>
        <v>NA</v>
      </c>
      <c r="AB358" s="2"/>
      <c r="AC358" s="14">
        <f t="shared" si="91"/>
        <v>-14729.189999999973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4000</v>
      </c>
      <c r="U360" s="8" t="str">
        <f>IFERROR(T360/T444, "NA")</f>
        <v>NA</v>
      </c>
      <c r="V360" s="9"/>
      <c r="W360" s="10">
        <f t="shared" ref="W360:W383" si="94">IFERROR(-(Q360-T360), "NA")</f>
        <v>4000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304.44</v>
      </c>
      <c r="L361" s="8" t="str">
        <f>IFERROR(K361/K444, "NA")</f>
        <v>NA</v>
      </c>
      <c r="M361" s="9"/>
      <c r="N361" s="10">
        <f t="shared" si="93"/>
        <v>304.44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652.15</v>
      </c>
      <c r="AA361" s="8" t="str">
        <f>IFERROR(Z361/Z444, "NA")</f>
        <v>NA</v>
      </c>
      <c r="AB361" s="9"/>
      <c r="AC361" s="10">
        <f t="shared" si="95"/>
        <v>652.15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1015.41</v>
      </c>
      <c r="C362" s="8" t="str">
        <f>IFERROR(B362/B444, "NA")</f>
        <v>NA</v>
      </c>
      <c r="D362" s="9"/>
      <c r="E362" s="7">
        <v>400</v>
      </c>
      <c r="F362" s="8" t="str">
        <f>IFERROR(E362/E444, "NA")</f>
        <v>NA</v>
      </c>
      <c r="G362" s="9"/>
      <c r="H362" s="10">
        <f t="shared" si="92"/>
        <v>-615.41</v>
      </c>
      <c r="I362" s="8" t="str">
        <f>IFERROR(H362/H444, "NA")</f>
        <v>NA</v>
      </c>
      <c r="J362" s="9"/>
      <c r="K362" s="7">
        <v>236.1</v>
      </c>
      <c r="L362" s="8" t="str">
        <f>IFERROR(K362/K444, "NA")</f>
        <v>NA</v>
      </c>
      <c r="M362" s="9"/>
      <c r="N362" s="10">
        <f t="shared" si="93"/>
        <v>-779.31</v>
      </c>
      <c r="O362" s="8" t="str">
        <f>IFERROR(N362/N444, "NA")</f>
        <v>NA</v>
      </c>
      <c r="P362" s="9"/>
      <c r="Q362" s="7">
        <v>2752.84</v>
      </c>
      <c r="R362" s="8" t="str">
        <f>IFERROR(Q362/Q444, "NA")</f>
        <v>NA</v>
      </c>
      <c r="S362" s="9"/>
      <c r="T362" s="7">
        <v>1300</v>
      </c>
      <c r="U362" s="8" t="str">
        <f>IFERROR(T362/T444, "NA")</f>
        <v>NA</v>
      </c>
      <c r="V362" s="9"/>
      <c r="W362" s="10">
        <f t="shared" si="94"/>
        <v>-1452.8400000000001</v>
      </c>
      <c r="X362" s="8" t="str">
        <f>IFERROR(W362/W444, "NA")</f>
        <v>NA</v>
      </c>
      <c r="Y362" s="9"/>
      <c r="Z362" s="7">
        <v>1146.0999999999999</v>
      </c>
      <c r="AA362" s="8" t="str">
        <f>IFERROR(Z362/Z444, "NA")</f>
        <v>NA</v>
      </c>
      <c r="AB362" s="9"/>
      <c r="AC362" s="10">
        <f t="shared" si="95"/>
        <v>-1606.7400000000002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1644.11</v>
      </c>
      <c r="C363" s="8" t="str">
        <f>IFERROR(B363/B444, "NA")</f>
        <v>NA</v>
      </c>
      <c r="D363" s="9"/>
      <c r="E363" s="7">
        <v>250</v>
      </c>
      <c r="F363" s="8" t="str">
        <f>IFERROR(E363/E444, "NA")</f>
        <v>NA</v>
      </c>
      <c r="G363" s="9"/>
      <c r="H363" s="10">
        <f t="shared" si="92"/>
        <v>-1394.11</v>
      </c>
      <c r="I363" s="8" t="str">
        <f>IFERROR(H363/H444, "NA")</f>
        <v>NA</v>
      </c>
      <c r="J363" s="9"/>
      <c r="K363" s="7">
        <v>935.23</v>
      </c>
      <c r="L363" s="8" t="str">
        <f>IFERROR(K363/K444, "NA")</f>
        <v>NA</v>
      </c>
      <c r="M363" s="9"/>
      <c r="N363" s="10">
        <f t="shared" si="93"/>
        <v>-708.87999999999988</v>
      </c>
      <c r="O363" s="8" t="str">
        <f>IFERROR(N363/N444, "NA")</f>
        <v>NA</v>
      </c>
      <c r="P363" s="9"/>
      <c r="Q363" s="7">
        <v>2694.85</v>
      </c>
      <c r="R363" s="8" t="str">
        <f>IFERROR(Q363/Q444, "NA")</f>
        <v>NA</v>
      </c>
      <c r="S363" s="9"/>
      <c r="T363" s="7">
        <v>650</v>
      </c>
      <c r="U363" s="8" t="str">
        <f>IFERROR(T363/T444, "NA")</f>
        <v>NA</v>
      </c>
      <c r="V363" s="9"/>
      <c r="W363" s="10">
        <f t="shared" si="94"/>
        <v>-2044.85</v>
      </c>
      <c r="X363" s="8" t="str">
        <f>IFERROR(W363/W444, "NA")</f>
        <v>NA</v>
      </c>
      <c r="Y363" s="9"/>
      <c r="Z363" s="7">
        <v>1389.6</v>
      </c>
      <c r="AA363" s="8" t="str">
        <f>IFERROR(Z363/Z444, "NA")</f>
        <v>NA</v>
      </c>
      <c r="AB363" s="9"/>
      <c r="AC363" s="10">
        <f t="shared" si="95"/>
        <v>-1305.25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689.44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-689.44</v>
      </c>
      <c r="I364" s="8" t="str">
        <f>IFERROR(H364/H444, "NA")</f>
        <v>NA</v>
      </c>
      <c r="J364" s="9"/>
      <c r="K364" s="7">
        <v>298.56</v>
      </c>
      <c r="L364" s="8" t="str">
        <f>IFERROR(K364/K444, "NA")</f>
        <v>NA</v>
      </c>
      <c r="M364" s="9"/>
      <c r="N364" s="10">
        <f t="shared" si="93"/>
        <v>-390.88000000000005</v>
      </c>
      <c r="O364" s="8" t="str">
        <f>IFERROR(N364/N444, "NA")</f>
        <v>NA</v>
      </c>
      <c r="P364" s="9"/>
      <c r="Q364" s="7">
        <v>2585.9699999999998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-2585.9699999999998</v>
      </c>
      <c r="X364" s="8" t="str">
        <f>IFERROR(W364/W444, "NA")</f>
        <v>NA</v>
      </c>
      <c r="Y364" s="9"/>
      <c r="Z364" s="7">
        <v>1619.09</v>
      </c>
      <c r="AA364" s="8" t="str">
        <f>IFERROR(Z364/Z444, "NA")</f>
        <v>NA</v>
      </c>
      <c r="AB364" s="9"/>
      <c r="AC364" s="10">
        <f t="shared" si="95"/>
        <v>-966.87999999999988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-16.809999999999999</v>
      </c>
      <c r="C365" s="8" t="str">
        <f>IFERROR(B365/B444, "NA")</f>
        <v>NA</v>
      </c>
      <c r="D365" s="9"/>
      <c r="E365" s="7">
        <v>210</v>
      </c>
      <c r="F365" s="8" t="str">
        <f>IFERROR(E365/E444, "NA")</f>
        <v>NA</v>
      </c>
      <c r="G365" s="9"/>
      <c r="H365" s="10">
        <f t="shared" si="92"/>
        <v>226.81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16.809999999999999</v>
      </c>
      <c r="O365" s="8" t="str">
        <f>IFERROR(N365/N444, "NA")</f>
        <v>NA</v>
      </c>
      <c r="P365" s="9"/>
      <c r="Q365" s="7">
        <v>879.39</v>
      </c>
      <c r="R365" s="8" t="str">
        <f>IFERROR(Q365/Q444, "NA")</f>
        <v>NA</v>
      </c>
      <c r="S365" s="9"/>
      <c r="T365" s="7">
        <v>210</v>
      </c>
      <c r="U365" s="8" t="str">
        <f>IFERROR(T365/T444, "NA")</f>
        <v>NA</v>
      </c>
      <c r="V365" s="9"/>
      <c r="W365" s="10">
        <f t="shared" si="94"/>
        <v>-669.39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-879.39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-1049.3499999999999</v>
      </c>
      <c r="C366" s="8" t="str">
        <f>IFERROR(B366/B444, "NA")</f>
        <v>NA</v>
      </c>
      <c r="D366" s="9"/>
      <c r="E366" s="7">
        <v>345</v>
      </c>
      <c r="F366" s="8" t="str">
        <f>IFERROR(E366/E444, "NA")</f>
        <v>NA</v>
      </c>
      <c r="G366" s="9"/>
      <c r="H366" s="10">
        <f t="shared" si="92"/>
        <v>1394.35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1049.3499999999999</v>
      </c>
      <c r="O366" s="8" t="str">
        <f>IFERROR(N366/N444, "NA")</f>
        <v>NA</v>
      </c>
      <c r="P366" s="9"/>
      <c r="Q366" s="7">
        <v>0</v>
      </c>
      <c r="R366" s="8" t="str">
        <f>IFERROR(Q366/Q444, "NA")</f>
        <v>NA</v>
      </c>
      <c r="S366" s="9"/>
      <c r="T366" s="7">
        <v>690</v>
      </c>
      <c r="U366" s="8" t="str">
        <f>IFERROR(T366/T444, "NA")</f>
        <v>NA</v>
      </c>
      <c r="V366" s="9"/>
      <c r="W366" s="10">
        <f t="shared" si="94"/>
        <v>690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0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5481.74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-5481.74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-5481.74</v>
      </c>
      <c r="O367" s="8" t="str">
        <f>IFERROR(N367/N444, "NA")</f>
        <v>NA</v>
      </c>
      <c r="P367" s="9"/>
      <c r="Q367" s="7">
        <v>5481.74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-5481.74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-5481.74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7764.54</v>
      </c>
      <c r="C368" s="15" t="str">
        <f>IFERROR(B368/B444, "NA")</f>
        <v>NA</v>
      </c>
      <c r="D368" s="2"/>
      <c r="E368" s="14">
        <f>IFERROR(E360+E361+E362+E363+E364+E365+E366+E367, "NA")</f>
        <v>2705</v>
      </c>
      <c r="F368" s="15" t="str">
        <f>IFERROR(E368/E444, "NA")</f>
        <v>NA</v>
      </c>
      <c r="G368" s="2"/>
      <c r="H368" s="14">
        <f t="shared" si="92"/>
        <v>-5059.54</v>
      </c>
      <c r="I368" s="15" t="str">
        <f>IFERROR(H368/H444, "NA")</f>
        <v>NA</v>
      </c>
      <c r="J368" s="2"/>
      <c r="K368" s="14">
        <f>IFERROR(K360+K361+K362+K363+K364+K365+K366+K367, "NA")</f>
        <v>1774.33</v>
      </c>
      <c r="L368" s="15" t="str">
        <f>IFERROR(K368/K444, "NA")</f>
        <v>NA</v>
      </c>
      <c r="M368" s="2"/>
      <c r="N368" s="14">
        <f t="shared" si="93"/>
        <v>-5990.21</v>
      </c>
      <c r="O368" s="15" t="str">
        <f>IFERROR(N368/N444, "NA")</f>
        <v>NA</v>
      </c>
      <c r="P368" s="2"/>
      <c r="Q368" s="14">
        <f>IFERROR(Q360+Q361+Q362+Q363+Q364+Q365+Q366+Q367, "NA")</f>
        <v>14394.789999999999</v>
      </c>
      <c r="R368" s="15" t="str">
        <f>IFERROR(Q368/Q444, "NA")</f>
        <v>NA</v>
      </c>
      <c r="S368" s="2"/>
      <c r="T368" s="14">
        <f>IFERROR(T360+T361+T362+T363+T364+T365+T366+T367, "NA")</f>
        <v>6850</v>
      </c>
      <c r="U368" s="15" t="str">
        <f>IFERROR(T368/T444, "NA")</f>
        <v>NA</v>
      </c>
      <c r="V368" s="2"/>
      <c r="W368" s="14">
        <f t="shared" si="94"/>
        <v>-7544.7899999999991</v>
      </c>
      <c r="X368" s="15" t="str">
        <f>IFERROR(W368/W444, "NA")</f>
        <v>NA</v>
      </c>
      <c r="Y368" s="2"/>
      <c r="Z368" s="14">
        <f>IFERROR(Z360+Z361+Z362+Z363+Z364+Z365+Z366+Z367, "NA")</f>
        <v>4806.9399999999996</v>
      </c>
      <c r="AA368" s="15" t="str">
        <f>IFERROR(Z368/Z444, "NA")</f>
        <v>NA</v>
      </c>
      <c r="AB368" s="2"/>
      <c r="AC368" s="14">
        <f t="shared" si="95"/>
        <v>-9587.8499999999985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768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-133</v>
      </c>
      <c r="I370" s="8" t="str">
        <f>IFERROR(H370/H444, "NA")</f>
        <v>NA</v>
      </c>
      <c r="J370" s="9"/>
      <c r="K370" s="7">
        <v>190.6</v>
      </c>
      <c r="L370" s="8" t="str">
        <f>IFERROR(K370/K444, "NA")</f>
        <v>NA</v>
      </c>
      <c r="M370" s="9"/>
      <c r="N370" s="10">
        <f t="shared" si="93"/>
        <v>-577.4</v>
      </c>
      <c r="O370" s="8" t="str">
        <f>IFERROR(N370/N444, "NA")</f>
        <v>NA</v>
      </c>
      <c r="P370" s="9"/>
      <c r="Q370" s="7">
        <v>974</v>
      </c>
      <c r="R370" s="8" t="str">
        <f>IFERROR(Q370/Q444, "NA")</f>
        <v>NA</v>
      </c>
      <c r="S370" s="9"/>
      <c r="T370" s="7">
        <v>1905</v>
      </c>
      <c r="U370" s="8" t="str">
        <f>IFERROR(T370/T444, "NA")</f>
        <v>NA</v>
      </c>
      <c r="V370" s="9"/>
      <c r="W370" s="10">
        <f t="shared" si="94"/>
        <v>931</v>
      </c>
      <c r="X370" s="8" t="str">
        <f>IFERROR(W370/W444, "NA")</f>
        <v>NA</v>
      </c>
      <c r="Y370" s="9"/>
      <c r="Z370" s="7">
        <v>1882.6</v>
      </c>
      <c r="AA370" s="8" t="str">
        <f>IFERROR(Z370/Z444, "NA")</f>
        <v>NA</v>
      </c>
      <c r="AB370" s="9"/>
      <c r="AC370" s="10">
        <f t="shared" si="95"/>
        <v>908.59999999999991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209.33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-109.33000000000001</v>
      </c>
      <c r="I371" s="8" t="str">
        <f>IFERROR(H371/H444, "NA")</f>
        <v>NA</v>
      </c>
      <c r="J371" s="9"/>
      <c r="K371" s="7">
        <v>792.52</v>
      </c>
      <c r="L371" s="8" t="str">
        <f>IFERROR(K371/K444, "NA")</f>
        <v>NA</v>
      </c>
      <c r="M371" s="9"/>
      <c r="N371" s="10">
        <f t="shared" si="93"/>
        <v>583.18999999999994</v>
      </c>
      <c r="O371" s="8" t="str">
        <f>IFERROR(N371/N444, "NA")</f>
        <v>NA</v>
      </c>
      <c r="P371" s="9"/>
      <c r="Q371" s="7">
        <v>506.61</v>
      </c>
      <c r="R371" s="8" t="str">
        <f>IFERROR(Q371/Q444, "NA")</f>
        <v>NA</v>
      </c>
      <c r="S371" s="9"/>
      <c r="T371" s="7">
        <v>300</v>
      </c>
      <c r="U371" s="8" t="str">
        <f>IFERROR(T371/T444, "NA")</f>
        <v>NA</v>
      </c>
      <c r="V371" s="9"/>
      <c r="W371" s="10">
        <f t="shared" si="94"/>
        <v>-206.61</v>
      </c>
      <c r="X371" s="8" t="str">
        <f>IFERROR(W371/W444, "NA")</f>
        <v>NA</v>
      </c>
      <c r="Y371" s="9"/>
      <c r="Z371" s="7">
        <v>1099.52</v>
      </c>
      <c r="AA371" s="8" t="str">
        <f>IFERROR(Z371/Z444, "NA")</f>
        <v>NA</v>
      </c>
      <c r="AB371" s="9"/>
      <c r="AC371" s="10">
        <f t="shared" si="95"/>
        <v>592.91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277.17</v>
      </c>
      <c r="C372" s="8" t="str">
        <f>IFERROR(B372/B444, "NA")</f>
        <v>NA</v>
      </c>
      <c r="D372" s="9"/>
      <c r="E372" s="7">
        <v>2500</v>
      </c>
      <c r="F372" s="8" t="str">
        <f>IFERROR(E372/E444, "NA")</f>
        <v>NA</v>
      </c>
      <c r="G372" s="9"/>
      <c r="H372" s="10">
        <f t="shared" si="92"/>
        <v>2222.83</v>
      </c>
      <c r="I372" s="8" t="str">
        <f>IFERROR(H372/H444, "NA")</f>
        <v>NA</v>
      </c>
      <c r="J372" s="9"/>
      <c r="K372" s="7">
        <v>2450</v>
      </c>
      <c r="L372" s="8" t="str">
        <f>IFERROR(K372/K444, "NA")</f>
        <v>NA</v>
      </c>
      <c r="M372" s="9"/>
      <c r="N372" s="10">
        <f t="shared" si="93"/>
        <v>2172.83</v>
      </c>
      <c r="O372" s="8" t="str">
        <f>IFERROR(N372/N444, "NA")</f>
        <v>NA</v>
      </c>
      <c r="P372" s="9"/>
      <c r="Q372" s="7">
        <v>554.34</v>
      </c>
      <c r="R372" s="8" t="str">
        <f>IFERROR(Q372/Q444, "NA")</f>
        <v>NA</v>
      </c>
      <c r="S372" s="9"/>
      <c r="T372" s="7">
        <v>2500</v>
      </c>
      <c r="U372" s="8" t="str">
        <f>IFERROR(T372/T444, "NA")</f>
        <v>NA</v>
      </c>
      <c r="V372" s="9"/>
      <c r="W372" s="10">
        <f t="shared" si="94"/>
        <v>1945.6599999999999</v>
      </c>
      <c r="X372" s="8" t="str">
        <f>IFERROR(W372/W444, "NA")</f>
        <v>NA</v>
      </c>
      <c r="Y372" s="9"/>
      <c r="Z372" s="7">
        <v>2450</v>
      </c>
      <c r="AA372" s="8" t="str">
        <f>IFERROR(Z372/Z444, "NA")</f>
        <v>NA</v>
      </c>
      <c r="AB372" s="9"/>
      <c r="AC372" s="10">
        <f t="shared" si="95"/>
        <v>1895.6599999999999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383.26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-58.259999999999991</v>
      </c>
      <c r="I373" s="8" t="str">
        <f>IFERROR(H373/H444, "NA")</f>
        <v>NA</v>
      </c>
      <c r="J373" s="9"/>
      <c r="K373" s="7">
        <v>930.61</v>
      </c>
      <c r="L373" s="8" t="str">
        <f>IFERROR(K373/K444, "NA")</f>
        <v>NA</v>
      </c>
      <c r="M373" s="9"/>
      <c r="N373" s="10">
        <f t="shared" si="93"/>
        <v>547.35</v>
      </c>
      <c r="O373" s="8" t="str">
        <f>IFERROR(N373/N444, "NA")</f>
        <v>NA</v>
      </c>
      <c r="P373" s="9"/>
      <c r="Q373" s="7">
        <v>1445.23</v>
      </c>
      <c r="R373" s="8" t="str">
        <f>IFERROR(Q373/Q444, "NA")</f>
        <v>NA</v>
      </c>
      <c r="S373" s="9"/>
      <c r="T373" s="7">
        <v>975</v>
      </c>
      <c r="U373" s="8" t="str">
        <f>IFERROR(T373/T444, "NA")</f>
        <v>NA</v>
      </c>
      <c r="V373" s="9"/>
      <c r="W373" s="10">
        <f t="shared" si="94"/>
        <v>-470.23</v>
      </c>
      <c r="X373" s="8" t="str">
        <f>IFERROR(W373/W444, "NA")</f>
        <v>NA</v>
      </c>
      <c r="Y373" s="9"/>
      <c r="Z373" s="7">
        <v>2482.5700000000002</v>
      </c>
      <c r="AA373" s="8" t="str">
        <f>IFERROR(Z373/Z444, "NA")</f>
        <v>NA</v>
      </c>
      <c r="AB373" s="9"/>
      <c r="AC373" s="10">
        <f t="shared" si="95"/>
        <v>1037.3400000000001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1940.01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-40.009999999999991</v>
      </c>
      <c r="I374" s="8" t="str">
        <f>IFERROR(H374/H444, "NA")</f>
        <v>NA</v>
      </c>
      <c r="J374" s="9"/>
      <c r="K374" s="7">
        <v>1498.75</v>
      </c>
      <c r="L374" s="8" t="str">
        <f>IFERROR(K374/K444, "NA")</f>
        <v>NA</v>
      </c>
      <c r="M374" s="9"/>
      <c r="N374" s="10">
        <f t="shared" si="93"/>
        <v>-441.26</v>
      </c>
      <c r="O374" s="8" t="str">
        <f>IFERROR(N374/N444, "NA")</f>
        <v>NA</v>
      </c>
      <c r="P374" s="9"/>
      <c r="Q374" s="7">
        <v>5734.03</v>
      </c>
      <c r="R374" s="8" t="str">
        <f>IFERROR(Q374/Q444, "NA")</f>
        <v>NA</v>
      </c>
      <c r="S374" s="9"/>
      <c r="T374" s="7">
        <v>5700</v>
      </c>
      <c r="U374" s="8" t="str">
        <f>IFERROR(T374/T444, "NA")</f>
        <v>NA</v>
      </c>
      <c r="V374" s="9"/>
      <c r="W374" s="10">
        <f t="shared" si="94"/>
        <v>-34.029999999999745</v>
      </c>
      <c r="X374" s="8" t="str">
        <f>IFERROR(W374/W444, "NA")</f>
        <v>NA</v>
      </c>
      <c r="Y374" s="9"/>
      <c r="Z374" s="7">
        <v>5060.46</v>
      </c>
      <c r="AA374" s="8" t="str">
        <f>IFERROR(Z374/Z444, "NA")</f>
        <v>NA</v>
      </c>
      <c r="AB374" s="9"/>
      <c r="AC374" s="10">
        <f t="shared" si="95"/>
        <v>-673.56999999999971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0</v>
      </c>
      <c r="O375" s="8" t="str">
        <f>IFERROR(N375/N444, "NA")</f>
        <v>NA</v>
      </c>
      <c r="P375" s="9"/>
      <c r="Q375" s="7">
        <v>205.26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-205.26</v>
      </c>
      <c r="X375" s="8" t="str">
        <f>IFERROR(W375/W444, "NA")</f>
        <v>NA</v>
      </c>
      <c r="Y375" s="9"/>
      <c r="Z375" s="7">
        <v>184.99</v>
      </c>
      <c r="AA375" s="8" t="str">
        <f>IFERROR(Z375/Z444, "NA")</f>
        <v>NA</v>
      </c>
      <c r="AB375" s="9"/>
      <c r="AC375" s="10">
        <f t="shared" si="95"/>
        <v>-20.269999999999982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-2413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2413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8983.4599999999991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-513.1299999999992</v>
      </c>
      <c r="I378" s="8" t="str">
        <f>IFERROR(H378/H444, "NA")</f>
        <v>NA</v>
      </c>
      <c r="J378" s="9"/>
      <c r="K378" s="7">
        <v>5824.49</v>
      </c>
      <c r="L378" s="8" t="str">
        <f>IFERROR(K378/K444, "NA")</f>
        <v>NA</v>
      </c>
      <c r="M378" s="9"/>
      <c r="N378" s="10">
        <f t="shared" si="93"/>
        <v>-3158.9699999999993</v>
      </c>
      <c r="O378" s="8" t="str">
        <f>IFERROR(N378/N444, "NA")</f>
        <v>NA</v>
      </c>
      <c r="P378" s="9"/>
      <c r="Q378" s="7">
        <v>25818.48</v>
      </c>
      <c r="R378" s="8" t="str">
        <f>IFERROR(Q378/Q444, "NA")</f>
        <v>NA</v>
      </c>
      <c r="S378" s="9"/>
      <c r="T378" s="7">
        <v>25410.99</v>
      </c>
      <c r="U378" s="8" t="str">
        <f>IFERROR(T378/T444, "NA")</f>
        <v>NA</v>
      </c>
      <c r="V378" s="9"/>
      <c r="W378" s="10">
        <f t="shared" si="94"/>
        <v>-407.48999999999796</v>
      </c>
      <c r="X378" s="8" t="str">
        <f>IFERROR(W378/W444, "NA")</f>
        <v>NA</v>
      </c>
      <c r="Y378" s="9"/>
      <c r="Z378" s="7">
        <v>17357.07</v>
      </c>
      <c r="AA378" s="8" t="str">
        <f>IFERROR(Z378/Z444, "NA")</f>
        <v>NA</v>
      </c>
      <c r="AB378" s="9"/>
      <c r="AC378" s="10">
        <f t="shared" si="95"/>
        <v>-8461.41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1157.33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-957.32999999999993</v>
      </c>
      <c r="I379" s="8" t="str">
        <f>IFERROR(H379/H444, "NA")</f>
        <v>NA</v>
      </c>
      <c r="J379" s="9"/>
      <c r="K379" s="7">
        <v>637.39</v>
      </c>
      <c r="L379" s="8" t="str">
        <f>IFERROR(K379/K444, "NA")</f>
        <v>NA</v>
      </c>
      <c r="M379" s="9"/>
      <c r="N379" s="10">
        <f t="shared" si="93"/>
        <v>-519.93999999999994</v>
      </c>
      <c r="O379" s="8" t="str">
        <f>IFERROR(N379/N444, "NA")</f>
        <v>NA</v>
      </c>
      <c r="P379" s="9"/>
      <c r="Q379" s="7">
        <v>1390.06</v>
      </c>
      <c r="R379" s="8" t="str">
        <f>IFERROR(Q379/Q444, "NA")</f>
        <v>NA</v>
      </c>
      <c r="S379" s="9"/>
      <c r="T379" s="7">
        <v>600</v>
      </c>
      <c r="U379" s="8" t="str">
        <f>IFERROR(T379/T444, "NA")</f>
        <v>NA</v>
      </c>
      <c r="V379" s="9"/>
      <c r="W379" s="10">
        <f t="shared" si="94"/>
        <v>-790.06</v>
      </c>
      <c r="X379" s="8" t="str">
        <f>IFERROR(W379/W444, "NA")</f>
        <v>NA</v>
      </c>
      <c r="Y379" s="9"/>
      <c r="Z379" s="7">
        <v>1149.29</v>
      </c>
      <c r="AA379" s="8" t="str">
        <f>IFERROR(Z379/Z444, "NA")</f>
        <v>NA</v>
      </c>
      <c r="AB379" s="9"/>
      <c r="AC379" s="10">
        <f t="shared" si="95"/>
        <v>-240.76999999999998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11500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0</v>
      </c>
      <c r="O380" s="8" t="str">
        <f>IFERROR(N380/N444, "NA")</f>
        <v>NA</v>
      </c>
      <c r="P380" s="9"/>
      <c r="Q380" s="7">
        <v>34500</v>
      </c>
      <c r="R380" s="8" t="str">
        <f>IFERROR(Q380/Q444, "NA")</f>
        <v>NA</v>
      </c>
      <c r="S380" s="9"/>
      <c r="T380" s="7">
        <v>34500</v>
      </c>
      <c r="U380" s="8" t="str">
        <f>IFERROR(T380/T444, "NA")</f>
        <v>NA</v>
      </c>
      <c r="V380" s="9"/>
      <c r="W380" s="10">
        <f t="shared" si="94"/>
        <v>0</v>
      </c>
      <c r="X380" s="8" t="str">
        <f>IFERROR(W380/W444, "NA")</f>
        <v>NA</v>
      </c>
      <c r="Y380" s="9"/>
      <c r="Z380" s="7">
        <v>34500</v>
      </c>
      <c r="AA380" s="8" t="str">
        <f>IFERROR(Z380/Z444, "NA")</f>
        <v>NA</v>
      </c>
      <c r="AB380" s="9"/>
      <c r="AC380" s="10">
        <f t="shared" si="95"/>
        <v>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4975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-975</v>
      </c>
      <c r="I381" s="8" t="str">
        <f>IFERROR(H381/H444, "NA")</f>
        <v>NA</v>
      </c>
      <c r="J381" s="9"/>
      <c r="K381" s="7">
        <v>19861.52</v>
      </c>
      <c r="L381" s="8" t="str">
        <f>IFERROR(K381/K444, "NA")</f>
        <v>NA</v>
      </c>
      <c r="M381" s="9"/>
      <c r="N381" s="10">
        <f t="shared" si="93"/>
        <v>14886.52</v>
      </c>
      <c r="O381" s="8" t="str">
        <f>IFERROR(N381/N444, "NA")</f>
        <v>NA</v>
      </c>
      <c r="P381" s="9"/>
      <c r="Q381" s="7">
        <v>22216.51</v>
      </c>
      <c r="R381" s="8" t="str">
        <f>IFERROR(Q381/Q444, "NA")</f>
        <v>NA</v>
      </c>
      <c r="S381" s="9"/>
      <c r="T381" s="7">
        <v>12000</v>
      </c>
      <c r="U381" s="8" t="str">
        <f>IFERROR(T381/T444, "NA")</f>
        <v>NA</v>
      </c>
      <c r="V381" s="9"/>
      <c r="W381" s="10">
        <f t="shared" si="94"/>
        <v>-10216.509999999998</v>
      </c>
      <c r="X381" s="8" t="str">
        <f>IFERROR(W381/W444, "NA")</f>
        <v>NA</v>
      </c>
      <c r="Y381" s="9"/>
      <c r="Z381" s="7">
        <v>28195.52</v>
      </c>
      <c r="AA381" s="8" t="str">
        <f>IFERROR(Z381/Z444, "NA")</f>
        <v>NA</v>
      </c>
      <c r="AB381" s="9"/>
      <c r="AC381" s="10">
        <f t="shared" si="95"/>
        <v>5979.010000000002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505.62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289.38</v>
      </c>
      <c r="I382" s="8" t="str">
        <f>IFERROR(H382/H444, "NA")</f>
        <v>NA</v>
      </c>
      <c r="J382" s="9"/>
      <c r="K382" s="7">
        <v>0</v>
      </c>
      <c r="L382" s="8" t="str">
        <f>IFERROR(K382/K444, "NA")</f>
        <v>NA</v>
      </c>
      <c r="M382" s="9"/>
      <c r="N382" s="10">
        <f t="shared" si="93"/>
        <v>-505.62</v>
      </c>
      <c r="O382" s="8" t="str">
        <f>IFERROR(N382/N444, "NA")</f>
        <v>NA</v>
      </c>
      <c r="P382" s="9"/>
      <c r="Q382" s="7">
        <v>1011.24</v>
      </c>
      <c r="R382" s="8" t="str">
        <f>IFERROR(Q382/Q444, "NA")</f>
        <v>NA</v>
      </c>
      <c r="S382" s="9"/>
      <c r="T382" s="7">
        <v>2385</v>
      </c>
      <c r="U382" s="8" t="str">
        <f>IFERROR(T382/T444, "NA")</f>
        <v>NA</v>
      </c>
      <c r="V382" s="9"/>
      <c r="W382" s="10">
        <f t="shared" si="94"/>
        <v>1373.76</v>
      </c>
      <c r="X382" s="8" t="str">
        <f>IFERROR(W382/W444, "NA")</f>
        <v>NA</v>
      </c>
      <c r="Y382" s="9"/>
      <c r="Z382" s="7">
        <v>211.98</v>
      </c>
      <c r="AA382" s="8" t="str">
        <f>IFERROR(Z382/Z444, "NA")</f>
        <v>NA</v>
      </c>
      <c r="AB382" s="9"/>
      <c r="AC382" s="10">
        <f t="shared" si="95"/>
        <v>-799.26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8948.4599999999991</v>
      </c>
      <c r="C385" s="8" t="str">
        <f>IFERROR(B385/B444, "NA")</f>
        <v>NA</v>
      </c>
      <c r="D385" s="9"/>
      <c r="E385" s="7">
        <v>6000</v>
      </c>
      <c r="F385" s="8" t="str">
        <f>IFERROR(E385/E444, "NA")</f>
        <v>NA</v>
      </c>
      <c r="G385" s="9"/>
      <c r="H385" s="10">
        <f>IFERROR(-(B385-E385), "NA")</f>
        <v>-2948.4599999999991</v>
      </c>
      <c r="I385" s="8" t="str">
        <f>IFERROR(H385/H444, "NA")</f>
        <v>NA</v>
      </c>
      <c r="J385" s="9"/>
      <c r="K385" s="7">
        <v>3769.23</v>
      </c>
      <c r="L385" s="8" t="str">
        <f>IFERROR(K385/K444, "NA")</f>
        <v>NA</v>
      </c>
      <c r="M385" s="9"/>
      <c r="N385" s="10">
        <f>IFERROR(-(B385-K385), "NA")</f>
        <v>-5179.2299999999996</v>
      </c>
      <c r="O385" s="8" t="str">
        <f>IFERROR(N385/N444, "NA")</f>
        <v>NA</v>
      </c>
      <c r="P385" s="9"/>
      <c r="Q385" s="7">
        <v>13244.19</v>
      </c>
      <c r="R385" s="8" t="str">
        <f>IFERROR(Q385/Q444, "NA")</f>
        <v>NA</v>
      </c>
      <c r="S385" s="9"/>
      <c r="T385" s="7">
        <v>7672.12</v>
      </c>
      <c r="U385" s="8" t="str">
        <f>IFERROR(T385/T444, "NA")</f>
        <v>NA</v>
      </c>
      <c r="V385" s="9"/>
      <c r="W385" s="10">
        <f>IFERROR(-(Q385-T385), "NA")</f>
        <v>-5572.0700000000006</v>
      </c>
      <c r="X385" s="8" t="str">
        <f>IFERROR(W385/W444, "NA")</f>
        <v>NA</v>
      </c>
      <c r="Y385" s="9"/>
      <c r="Z385" s="7">
        <v>6982.27</v>
      </c>
      <c r="AA385" s="8" t="str">
        <f>IFERROR(Z385/Z444, "NA")</f>
        <v>NA</v>
      </c>
      <c r="AB385" s="9"/>
      <c r="AC385" s="10">
        <f>IFERROR(-(Q385-Z385), "NA")</f>
        <v>-6261.92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51.47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-51.47</v>
      </c>
      <c r="I386" s="8" t="str">
        <f>IFERROR(H386/H444, "NA")</f>
        <v>NA</v>
      </c>
      <c r="J386" s="9"/>
      <c r="K386" s="7">
        <v>328.85</v>
      </c>
      <c r="L386" s="8" t="str">
        <f>IFERROR(K386/K444, "NA")</f>
        <v>NA</v>
      </c>
      <c r="M386" s="9"/>
      <c r="N386" s="10">
        <f>IFERROR(-(B386-K386), "NA")</f>
        <v>277.38</v>
      </c>
      <c r="O386" s="8" t="str">
        <f>IFERROR(N386/N444, "NA")</f>
        <v>NA</v>
      </c>
      <c r="P386" s="9"/>
      <c r="Q386" s="7">
        <v>51.47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-51.47</v>
      </c>
      <c r="X386" s="8" t="str">
        <f>IFERROR(W386/W444, "NA")</f>
        <v>NA</v>
      </c>
      <c r="Y386" s="9"/>
      <c r="Z386" s="7">
        <v>2646.84</v>
      </c>
      <c r="AA386" s="8" t="str">
        <f>IFERROR(Z386/Z444, "NA")</f>
        <v>NA</v>
      </c>
      <c r="AB386" s="9"/>
      <c r="AC386" s="10">
        <f>IFERROR(-(Q386-Z386), "NA")</f>
        <v>2595.3700000000003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4190.92</v>
      </c>
      <c r="C389" s="8" t="str">
        <f>IFERROR(B389/B444, "NA")</f>
        <v>NA</v>
      </c>
      <c r="D389" s="9"/>
      <c r="E389" s="7">
        <v>3060.26</v>
      </c>
      <c r="F389" s="8" t="str">
        <f>IFERROR(E389/E444, "NA")</f>
        <v>NA</v>
      </c>
      <c r="G389" s="9"/>
      <c r="H389" s="10">
        <f t="shared" si="96"/>
        <v>-1130.6599999999999</v>
      </c>
      <c r="I389" s="8" t="str">
        <f>IFERROR(H389/H444, "NA")</f>
        <v>NA</v>
      </c>
      <c r="J389" s="9"/>
      <c r="K389" s="7">
        <v>1688.9</v>
      </c>
      <c r="L389" s="8" t="str">
        <f>IFERROR(K389/K444, "NA")</f>
        <v>NA</v>
      </c>
      <c r="M389" s="9"/>
      <c r="N389" s="10">
        <f t="shared" si="97"/>
        <v>-2502.02</v>
      </c>
      <c r="O389" s="8" t="str">
        <f>IFERROR(N389/N444, "NA")</f>
        <v>NA</v>
      </c>
      <c r="P389" s="9"/>
      <c r="Q389" s="7">
        <v>10997.39</v>
      </c>
      <c r="R389" s="8" t="str">
        <f>IFERROR(Q389/Q444, "NA")</f>
        <v>NA</v>
      </c>
      <c r="S389" s="9"/>
      <c r="T389" s="7">
        <v>7119.11</v>
      </c>
      <c r="U389" s="8" t="str">
        <f>IFERROR(T389/T444, "NA")</f>
        <v>NA</v>
      </c>
      <c r="V389" s="9"/>
      <c r="W389" s="10">
        <f t="shared" si="98"/>
        <v>-3878.2799999999997</v>
      </c>
      <c r="X389" s="8" t="str">
        <f>IFERROR(W389/W444, "NA")</f>
        <v>NA</v>
      </c>
      <c r="Y389" s="9"/>
      <c r="Z389" s="7">
        <v>3422.05</v>
      </c>
      <c r="AA389" s="8" t="str">
        <f>IFERROR(Z389/Z444, "NA")</f>
        <v>NA</v>
      </c>
      <c r="AB389" s="9"/>
      <c r="AC389" s="10">
        <f t="shared" si="99"/>
        <v>-7575.3399999999992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12908.55</v>
      </c>
      <c r="C390" s="8" t="str">
        <f>IFERROR(B390/B444, "NA")</f>
        <v>NA</v>
      </c>
      <c r="D390" s="9"/>
      <c r="E390" s="7">
        <v>14870.13</v>
      </c>
      <c r="F390" s="8" t="str">
        <f>IFERROR(E390/E444, "NA")</f>
        <v>NA</v>
      </c>
      <c r="G390" s="9"/>
      <c r="H390" s="10">
        <f t="shared" si="96"/>
        <v>1961.58</v>
      </c>
      <c r="I390" s="8" t="str">
        <f>IFERROR(H390/H444, "NA")</f>
        <v>NA</v>
      </c>
      <c r="J390" s="9"/>
      <c r="K390" s="7">
        <v>10947.39</v>
      </c>
      <c r="L390" s="8" t="str">
        <f>IFERROR(K390/K444, "NA")</f>
        <v>NA</v>
      </c>
      <c r="M390" s="9"/>
      <c r="N390" s="10">
        <f t="shared" si="97"/>
        <v>-1961.1599999999999</v>
      </c>
      <c r="O390" s="8" t="str">
        <f>IFERROR(N390/N444, "NA")</f>
        <v>NA</v>
      </c>
      <c r="P390" s="9"/>
      <c r="Q390" s="7">
        <v>36147.03</v>
      </c>
      <c r="R390" s="8" t="str">
        <f>IFERROR(Q390/Q444, "NA")</f>
        <v>NA</v>
      </c>
      <c r="S390" s="9"/>
      <c r="T390" s="7">
        <v>34592.54</v>
      </c>
      <c r="U390" s="8" t="str">
        <f>IFERROR(T390/T444, "NA")</f>
        <v>NA</v>
      </c>
      <c r="V390" s="9"/>
      <c r="W390" s="10">
        <f t="shared" si="98"/>
        <v>-1554.489999999998</v>
      </c>
      <c r="X390" s="8" t="str">
        <f>IFERROR(W390/W444, "NA")</f>
        <v>NA</v>
      </c>
      <c r="Y390" s="9"/>
      <c r="Z390" s="7">
        <v>25704.35</v>
      </c>
      <c r="AA390" s="8" t="str">
        <f>IFERROR(Z390/Z444, "NA")</f>
        <v>NA</v>
      </c>
      <c r="AB390" s="9"/>
      <c r="AC390" s="10">
        <f t="shared" si="99"/>
        <v>-10442.68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6146.24</v>
      </c>
      <c r="C392" s="8" t="str">
        <f>IFERROR(B392/B444, "NA")</f>
        <v>NA</v>
      </c>
      <c r="D392" s="9"/>
      <c r="E392" s="7">
        <v>2284.41</v>
      </c>
      <c r="F392" s="8" t="str">
        <f>IFERROR(E392/E444, "NA")</f>
        <v>NA</v>
      </c>
      <c r="G392" s="9"/>
      <c r="H392" s="10">
        <f t="shared" si="96"/>
        <v>-3861.83</v>
      </c>
      <c r="I392" s="8" t="str">
        <f>IFERROR(H392/H444, "NA")</f>
        <v>NA</v>
      </c>
      <c r="J392" s="9"/>
      <c r="K392" s="7">
        <v>3559.99</v>
      </c>
      <c r="L392" s="8" t="str">
        <f>IFERROR(K392/K444, "NA")</f>
        <v>NA</v>
      </c>
      <c r="M392" s="9"/>
      <c r="N392" s="10">
        <f t="shared" si="97"/>
        <v>-2586.25</v>
      </c>
      <c r="O392" s="8" t="str">
        <f>IFERROR(N392/N444, "NA")</f>
        <v>NA</v>
      </c>
      <c r="P392" s="9"/>
      <c r="Q392" s="7">
        <v>15277.17</v>
      </c>
      <c r="R392" s="8" t="str">
        <f>IFERROR(Q392/Q444, "NA")</f>
        <v>NA</v>
      </c>
      <c r="S392" s="9"/>
      <c r="T392" s="7">
        <v>5314.24</v>
      </c>
      <c r="U392" s="8" t="str">
        <f>IFERROR(T392/T444, "NA")</f>
        <v>NA</v>
      </c>
      <c r="V392" s="9"/>
      <c r="W392" s="10">
        <f t="shared" si="98"/>
        <v>-9962.93</v>
      </c>
      <c r="X392" s="8" t="str">
        <f>IFERROR(W392/W444, "NA")</f>
        <v>NA</v>
      </c>
      <c r="Y392" s="9"/>
      <c r="Z392" s="7">
        <v>6363.83</v>
      </c>
      <c r="AA392" s="8" t="str">
        <f>IFERROR(Z392/Z444, "NA")</f>
        <v>NA</v>
      </c>
      <c r="AB392" s="9"/>
      <c r="AC392" s="10">
        <f t="shared" si="99"/>
        <v>-8913.34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23245.71</v>
      </c>
      <c r="C393" s="15" t="str">
        <f>IFERROR(B393/B444, "NA")</f>
        <v>NA</v>
      </c>
      <c r="D393" s="2"/>
      <c r="E393" s="14">
        <f>IFERROR(E388+E389+E390+E391+E392, "NA")</f>
        <v>20214.8</v>
      </c>
      <c r="F393" s="15" t="str">
        <f>IFERROR(E393/E444, "NA")</f>
        <v>NA</v>
      </c>
      <c r="G393" s="2"/>
      <c r="H393" s="14">
        <f t="shared" si="96"/>
        <v>-3030.91</v>
      </c>
      <c r="I393" s="15" t="str">
        <f>IFERROR(H393/H444, "NA")</f>
        <v>NA</v>
      </c>
      <c r="J393" s="2"/>
      <c r="K393" s="14">
        <f>IFERROR(K388+K389+K390+K391+K392, "NA")</f>
        <v>16196.279999999999</v>
      </c>
      <c r="L393" s="15" t="str">
        <f>IFERROR(K393/K444, "NA")</f>
        <v>NA</v>
      </c>
      <c r="M393" s="2"/>
      <c r="N393" s="14">
        <f t="shared" si="97"/>
        <v>-7049.43</v>
      </c>
      <c r="O393" s="15" t="str">
        <f>IFERROR(N393/N444, "NA")</f>
        <v>NA</v>
      </c>
      <c r="P393" s="2"/>
      <c r="Q393" s="14">
        <f>IFERROR(Q388+Q389+Q390+Q391+Q392, "NA")</f>
        <v>62421.59</v>
      </c>
      <c r="R393" s="15" t="str">
        <f>IFERROR(Q393/Q444, "NA")</f>
        <v>NA</v>
      </c>
      <c r="S393" s="2"/>
      <c r="T393" s="14">
        <f>IFERROR(T388+T389+T390+T391+T392, "NA")</f>
        <v>47025.89</v>
      </c>
      <c r="U393" s="15" t="str">
        <f>IFERROR(T393/T444, "NA")</f>
        <v>NA</v>
      </c>
      <c r="V393" s="2"/>
      <c r="W393" s="14">
        <f t="shared" si="98"/>
        <v>-15395.699999999997</v>
      </c>
      <c r="X393" s="15" t="str">
        <f>IFERROR(W393/W444, "NA")</f>
        <v>NA</v>
      </c>
      <c r="Y393" s="2"/>
      <c r="Z393" s="14">
        <f>IFERROR(Z388+Z389+Z390+Z391+Z392, "NA")</f>
        <v>35490.229999999996</v>
      </c>
      <c r="AA393" s="15" t="str">
        <f>IFERROR(Z393/Z444, "NA")</f>
        <v>NA</v>
      </c>
      <c r="AB393" s="2"/>
      <c r="AC393" s="14">
        <f t="shared" si="99"/>
        <v>-26931.360000000001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5323.95</v>
      </c>
      <c r="F394" s="8" t="str">
        <f>IFERROR(E394/E444, "NA")</f>
        <v>NA</v>
      </c>
      <c r="G394" s="9"/>
      <c r="H394" s="10">
        <f t="shared" si="96"/>
        <v>5323.95</v>
      </c>
      <c r="I394" s="8" t="str">
        <f>IFERROR(H394/H444, "NA")</f>
        <v>NA</v>
      </c>
      <c r="J394" s="9"/>
      <c r="K394" s="7">
        <v>6107.39</v>
      </c>
      <c r="L394" s="8" t="str">
        <f>IFERROR(K394/K444, "NA")</f>
        <v>NA</v>
      </c>
      <c r="M394" s="9"/>
      <c r="N394" s="10">
        <f t="shared" si="97"/>
        <v>6107.39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9504.27</v>
      </c>
      <c r="U394" s="8" t="str">
        <f>IFERROR(T394/T444, "NA")</f>
        <v>NA</v>
      </c>
      <c r="V394" s="9"/>
      <c r="W394" s="10">
        <f t="shared" si="98"/>
        <v>2892.21</v>
      </c>
      <c r="X394" s="8" t="str">
        <f>IFERROR(W394/W444, "NA")</f>
        <v>NA</v>
      </c>
      <c r="Y394" s="9"/>
      <c r="Z394" s="7">
        <v>19146.3</v>
      </c>
      <c r="AA394" s="8" t="str">
        <f>IFERROR(Z394/Z444, "NA")</f>
        <v>NA</v>
      </c>
      <c r="AB394" s="9"/>
      <c r="AC394" s="10">
        <f t="shared" si="99"/>
        <v>12534.239999999998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32245.64</v>
      </c>
      <c r="C396" s="15" t="str">
        <f>IFERROR(B396/B444, "NA")</f>
        <v>NA</v>
      </c>
      <c r="D396" s="2"/>
      <c r="E396" s="14">
        <f>IFERROR(E385+E386+E388+E389+E390+E391+E392+E394+E395, "NA")</f>
        <v>31538.75</v>
      </c>
      <c r="F396" s="15" t="str">
        <f>IFERROR(E396/E444, "NA")</f>
        <v>NA</v>
      </c>
      <c r="G396" s="2"/>
      <c r="H396" s="14">
        <f t="shared" si="96"/>
        <v>-706.88999999999942</v>
      </c>
      <c r="I396" s="15" t="str">
        <f>IFERROR(H396/H444, "NA")</f>
        <v>NA</v>
      </c>
      <c r="J396" s="2"/>
      <c r="K396" s="14">
        <f>IFERROR(K385+K386+K388+K389+K390+K391+K392+K394+K395, "NA")</f>
        <v>26401.75</v>
      </c>
      <c r="L396" s="15" t="str">
        <f>IFERROR(K396/K444, "NA")</f>
        <v>NA</v>
      </c>
      <c r="M396" s="2"/>
      <c r="N396" s="14">
        <f t="shared" si="97"/>
        <v>-5843.8899999999994</v>
      </c>
      <c r="O396" s="15" t="str">
        <f>IFERROR(N396/N444, "NA")</f>
        <v>NA</v>
      </c>
      <c r="P396" s="2"/>
      <c r="Q396" s="14">
        <f>IFERROR(Q385+Q386+Q388+Q389+Q390+Q391+Q392+Q394+Q395, "NA")</f>
        <v>82329.31</v>
      </c>
      <c r="R396" s="15" t="str">
        <f>IFERROR(Q396/Q444, "NA")</f>
        <v>NA</v>
      </c>
      <c r="S396" s="2"/>
      <c r="T396" s="14">
        <f>IFERROR(T385+T386+T388+T389+T390+T391+T392+T394+T395, "NA")</f>
        <v>64202.28</v>
      </c>
      <c r="U396" s="15" t="str">
        <f>IFERROR(T396/T444, "NA")</f>
        <v>NA</v>
      </c>
      <c r="V396" s="2"/>
      <c r="W396" s="14">
        <f t="shared" si="98"/>
        <v>-18127.03</v>
      </c>
      <c r="X396" s="15" t="str">
        <f>IFERROR(W396/W444, "NA")</f>
        <v>NA</v>
      </c>
      <c r="Y396" s="2"/>
      <c r="Z396" s="14">
        <f>IFERROR(Z385+Z386+Z388+Z389+Z390+Z391+Z392+Z394+Z395, "NA")</f>
        <v>64265.64</v>
      </c>
      <c r="AA396" s="15" t="str">
        <f>IFERROR(Z396/Z444, "NA")</f>
        <v>NA</v>
      </c>
      <c r="AB396" s="2"/>
      <c r="AC396" s="14">
        <f t="shared" si="99"/>
        <v>-18063.669999999998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4113.4399999999996</v>
      </c>
      <c r="C397" s="8" t="str">
        <f>IFERROR(B397/B444, "NA")</f>
        <v>NA</v>
      </c>
      <c r="D397" s="9"/>
      <c r="E397" s="7">
        <v>16724.240000000002</v>
      </c>
      <c r="F397" s="8" t="str">
        <f>IFERROR(E397/E444, "NA")</f>
        <v>NA</v>
      </c>
      <c r="G397" s="9"/>
      <c r="H397" s="10">
        <f t="shared" si="96"/>
        <v>12610.800000000003</v>
      </c>
      <c r="I397" s="8" t="str">
        <f>IFERROR(H397/H444, "NA")</f>
        <v>NA</v>
      </c>
      <c r="J397" s="9"/>
      <c r="K397" s="7">
        <v>8146.62</v>
      </c>
      <c r="L397" s="8" t="str">
        <f>IFERROR(K397/K444, "NA")</f>
        <v>NA</v>
      </c>
      <c r="M397" s="9"/>
      <c r="N397" s="10">
        <f t="shared" si="97"/>
        <v>4033.1800000000003</v>
      </c>
      <c r="O397" s="8" t="str">
        <f>IFERROR(N397/N444, "NA")</f>
        <v>NA</v>
      </c>
      <c r="P397" s="9"/>
      <c r="Q397" s="7">
        <v>8675.2800000000007</v>
      </c>
      <c r="R397" s="8" t="str">
        <f>IFERROR(Q397/Q444, "NA")</f>
        <v>NA</v>
      </c>
      <c r="S397" s="9"/>
      <c r="T397" s="7">
        <v>40081.81</v>
      </c>
      <c r="U397" s="8" t="str">
        <f>IFERROR(T397/T444, "NA")</f>
        <v>NA</v>
      </c>
      <c r="V397" s="9"/>
      <c r="W397" s="10">
        <f t="shared" si="98"/>
        <v>31406.53</v>
      </c>
      <c r="X397" s="8" t="str">
        <f>IFERROR(W397/W444, "NA")</f>
        <v>NA</v>
      </c>
      <c r="Y397" s="9"/>
      <c r="Z397" s="7">
        <v>17990.11</v>
      </c>
      <c r="AA397" s="8" t="str">
        <f>IFERROR(Z397/Z444, "NA")</f>
        <v>NA</v>
      </c>
      <c r="AB397" s="9"/>
      <c r="AC397" s="10">
        <f t="shared" si="99"/>
        <v>9314.83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198.62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-123.62</v>
      </c>
      <c r="I398" s="8" t="str">
        <f>IFERROR(H398/H444, "NA")</f>
        <v>NA</v>
      </c>
      <c r="J398" s="9"/>
      <c r="K398" s="7">
        <v>97.47</v>
      </c>
      <c r="L398" s="8" t="str">
        <f>IFERROR(K398/K444, "NA")</f>
        <v>NA</v>
      </c>
      <c r="M398" s="9"/>
      <c r="N398" s="10">
        <f t="shared" si="97"/>
        <v>-101.15</v>
      </c>
      <c r="O398" s="8" t="str">
        <f>IFERROR(N398/N444, "NA")</f>
        <v>NA</v>
      </c>
      <c r="P398" s="9"/>
      <c r="Q398" s="7">
        <v>498.65</v>
      </c>
      <c r="R398" s="8" t="str">
        <f>IFERROR(Q398/Q444, "NA")</f>
        <v>NA</v>
      </c>
      <c r="S398" s="9"/>
      <c r="T398" s="7">
        <v>225</v>
      </c>
      <c r="U398" s="8" t="str">
        <f>IFERROR(T398/T444, "NA")</f>
        <v>NA</v>
      </c>
      <c r="V398" s="9"/>
      <c r="W398" s="10">
        <f t="shared" si="98"/>
        <v>-273.64999999999998</v>
      </c>
      <c r="X398" s="8" t="str">
        <f>IFERROR(W398/W444, "NA")</f>
        <v>NA</v>
      </c>
      <c r="Y398" s="9"/>
      <c r="Z398" s="7">
        <v>376.29</v>
      </c>
      <c r="AA398" s="8" t="str">
        <f>IFERROR(Z398/Z444, "NA")</f>
        <v>NA</v>
      </c>
      <c r="AB398" s="9"/>
      <c r="AC398" s="10">
        <f t="shared" si="99"/>
        <v>-122.35999999999996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100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600</v>
      </c>
      <c r="I399" s="8" t="str">
        <f>IFERROR(H399/H444, "NA")</f>
        <v>NA</v>
      </c>
      <c r="J399" s="9"/>
      <c r="K399" s="7">
        <v>0</v>
      </c>
      <c r="L399" s="8" t="str">
        <f>IFERROR(K399/K444, "NA")</f>
        <v>NA</v>
      </c>
      <c r="M399" s="9"/>
      <c r="N399" s="10">
        <f t="shared" si="97"/>
        <v>-100</v>
      </c>
      <c r="O399" s="8" t="str">
        <f>IFERROR(N399/N444, "NA")</f>
        <v>NA</v>
      </c>
      <c r="P399" s="9"/>
      <c r="Q399" s="7">
        <v>100</v>
      </c>
      <c r="R399" s="8" t="str">
        <f>IFERROR(Q399/Q444, "NA")</f>
        <v>NA</v>
      </c>
      <c r="S399" s="9"/>
      <c r="T399" s="7">
        <v>2100</v>
      </c>
      <c r="U399" s="8" t="str">
        <f>IFERROR(T399/T444, "NA")</f>
        <v>NA</v>
      </c>
      <c r="V399" s="9"/>
      <c r="W399" s="10">
        <f t="shared" si="98"/>
        <v>2000</v>
      </c>
      <c r="X399" s="8" t="str">
        <f>IFERROR(W399/W444, "NA")</f>
        <v>NA</v>
      </c>
      <c r="Y399" s="9"/>
      <c r="Z399" s="7">
        <v>1562.5</v>
      </c>
      <c r="AA399" s="8" t="str">
        <f>IFERROR(Z399/Z444, "NA")</f>
        <v>NA</v>
      </c>
      <c r="AB399" s="9"/>
      <c r="AC399" s="10">
        <f t="shared" si="99"/>
        <v>1462.5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8333.34</v>
      </c>
      <c r="L401" s="8" t="str">
        <f>IFERROR(K401/K444, "NA")</f>
        <v>NA</v>
      </c>
      <c r="M401" s="9"/>
      <c r="N401" s="10">
        <f t="shared" si="97"/>
        <v>8333.34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25000</v>
      </c>
      <c r="AA401" s="8" t="str">
        <f>IFERROR(Z401/Z444, "NA")</f>
        <v>NA</v>
      </c>
      <c r="AB401" s="9"/>
      <c r="AC401" s="10">
        <f t="shared" si="99"/>
        <v>25000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144373.32999999999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180347.00000000003</v>
      </c>
      <c r="F403" s="15" t="str">
        <f>IFERROR(E403/E444, "NA")</f>
        <v>NA</v>
      </c>
      <c r="G403" s="2"/>
      <c r="H403" s="14">
        <f t="shared" si="96"/>
        <v>35973.670000000042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172015.39</v>
      </c>
      <c r="L403" s="15" t="str">
        <f>IFERROR(K403/K444, "NA")</f>
        <v>NA</v>
      </c>
      <c r="M403" s="2"/>
      <c r="N403" s="14">
        <f t="shared" si="97"/>
        <v>27642.060000000027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432116.53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460052.87999999995</v>
      </c>
      <c r="U403" s="15" t="str">
        <f>IFERROR(T403/T444, "NA")</f>
        <v>NA</v>
      </c>
      <c r="V403" s="2"/>
      <c r="W403" s="14">
        <f t="shared" si="98"/>
        <v>27936.349999999919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428022.02999999997</v>
      </c>
      <c r="AA403" s="15" t="str">
        <f>IFERROR(Z403/Z444, "NA")</f>
        <v>NA</v>
      </c>
      <c r="AB403" s="2"/>
      <c r="AC403" s="14">
        <f t="shared" si="99"/>
        <v>-4094.5000000000582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-144373.32999999999</v>
      </c>
      <c r="C404" s="24" t="str">
        <f>IFERROR(B404/B444, "NA")</f>
        <v>NA</v>
      </c>
      <c r="D404" s="25"/>
      <c r="E404" s="23">
        <f>IFERROR(E345-E403, "NA")</f>
        <v>-180347.00000000003</v>
      </c>
      <c r="F404" s="24" t="str">
        <f>IFERROR(E404/E444, "NA")</f>
        <v>NA</v>
      </c>
      <c r="G404" s="25"/>
      <c r="H404" s="23">
        <f>IFERROR(B404-E404, "NA")</f>
        <v>35973.670000000042</v>
      </c>
      <c r="I404" s="24" t="str">
        <f>IFERROR(H404/H444, "NA")</f>
        <v>NA</v>
      </c>
      <c r="J404" s="25"/>
      <c r="K404" s="23">
        <f>IFERROR(K345-K403, "NA")</f>
        <v>-172015.39</v>
      </c>
      <c r="L404" s="24" t="str">
        <f>IFERROR(K404/K444, "NA")</f>
        <v>NA</v>
      </c>
      <c r="M404" s="25"/>
      <c r="N404" s="23">
        <f>IFERROR(B404-K404, "NA")</f>
        <v>27642.060000000027</v>
      </c>
      <c r="O404" s="24" t="str">
        <f>IFERROR(N404/N444, "NA")</f>
        <v>NA</v>
      </c>
      <c r="P404" s="25"/>
      <c r="Q404" s="23">
        <f>IFERROR(Q345-Q403, "NA")</f>
        <v>-432116.53</v>
      </c>
      <c r="R404" s="24" t="str">
        <f>IFERROR(Q404/Q444, "NA")</f>
        <v>NA</v>
      </c>
      <c r="S404" s="25"/>
      <c r="T404" s="23">
        <f>IFERROR(T345-T403, "NA")</f>
        <v>-460052.87999999995</v>
      </c>
      <c r="U404" s="24" t="str">
        <f>IFERROR(T404/T444, "NA")</f>
        <v>NA</v>
      </c>
      <c r="V404" s="25"/>
      <c r="W404" s="23">
        <f>IFERROR(Q404-T404, "NA")</f>
        <v>27936.349999999919</v>
      </c>
      <c r="X404" s="24" t="str">
        <f>IFERROR(W404/W444, "NA")</f>
        <v>NA</v>
      </c>
      <c r="Y404" s="25"/>
      <c r="Z404" s="23">
        <f>IFERROR(Z345-Z403, "NA")</f>
        <v>-428022.02999999997</v>
      </c>
      <c r="AA404" s="24" t="str">
        <f>IFERROR(Z404/Z444, "NA")</f>
        <v>NA</v>
      </c>
      <c r="AB404" s="25"/>
      <c r="AC404" s="23">
        <f>IFERROR(Q404-Z404, "NA")</f>
        <v>-4094.5000000000582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304.29000000000002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-304.29000000000002</v>
      </c>
      <c r="X410" s="8" t="str">
        <f>IFERROR(W410/W444, "NA")</f>
        <v>NA</v>
      </c>
      <c r="Y410" s="9"/>
      <c r="Z410" s="7">
        <v>554.66999999999996</v>
      </c>
      <c r="AA410" s="8" t="str">
        <f>IFERROR(Z410/Z444, "NA")</f>
        <v>NA</v>
      </c>
      <c r="AB410" s="9"/>
      <c r="AC410" s="10">
        <f t="shared" si="103"/>
        <v>250.37999999999994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536.74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-536.74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-536.74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-2278.69</v>
      </c>
      <c r="L418" s="8" t="str">
        <f>IFERROR(K418/K444, "NA")</f>
        <v>NA</v>
      </c>
      <c r="M418" s="9"/>
      <c r="N418" s="10">
        <f t="shared" si="101"/>
        <v>-2278.69</v>
      </c>
      <c r="O418" s="8" t="str">
        <f>IFERROR(N418/N444, "NA")</f>
        <v>NA</v>
      </c>
      <c r="P418" s="9"/>
      <c r="Q418" s="7">
        <v>-1725.69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1725.69</v>
      </c>
      <c r="X418" s="8" t="str">
        <f>IFERROR(W418/W444, "NA")</f>
        <v>NA</v>
      </c>
      <c r="Y418" s="9"/>
      <c r="Z418" s="7">
        <v>-2278.69</v>
      </c>
      <c r="AA418" s="8" t="str">
        <f>IFERROR(Z418/Z444, "NA")</f>
        <v>NA</v>
      </c>
      <c r="AB418" s="9"/>
      <c r="AC418" s="10">
        <f t="shared" si="103"/>
        <v>-553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0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0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0</v>
      </c>
      <c r="O423" s="8" t="str">
        <f>IFERROR(N423/N444, "NA")</f>
        <v>NA</v>
      </c>
      <c r="P423" s="9"/>
      <c r="Q423" s="7">
        <v>-0.99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0.99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0.99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-12030.99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12030.99</v>
      </c>
      <c r="I426" s="8" t="str">
        <f>IFERROR(H426/H444, "NA")</f>
        <v>NA</v>
      </c>
      <c r="J426" s="9"/>
      <c r="K426" s="7">
        <v>-925.6</v>
      </c>
      <c r="L426" s="8" t="str">
        <f>IFERROR(K426/K444, "NA")</f>
        <v>NA</v>
      </c>
      <c r="M426" s="9"/>
      <c r="N426" s="10">
        <f t="shared" si="101"/>
        <v>11105.39</v>
      </c>
      <c r="O426" s="8" t="str">
        <f>IFERROR(N426/N444, "NA")</f>
        <v>NA</v>
      </c>
      <c r="P426" s="9"/>
      <c r="Q426" s="7">
        <v>-12483.8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12483.8</v>
      </c>
      <c r="X426" s="8" t="str">
        <f>IFERROR(W426/W444, "NA")</f>
        <v>NA</v>
      </c>
      <c r="Y426" s="9"/>
      <c r="Z426" s="7">
        <v>-1456.88</v>
      </c>
      <c r="AA426" s="8" t="str">
        <f>IFERROR(Z426/Z444, "NA")</f>
        <v>NA</v>
      </c>
      <c r="AB426" s="9"/>
      <c r="AC426" s="10">
        <f t="shared" si="103"/>
        <v>11026.919999999998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-11702.92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11702.92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-3019.4</v>
      </c>
      <c r="L428" s="15" t="str">
        <f>IFERROR(K428/K444, "NA")</f>
        <v>NA</v>
      </c>
      <c r="M428" s="2"/>
      <c r="N428" s="14">
        <f t="shared" si="101"/>
        <v>8683.52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-13369.449999999999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13369.449999999999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-3180.9</v>
      </c>
      <c r="AA428" s="15" t="str">
        <f>IFERROR(Z428/Z444, "NA")</f>
        <v>NA</v>
      </c>
      <c r="AB428" s="2"/>
      <c r="AC428" s="14">
        <f t="shared" si="103"/>
        <v>10188.549999999999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-11702.92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11702.92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-3019.4</v>
      </c>
      <c r="L429" s="15" t="str">
        <f>IFERROR(K429/K444, "NA")</f>
        <v>NA</v>
      </c>
      <c r="M429" s="2"/>
      <c r="N429" s="14">
        <f t="shared" si="101"/>
        <v>8683.52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-13369.449999999999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13369.449999999999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-3180.9</v>
      </c>
      <c r="AA429" s="15" t="str">
        <f>IFERROR(Z429/Z444, "NA")</f>
        <v>NA</v>
      </c>
      <c r="AB429" s="2"/>
      <c r="AC429" s="14">
        <f t="shared" si="103"/>
        <v>10188.549999999999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-132670.40999999997</v>
      </c>
      <c r="C443" s="24" t="str">
        <f>IFERROR(B443/B444, "NA")</f>
        <v>NA</v>
      </c>
      <c r="D443" s="25"/>
      <c r="E443" s="23">
        <f>IFERROR(E404-E429-E442, "NA")</f>
        <v>-180347.00000000003</v>
      </c>
      <c r="F443" s="24" t="str">
        <f>IFERROR(E443/E444, "NA")</f>
        <v>NA</v>
      </c>
      <c r="G443" s="25"/>
      <c r="H443" s="23">
        <f>IFERROR(B443-E443, "NA")</f>
        <v>47676.590000000055</v>
      </c>
      <c r="I443" s="24" t="str">
        <f>IFERROR(H443/H444, "NA")</f>
        <v>NA</v>
      </c>
      <c r="J443" s="25"/>
      <c r="K443" s="23">
        <f>IFERROR(K404-K429-K442, "NA")</f>
        <v>-168995.99000000002</v>
      </c>
      <c r="L443" s="24" t="str">
        <f>IFERROR(K443/K444, "NA")</f>
        <v>NA</v>
      </c>
      <c r="M443" s="25"/>
      <c r="N443" s="23">
        <f>IFERROR(B443-K443, "NA")</f>
        <v>36325.580000000045</v>
      </c>
      <c r="O443" s="24" t="str">
        <f>IFERROR(N443/N444, "NA")</f>
        <v>NA</v>
      </c>
      <c r="P443" s="25"/>
      <c r="Q443" s="23">
        <f>IFERROR(Q404-Q429-Q442, "NA")</f>
        <v>-418747.08</v>
      </c>
      <c r="R443" s="24" t="str">
        <f>IFERROR(Q443/Q444, "NA")</f>
        <v>NA</v>
      </c>
      <c r="S443" s="25"/>
      <c r="T443" s="23">
        <f>IFERROR(T404-T429-T442, "NA")</f>
        <v>-460052.87999999995</v>
      </c>
      <c r="U443" s="24" t="str">
        <f>IFERROR(T443/T444, "NA")</f>
        <v>NA</v>
      </c>
      <c r="V443" s="25"/>
      <c r="W443" s="23">
        <f>IFERROR(Q443-T443, "NA")</f>
        <v>41305.79999999993</v>
      </c>
      <c r="X443" s="24" t="str">
        <f>IFERROR(W443/W444, "NA")</f>
        <v>NA</v>
      </c>
      <c r="Y443" s="25"/>
      <c r="Z443" s="23">
        <f>IFERROR(Z404-Z429-Z442, "NA")</f>
        <v>-424841.12999999995</v>
      </c>
      <c r="AA443" s="24" t="str">
        <f>IFERROR(Z443/Z444, "NA")</f>
        <v>NA</v>
      </c>
      <c r="AB443" s="25"/>
      <c r="AC443" s="23">
        <f>IFERROR(Q443-Z443, "NA")</f>
        <v>6094.0499999999302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62893.56</v>
      </c>
      <c r="F10" s="8">
        <f>IFERROR(E10/E444, "NA")</f>
        <v>0.56400002152207718</v>
      </c>
      <c r="G10" s="9"/>
      <c r="H10" s="10">
        <f t="shared" ref="H10:H19" si="0">IFERROR(B10-E10, "NA")</f>
        <v>-62893.56</v>
      </c>
      <c r="I10" s="8">
        <f>IFERROR(H10/H444, "NA")</f>
        <v>8.5758020354957338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126891.55</v>
      </c>
      <c r="U10" s="8">
        <f>IFERROR(T10/T444, "NA")</f>
        <v>0.56399999431073233</v>
      </c>
      <c r="V10" s="9"/>
      <c r="W10" s="10">
        <f t="shared" ref="W10:W19" si="2">IFERROR(Q10-T10, "NA")</f>
        <v>-126891.55</v>
      </c>
      <c r="X10" s="8">
        <f>IFERROR(W10/W444, "NA")</f>
        <v>-6.266976661489104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52245.66</v>
      </c>
      <c r="C11" s="8">
        <f>IFERROR(B11/B444, "NA")</f>
        <v>0.50149626279857584</v>
      </c>
      <c r="D11" s="9"/>
      <c r="E11" s="7">
        <v>0</v>
      </c>
      <c r="F11" s="8">
        <f>IFERROR(E11/E444, "NA")</f>
        <v>0</v>
      </c>
      <c r="G11" s="9"/>
      <c r="H11" s="10">
        <f t="shared" si="0"/>
        <v>52245.66</v>
      </c>
      <c r="I11" s="8">
        <f>IFERROR(H11/H444, "NA")</f>
        <v>-7.1239159839865644</v>
      </c>
      <c r="J11" s="9"/>
      <c r="K11" s="7">
        <v>57332.53</v>
      </c>
      <c r="L11" s="8">
        <f>IFERROR(K11/K444, "NA")</f>
        <v>0.57582703814994629</v>
      </c>
      <c r="M11" s="9"/>
      <c r="N11" s="10">
        <f t="shared" si="1"/>
        <v>-5086.8699999999953</v>
      </c>
      <c r="O11" s="8">
        <f>IFERROR(N11/N444, "NA")</f>
        <v>-1.1024811335884956</v>
      </c>
      <c r="P11" s="9"/>
      <c r="Q11" s="7">
        <v>105907.34</v>
      </c>
      <c r="R11" s="8">
        <f>IFERROR(Q11/Q444, "NA")</f>
        <v>0.43186472666957459</v>
      </c>
      <c r="S11" s="9"/>
      <c r="T11" s="7">
        <v>0</v>
      </c>
      <c r="U11" s="8">
        <f>IFERROR(T11/T444, "NA")</f>
        <v>0</v>
      </c>
      <c r="V11" s="9"/>
      <c r="W11" s="10">
        <f t="shared" si="2"/>
        <v>105907.34</v>
      </c>
      <c r="X11" s="8">
        <f>IFERROR(W11/W444, "NA")</f>
        <v>5.2305991065629778</v>
      </c>
      <c r="Y11" s="9"/>
      <c r="Z11" s="7">
        <v>119601.78</v>
      </c>
      <c r="AA11" s="8">
        <f>IFERROR(Z11/Z444, "NA")</f>
        <v>0.57115916459950877</v>
      </c>
      <c r="AB11" s="9"/>
      <c r="AC11" s="10">
        <f t="shared" si="3"/>
        <v>-13694.440000000002</v>
      </c>
      <c r="AD11" s="8">
        <f>IFERROR(AC11/AC444, "NA")</f>
        <v>-0.38219711907315562</v>
      </c>
    </row>
    <row r="12" spans="1:30" ht="16.5" customHeight="1" x14ac:dyDescent="0.45">
      <c r="A12" s="12" t="s">
        <v>14</v>
      </c>
      <c r="B12" s="7">
        <v>5385</v>
      </c>
      <c r="C12" s="8">
        <f>IFERROR(B12/B444, "NA")</f>
        <v>5.1689602067814457E-2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5385</v>
      </c>
      <c r="I12" s="8">
        <f>IFERROR(H12/H444, "NA")</f>
        <v>-0.73426745061250354</v>
      </c>
      <c r="J12" s="9"/>
      <c r="K12" s="7">
        <v>4347.55</v>
      </c>
      <c r="L12" s="8">
        <f>IFERROR(K12/K444, "NA")</f>
        <v>4.3665207862077587E-2</v>
      </c>
      <c r="M12" s="9"/>
      <c r="N12" s="10">
        <f t="shared" si="1"/>
        <v>1037.4499999999998</v>
      </c>
      <c r="O12" s="8">
        <f>IFERROR(N12/N444, "NA")</f>
        <v>0.22484731318893261</v>
      </c>
      <c r="P12" s="9"/>
      <c r="Q12" s="7">
        <v>10272.200000000001</v>
      </c>
      <c r="R12" s="8">
        <f>IFERROR(Q12/Q444, "NA")</f>
        <v>4.1887567427292619E-2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10272.200000000001</v>
      </c>
      <c r="X12" s="8">
        <f>IFERROR(W12/W444, "NA")</f>
        <v>0.50732801090496871</v>
      </c>
      <c r="Y12" s="9"/>
      <c r="Z12" s="7">
        <v>9074.75</v>
      </c>
      <c r="AA12" s="8">
        <f>IFERROR(Z12/Z444, "NA")</f>
        <v>4.3336534196643163E-2</v>
      </c>
      <c r="AB12" s="9"/>
      <c r="AC12" s="10">
        <f t="shared" si="3"/>
        <v>1197.4500000000007</v>
      </c>
      <c r="AD12" s="8">
        <f>IFERROR(AC12/AC444, "NA")</f>
        <v>3.3419544007213906E-2</v>
      </c>
    </row>
    <row r="13" spans="1:30" ht="16.5" customHeight="1" x14ac:dyDescent="0.45">
      <c r="A13" s="12" t="s">
        <v>15</v>
      </c>
      <c r="B13" s="7">
        <v>231.5</v>
      </c>
      <c r="C13" s="8">
        <f>IFERROR(B13/B444, "NA")</f>
        <v>2.2221249542616612E-3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231.5</v>
      </c>
      <c r="I13" s="8">
        <f>IFERROR(H13/H444, "NA")</f>
        <v>-3.1566000894483671E-2</v>
      </c>
      <c r="J13" s="9"/>
      <c r="K13" s="7">
        <v>386.77</v>
      </c>
      <c r="L13" s="8">
        <f>IFERROR(K13/K444, "NA")</f>
        <v>3.8845769329428634E-3</v>
      </c>
      <c r="M13" s="9"/>
      <c r="N13" s="10">
        <f t="shared" si="1"/>
        <v>-155.26999999999998</v>
      </c>
      <c r="O13" s="8">
        <f>IFERROR(N13/N444, "NA")</f>
        <v>-3.3651783043853266E-2</v>
      </c>
      <c r="P13" s="9"/>
      <c r="Q13" s="7">
        <v>449.5</v>
      </c>
      <c r="R13" s="8">
        <f>IFERROR(Q13/Q444, "NA")</f>
        <v>1.8329531705543146E-3</v>
      </c>
      <c r="S13" s="9"/>
      <c r="T13" s="7">
        <v>0</v>
      </c>
      <c r="U13" s="8">
        <f>IFERROR(T13/T444, "NA")</f>
        <v>0</v>
      </c>
      <c r="V13" s="9"/>
      <c r="W13" s="10">
        <f t="shared" si="2"/>
        <v>449.5</v>
      </c>
      <c r="X13" s="8">
        <f>IFERROR(W13/W444, "NA")</f>
        <v>2.2200107172931156E-2</v>
      </c>
      <c r="Y13" s="9"/>
      <c r="Z13" s="7">
        <v>710.77</v>
      </c>
      <c r="AA13" s="8">
        <f>IFERROR(Z13/Z444, "NA")</f>
        <v>3.3942872708281838E-3</v>
      </c>
      <c r="AB13" s="9"/>
      <c r="AC13" s="10">
        <f t="shared" si="3"/>
        <v>-261.27</v>
      </c>
      <c r="AD13" s="8">
        <f>IFERROR(AC13/AC444, "NA")</f>
        <v>-7.291765220063277E-3</v>
      </c>
    </row>
    <row r="14" spans="1:30" ht="16.5" customHeight="1" x14ac:dyDescent="0.45">
      <c r="A14" s="12" t="s">
        <v>16</v>
      </c>
      <c r="B14" s="7">
        <v>445</v>
      </c>
      <c r="C14" s="8">
        <f>IFERROR(B14/B444, "NA")</f>
        <v>4.271471294369068E-3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445</v>
      </c>
      <c r="I14" s="8">
        <f>IFERROR(H14/H444, "NA")</f>
        <v>-6.0677625909482648E-2</v>
      </c>
      <c r="J14" s="9"/>
      <c r="K14" s="7">
        <v>580</v>
      </c>
      <c r="L14" s="8">
        <f>IFERROR(K14/K444, "NA")</f>
        <v>5.8253086358995296E-3</v>
      </c>
      <c r="M14" s="9"/>
      <c r="N14" s="10">
        <f t="shared" si="1"/>
        <v>-135</v>
      </c>
      <c r="O14" s="8">
        <f>IFERROR(N14/N444, "NA")</f>
        <v>-2.9258650807755467E-2</v>
      </c>
      <c r="P14" s="9"/>
      <c r="Q14" s="7">
        <v>820</v>
      </c>
      <c r="R14" s="8">
        <f>IFERROR(Q14/Q444, "NA")</f>
        <v>3.3437632922236663E-3</v>
      </c>
      <c r="S14" s="9"/>
      <c r="T14" s="7">
        <v>0</v>
      </c>
      <c r="U14" s="8">
        <f>IFERROR(T14/T444, "NA")</f>
        <v>0</v>
      </c>
      <c r="V14" s="9"/>
      <c r="W14" s="10">
        <f t="shared" si="2"/>
        <v>820</v>
      </c>
      <c r="X14" s="8">
        <f>IFERROR(W14/W444, "NA")</f>
        <v>4.0498526989551829E-2</v>
      </c>
      <c r="Y14" s="9"/>
      <c r="Z14" s="7">
        <v>1259.99</v>
      </c>
      <c r="AA14" s="8">
        <f>IFERROR(Z14/Z444, "NA")</f>
        <v>6.0170913493405786E-3</v>
      </c>
      <c r="AB14" s="9"/>
      <c r="AC14" s="10">
        <f t="shared" si="3"/>
        <v>-439.99</v>
      </c>
      <c r="AD14" s="8">
        <f>IFERROR(AC14/AC444, "NA")</f>
        <v>-1.2279648559634255E-2</v>
      </c>
    </row>
    <row r="15" spans="1:30" ht="16.5" customHeight="1" x14ac:dyDescent="0.45">
      <c r="A15" s="12" t="s">
        <v>17</v>
      </c>
      <c r="B15" s="7">
        <v>84</v>
      </c>
      <c r="C15" s="8">
        <f>IFERROR(B15/B444, "NA")</f>
        <v>8.0630019938652078E-4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84</v>
      </c>
      <c r="I15" s="8">
        <f>IFERROR(H15/H444, "NA")</f>
        <v>-1.1453754104261893E-2</v>
      </c>
      <c r="J15" s="9"/>
      <c r="K15" s="7">
        <v>32</v>
      </c>
      <c r="L15" s="8">
        <f>IFERROR(K15/K444, "NA")</f>
        <v>3.2139633853238783E-4</v>
      </c>
      <c r="M15" s="9"/>
      <c r="N15" s="10">
        <f t="shared" si="1"/>
        <v>52</v>
      </c>
      <c r="O15" s="8">
        <f>IFERROR(N15/N444, "NA")</f>
        <v>1.1269998829653958E-2</v>
      </c>
      <c r="P15" s="9"/>
      <c r="Q15" s="7">
        <v>153</v>
      </c>
      <c r="R15" s="8">
        <f>IFERROR(Q15/Q444, "NA")</f>
        <v>6.2389729720758655E-4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153</v>
      </c>
      <c r="X15" s="8">
        <f>IFERROR(W15/W444, "NA")</f>
        <v>7.5564324748797918E-3</v>
      </c>
      <c r="Y15" s="9"/>
      <c r="Z15" s="7">
        <v>64</v>
      </c>
      <c r="AA15" s="8">
        <f>IFERROR(Z15/Z444, "NA")</f>
        <v>3.0563246244636627E-4</v>
      </c>
      <c r="AB15" s="9"/>
      <c r="AC15" s="10">
        <f t="shared" si="3"/>
        <v>89</v>
      </c>
      <c r="AD15" s="8">
        <f>IFERROR(AC15/AC444, "NA")</f>
        <v>2.4838944562545705E-3</v>
      </c>
    </row>
    <row r="16" spans="1:30" ht="16.5" customHeight="1" x14ac:dyDescent="0.45">
      <c r="A16" s="12" t="s">
        <v>18</v>
      </c>
      <c r="B16" s="7">
        <v>1.35</v>
      </c>
      <c r="C16" s="8">
        <f>IFERROR(B16/B444, "NA")</f>
        <v>1.2958396061569084E-5</v>
      </c>
      <c r="D16" s="9"/>
      <c r="E16" s="7">
        <v>0</v>
      </c>
      <c r="F16" s="8">
        <f>IFERROR(E16/E444, "NA")</f>
        <v>0</v>
      </c>
      <c r="G16" s="9"/>
      <c r="H16" s="10">
        <f t="shared" si="0"/>
        <v>1.35</v>
      </c>
      <c r="I16" s="8">
        <f>IFERROR(H16/H444, "NA")</f>
        <v>-1.8407819096135186E-4</v>
      </c>
      <c r="J16" s="9"/>
      <c r="K16" s="7">
        <v>0</v>
      </c>
      <c r="L16" s="8">
        <f>IFERROR(K16/K444, "NA")</f>
        <v>0</v>
      </c>
      <c r="M16" s="9"/>
      <c r="N16" s="10">
        <f t="shared" si="1"/>
        <v>1.35</v>
      </c>
      <c r="O16" s="8">
        <f>IFERROR(N16/N444, "NA")</f>
        <v>2.925865080775547E-4</v>
      </c>
      <c r="P16" s="9"/>
      <c r="Q16" s="7">
        <v>1.35</v>
      </c>
      <c r="R16" s="8">
        <f>IFERROR(Q16/Q444, "NA")</f>
        <v>5.504976151831646E-6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1.35</v>
      </c>
      <c r="X16" s="8">
        <f>IFERROR(W16/W444, "NA")</f>
        <v>6.6674404190115817E-5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1.35</v>
      </c>
      <c r="AD16" s="8">
        <f>IFERROR(AC16/AC444, "NA")</f>
        <v>3.7677050740940121E-5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58392.51</v>
      </c>
      <c r="C18" s="15">
        <f>IFERROR(B18/B444, "NA")</f>
        <v>0.56049871971046916</v>
      </c>
      <c r="D18" s="2"/>
      <c r="E18" s="14">
        <f>IFERROR(E10+E11+E12+E13+E14+E15+E16+E17, "NA")</f>
        <v>62893.56</v>
      </c>
      <c r="F18" s="15">
        <f>IFERROR(E18/E444, "NA")</f>
        <v>0.56400002152207718</v>
      </c>
      <c r="G18" s="2"/>
      <c r="H18" s="14">
        <f t="shared" si="0"/>
        <v>-4501.0499999999956</v>
      </c>
      <c r="I18" s="15">
        <f>IFERROR(H18/H444, "NA")</f>
        <v>0.61373714179747552</v>
      </c>
      <c r="J18" s="2"/>
      <c r="K18" s="14">
        <f>IFERROR(K10+K11+K12+K13+K14+K15+K16+K17, "NA")</f>
        <v>62678.85</v>
      </c>
      <c r="L18" s="15">
        <f>IFERROR(K18/K444, "NA")</f>
        <v>0.6295235279193987</v>
      </c>
      <c r="M18" s="2"/>
      <c r="N18" s="14">
        <f t="shared" si="1"/>
        <v>-4286.3399999999965</v>
      </c>
      <c r="O18" s="15">
        <f>IFERROR(N18/N444, "NA")</f>
        <v>-0.92898166891344047</v>
      </c>
      <c r="P18" s="2"/>
      <c r="Q18" s="14">
        <f>IFERROR(Q10+Q11+Q12+Q13+Q14+Q15+Q16+Q17, "NA")</f>
        <v>117603.39</v>
      </c>
      <c r="R18" s="15">
        <f>IFERROR(Q18/Q444, "NA")</f>
        <v>0.47955841283300465</v>
      </c>
      <c r="S18" s="2"/>
      <c r="T18" s="14">
        <f>IFERROR(T10+T11+T12+T13+T14+T15+T16+T17, "NA")</f>
        <v>126891.55</v>
      </c>
      <c r="U18" s="15">
        <f>IFERROR(T18/T444, "NA")</f>
        <v>0.56399999431073233</v>
      </c>
      <c r="V18" s="2"/>
      <c r="W18" s="14">
        <f t="shared" si="2"/>
        <v>-9288.1600000000035</v>
      </c>
      <c r="X18" s="15">
        <f>IFERROR(W18/W444, "NA")</f>
        <v>-0.45872780297960469</v>
      </c>
      <c r="Y18" s="2"/>
      <c r="Z18" s="14">
        <f>IFERROR(Z10+Z11+Z12+Z13+Z14+Z15+Z16+Z17, "NA")</f>
        <v>130711.29000000001</v>
      </c>
      <c r="AA18" s="15">
        <f>IFERROR(Z18/Z444, "NA")</f>
        <v>0.62421270987876709</v>
      </c>
      <c r="AB18" s="2"/>
      <c r="AC18" s="14">
        <f t="shared" si="3"/>
        <v>-13107.900000000009</v>
      </c>
      <c r="AD18" s="15">
        <f>IFERROR(AC18/AC444, "NA")</f>
        <v>-0.36582741733864393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11820.42</v>
      </c>
      <c r="F21" s="8">
        <f>IFERROR(E21/E444, "NA")</f>
        <v>0.10599999641298714</v>
      </c>
      <c r="G21" s="9"/>
      <c r="H21" s="10">
        <f t="shared" ref="H21:H29" si="4">IFERROR(B21-E21, "NA")</f>
        <v>-11820.42</v>
      </c>
      <c r="I21" s="8">
        <f>IFERROR(H21/H444, "NA")</f>
        <v>1.611764096298802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23848.41</v>
      </c>
      <c r="U21" s="8">
        <f>IFERROR(T21/T444, "NA")</f>
        <v>0.10599999057715043</v>
      </c>
      <c r="V21" s="9"/>
      <c r="W21" s="10">
        <f t="shared" ref="W21:W29" si="6">IFERROR(Q21-T21, "NA")</f>
        <v>-23848.41</v>
      </c>
      <c r="X21" s="8">
        <f>IFERROR(W21/W444, "NA")</f>
        <v>-1.1778359463937778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8680.5</v>
      </c>
      <c r="C22" s="8">
        <f>IFERROR(B22/B444, "NA")</f>
        <v>8.3322486675889207E-2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8680.5</v>
      </c>
      <c r="I22" s="8">
        <f>IFERROR(H22/H444, "NA")</f>
        <v>-1.1836227678814923</v>
      </c>
      <c r="J22" s="9"/>
      <c r="K22" s="7">
        <v>9302.2199999999993</v>
      </c>
      <c r="L22" s="8">
        <f>IFERROR(K22/K444, "NA")</f>
        <v>9.3428107756960893E-2</v>
      </c>
      <c r="M22" s="9"/>
      <c r="N22" s="10">
        <f t="shared" si="5"/>
        <v>-621.71999999999935</v>
      </c>
      <c r="O22" s="8">
        <f>IFERROR(N22/N444, "NA")</f>
        <v>-0.13474583985331637</v>
      </c>
      <c r="P22" s="9"/>
      <c r="Q22" s="7">
        <v>19927.5</v>
      </c>
      <c r="R22" s="8">
        <f>IFERROR(Q22/Q444, "NA")</f>
        <v>8.1259564641203791E-2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19927.5</v>
      </c>
      <c r="X22" s="8">
        <f>IFERROR(W22/W444, "NA")</f>
        <v>0.98418828851743179</v>
      </c>
      <c r="Y22" s="9"/>
      <c r="Z22" s="7">
        <v>19932.37</v>
      </c>
      <c r="AA22" s="8">
        <f>IFERROR(Z22/Z444, "NA")</f>
        <v>9.5187176960813719E-2</v>
      </c>
      <c r="AB22" s="9"/>
      <c r="AC22" s="10">
        <f t="shared" si="7"/>
        <v>-4.8699999999989814</v>
      </c>
      <c r="AD22" s="8">
        <f>IFERROR(AC22/AC444, "NA")</f>
        <v>-1.359164719321037E-4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820.74</v>
      </c>
      <c r="C24" s="8">
        <f>IFERROR(B24/B444, "NA")</f>
        <v>7.8781288767201547E-3</v>
      </c>
      <c r="D24" s="9"/>
      <c r="E24" s="7">
        <v>0</v>
      </c>
      <c r="F24" s="8">
        <f>IFERROR(E24/E444, "NA")</f>
        <v>0</v>
      </c>
      <c r="G24" s="9"/>
      <c r="H24" s="10">
        <f t="shared" si="4"/>
        <v>820.74</v>
      </c>
      <c r="I24" s="8">
        <f>IFERROR(H24/H444, "NA")</f>
        <v>-0.1119113588515703</v>
      </c>
      <c r="J24" s="9"/>
      <c r="K24" s="7">
        <v>465.85</v>
      </c>
      <c r="L24" s="8">
        <f>IFERROR(K24/K444, "NA")</f>
        <v>4.6788276345410273E-3</v>
      </c>
      <c r="M24" s="9"/>
      <c r="N24" s="10">
        <f t="shared" si="5"/>
        <v>354.89</v>
      </c>
      <c r="O24" s="8">
        <f>IFERROR(N24/N444, "NA")</f>
        <v>7.6915574704921011E-2</v>
      </c>
      <c r="P24" s="9"/>
      <c r="Q24" s="7">
        <v>2026.04</v>
      </c>
      <c r="R24" s="8">
        <f>IFERROR(Q24/Q444, "NA")</f>
        <v>8.2617050982644359E-3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2026.04</v>
      </c>
      <c r="X24" s="8">
        <f>IFERROR(W24/W444, "NA")</f>
        <v>0.10006297027062389</v>
      </c>
      <c r="Y24" s="9"/>
      <c r="Z24" s="7">
        <v>1135.2</v>
      </c>
      <c r="AA24" s="8">
        <f>IFERROR(Z24/Z444, "NA")</f>
        <v>5.4211558026424226E-3</v>
      </c>
      <c r="AB24" s="9"/>
      <c r="AC24" s="10">
        <f t="shared" si="7"/>
        <v>890.83999999999992</v>
      </c>
      <c r="AD24" s="8">
        <f>IFERROR(AC24/AC444, "NA")</f>
        <v>2.4862388060784512E-2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368.88</v>
      </c>
      <c r="L27" s="8">
        <f>IFERROR(K27/K444, "NA")</f>
        <v>3.7048962924321007E-3</v>
      </c>
      <c r="M27" s="9"/>
      <c r="N27" s="10">
        <f t="shared" si="5"/>
        <v>-368.88</v>
      </c>
      <c r="O27" s="8">
        <f>IFERROR(N27/N444, "NA")</f>
        <v>-7.9947637851591383E-2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1229.0999999999999</v>
      </c>
      <c r="AA27" s="8">
        <f>IFERROR(Z27/Z444, "NA")</f>
        <v>5.8695759311379499E-3</v>
      </c>
      <c r="AB27" s="9"/>
      <c r="AC27" s="10">
        <f t="shared" si="7"/>
        <v>-1229.0999999999999</v>
      </c>
      <c r="AD27" s="8">
        <f>IFERROR(AC27/AC444, "NA")</f>
        <v>-3.4302861530140366E-2</v>
      </c>
    </row>
    <row r="28" spans="1:30" ht="16.5" customHeight="1" x14ac:dyDescent="0.45">
      <c r="A28" s="12" t="s">
        <v>29</v>
      </c>
      <c r="B28" s="7">
        <v>862.56</v>
      </c>
      <c r="C28" s="8">
        <f>IFERROR(B28/B444, "NA")</f>
        <v>8.2795511902718725E-3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862.56</v>
      </c>
      <c r="I28" s="8">
        <f>IFERROR(H28/H444, "NA")</f>
        <v>-0.1176136921449064</v>
      </c>
      <c r="J28" s="9"/>
      <c r="K28" s="7">
        <v>1761.33</v>
      </c>
      <c r="L28" s="8">
        <f>IFERROR(K28/K444, "NA")</f>
        <v>1.7690156654601583E-2</v>
      </c>
      <c r="M28" s="9"/>
      <c r="N28" s="10">
        <f t="shared" si="5"/>
        <v>-898.77</v>
      </c>
      <c r="O28" s="8">
        <f>IFERROR(N28/N444, "NA")</f>
        <v>-0.19479109323323246</v>
      </c>
      <c r="P28" s="9"/>
      <c r="Q28" s="7">
        <v>2378.0300000000002</v>
      </c>
      <c r="R28" s="8">
        <f>IFERROR(Q28/Q444, "NA")</f>
        <v>9.6970358802520081E-3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2378.0300000000002</v>
      </c>
      <c r="X28" s="8">
        <f>IFERROR(W28/W444, "NA")</f>
        <v>0.11744720992312675</v>
      </c>
      <c r="Y28" s="9"/>
      <c r="Z28" s="7">
        <v>2510.19</v>
      </c>
      <c r="AA28" s="8">
        <f>IFERROR(Z28/Z444, "NA")</f>
        <v>1.1987430482941316E-2</v>
      </c>
      <c r="AB28" s="9"/>
      <c r="AC28" s="10">
        <f t="shared" si="7"/>
        <v>-132.15999999999985</v>
      </c>
      <c r="AD28" s="8">
        <f>IFERROR(AC28/AC444, "NA")</f>
        <v>-3.6884437229056594E-3</v>
      </c>
    </row>
    <row r="29" spans="1:30" ht="16.5" customHeight="1" x14ac:dyDescent="0.45">
      <c r="A29" s="13" t="s">
        <v>30</v>
      </c>
      <c r="B29" s="14">
        <f>IFERROR(B21+B22+B23+B24+B25+B26+B27+B28, "NA")</f>
        <v>10363.799999999999</v>
      </c>
      <c r="C29" s="15">
        <f>IFERROR(B29/B444, "NA")</f>
        <v>9.9480166742881224E-2</v>
      </c>
      <c r="D29" s="2"/>
      <c r="E29" s="14">
        <f>IFERROR(E21+E22+E23+E24+E25+E26+E27+E28, "NA")</f>
        <v>11820.42</v>
      </c>
      <c r="F29" s="15">
        <f>IFERROR(E29/E444, "NA")</f>
        <v>0.10599999641298714</v>
      </c>
      <c r="G29" s="2"/>
      <c r="H29" s="14">
        <f t="shared" si="4"/>
        <v>-1456.6200000000008</v>
      </c>
      <c r="I29" s="15">
        <f>IFERROR(H29/H444, "NA")</f>
        <v>0.19861627742083296</v>
      </c>
      <c r="J29" s="2"/>
      <c r="K29" s="14">
        <f>IFERROR(K21+K22+K23+K24+K25+K26+K27+K28, "NA")</f>
        <v>11898.279999999999</v>
      </c>
      <c r="L29" s="15">
        <f>IFERROR(K29/K444, "NA")</f>
        <v>0.11950198833853559</v>
      </c>
      <c r="M29" s="2"/>
      <c r="N29" s="14">
        <f t="shared" si="5"/>
        <v>-1534.4799999999996</v>
      </c>
      <c r="O29" s="15">
        <f>IFERROR(N29/N444, "NA")</f>
        <v>-0.33256899623321923</v>
      </c>
      <c r="P29" s="2"/>
      <c r="Q29" s="14">
        <f>IFERROR(Q21+Q22+Q23+Q24+Q25+Q26+Q27+Q28, "NA")</f>
        <v>24331.57</v>
      </c>
      <c r="R29" s="15">
        <f>IFERROR(Q29/Q444, "NA")</f>
        <v>9.921830561972024E-2</v>
      </c>
      <c r="S29" s="2"/>
      <c r="T29" s="14">
        <f>IFERROR(T21+T22+T23+T24+T25+T26+T27+T28, "NA")</f>
        <v>23848.41</v>
      </c>
      <c r="U29" s="15">
        <f>IFERROR(T29/T444, "NA")</f>
        <v>0.10599999057715043</v>
      </c>
      <c r="V29" s="2"/>
      <c r="W29" s="14">
        <f t="shared" si="6"/>
        <v>483.15999999999985</v>
      </c>
      <c r="X29" s="15">
        <f>IFERROR(W29/W444, "NA")</f>
        <v>2.38625223174047E-2</v>
      </c>
      <c r="Y29" s="2"/>
      <c r="Z29" s="14">
        <f>IFERROR(Z21+Z22+Z23+Z24+Z25+Z26+Z27+Z28, "NA")</f>
        <v>24806.859999999997</v>
      </c>
      <c r="AA29" s="15">
        <f>IFERROR(Z29/Z444, "NA")</f>
        <v>0.11846533917753539</v>
      </c>
      <c r="AB29" s="2"/>
      <c r="AC29" s="14">
        <f t="shared" si="7"/>
        <v>-475.28999999999724</v>
      </c>
      <c r="AD29" s="15">
        <f>IFERROR(AC29/AC444, "NA")</f>
        <v>-1.3264833664193574E-2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23975.38</v>
      </c>
      <c r="F31" s="8">
        <f>IFERROR(E31/E444, "NA")</f>
        <v>0.21499999103246786</v>
      </c>
      <c r="G31" s="9"/>
      <c r="H31" s="10">
        <f t="shared" ref="H31:H40" si="8">IFERROR(B31-E31, "NA")</f>
        <v>-23975.38</v>
      </c>
      <c r="I31" s="8">
        <f>IFERROR(H31/H444, "NA")</f>
        <v>3.2691441318599823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48371.78</v>
      </c>
      <c r="U31" s="8">
        <f>IFERROR(T31/T444, "NA")</f>
        <v>0.21500000311131826</v>
      </c>
      <c r="V31" s="9"/>
      <c r="W31" s="10">
        <f t="shared" ref="W31:W40" si="10">IFERROR(Q31-T31, "NA")</f>
        <v>-48371.78</v>
      </c>
      <c r="X31" s="8">
        <f>IFERROR(W31/W444, "NA")</f>
        <v>-2.3890071193447113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6768.19</v>
      </c>
      <c r="C33" s="8">
        <f>IFERROR(B33/B444, "NA")</f>
        <v>6.4966582696260183E-2</v>
      </c>
      <c r="D33" s="9"/>
      <c r="E33" s="7">
        <v>0</v>
      </c>
      <c r="F33" s="8">
        <f>IFERROR(E33/E444, "NA")</f>
        <v>0</v>
      </c>
      <c r="G33" s="9"/>
      <c r="H33" s="10">
        <f t="shared" si="8"/>
        <v>6768.19</v>
      </c>
      <c r="I33" s="8">
        <f>IFERROR(H33/H444, "NA")</f>
        <v>-0.92287123798719395</v>
      </c>
      <c r="J33" s="9"/>
      <c r="K33" s="7">
        <v>6243.36</v>
      </c>
      <c r="L33" s="8">
        <f>IFERROR(K33/K444, "NA")</f>
        <v>6.270603262936153E-2</v>
      </c>
      <c r="M33" s="9"/>
      <c r="N33" s="10">
        <f t="shared" si="9"/>
        <v>524.82999999999993</v>
      </c>
      <c r="O33" s="8">
        <f>IFERROR(N33/N444, "NA")</f>
        <v>0.11374679780321703</v>
      </c>
      <c r="P33" s="9"/>
      <c r="Q33" s="7">
        <v>17600.900000000001</v>
      </c>
      <c r="R33" s="8">
        <f>IFERROR(Q33/Q444, "NA")</f>
        <v>7.1772247963536012E-2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17600.900000000001</v>
      </c>
      <c r="X33" s="8">
        <f>IFERROR(W33/W444, "NA")</f>
        <v>0.86928112645171074</v>
      </c>
      <c r="Y33" s="9"/>
      <c r="Z33" s="7">
        <v>13323.51</v>
      </c>
      <c r="AA33" s="8">
        <f>IFERROR(Z33/Z444, "NA")</f>
        <v>6.3626518277012281E-2</v>
      </c>
      <c r="AB33" s="9"/>
      <c r="AC33" s="10">
        <f t="shared" si="11"/>
        <v>4277.3900000000012</v>
      </c>
      <c r="AD33" s="8">
        <f>IFERROR(AC33/AC444, "NA")</f>
        <v>0.11937736301391844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744.13</v>
      </c>
      <c r="C35" s="8">
        <f>IFERROR(B35/B444, "NA")</f>
        <v>7.1427638972558537E-3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744.13</v>
      </c>
      <c r="I35" s="8">
        <f>IFERROR(H35/H444, "NA")</f>
        <v>-0.10146526240005241</v>
      </c>
      <c r="J35" s="9"/>
      <c r="K35" s="7">
        <v>0</v>
      </c>
      <c r="L35" s="8">
        <f>IFERROR(K35/K444, "NA")</f>
        <v>0</v>
      </c>
      <c r="M35" s="9"/>
      <c r="N35" s="10">
        <f t="shared" si="9"/>
        <v>744.13</v>
      </c>
      <c r="O35" s="8">
        <f>IFERROR(N35/N444, "NA")</f>
        <v>0.16127585055981539</v>
      </c>
      <c r="P35" s="9"/>
      <c r="Q35" s="7">
        <v>1724.8</v>
      </c>
      <c r="R35" s="8">
        <f>IFERROR(Q35/Q444, "NA")</f>
        <v>7.0333206419846096E-3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1724.8</v>
      </c>
      <c r="X35" s="8">
        <f>IFERROR(W35/W444, "NA")</f>
        <v>8.5185194331193884E-2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1724.8</v>
      </c>
      <c r="AD35" s="8">
        <f>IFERROR(AC35/AC444, "NA")</f>
        <v>4.8137316383684084E-2</v>
      </c>
    </row>
    <row r="36" spans="1:30" ht="16.5" customHeight="1" x14ac:dyDescent="0.45">
      <c r="A36" s="12" t="s">
        <v>36</v>
      </c>
      <c r="B36" s="7">
        <v>15477.2</v>
      </c>
      <c r="C36" s="8">
        <f>IFERROR(B36/B444, "NA")</f>
        <v>0.14856273149934596</v>
      </c>
      <c r="D36" s="9"/>
      <c r="E36" s="7">
        <v>0</v>
      </c>
      <c r="F36" s="8">
        <f>IFERROR(E36/E444, "NA")</f>
        <v>0</v>
      </c>
      <c r="G36" s="9"/>
      <c r="H36" s="10">
        <f t="shared" si="8"/>
        <v>15477.2</v>
      </c>
      <c r="I36" s="8">
        <f>IFERROR(H36/H444, "NA")</f>
        <v>-2.1103814645533592</v>
      </c>
      <c r="J36" s="9"/>
      <c r="K36" s="7">
        <v>8660.64</v>
      </c>
      <c r="L36" s="8">
        <f>IFERROR(K36/K444, "NA")</f>
        <v>8.6984312042098097E-2</v>
      </c>
      <c r="M36" s="9"/>
      <c r="N36" s="10">
        <f t="shared" si="9"/>
        <v>6816.5600000000013</v>
      </c>
      <c r="O36" s="8">
        <f>IFERROR(N36/N444, "NA")</f>
        <v>1.4773581388897308</v>
      </c>
      <c r="P36" s="9"/>
      <c r="Q36" s="7">
        <v>35284.050000000003</v>
      </c>
      <c r="R36" s="8">
        <f>IFERROR(Q36/Q444, "NA")</f>
        <v>0.14387989169632251</v>
      </c>
      <c r="S36" s="9"/>
      <c r="T36" s="7">
        <v>0</v>
      </c>
      <c r="U36" s="8">
        <f>IFERROR(T36/T444, "NA")</f>
        <v>0</v>
      </c>
      <c r="V36" s="9"/>
      <c r="W36" s="10">
        <f t="shared" si="10"/>
        <v>35284.050000000003</v>
      </c>
      <c r="X36" s="8">
        <f>IFERROR(W36/W444, "NA")</f>
        <v>1.7426244527142638</v>
      </c>
      <c r="Y36" s="9"/>
      <c r="Z36" s="7">
        <v>22664.86</v>
      </c>
      <c r="AA36" s="8">
        <f>IFERROR(Z36/Z444, "NA")</f>
        <v>0.10823620270003359</v>
      </c>
      <c r="AB36" s="9"/>
      <c r="AC36" s="10">
        <f t="shared" si="11"/>
        <v>12619.190000000002</v>
      </c>
      <c r="AD36" s="8">
        <f>IFERROR(AC36/AC444, "NA")</f>
        <v>0.35218804588115865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632.85</v>
      </c>
      <c r="C39" s="8">
        <f>IFERROR(B39/B444, "NA")</f>
        <v>6.0746081093066631E-3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632.85</v>
      </c>
      <c r="I39" s="8">
        <f>IFERROR(H39/H444, "NA")</f>
        <v>-8.6291765296215947E-2</v>
      </c>
      <c r="J39" s="9"/>
      <c r="K39" s="7">
        <v>1566.19</v>
      </c>
      <c r="L39" s="8">
        <f>IFERROR(K39/K444, "NA")</f>
        <v>1.5730241607688766E-2</v>
      </c>
      <c r="M39" s="9"/>
      <c r="N39" s="10">
        <f t="shared" si="9"/>
        <v>-933.34</v>
      </c>
      <c r="O39" s="8">
        <f>IFERROR(N39/N444, "NA")</f>
        <v>-0.2022834751474851</v>
      </c>
      <c r="P39" s="9"/>
      <c r="Q39" s="7">
        <v>2032.1</v>
      </c>
      <c r="R39" s="8">
        <f>IFERROR(Q39/Q444, "NA")</f>
        <v>8.2864163245459904E-3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2032.1</v>
      </c>
      <c r="X39" s="8">
        <f>IFERROR(W39/W444, "NA")</f>
        <v>0.10036226426276618</v>
      </c>
      <c r="Y39" s="9"/>
      <c r="Z39" s="7">
        <v>3084.46</v>
      </c>
      <c r="AA39" s="8">
        <f>IFERROR(Z39/Z444, "NA")</f>
        <v>1.4729861017458108E-2</v>
      </c>
      <c r="AB39" s="9"/>
      <c r="AC39" s="10">
        <f t="shared" si="11"/>
        <v>-1052.3600000000001</v>
      </c>
      <c r="AD39" s="8">
        <f>IFERROR(AC39/AC444, "NA")</f>
        <v>-2.9370237864989442E-2</v>
      </c>
    </row>
    <row r="40" spans="1:30" ht="16.5" customHeight="1" x14ac:dyDescent="0.45">
      <c r="A40" s="13" t="s">
        <v>40</v>
      </c>
      <c r="B40" s="14">
        <f>IFERROR(B31+B32+B33+B34+B35+B36+B37+B38+B39, "NA")</f>
        <v>23622.37</v>
      </c>
      <c r="C40" s="15">
        <f>IFERROR(B40/B444, "NA")</f>
        <v>0.22674668620216865</v>
      </c>
      <c r="D40" s="2"/>
      <c r="E40" s="14">
        <f>IFERROR(E31+E32+E33+E34+E35+E36+E37+E38+E39, "NA")</f>
        <v>23975.38</v>
      </c>
      <c r="F40" s="15">
        <f>IFERROR(E40/E444, "NA")</f>
        <v>0.21499999103246786</v>
      </c>
      <c r="G40" s="2"/>
      <c r="H40" s="14">
        <f t="shared" si="8"/>
        <v>-353.01000000000204</v>
      </c>
      <c r="I40" s="15">
        <f>IFERROR(H40/H444, "NA")</f>
        <v>4.8134401623160884E-2</v>
      </c>
      <c r="J40" s="2"/>
      <c r="K40" s="14">
        <f>IFERROR(K31+K32+K33+K34+K35+K36+K37+K38+K39, "NA")</f>
        <v>16470.189999999999</v>
      </c>
      <c r="L40" s="15">
        <f>IFERROR(K40/K444, "NA")</f>
        <v>0.16542058627914838</v>
      </c>
      <c r="M40" s="2"/>
      <c r="N40" s="14">
        <f t="shared" si="9"/>
        <v>7152.18</v>
      </c>
      <c r="O40" s="15">
        <f>IFERROR(N40/N444, "NA")</f>
        <v>1.5500973121052779</v>
      </c>
      <c r="P40" s="2"/>
      <c r="Q40" s="14">
        <f>IFERROR(Q31+Q32+Q33+Q34+Q35+Q36+Q37+Q38+Q39, "NA")</f>
        <v>56641.85</v>
      </c>
      <c r="R40" s="15">
        <f>IFERROR(Q40/Q444, "NA")</f>
        <v>0.23097187662638913</v>
      </c>
      <c r="S40" s="2"/>
      <c r="T40" s="14">
        <f>IFERROR(T31+T32+T33+T34+T35+T36+T37+T38+T39, "NA")</f>
        <v>48371.78</v>
      </c>
      <c r="U40" s="15">
        <f>IFERROR(T40/T444, "NA")</f>
        <v>0.21500000311131826</v>
      </c>
      <c r="V40" s="2"/>
      <c r="W40" s="14">
        <f t="shared" si="10"/>
        <v>8270.07</v>
      </c>
      <c r="X40" s="15">
        <f>IFERROR(W40/W444, "NA")</f>
        <v>0.40844591841522299</v>
      </c>
      <c r="Y40" s="2"/>
      <c r="Z40" s="14">
        <f>IFERROR(Z31+Z32+Z33+Z34+Z35+Z36+Z37+Z38+Z39, "NA")</f>
        <v>39072.83</v>
      </c>
      <c r="AA40" s="15">
        <f>IFERROR(Z40/Z444, "NA")</f>
        <v>0.18659258199450399</v>
      </c>
      <c r="AB40" s="2"/>
      <c r="AC40" s="14">
        <f t="shared" si="11"/>
        <v>17569.019999999997</v>
      </c>
      <c r="AD40" s="15">
        <f>IFERROR(AC40/AC444, "NA")</f>
        <v>0.49033248741377156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2117.86</v>
      </c>
      <c r="C43" s="8">
        <f>IFERROR(B43/B444, "NA")</f>
        <v>2.032893976515163E-2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2117.86</v>
      </c>
      <c r="I43" s="8">
        <f>IFERROR(H43/H444, "NA")</f>
        <v>-0.28877913889585827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2117.86</v>
      </c>
      <c r="O43" s="8">
        <f>IFERROR(N43/N444, "NA")</f>
        <v>0.45900537925713331</v>
      </c>
      <c r="P43" s="9"/>
      <c r="Q43" s="7">
        <v>18483.62</v>
      </c>
      <c r="R43" s="8">
        <f>IFERROR(Q43/Q444, "NA")</f>
        <v>7.5371768370013664E-2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18483.62</v>
      </c>
      <c r="X43" s="8">
        <f>IFERROR(W43/W444, "NA")</f>
        <v>0.91287729687148766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18483.62</v>
      </c>
      <c r="AD43" s="8">
        <f>IFERROR(AC43/AC444, "NA")</f>
        <v>0.51585799156759671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16392.47</v>
      </c>
      <c r="F46" s="8">
        <f>IFERROR(E46/E444, "NA")</f>
        <v>0.14700000179350645</v>
      </c>
      <c r="G46" s="9"/>
      <c r="H46" s="10">
        <f t="shared" ref="H46:H62" si="12">IFERROR(B46-E46, "NA")</f>
        <v>-16392.47</v>
      </c>
      <c r="I46" s="8">
        <f>IFERROR(H46/H444, "NA")</f>
        <v>2.23518238739869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33072.800000000003</v>
      </c>
      <c r="U46" s="8">
        <f>IFERROR(T46/T444, "NA")</f>
        <v>0.14700000915616518</v>
      </c>
      <c r="V46" s="9"/>
      <c r="W46" s="10">
        <f t="shared" ref="W46:W62" si="14">IFERROR(Q46-T46, "NA")</f>
        <v>-33072.800000000003</v>
      </c>
      <c r="X46" s="8">
        <f>IFERROR(W46/W444, "NA")</f>
        <v>-1.6334142480732314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581.64</v>
      </c>
      <c r="C47" s="8">
        <f>IFERROR(B47/B444, "NA")</f>
        <v>5.5830529520378086E-3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581.64</v>
      </c>
      <c r="I47" s="8">
        <f>IFERROR(H47/H444, "NA")</f>
        <v>-7.9309065919081989E-2</v>
      </c>
      <c r="J47" s="9"/>
      <c r="K47" s="7">
        <v>287.33</v>
      </c>
      <c r="L47" s="8">
        <f>IFERROR(K47/K444, "NA")</f>
        <v>2.8858378109534685E-3</v>
      </c>
      <c r="M47" s="9"/>
      <c r="N47" s="10">
        <f t="shared" si="13"/>
        <v>294.31</v>
      </c>
      <c r="O47" s="8">
        <f>IFERROR(N47/N444, "NA")</f>
        <v>6.3786026068374163E-2</v>
      </c>
      <c r="P47" s="9"/>
      <c r="Q47" s="7">
        <v>3454.79</v>
      </c>
      <c r="R47" s="8">
        <f>IFERROR(Q47/Q444, "NA")</f>
        <v>1.4087804858952927E-2</v>
      </c>
      <c r="S47" s="9"/>
      <c r="T47" s="7">
        <v>0</v>
      </c>
      <c r="U47" s="8">
        <f>IFERROR(T47/T444, "NA")</f>
        <v>0</v>
      </c>
      <c r="V47" s="9"/>
      <c r="W47" s="10">
        <f t="shared" si="14"/>
        <v>3454.79</v>
      </c>
      <c r="X47" s="8">
        <f>IFERROR(W47/W444, "NA")</f>
        <v>0.17062671470516311</v>
      </c>
      <c r="Y47" s="9"/>
      <c r="Z47" s="7">
        <v>1000.85</v>
      </c>
      <c r="AA47" s="8">
        <f>IFERROR(Z47/Z444, "NA")</f>
        <v>4.7795664068663391E-3</v>
      </c>
      <c r="AB47" s="9"/>
      <c r="AC47" s="10">
        <f t="shared" si="15"/>
        <v>2453.94</v>
      </c>
      <c r="AD47" s="8">
        <f>IFERROR(AC47/AC444, "NA")</f>
        <v>6.8486831033498216E-2</v>
      </c>
    </row>
    <row r="48" spans="1:30" ht="16.5" customHeight="1" x14ac:dyDescent="0.45">
      <c r="A48" s="17" t="s">
        <v>46</v>
      </c>
      <c r="B48" s="7">
        <v>6023.86</v>
      </c>
      <c r="C48" s="8">
        <f>IFERROR(B48/B444, "NA")</f>
        <v>5.7821899036624838E-2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6023.86</v>
      </c>
      <c r="I48" s="8">
        <f>IFERROR(H48/H444, "NA")</f>
        <v>-0.82137870474403618</v>
      </c>
      <c r="J48" s="9"/>
      <c r="K48" s="7">
        <v>7057.13</v>
      </c>
      <c r="L48" s="8">
        <f>IFERROR(K48/K444, "NA")</f>
        <v>7.087924195459594E-2</v>
      </c>
      <c r="M48" s="9"/>
      <c r="N48" s="10">
        <f t="shared" si="13"/>
        <v>-1033.2700000000004</v>
      </c>
      <c r="O48" s="8">
        <f>IFERROR(N48/N444, "NA")</f>
        <v>-0.22394137866762595</v>
      </c>
      <c r="P48" s="9"/>
      <c r="Q48" s="7">
        <v>26254.23</v>
      </c>
      <c r="R48" s="8">
        <f>IFERROR(Q48/Q444, "NA")</f>
        <v>0.10705845187755775</v>
      </c>
      <c r="S48" s="9"/>
      <c r="T48" s="7">
        <v>0</v>
      </c>
      <c r="U48" s="8">
        <f>IFERROR(T48/T444, "NA")</f>
        <v>0</v>
      </c>
      <c r="V48" s="9"/>
      <c r="W48" s="10">
        <f t="shared" si="14"/>
        <v>26254.23</v>
      </c>
      <c r="X48" s="8">
        <f>IFERROR(W48/W444, "NA")</f>
        <v>1.2966556612742699</v>
      </c>
      <c r="Y48" s="9"/>
      <c r="Z48" s="7">
        <v>15058.24</v>
      </c>
      <c r="AA48" s="8">
        <f>IFERROR(Z48/Z444, "NA")</f>
        <v>7.1910733926693296E-2</v>
      </c>
      <c r="AB48" s="9"/>
      <c r="AC48" s="10">
        <f t="shared" si="15"/>
        <v>11195.99</v>
      </c>
      <c r="AD48" s="8">
        <f>IFERROR(AC48/AC444, "NA")</f>
        <v>0.31246806172226527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4368.5</v>
      </c>
      <c r="C50" s="8">
        <f>IFERROR(B50/B444, "NA")</f>
        <v>4.1932409774047809E-2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4368.5</v>
      </c>
      <c r="I50" s="8">
        <f>IFERROR(H50/H444, "NA")</f>
        <v>-0.59566339052938189</v>
      </c>
      <c r="J50" s="9"/>
      <c r="K50" s="7">
        <v>2864.4</v>
      </c>
      <c r="L50" s="8">
        <f>IFERROR(K50/K444, "NA")</f>
        <v>2.8768989752880367E-2</v>
      </c>
      <c r="M50" s="9"/>
      <c r="N50" s="10">
        <f t="shared" si="13"/>
        <v>1504.1</v>
      </c>
      <c r="O50" s="8">
        <f>IFERROR(N50/N444, "NA")</f>
        <v>0.32598471614774072</v>
      </c>
      <c r="P50" s="9"/>
      <c r="Q50" s="7">
        <v>5644.67</v>
      </c>
      <c r="R50" s="8">
        <f>IFERROR(Q50/Q444, "NA")</f>
        <v>2.3017610174044103E-2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5644.67</v>
      </c>
      <c r="X50" s="8">
        <f>IFERROR(W50/W444, "NA")</f>
        <v>0.27878148822208965</v>
      </c>
      <c r="Y50" s="9"/>
      <c r="Z50" s="7">
        <v>3117.09</v>
      </c>
      <c r="AA50" s="8">
        <f>IFERROR(Z50/Z444, "NA")</f>
        <v>1.4885685818233499E-2</v>
      </c>
      <c r="AB50" s="9"/>
      <c r="AC50" s="10">
        <f t="shared" si="15"/>
        <v>2527.58</v>
      </c>
      <c r="AD50" s="8">
        <f>IFERROR(AC50/AC444, "NA")</f>
        <v>7.0542044379100305E-2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312.3</v>
      </c>
      <c r="L54" s="8">
        <f>IFERROR(K54/K444, "NA")</f>
        <v>3.1366273913645227E-3</v>
      </c>
      <c r="M54" s="9"/>
      <c r="N54" s="10">
        <f t="shared" si="13"/>
        <v>-312.3</v>
      </c>
      <c r="O54" s="8">
        <f>IFERROR(N54/N444, "NA")</f>
        <v>-6.7685012201940981E-2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312.3</v>
      </c>
      <c r="AA54" s="8">
        <f>IFERROR(Z54/Z444, "NA")</f>
        <v>1.491390906593753E-3</v>
      </c>
      <c r="AB54" s="9"/>
      <c r="AC54" s="10">
        <f t="shared" si="15"/>
        <v>-312.3</v>
      </c>
      <c r="AD54" s="8">
        <f>IFERROR(AC54/AC444, "NA")</f>
        <v>-8.7159577380708144E-3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292.8</v>
      </c>
      <c r="L55" s="8">
        <f>IFERROR(K55/K444, "NA")</f>
        <v>2.9407764975713487E-3</v>
      </c>
      <c r="M55" s="9"/>
      <c r="N55" s="10">
        <f t="shared" si="13"/>
        <v>-292.8</v>
      </c>
      <c r="O55" s="8">
        <f>IFERROR(N55/N444, "NA")</f>
        <v>-6.3458762640820746E-2</v>
      </c>
      <c r="P55" s="9"/>
      <c r="Q55" s="7">
        <v>334.29</v>
      </c>
      <c r="R55" s="8">
        <f>IFERROR(Q55/Q444, "NA")</f>
        <v>1.3631544279968898E-3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334.29</v>
      </c>
      <c r="X55" s="8">
        <f>IFERROR(W55/W444, "NA")</f>
        <v>1.6510064130899123E-2</v>
      </c>
      <c r="Y55" s="9"/>
      <c r="Z55" s="7">
        <v>292.8</v>
      </c>
      <c r="AA55" s="8">
        <f>IFERROR(Z55/Z444, "NA")</f>
        <v>1.3982685156921258E-3</v>
      </c>
      <c r="AB55" s="9"/>
      <c r="AC55" s="10">
        <f t="shared" si="15"/>
        <v>41.490000000000009</v>
      </c>
      <c r="AD55" s="8">
        <f>IFERROR(AC55/AC444, "NA")</f>
        <v>1.1579413594382266E-3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281.89999999999998</v>
      </c>
      <c r="L56" s="8">
        <f>IFERROR(K56/K444, "NA")</f>
        <v>2.8313008697587539E-3</v>
      </c>
      <c r="M56" s="9"/>
      <c r="N56" s="10">
        <f t="shared" si="13"/>
        <v>-281.89999999999998</v>
      </c>
      <c r="O56" s="8">
        <f>IFERROR(N56/N444, "NA")</f>
        <v>-6.1096397501527892E-2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468.82</v>
      </c>
      <c r="AA56" s="8">
        <f>IFERROR(Z56/Z444, "NA")</f>
        <v>2.2388532975641477E-3</v>
      </c>
      <c r="AB56" s="9"/>
      <c r="AC56" s="10">
        <f t="shared" si="15"/>
        <v>-468.82</v>
      </c>
      <c r="AD56" s="8">
        <f>IFERROR(AC56/AC444, "NA")</f>
        <v>-1.3084262909901886E-2</v>
      </c>
    </row>
    <row r="57" spans="1:30" ht="16.5" customHeight="1" x14ac:dyDescent="0.45">
      <c r="A57" s="17" t="s">
        <v>55</v>
      </c>
      <c r="B57" s="7">
        <v>1767.38</v>
      </c>
      <c r="C57" s="8">
        <f>IFERROR(B57/B444, "NA")</f>
        <v>1.6964748171330347E-2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1767.38</v>
      </c>
      <c r="I57" s="8">
        <f>IFERROR(H57/H444, "NA")</f>
        <v>-0.24098971343798078</v>
      </c>
      <c r="J57" s="9"/>
      <c r="K57" s="7">
        <v>3969.12</v>
      </c>
      <c r="L57" s="8">
        <f>IFERROR(K57/K444, "NA")</f>
        <v>3.9864394849864725E-2</v>
      </c>
      <c r="M57" s="9"/>
      <c r="N57" s="10">
        <f t="shared" si="13"/>
        <v>-2201.7399999999998</v>
      </c>
      <c r="O57" s="8">
        <f>IFERROR(N57/N444, "NA")</f>
        <v>-0.47718475429235196</v>
      </c>
      <c r="P57" s="9"/>
      <c r="Q57" s="7">
        <v>1767.38</v>
      </c>
      <c r="R57" s="8">
        <f>IFERROR(Q57/Q444, "NA")</f>
        <v>7.2069516675734926E-3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1767.38</v>
      </c>
      <c r="X57" s="8">
        <f>IFERROR(W57/W444, "NA")</f>
        <v>8.7288154427797693E-2</v>
      </c>
      <c r="Y57" s="9"/>
      <c r="Z57" s="7">
        <v>8772.5</v>
      </c>
      <c r="AA57" s="8">
        <f>IFERROR(Z57/Z444, "NA")</f>
        <v>4.1893137137667943E-2</v>
      </c>
      <c r="AB57" s="9"/>
      <c r="AC57" s="10">
        <f t="shared" si="15"/>
        <v>-7005.12</v>
      </c>
      <c r="AD57" s="8">
        <f>IFERROR(AC57/AC444, "NA")</f>
        <v>-0.19550537902694401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12741.380000000001</v>
      </c>
      <c r="C61" s="15">
        <f>IFERROR(B61/B444, "NA")</f>
        <v>0.12230210993404082</v>
      </c>
      <c r="D61" s="2"/>
      <c r="E61" s="14">
        <f>IFERROR(E46+E47+E48+E49+E50+E51+E52+E53+E54+E55+E56+E57+E58+E59+E60, "NA")</f>
        <v>16392.47</v>
      </c>
      <c r="F61" s="15">
        <f>IFERROR(E61/E444, "NA")</f>
        <v>0.14700000179350645</v>
      </c>
      <c r="G61" s="2"/>
      <c r="H61" s="14">
        <f t="shared" si="12"/>
        <v>-3651.09</v>
      </c>
      <c r="I61" s="15">
        <f>IFERROR(H61/H444, "NA")</f>
        <v>0.49784151276820898</v>
      </c>
      <c r="J61" s="2"/>
      <c r="K61" s="14">
        <f>IFERROR(K46+K47+K48+K49+K50+K51+K52+K53+K54+K55+K56+K57+K58+K59+K60, "NA")</f>
        <v>15064.98</v>
      </c>
      <c r="L61" s="15">
        <f>IFERROR(K61/K444, "NA")</f>
        <v>0.15130716912698913</v>
      </c>
      <c r="M61" s="2"/>
      <c r="N61" s="14">
        <f t="shared" si="13"/>
        <v>-2323.5999999999985</v>
      </c>
      <c r="O61" s="15">
        <f>IFERROR(N61/N444, "NA")</f>
        <v>-0.50359556308815234</v>
      </c>
      <c r="P61" s="2"/>
      <c r="Q61" s="14">
        <f>IFERROR(Q46+Q47+Q48+Q49+Q50+Q51+Q52+Q53+Q54+Q55+Q56+Q57+Q58+Q59+Q60, "NA")</f>
        <v>37455.360000000001</v>
      </c>
      <c r="R61" s="15">
        <f>IFERROR(Q61/Q444, "NA")</f>
        <v>0.15273397300612515</v>
      </c>
      <c r="S61" s="2"/>
      <c r="T61" s="14">
        <f>IFERROR(T46+T47+T48+T49+T50+T51+T52+T53+T54+T55+T56+T57+T58+T59+T60, "NA")</f>
        <v>33072.800000000003</v>
      </c>
      <c r="U61" s="15">
        <f>IFERROR(T61/T444, "NA")</f>
        <v>0.14700000915616518</v>
      </c>
      <c r="V61" s="2"/>
      <c r="W61" s="14">
        <f t="shared" si="14"/>
        <v>4382.5599999999977</v>
      </c>
      <c r="X61" s="15">
        <f>IFERROR(W61/W444, "NA")</f>
        <v>0.216447834686988</v>
      </c>
      <c r="Y61" s="2"/>
      <c r="Z61" s="14">
        <f>IFERROR(Z46+Z47+Z48+Z49+Z50+Z51+Z52+Z53+Z54+Z55+Z56+Z57+Z58+Z59+Z60, "NA")</f>
        <v>29022.6</v>
      </c>
      <c r="AA61" s="15">
        <f>IFERROR(Z61/Z444, "NA")</f>
        <v>0.13859763600931108</v>
      </c>
      <c r="AB61" s="2"/>
      <c r="AC61" s="14">
        <f t="shared" si="15"/>
        <v>8432.760000000002</v>
      </c>
      <c r="AD61" s="15">
        <f>IFERROR(AC61/AC444, "NA")</f>
        <v>0.23534927881938539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14859.240000000002</v>
      </c>
      <c r="C62" s="15">
        <f>IFERROR(B62/B444, "NA")</f>
        <v>0.14263104969919246</v>
      </c>
      <c r="D62" s="2"/>
      <c r="E62" s="14">
        <f>IFERROR(E42+E43+E44+E46+E47+E48+E49+E50+E51+E52+E53+E54+E55+E56+E57+E58+E59+E60, "NA")</f>
        <v>16392.47</v>
      </c>
      <c r="F62" s="15">
        <f>IFERROR(E62/E444, "NA")</f>
        <v>0.14700000179350645</v>
      </c>
      <c r="G62" s="2"/>
      <c r="H62" s="14">
        <f t="shared" si="12"/>
        <v>-1533.2299999999996</v>
      </c>
      <c r="I62" s="15">
        <f>IFERROR(H62/H444, "NA")</f>
        <v>0.20906237387235069</v>
      </c>
      <c r="J62" s="2"/>
      <c r="K62" s="14">
        <f>IFERROR(K42+K43+K44+K46+K47+K48+K49+K50+K51+K52+K53+K54+K55+K56+K57+K58+K59+K60, "NA")</f>
        <v>15064.98</v>
      </c>
      <c r="L62" s="15">
        <f>IFERROR(K62/K444, "NA")</f>
        <v>0.15130716912698913</v>
      </c>
      <c r="M62" s="2"/>
      <c r="N62" s="14">
        <f t="shared" si="13"/>
        <v>-205.73999999999796</v>
      </c>
      <c r="O62" s="15">
        <f>IFERROR(N62/N444, "NA")</f>
        <v>-4.4590183831018891E-2</v>
      </c>
      <c r="P62" s="2"/>
      <c r="Q62" s="14">
        <f>IFERROR(Q42+Q43+Q44+Q46+Q47+Q48+Q49+Q50+Q51+Q52+Q53+Q54+Q55+Q56+Q57+Q58+Q59+Q60, "NA")</f>
        <v>55938.979999999996</v>
      </c>
      <c r="R62" s="15">
        <f>IFERROR(Q62/Q444, "NA")</f>
        <v>0.22810574137613882</v>
      </c>
      <c r="S62" s="2"/>
      <c r="T62" s="14">
        <f>IFERROR(T42+T43+T44+T46+T47+T48+T49+T50+T51+T52+T53+T54+T55+T56+T57+T58+T59+T60, "NA")</f>
        <v>33072.800000000003</v>
      </c>
      <c r="U62" s="15">
        <f>IFERROR(T62/T444, "NA")</f>
        <v>0.14700000915616518</v>
      </c>
      <c r="V62" s="2"/>
      <c r="W62" s="14">
        <f t="shared" si="14"/>
        <v>22866.179999999993</v>
      </c>
      <c r="X62" s="15">
        <f>IFERROR(W62/W444, "NA")</f>
        <v>1.1293251315584756</v>
      </c>
      <c r="Y62" s="2"/>
      <c r="Z62" s="14">
        <f>IFERROR(Z42+Z43+Z44+Z46+Z47+Z48+Z49+Z50+Z51+Z52+Z53+Z54+Z55+Z56+Z57+Z58+Z59+Z60, "NA")</f>
        <v>29022.6</v>
      </c>
      <c r="AA62" s="15">
        <f>IFERROR(Z62/Z444, "NA")</f>
        <v>0.13859763600931108</v>
      </c>
      <c r="AB62" s="2"/>
      <c r="AC62" s="14">
        <f t="shared" si="15"/>
        <v>26916.379999999997</v>
      </c>
      <c r="AD62" s="15">
        <f>IFERROR(AC62/AC444, "NA")</f>
        <v>0.75120727038698198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1487.52</v>
      </c>
      <c r="C66" s="8">
        <f>IFERROR(B66/B444, "NA")</f>
        <v>1.4278424673707588E-2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1487.52</v>
      </c>
      <c r="I66" s="8">
        <f>IFERROR(H66/H444, "NA")</f>
        <v>-0.20282962268061488</v>
      </c>
      <c r="J66" s="9"/>
      <c r="K66" s="7">
        <v>0</v>
      </c>
      <c r="L66" s="8">
        <f>IFERROR(K66/K444, "NA")</f>
        <v>0</v>
      </c>
      <c r="M66" s="9"/>
      <c r="N66" s="10">
        <f t="shared" si="17"/>
        <v>1487.52</v>
      </c>
      <c r="O66" s="8">
        <f>IFERROR(N66/N444, "NA")</f>
        <v>0.32239132036705492</v>
      </c>
      <c r="P66" s="9"/>
      <c r="Q66" s="7">
        <v>1887.74</v>
      </c>
      <c r="R66" s="8">
        <f>IFERROR(Q66/Q444, "NA")</f>
        <v>7.697750874710127E-3</v>
      </c>
      <c r="S66" s="9"/>
      <c r="T66" s="7">
        <v>0</v>
      </c>
      <c r="U66" s="8">
        <f>IFERROR(T66/T444, "NA")</f>
        <v>0</v>
      </c>
      <c r="V66" s="9"/>
      <c r="W66" s="10">
        <f t="shared" si="18"/>
        <v>1887.74</v>
      </c>
      <c r="X66" s="8">
        <f>IFERROR(W66/W444, "NA")</f>
        <v>9.3232547974703137E-2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1887.74</v>
      </c>
      <c r="AD66" s="8">
        <f>IFERROR(AC66/AC444, "NA")</f>
        <v>5.2684796863483187E-2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1487.52</v>
      </c>
      <c r="C73" s="15">
        <f>IFERROR(B73/B444, "NA")</f>
        <v>1.4278424673707588E-2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1487.52</v>
      </c>
      <c r="I73" s="15">
        <f>IFERROR(H73/H444, "NA")</f>
        <v>-0.20282962268061488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1487.52</v>
      </c>
      <c r="O73" s="15">
        <f>IFERROR(N73/N444, "NA")</f>
        <v>0.32239132036705492</v>
      </c>
      <c r="P73" s="2"/>
      <c r="Q73" s="14">
        <f>IFERROR(Q64+Q65+Q66+Q67+Q68+Q69+Q70+Q71+Q72, "NA")</f>
        <v>1887.74</v>
      </c>
      <c r="R73" s="15">
        <f>IFERROR(Q73/Q444, "NA")</f>
        <v>7.697750874710127E-3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1887.74</v>
      </c>
      <c r="X73" s="15">
        <f>IFERROR(W73/W444, "NA")</f>
        <v>9.3232547974703137E-2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1887.74</v>
      </c>
      <c r="AD73" s="15">
        <f>IFERROR(AC73/AC444, "NA")</f>
        <v>5.2684796863483187E-2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892.11</v>
      </c>
      <c r="F75" s="8">
        <f>IFERROR(E75/E444, "NA")</f>
        <v>8.0000251090900296E-3</v>
      </c>
      <c r="G75" s="9"/>
      <c r="H75" s="10">
        <f t="shared" ref="H75:H92" si="20">IFERROR(B75-E75, "NA")</f>
        <v>-892.11</v>
      </c>
      <c r="I75" s="8">
        <f>IFERROR(H75/H444, "NA")</f>
        <v>0.12164295921372711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1799.89</v>
      </c>
      <c r="U75" s="8">
        <f>IFERROR(T75/T444, "NA")</f>
        <v>8.0000437362451968E-3</v>
      </c>
      <c r="V75" s="9"/>
      <c r="W75" s="10">
        <f t="shared" ref="W75:W92" si="22">IFERROR(Q75-T75, "NA")</f>
        <v>-1799.89</v>
      </c>
      <c r="X75" s="8">
        <f>IFERROR(W75/W444, "NA")</f>
        <v>-8.8893772857590786E-2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155.25</v>
      </c>
      <c r="C77" s="8">
        <f>IFERROR(B77/B444, "NA")</f>
        <v>1.4902155470804446E-3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155.25</v>
      </c>
      <c r="I77" s="8">
        <f>IFERROR(H77/H444, "NA")</f>
        <v>-2.1168991960555463E-2</v>
      </c>
      <c r="J77" s="9"/>
      <c r="K77" s="7">
        <v>113.62</v>
      </c>
      <c r="L77" s="8">
        <f>IFERROR(K77/K444, "NA")</f>
        <v>1.1411578745015596E-3</v>
      </c>
      <c r="M77" s="9"/>
      <c r="N77" s="10">
        <f t="shared" si="21"/>
        <v>41.629999999999995</v>
      </c>
      <c r="O77" s="8">
        <f>IFERROR(N77/N444, "NA")</f>
        <v>9.0225009861248893E-3</v>
      </c>
      <c r="P77" s="9"/>
      <c r="Q77" s="7">
        <v>607.65</v>
      </c>
      <c r="R77" s="8">
        <f>IFERROR(Q77/Q444, "NA")</f>
        <v>2.4778509323411108E-3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607.65</v>
      </c>
      <c r="X77" s="8">
        <f>IFERROR(W77/W444, "NA")</f>
        <v>3.001089015268435E-2</v>
      </c>
      <c r="Y77" s="9"/>
      <c r="Z77" s="7">
        <v>224.25</v>
      </c>
      <c r="AA77" s="8">
        <f>IFERROR(Z77/Z444, "NA")</f>
        <v>1.0709074953687131E-3</v>
      </c>
      <c r="AB77" s="9"/>
      <c r="AC77" s="10">
        <f t="shared" si="23"/>
        <v>383.4</v>
      </c>
      <c r="AD77" s="8">
        <f>IFERROR(AC77/AC444, "NA")</f>
        <v>1.0700282410426993E-2</v>
      </c>
    </row>
    <row r="78" spans="1:30" ht="16.5" customHeight="1" x14ac:dyDescent="0.45">
      <c r="A78" s="12" t="s">
        <v>74</v>
      </c>
      <c r="B78" s="7">
        <v>75</v>
      </c>
      <c r="C78" s="8">
        <f>IFERROR(B78/B444, "NA")</f>
        <v>7.1991089230939351E-4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75</v>
      </c>
      <c r="I78" s="8">
        <f>IFERROR(H78/H444, "NA")</f>
        <v>-1.0226566164519547E-2</v>
      </c>
      <c r="J78" s="9"/>
      <c r="K78" s="7">
        <v>25</v>
      </c>
      <c r="L78" s="8">
        <f>IFERROR(K78/K444, "NA")</f>
        <v>2.5109088947842802E-4</v>
      </c>
      <c r="M78" s="9"/>
      <c r="N78" s="10">
        <f t="shared" si="21"/>
        <v>50</v>
      </c>
      <c r="O78" s="8">
        <f>IFERROR(N78/N444, "NA")</f>
        <v>1.0836537336205728E-2</v>
      </c>
      <c r="P78" s="9"/>
      <c r="Q78" s="7">
        <v>200</v>
      </c>
      <c r="R78" s="8">
        <f>IFERROR(Q78/Q444, "NA")</f>
        <v>8.1555202249357719E-4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200</v>
      </c>
      <c r="X78" s="8">
        <f>IFERROR(W78/W444, "NA")</f>
        <v>9.8776895096467868E-3</v>
      </c>
      <c r="Y78" s="9"/>
      <c r="Z78" s="7">
        <v>125</v>
      </c>
      <c r="AA78" s="8">
        <f>IFERROR(Z78/Z444, "NA")</f>
        <v>5.9693840321555912E-4</v>
      </c>
      <c r="AB78" s="9"/>
      <c r="AC78" s="10">
        <f t="shared" si="23"/>
        <v>75</v>
      </c>
      <c r="AD78" s="8">
        <f>IFERROR(AC78/AC444, "NA")</f>
        <v>2.0931694856077842E-3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17.940000000000001</v>
      </c>
      <c r="L79" s="8">
        <f>IFERROR(K79/K444, "NA")</f>
        <v>1.8018282228971993E-4</v>
      </c>
      <c r="M79" s="9"/>
      <c r="N79" s="10">
        <f t="shared" si="21"/>
        <v>-17.940000000000001</v>
      </c>
      <c r="O79" s="8">
        <f>IFERROR(N79/N444, "NA")</f>
        <v>-3.8881495962306157E-3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23.92</v>
      </c>
      <c r="AA79" s="8">
        <f>IFERROR(Z79/Z444, "NA")</f>
        <v>1.142301328393294E-4</v>
      </c>
      <c r="AB79" s="9"/>
      <c r="AC79" s="10">
        <f t="shared" si="23"/>
        <v>-23.92</v>
      </c>
      <c r="AD79" s="8">
        <f>IFERROR(AC79/AC444, "NA")</f>
        <v>-6.6758152127650936E-4</v>
      </c>
    </row>
    <row r="80" spans="1:30" ht="16.5" customHeight="1" x14ac:dyDescent="0.45">
      <c r="A80" s="12" t="s">
        <v>76</v>
      </c>
      <c r="B80" s="7">
        <v>505.32</v>
      </c>
      <c r="C80" s="8">
        <f>IFERROR(B80/B444, "NA")</f>
        <v>4.8504716280237696E-3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505.32</v>
      </c>
      <c r="I80" s="8">
        <f>IFERROR(H80/H444, "NA")</f>
        <v>-6.8902512190066906E-2</v>
      </c>
      <c r="J80" s="9"/>
      <c r="K80" s="7">
        <v>369.28</v>
      </c>
      <c r="L80" s="8">
        <f>IFERROR(K80/K444, "NA")</f>
        <v>3.7089137466637554E-3</v>
      </c>
      <c r="M80" s="9"/>
      <c r="N80" s="10">
        <f t="shared" si="21"/>
        <v>136.04000000000002</v>
      </c>
      <c r="O80" s="8">
        <f>IFERROR(N80/N444, "NA")</f>
        <v>2.9484050784348549E-2</v>
      </c>
      <c r="P80" s="9"/>
      <c r="Q80" s="7">
        <v>2480.9499999999998</v>
      </c>
      <c r="R80" s="8">
        <f>IFERROR(Q80/Q444, "NA")</f>
        <v>1.01167189510272E-2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2480.9499999999998</v>
      </c>
      <c r="X80" s="8">
        <f>IFERROR(W80/W444, "NA")</f>
        <v>0.12253026894479098</v>
      </c>
      <c r="Y80" s="9"/>
      <c r="Z80" s="7">
        <v>639.28</v>
      </c>
      <c r="AA80" s="8">
        <f>IFERROR(Z80/Z444, "NA")</f>
        <v>3.0528862592611411E-3</v>
      </c>
      <c r="AB80" s="9"/>
      <c r="AC80" s="10">
        <f t="shared" si="23"/>
        <v>1841.6699999999998</v>
      </c>
      <c r="AD80" s="8">
        <f>IFERROR(AC80/AC444, "NA")</f>
        <v>5.1399032620790507E-2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1.0194400281169715E-4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1.2347111887058484E-3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25</v>
      </c>
      <c r="AD82" s="8">
        <f>IFERROR(AC82/AC444, "NA")</f>
        <v>6.977231618692614E-4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2.399702974364645E-4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-3.4088553881731825E-3</v>
      </c>
      <c r="J86" s="9"/>
      <c r="K86" s="7">
        <v>245</v>
      </c>
      <c r="L86" s="8">
        <f>IFERROR(K86/K444, "NA")</f>
        <v>2.4606907168885942E-3</v>
      </c>
      <c r="M86" s="9"/>
      <c r="N86" s="10">
        <f t="shared" si="21"/>
        <v>-220</v>
      </c>
      <c r="O86" s="8">
        <f>IFERROR(N86/N444, "NA")</f>
        <v>-4.7680764279305204E-2</v>
      </c>
      <c r="P86" s="9"/>
      <c r="Q86" s="7">
        <v>25</v>
      </c>
      <c r="R86" s="8">
        <f>IFERROR(Q86/Q444, "NA")</f>
        <v>1.0194400281169715E-4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25</v>
      </c>
      <c r="X86" s="8">
        <f>IFERROR(W86/W444, "NA")</f>
        <v>1.2347111887058484E-3</v>
      </c>
      <c r="Y86" s="9"/>
      <c r="Z86" s="7">
        <v>505</v>
      </c>
      <c r="AA86" s="8">
        <f>IFERROR(Z86/Z444, "NA")</f>
        <v>2.4116311489908592E-3</v>
      </c>
      <c r="AB86" s="9"/>
      <c r="AC86" s="10">
        <f t="shared" si="23"/>
        <v>-480</v>
      </c>
      <c r="AD86" s="8">
        <f>IFERROR(AC86/AC444, "NA")</f>
        <v>-1.3396284707889819E-2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760.56999999999994</v>
      </c>
      <c r="C88" s="15">
        <f>IFERROR(B88/B444, "NA")</f>
        <v>7.3005683648500715E-3</v>
      </c>
      <c r="D88" s="2"/>
      <c r="E88" s="14">
        <f>IFERROR(E75+E76+E77+E78+E79+E80+E81+E82+E83+E84+E85+E86+E87, "NA")</f>
        <v>892.11</v>
      </c>
      <c r="F88" s="15">
        <f>IFERROR(E88/E444, "NA")</f>
        <v>8.0000251090900296E-3</v>
      </c>
      <c r="G88" s="2"/>
      <c r="H88" s="14">
        <f t="shared" si="20"/>
        <v>-131.54000000000008</v>
      </c>
      <c r="I88" s="15">
        <f>IFERROR(H88/H444, "NA")</f>
        <v>1.7936033510412026E-2</v>
      </c>
      <c r="J88" s="2"/>
      <c r="K88" s="14">
        <f>IFERROR(K75+K76+K77+K78+K79+K80+K81+K82+K83+K84+K85+K86+K87, "NA")</f>
        <v>770.83999999999992</v>
      </c>
      <c r="L88" s="15">
        <f>IFERROR(K88/K444, "NA")</f>
        <v>7.742036049822057E-3</v>
      </c>
      <c r="M88" s="2"/>
      <c r="N88" s="14">
        <f t="shared" si="21"/>
        <v>-10.269999999999982</v>
      </c>
      <c r="O88" s="15">
        <f>IFERROR(N88/N444, "NA")</f>
        <v>-2.2258247688566528E-3</v>
      </c>
      <c r="P88" s="2"/>
      <c r="Q88" s="14">
        <f>IFERROR(Q75+Q76+Q77+Q78+Q79+Q80+Q81+Q82+Q83+Q84+Q85+Q86+Q87, "NA")</f>
        <v>3338.6</v>
      </c>
      <c r="R88" s="15">
        <f>IFERROR(Q88/Q444, "NA")</f>
        <v>1.3614009911485283E-2</v>
      </c>
      <c r="S88" s="2"/>
      <c r="T88" s="14">
        <f>IFERROR(T75+T76+T77+T78+T79+T80+T81+T82+T83+T84+T85+T86+T87, "NA")</f>
        <v>1799.89</v>
      </c>
      <c r="U88" s="15">
        <f>IFERROR(T88/T444, "NA")</f>
        <v>8.0000437362451968E-3</v>
      </c>
      <c r="V88" s="2"/>
      <c r="W88" s="14">
        <f t="shared" si="22"/>
        <v>1538.7099999999998</v>
      </c>
      <c r="X88" s="15">
        <f>IFERROR(W88/W444, "NA")</f>
        <v>7.5994498126943033E-2</v>
      </c>
      <c r="Y88" s="2"/>
      <c r="Z88" s="14">
        <f>IFERROR(Z75+Z76+Z77+Z78+Z79+Z80+Z81+Z82+Z83+Z84+Z85+Z86+Z87, "NA")</f>
        <v>1517.45</v>
      </c>
      <c r="AA88" s="15">
        <f>IFERROR(Z88/Z444, "NA")</f>
        <v>7.2465934396756023E-3</v>
      </c>
      <c r="AB88" s="2"/>
      <c r="AC88" s="14">
        <f t="shared" si="23"/>
        <v>1821.1499999999999</v>
      </c>
      <c r="AD88" s="15">
        <f>IFERROR(AC88/AC444, "NA")</f>
        <v>5.0826341449528217E-2</v>
      </c>
    </row>
    <row r="89" spans="1:30" ht="16.5" customHeight="1" x14ac:dyDescent="0.45">
      <c r="A89" s="6" t="s">
        <v>85</v>
      </c>
      <c r="B89" s="7">
        <v>-38.75</v>
      </c>
      <c r="C89" s="8">
        <f>IFERROR(B89/B444, "NA")</f>
        <v>-3.7195396102651998E-4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-38.75</v>
      </c>
      <c r="I89" s="8">
        <f>IFERROR(H89/H444, "NA")</f>
        <v>5.2837258516684324E-3</v>
      </c>
      <c r="J89" s="9"/>
      <c r="K89" s="7">
        <v>-163.11000000000001</v>
      </c>
      <c r="L89" s="8">
        <f>IFERROR(K89/K444, "NA")</f>
        <v>-1.6382173993130557E-3</v>
      </c>
      <c r="M89" s="9"/>
      <c r="N89" s="10">
        <f t="shared" si="21"/>
        <v>124.36000000000001</v>
      </c>
      <c r="O89" s="8">
        <f>IFERROR(N89/N444, "NA")</f>
        <v>2.6952635662610892E-2</v>
      </c>
      <c r="P89" s="9"/>
      <c r="Q89" s="7">
        <v>-140.97</v>
      </c>
      <c r="R89" s="8">
        <f>IFERROR(Q89/Q444, "NA")</f>
        <v>-5.748418430545979E-4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-140.97</v>
      </c>
      <c r="X89" s="8">
        <f>IFERROR(W89/W444, "NA")</f>
        <v>-6.9622894508745382E-3</v>
      </c>
      <c r="Y89" s="9"/>
      <c r="Z89" s="7">
        <v>-371.75</v>
      </c>
      <c r="AA89" s="8">
        <f>IFERROR(Z89/Z444, "NA")</f>
        <v>-1.7752948111630729E-3</v>
      </c>
      <c r="AB89" s="9"/>
      <c r="AC89" s="10">
        <f t="shared" si="23"/>
        <v>230.78</v>
      </c>
      <c r="AD89" s="8">
        <f>IFERROR(AC89/AC444, "NA")</f>
        <v>6.440822051847526E-3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-4460.54</v>
      </c>
      <c r="F94" s="8">
        <f>IFERROR(E94/E444, "NA")</f>
        <v>-4.0000035870128611E-2</v>
      </c>
      <c r="G94" s="9"/>
      <c r="H94" s="10">
        <f t="shared" ref="H94:H124" si="24">IFERROR(B94-E94, "NA")</f>
        <v>4460.54</v>
      </c>
      <c r="I94" s="8">
        <f>IFERROR(H94/H444, "NA")</f>
        <v>-0.6082134325264803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-8999.41</v>
      </c>
      <c r="U94" s="8">
        <f>IFERROR(T94/T444, "NA")</f>
        <v>-4.0000040891611362E-2</v>
      </c>
      <c r="V94" s="9"/>
      <c r="W94" s="10">
        <f t="shared" ref="W94:W124" si="26">IFERROR(Q94-T94, "NA")</f>
        <v>8999.41</v>
      </c>
      <c r="X94" s="8">
        <f>IFERROR(W94/W444, "NA")</f>
        <v>0.44446688875005197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-1525.34</v>
      </c>
      <c r="C96" s="8">
        <f>IFERROR(B96/B444, "NA")</f>
        <v>-1.464145173966947E-2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-1525.34</v>
      </c>
      <c r="I96" s="8">
        <f>IFERROR(H96/H444, "NA")</f>
        <v>0.20798653911184328</v>
      </c>
      <c r="J96" s="9"/>
      <c r="K96" s="7">
        <v>-1621.23</v>
      </c>
      <c r="L96" s="8">
        <f>IFERROR(K96/K444, "NA")</f>
        <v>-1.6283043309964471E-2</v>
      </c>
      <c r="M96" s="9"/>
      <c r="N96" s="10">
        <f t="shared" si="25"/>
        <v>95.8900000000001</v>
      </c>
      <c r="O96" s="8">
        <f>IFERROR(N96/N444, "NA")</f>
        <v>2.0782311303375368E-2</v>
      </c>
      <c r="P96" s="9"/>
      <c r="Q96" s="7">
        <v>-4013.14</v>
      </c>
      <c r="R96" s="8">
        <f>IFERROR(Q96/Q444, "NA")</f>
        <v>-1.6364622217749369E-2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-4013.14</v>
      </c>
      <c r="X96" s="8">
        <f>IFERROR(W96/W444, "NA")</f>
        <v>-0.19820275439371954</v>
      </c>
      <c r="Y96" s="9"/>
      <c r="Z96" s="7">
        <v>-3945.39</v>
      </c>
      <c r="AA96" s="8">
        <f>IFERROR(Z96/Z444, "NA")</f>
        <v>-1.8841238453301077E-2</v>
      </c>
      <c r="AB96" s="9"/>
      <c r="AC96" s="10">
        <f t="shared" si="27"/>
        <v>-67.75</v>
      </c>
      <c r="AD96" s="8">
        <f>IFERROR(AC96/AC444, "NA")</f>
        <v>-1.8908297686656985E-3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-2309.2199999999998</v>
      </c>
      <c r="C98" s="8">
        <f>IFERROR(B98/B444, "NA")</f>
        <v>-2.2165768409849303E-2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-2309.2199999999998</v>
      </c>
      <c r="I98" s="8">
        <f>IFERROR(H98/H444, "NA")</f>
        <v>0.31487188157909102</v>
      </c>
      <c r="J98" s="9"/>
      <c r="K98" s="7">
        <v>-1869.75</v>
      </c>
      <c r="L98" s="8">
        <f>IFERROR(K98/K444, "NA")</f>
        <v>-1.8779087624091629E-2</v>
      </c>
      <c r="M98" s="9"/>
      <c r="N98" s="10">
        <f t="shared" si="25"/>
        <v>-439.4699999999998</v>
      </c>
      <c r="O98" s="8">
        <f>IFERROR(N98/N444, "NA")</f>
        <v>-9.5246661262846588E-2</v>
      </c>
      <c r="P98" s="9"/>
      <c r="Q98" s="7">
        <v>-5377.88</v>
      </c>
      <c r="R98" s="8">
        <f>IFERROR(Q98/Q444, "NA")</f>
        <v>-2.1929704553638796E-2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-5377.88</v>
      </c>
      <c r="X98" s="8">
        <f>IFERROR(W98/W444, "NA")</f>
        <v>-0.26560514430069632</v>
      </c>
      <c r="Y98" s="9"/>
      <c r="Z98" s="7">
        <v>-4493.3</v>
      </c>
      <c r="AA98" s="8">
        <f>IFERROR(Z98/Z444, "NA")</f>
        <v>-2.1457786617347777E-2</v>
      </c>
      <c r="AB98" s="9"/>
      <c r="AC98" s="10">
        <f t="shared" si="27"/>
        <v>-884.57999999999993</v>
      </c>
      <c r="AD98" s="8">
        <f>IFERROR(AC98/AC444, "NA")</f>
        <v>-2.4687678181052448E-2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-12.85</v>
      </c>
      <c r="C100" s="8">
        <f>IFERROR(B100/B444, "NA")</f>
        <v>-1.2334473288234276E-4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-12.85</v>
      </c>
      <c r="I100" s="8">
        <f>IFERROR(H100/H444, "NA")</f>
        <v>1.7521516695210156E-3</v>
      </c>
      <c r="J100" s="9"/>
      <c r="K100" s="7">
        <v>-82.89</v>
      </c>
      <c r="L100" s="8">
        <f>IFERROR(K100/K444, "NA")</f>
        <v>-8.325169531546759E-4</v>
      </c>
      <c r="M100" s="9"/>
      <c r="N100" s="10">
        <f t="shared" si="25"/>
        <v>70.040000000000006</v>
      </c>
      <c r="O100" s="8">
        <f>IFERROR(N100/N444, "NA")</f>
        <v>1.5179821500556986E-2</v>
      </c>
      <c r="P100" s="9"/>
      <c r="Q100" s="7">
        <v>-752.17</v>
      </c>
      <c r="R100" s="8">
        <f>IFERROR(Q100/Q444, "NA")</f>
        <v>-3.0671688237949696E-3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-752.17</v>
      </c>
      <c r="X100" s="8">
        <f>IFERROR(W100/W444, "NA")</f>
        <v>-3.714850859235512E-2</v>
      </c>
      <c r="Y100" s="9"/>
      <c r="Z100" s="7">
        <v>-113.43</v>
      </c>
      <c r="AA100" s="8">
        <f>IFERROR(Z100/Z444, "NA")</f>
        <v>-5.4168578461392697E-4</v>
      </c>
      <c r="AB100" s="9"/>
      <c r="AC100" s="10">
        <f t="shared" si="27"/>
        <v>-638.74</v>
      </c>
      <c r="AD100" s="8">
        <f>IFERROR(AC100/AC444, "NA")</f>
        <v>-1.7826547696494881E-2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-878.1</v>
      </c>
      <c r="C102" s="8">
        <f>IFERROR(B102/B444, "NA")</f>
        <v>-8.4287167271583797E-3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-878.1</v>
      </c>
      <c r="I102" s="8">
        <f>IFERROR(H102/H444, "NA")</f>
        <v>0.11973263665419485</v>
      </c>
      <c r="J102" s="9"/>
      <c r="K102" s="7">
        <v>-134.47999999999999</v>
      </c>
      <c r="L102" s="8">
        <f>IFERROR(K102/K444, "NA")</f>
        <v>-1.3506681126823597E-3</v>
      </c>
      <c r="M102" s="9"/>
      <c r="N102" s="10">
        <f t="shared" si="25"/>
        <v>-743.62</v>
      </c>
      <c r="O102" s="8">
        <f>IFERROR(N102/N444, "NA")</f>
        <v>-0.16116531787898608</v>
      </c>
      <c r="P102" s="9"/>
      <c r="Q102" s="7">
        <v>-2619.1799999999998</v>
      </c>
      <c r="R102" s="8">
        <f>IFERROR(Q102/Q444, "NA")</f>
        <v>-1.0680387731373637E-2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-2619.1799999999998</v>
      </c>
      <c r="X102" s="8">
        <f>IFERROR(W102/W444, "NA")</f>
        <v>-0.12935723404938335</v>
      </c>
      <c r="Y102" s="9"/>
      <c r="Z102" s="7">
        <v>-268.33999999999997</v>
      </c>
      <c r="AA102" s="8">
        <f>IFERROR(Z102/Z444, "NA")</f>
        <v>-1.2814596089509051E-3</v>
      </c>
      <c r="AB102" s="9"/>
      <c r="AC102" s="10">
        <f t="shared" si="27"/>
        <v>-2350.8399999999997</v>
      </c>
      <c r="AD102" s="8">
        <f>IFERROR(AC102/AC444, "NA")</f>
        <v>-6.5609420713949373E-2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-542.19000000000005</v>
      </c>
      <c r="C104" s="8">
        <f>IFERROR(B104/B444, "NA")</f>
        <v>-5.2043798226830678E-3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-542.19000000000005</v>
      </c>
      <c r="I104" s="8">
        <f>IFERROR(H104/H444, "NA")</f>
        <v>7.3929892116544715E-2</v>
      </c>
      <c r="J104" s="9"/>
      <c r="K104" s="7">
        <v>-345.95</v>
      </c>
      <c r="L104" s="8">
        <f>IFERROR(K104/K444, "NA")</f>
        <v>-3.4745957286024865E-3</v>
      </c>
      <c r="M104" s="9"/>
      <c r="N104" s="10">
        <f t="shared" si="25"/>
        <v>-196.24000000000007</v>
      </c>
      <c r="O104" s="8">
        <f>IFERROR(N104/N444, "NA")</f>
        <v>-4.2531241737140256E-2</v>
      </c>
      <c r="P104" s="9"/>
      <c r="Q104" s="7">
        <v>-1370.25</v>
      </c>
      <c r="R104" s="8">
        <f>IFERROR(Q104/Q444, "NA")</f>
        <v>-5.5875507941091206E-3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-1370.25</v>
      </c>
      <c r="X104" s="8">
        <f>IFERROR(W104/W444, "NA")</f>
        <v>-6.7674520252967552E-2</v>
      </c>
      <c r="Y104" s="9"/>
      <c r="Z104" s="7">
        <v>-863.55</v>
      </c>
      <c r="AA104" s="8">
        <f>IFERROR(Z104/Z444, "NA")</f>
        <v>-4.1238892647743686E-3</v>
      </c>
      <c r="AB104" s="9"/>
      <c r="AC104" s="10">
        <f t="shared" si="27"/>
        <v>-506.70000000000005</v>
      </c>
      <c r="AD104" s="8">
        <f>IFERROR(AC104/AC444, "NA")</f>
        <v>-1.4141453044766192E-2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-3050.44</v>
      </c>
      <c r="L106" s="8">
        <f>IFERROR(K106/K444, "NA")</f>
        <v>-3.0637507716023037E-2</v>
      </c>
      <c r="M106" s="9"/>
      <c r="N106" s="10">
        <f t="shared" si="25"/>
        <v>3050.44</v>
      </c>
      <c r="O106" s="8">
        <f>IFERROR(N106/N444, "NA")</f>
        <v>0.66112413903710809</v>
      </c>
      <c r="P106" s="9"/>
      <c r="Q106" s="7">
        <v>-235.87</v>
      </c>
      <c r="R106" s="8">
        <f>IFERROR(Q106/Q444, "NA")</f>
        <v>-9.6182127772780025E-4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-235.87</v>
      </c>
      <c r="X106" s="8">
        <f>IFERROR(W106/W444, "NA")</f>
        <v>-1.1649253123201938E-2</v>
      </c>
      <c r="Y106" s="9"/>
      <c r="Z106" s="7">
        <v>-5623.68</v>
      </c>
      <c r="AA106" s="8">
        <f>IFERROR(Z106/Z444, "NA")</f>
        <v>-2.6855924475162208E-2</v>
      </c>
      <c r="AB106" s="9"/>
      <c r="AC106" s="10">
        <f t="shared" si="27"/>
        <v>5387.81</v>
      </c>
      <c r="AD106" s="8">
        <f>IFERROR(AC106/AC444, "NA")</f>
        <v>0.15036799315003302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-49.75</v>
      </c>
      <c r="L108" s="8">
        <f>IFERROR(K108/K444, "NA")</f>
        <v>-4.9967087006207167E-4</v>
      </c>
      <c r="M108" s="9"/>
      <c r="N108" s="10">
        <f t="shared" si="25"/>
        <v>49.75</v>
      </c>
      <c r="O108" s="8">
        <f>IFERROR(N108/N444, "NA")</f>
        <v>1.0782354649524701E-2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-49.75</v>
      </c>
      <c r="AA108" s="8">
        <f>IFERROR(Z108/Z444, "NA")</f>
        <v>-2.3758148447979255E-4</v>
      </c>
      <c r="AB108" s="9"/>
      <c r="AC108" s="10">
        <f t="shared" si="27"/>
        <v>49.75</v>
      </c>
      <c r="AD108" s="8">
        <f>IFERROR(AC108/AC444, "NA")</f>
        <v>1.3884690921198302E-3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-5267.6999999999989</v>
      </c>
      <c r="C118" s="15">
        <f>IFERROR(B118/B444, "NA")</f>
        <v>-5.056366143224255E-2</v>
      </c>
      <c r="D118" s="2"/>
      <c r="E118" s="14">
        <f>IFERROR(E94+E95+E96+E97+E98+E99+E100+E101+E102+E103+E104+E105+E106+E107+E108+E109+E110+E111+E112+E113+E114+E115+E116+E117, "NA")</f>
        <v>-4460.54</v>
      </c>
      <c r="F118" s="15">
        <f>IFERROR(E118/E444, "NA")</f>
        <v>-4.0000035870128611E-2</v>
      </c>
      <c r="G118" s="2"/>
      <c r="H118" s="14">
        <f t="shared" si="24"/>
        <v>-807.15999999999894</v>
      </c>
      <c r="I118" s="15">
        <f>IFERROR(H118/H444, "NA")</f>
        <v>0.11005966860471449</v>
      </c>
      <c r="J118" s="2"/>
      <c r="K118" s="14">
        <f>IFERROR(K94+K95+K96+K97+K98+K99+K100+K101+K102+K103+K104+K105+K106+K107+K108+K109+K110+K111+K112+K113+K114+K115+K116+K117, "NA")</f>
        <v>-7154.49</v>
      </c>
      <c r="L118" s="15">
        <f>IFERROR(K118/K444, "NA")</f>
        <v>-7.1857090314580735E-2</v>
      </c>
      <c r="M118" s="2"/>
      <c r="N118" s="14">
        <f t="shared" si="25"/>
        <v>1886.7900000000009</v>
      </c>
      <c r="O118" s="15">
        <f>IFERROR(N118/N444, "NA")</f>
        <v>0.4089254056115923</v>
      </c>
      <c r="P118" s="2"/>
      <c r="Q118" s="14">
        <f>IFERROR(Q94+Q95+Q96+Q97+Q98+Q99+Q100+Q101+Q102+Q103+Q104+Q105+Q106+Q107+Q108+Q109+Q110+Q111+Q112+Q113+Q114+Q115+Q116+Q117, "NA")</f>
        <v>-14368.490000000002</v>
      </c>
      <c r="R118" s="15">
        <f>IFERROR(Q118/Q444, "NA")</f>
        <v>-5.8591255398393702E-2</v>
      </c>
      <c r="S118" s="2"/>
      <c r="T118" s="14">
        <f>IFERROR(T94+T95+T96+T97+T98+T99+T100+T101+T102+T103+T104+T105+T106+T107+T108+T109+T110+T111+T112+T113+T114+T115+T116+T117, "NA")</f>
        <v>-8999.41</v>
      </c>
      <c r="U118" s="15">
        <f>IFERROR(T118/T444, "NA")</f>
        <v>-4.0000040891611362E-2</v>
      </c>
      <c r="V118" s="2"/>
      <c r="W118" s="14">
        <f t="shared" si="26"/>
        <v>-5369.0800000000017</v>
      </c>
      <c r="X118" s="15">
        <f>IFERROR(W118/W444, "NA")</f>
        <v>-0.26517052596227192</v>
      </c>
      <c r="Y118" s="2"/>
      <c r="Z118" s="14">
        <f>IFERROR(Z94+Z95+Z96+Z97+Z98+Z99+Z100+Z101+Z102+Z103+Z104+Z105+Z106+Z107+Z108+Z109+Z110+Z111+Z112+Z113+Z114+Z115+Z116+Z117, "NA")</f>
        <v>-15357.44</v>
      </c>
      <c r="AA118" s="15">
        <f>IFERROR(Z118/Z444, "NA")</f>
        <v>-7.3339565688630051E-2</v>
      </c>
      <c r="AB118" s="2"/>
      <c r="AC118" s="14">
        <f t="shared" si="27"/>
        <v>988.94999999999891</v>
      </c>
      <c r="AD118" s="15">
        <f>IFERROR(AC118/AC444, "NA")</f>
        <v>2.7600532837224214E-2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104179.56000000003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111513.40000000001</v>
      </c>
      <c r="F122" s="15">
        <f>IFERROR(E122/E444, "NA")</f>
        <v>1.0000000000000002</v>
      </c>
      <c r="G122" s="2"/>
      <c r="H122" s="14">
        <f t="shared" si="24"/>
        <v>-7333.839999999982</v>
      </c>
      <c r="I122" s="15">
        <f>IFERROR(H122/H444, "NA")</f>
        <v>0.999999999999998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99565.540000000008</v>
      </c>
      <c r="L122" s="15">
        <f>IFERROR(K122/K444, "NA")</f>
        <v>1.0000000000000002</v>
      </c>
      <c r="M122" s="2"/>
      <c r="N122" s="14">
        <f t="shared" si="25"/>
        <v>4614.0200000000186</v>
      </c>
      <c r="O122" s="15">
        <f>IFERROR(N122/N444, "NA")</f>
        <v>1.0000000000000031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245232.67000000004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224985.02</v>
      </c>
      <c r="U122" s="15">
        <f>IFERROR(T122/T444, "NA")</f>
        <v>1</v>
      </c>
      <c r="V122" s="2"/>
      <c r="W122" s="14">
        <f t="shared" si="26"/>
        <v>20247.650000000052</v>
      </c>
      <c r="X122" s="15">
        <f>IFERROR(W122/W444, "NA")</f>
        <v>1.0000000000000013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209401.84000000003</v>
      </c>
      <c r="AA122" s="15">
        <f>IFERROR(Z122/Z444, "NA")</f>
        <v>1.0000000000000002</v>
      </c>
      <c r="AB122" s="2"/>
      <c r="AC122" s="14">
        <f t="shared" si="27"/>
        <v>35830.830000000016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104179.56000000003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111513.40000000001</v>
      </c>
      <c r="F124" s="15">
        <f>IFERROR(E124/E444, "NA")</f>
        <v>1.0000000000000002</v>
      </c>
      <c r="G124" s="2"/>
      <c r="H124" s="14">
        <f t="shared" si="24"/>
        <v>-7333.839999999982</v>
      </c>
      <c r="I124" s="15">
        <f>IFERROR(H124/H444, "NA")</f>
        <v>0.999999999999998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99565.540000000008</v>
      </c>
      <c r="L124" s="15">
        <f>IFERROR(K124/K444, "NA")</f>
        <v>1.0000000000000002</v>
      </c>
      <c r="M124" s="2"/>
      <c r="N124" s="14">
        <f t="shared" si="25"/>
        <v>4614.0200000000186</v>
      </c>
      <c r="O124" s="15">
        <f>IFERROR(N124/N444, "NA")</f>
        <v>1.0000000000000031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245232.67000000004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224985.02</v>
      </c>
      <c r="U124" s="15">
        <f>IFERROR(T124/T444, "NA")</f>
        <v>1</v>
      </c>
      <c r="V124" s="2"/>
      <c r="W124" s="14">
        <f t="shared" si="26"/>
        <v>20247.650000000052</v>
      </c>
      <c r="X124" s="15">
        <f>IFERROR(W124/W444, "NA")</f>
        <v>1.0000000000000013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209401.84000000003</v>
      </c>
      <c r="AA124" s="15">
        <f>IFERROR(Z124/Z444, "NA")</f>
        <v>1.0000000000000002</v>
      </c>
      <c r="AB124" s="2"/>
      <c r="AC124" s="14">
        <f t="shared" si="27"/>
        <v>35830.830000000016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28770.46</v>
      </c>
      <c r="F129" s="8">
        <f>IFERROR(E129/E444, "NA")</f>
        <v>0.25800002510909004</v>
      </c>
      <c r="G129" s="9"/>
      <c r="H129" s="10">
        <f t="shared" ref="H129:H141" si="28">IFERROR(-(B129-E129), "NA")</f>
        <v>28770.46</v>
      </c>
      <c r="I129" s="8">
        <f>IFERROR(H129/H444, "NA")</f>
        <v>-3.9229735036488407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58886.59</v>
      </c>
      <c r="U129" s="8">
        <f>IFERROR(T129/T444, "NA")</f>
        <v>0.26173560355262765</v>
      </c>
      <c r="V129" s="9"/>
      <c r="W129" s="10">
        <f t="shared" ref="W129:W141" si="30">IFERROR(-(Q129-T129), "NA")</f>
        <v>58886.59</v>
      </c>
      <c r="X129" s="8">
        <f>IFERROR(W129/W444, "NA")</f>
        <v>2.9083172615093567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6018.33</v>
      </c>
      <c r="C130" s="8">
        <f>IFERROR(B130/B444, "NA")</f>
        <v>5.7768817606831897E-2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-6018.33</v>
      </c>
      <c r="I130" s="8">
        <f>IFERROR(H130/H444, "NA")</f>
        <v>0.82062466593217231</v>
      </c>
      <c r="J130" s="9"/>
      <c r="K130" s="7">
        <v>6009.44</v>
      </c>
      <c r="L130" s="8">
        <f>IFERROR(K130/K444, "NA")</f>
        <v>6.0356625394689771E-2</v>
      </c>
      <c r="M130" s="9"/>
      <c r="N130" s="10">
        <f t="shared" si="29"/>
        <v>-8.8900000000003274</v>
      </c>
      <c r="O130" s="8">
        <f>IFERROR(N130/N444, "NA")</f>
        <v>-1.9267363383774494E-3</v>
      </c>
      <c r="P130" s="9"/>
      <c r="Q130" s="7">
        <v>13876</v>
      </c>
      <c r="R130" s="8">
        <f>IFERROR(Q130/Q444, "NA")</f>
        <v>5.6582999320604385E-2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-13876</v>
      </c>
      <c r="X130" s="8">
        <f>IFERROR(W130/W444, "NA")</f>
        <v>-0.68531409817929412</v>
      </c>
      <c r="Y130" s="9"/>
      <c r="Z130" s="7">
        <v>13371.93</v>
      </c>
      <c r="AA130" s="8">
        <f>IFERROR(Z130/Z444, "NA")</f>
        <v>6.3857748336881862E-2</v>
      </c>
      <c r="AB130" s="9"/>
      <c r="AC130" s="10">
        <f t="shared" si="31"/>
        <v>-504.06999999999971</v>
      </c>
      <c r="AD130" s="8">
        <f>IFERROR(AC130/AC444, "NA")</f>
        <v>-1.4068052568137536E-2</v>
      </c>
    </row>
    <row r="131" spans="1:30" ht="16.5" customHeight="1" x14ac:dyDescent="0.45">
      <c r="A131" s="12" t="s">
        <v>123</v>
      </c>
      <c r="B131" s="7">
        <v>3368.59</v>
      </c>
      <c r="C131" s="8">
        <f>IFERROR(B131/B444, "NA")</f>
        <v>3.2334461769659997E-2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-3368.59</v>
      </c>
      <c r="I131" s="8">
        <f>IFERROR(H131/H444, "NA")</f>
        <v>0.45932144688185206</v>
      </c>
      <c r="J131" s="9"/>
      <c r="K131" s="7">
        <v>3056.28</v>
      </c>
      <c r="L131" s="8">
        <f>IFERROR(K131/K444, "NA")</f>
        <v>3.06961625478052E-2</v>
      </c>
      <c r="M131" s="9"/>
      <c r="N131" s="10">
        <f t="shared" si="29"/>
        <v>-312.30999999999995</v>
      </c>
      <c r="O131" s="8">
        <f>IFERROR(N131/N444, "NA")</f>
        <v>-6.768717950940821E-2</v>
      </c>
      <c r="P131" s="9"/>
      <c r="Q131" s="7">
        <v>7636.23</v>
      </c>
      <c r="R131" s="8">
        <f>IFERROR(Q131/Q444, "NA")</f>
        <v>3.1138714103630644E-2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-7636.23</v>
      </c>
      <c r="X131" s="8">
        <f>IFERROR(W131/W444, "NA")</f>
        <v>-0.3771415448212504</v>
      </c>
      <c r="Y131" s="9"/>
      <c r="Z131" s="7">
        <v>6459.78</v>
      </c>
      <c r="AA131" s="8">
        <f>IFERROR(Z131/Z444, "NA")</f>
        <v>3.0848726066590434E-2</v>
      </c>
      <c r="AB131" s="9"/>
      <c r="AC131" s="10">
        <f t="shared" si="31"/>
        <v>-1176.4499999999998</v>
      </c>
      <c r="AD131" s="8">
        <f>IFERROR(AC131/AC444, "NA")</f>
        <v>-3.28334565512437E-2</v>
      </c>
    </row>
    <row r="132" spans="1:30" ht="16.5" customHeight="1" x14ac:dyDescent="0.45">
      <c r="A132" s="12" t="s">
        <v>124</v>
      </c>
      <c r="B132" s="7">
        <v>3977.58</v>
      </c>
      <c r="C132" s="8">
        <f>IFERROR(B132/B444, "NA")</f>
        <v>3.81800422270933E-2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-3977.58</v>
      </c>
      <c r="I132" s="8">
        <f>IFERROR(H132/H444, "NA")</f>
        <v>0.54235980059559541</v>
      </c>
      <c r="J132" s="9"/>
      <c r="K132" s="7">
        <v>3326.69</v>
      </c>
      <c r="L132" s="8">
        <f>IFERROR(K132/K444, "NA")</f>
        <v>3.3412062044759668E-2</v>
      </c>
      <c r="M132" s="9"/>
      <c r="N132" s="10">
        <f t="shared" si="29"/>
        <v>-650.88999999999987</v>
      </c>
      <c r="O132" s="8">
        <f>IFERROR(N132/N444, "NA")</f>
        <v>-0.14106787573525892</v>
      </c>
      <c r="P132" s="9"/>
      <c r="Q132" s="7">
        <v>9674.77</v>
      </c>
      <c r="R132" s="8">
        <f>IFERROR(Q132/Q444, "NA")</f>
        <v>3.9451391203300927E-2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-9674.77</v>
      </c>
      <c r="X132" s="8">
        <f>IFERROR(W132/W444, "NA")</f>
        <v>-0.47782187068622728</v>
      </c>
      <c r="Y132" s="9"/>
      <c r="Z132" s="7">
        <v>7288.51</v>
      </c>
      <c r="AA132" s="8">
        <f>IFERROR(Z132/Z444, "NA")</f>
        <v>3.4806332169765079E-2</v>
      </c>
      <c r="AB132" s="9"/>
      <c r="AC132" s="10">
        <f t="shared" si="31"/>
        <v>-2386.2600000000002</v>
      </c>
      <c r="AD132" s="8">
        <f>IFERROR(AC132/AC444, "NA")</f>
        <v>-6.6597954889685756E-2</v>
      </c>
    </row>
    <row r="133" spans="1:30" ht="16.5" customHeight="1" x14ac:dyDescent="0.45">
      <c r="A133" s="12" t="s">
        <v>125</v>
      </c>
      <c r="B133" s="7">
        <v>2337.1999999999998</v>
      </c>
      <c r="C133" s="8">
        <f>IFERROR(B133/B444, "NA")</f>
        <v>2.2434343166740194E-2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-2337.1999999999998</v>
      </c>
      <c r="I133" s="8">
        <f>IFERROR(H133/H444, "NA")</f>
        <v>0.31868707252953443</v>
      </c>
      <c r="J133" s="9"/>
      <c r="K133" s="7">
        <v>2168.2399999999998</v>
      </c>
      <c r="L133" s="8">
        <f>IFERROR(K133/K444, "NA")</f>
        <v>2.1777012408108268E-2</v>
      </c>
      <c r="M133" s="9"/>
      <c r="N133" s="10">
        <f t="shared" si="29"/>
        <v>-168.96000000000004</v>
      </c>
      <c r="O133" s="8">
        <f>IFERROR(N133/N444, "NA")</f>
        <v>-3.6618826966506403E-2</v>
      </c>
      <c r="P133" s="9"/>
      <c r="Q133" s="7">
        <v>4997.7</v>
      </c>
      <c r="R133" s="8">
        <f>IFERROR(Q133/Q444, "NA")</f>
        <v>2.0379421714080751E-2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-4997.7</v>
      </c>
      <c r="X133" s="8">
        <f>IFERROR(W133/W444, "NA")</f>
        <v>-0.24682864431180873</v>
      </c>
      <c r="Y133" s="9"/>
      <c r="Z133" s="7">
        <v>4308.8599999999997</v>
      </c>
      <c r="AA133" s="8">
        <f>IFERROR(Z133/Z444, "NA")</f>
        <v>2.057699206463515E-2</v>
      </c>
      <c r="AB133" s="9"/>
      <c r="AC133" s="10">
        <f t="shared" si="31"/>
        <v>-688.84000000000015</v>
      </c>
      <c r="AD133" s="8">
        <f>IFERROR(AC133/AC444, "NA")</f>
        <v>-1.9224784912880887E-2</v>
      </c>
    </row>
    <row r="134" spans="1:30" ht="16.5" customHeight="1" x14ac:dyDescent="0.45">
      <c r="A134" s="12" t="s">
        <v>126</v>
      </c>
      <c r="B134" s="7">
        <v>1160.24</v>
      </c>
      <c r="C134" s="8">
        <f>IFERROR(B134/B444, "NA")</f>
        <v>1.1136925515907344E-2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-1160.24</v>
      </c>
      <c r="I134" s="8">
        <f>IFERROR(H134/H444, "NA")</f>
        <v>0.15820361502296212</v>
      </c>
      <c r="J134" s="9"/>
      <c r="K134" s="7">
        <v>1349.85</v>
      </c>
      <c r="L134" s="8">
        <f>IFERROR(K134/K444, "NA")</f>
        <v>1.3557401486498239E-2</v>
      </c>
      <c r="M134" s="9"/>
      <c r="N134" s="10">
        <f t="shared" si="29"/>
        <v>189.6099999999999</v>
      </c>
      <c r="O134" s="8">
        <f>IFERROR(N134/N444, "NA")</f>
        <v>4.1094316886359339E-2</v>
      </c>
      <c r="P134" s="9"/>
      <c r="Q134" s="7">
        <v>2203.96</v>
      </c>
      <c r="R134" s="8">
        <f>IFERROR(Q134/Q444, "NA")</f>
        <v>8.9872201774747213E-3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-2203.96</v>
      </c>
      <c r="X134" s="8">
        <f>IFERROR(W134/W444, "NA")</f>
        <v>-0.10885016285840567</v>
      </c>
      <c r="Y134" s="9"/>
      <c r="Z134" s="7">
        <v>2633.25</v>
      </c>
      <c r="AA134" s="8">
        <f>IFERROR(Z134/Z444, "NA")</f>
        <v>1.257510440213897E-2</v>
      </c>
      <c r="AB134" s="9"/>
      <c r="AC134" s="10">
        <f t="shared" si="31"/>
        <v>429.28999999999996</v>
      </c>
      <c r="AD134" s="8">
        <f>IFERROR(AC134/AC444, "NA")</f>
        <v>1.1981023046354209E-2</v>
      </c>
    </row>
    <row r="135" spans="1:30" ht="16.5" customHeight="1" x14ac:dyDescent="0.45">
      <c r="A135" s="12" t="s">
        <v>127</v>
      </c>
      <c r="B135" s="7">
        <v>998.58</v>
      </c>
      <c r="C135" s="8">
        <f>IFERROR(B135/B444, "NA")</f>
        <v>9.5851815845641904E-3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-998.58</v>
      </c>
      <c r="I135" s="8">
        <f>IFERROR(H135/H444, "NA")</f>
        <v>0.13616059254087906</v>
      </c>
      <c r="J135" s="9"/>
      <c r="K135" s="7">
        <v>971.07</v>
      </c>
      <c r="L135" s="8">
        <f>IFERROR(K135/K444, "NA")</f>
        <v>9.7530732018326835E-3</v>
      </c>
      <c r="M135" s="9"/>
      <c r="N135" s="10">
        <f t="shared" si="29"/>
        <v>-27.509999999999991</v>
      </c>
      <c r="O135" s="8">
        <f>IFERROR(N135/N444, "NA")</f>
        <v>-5.9622628423803897E-3</v>
      </c>
      <c r="P135" s="9"/>
      <c r="Q135" s="7">
        <v>1997.96</v>
      </c>
      <c r="R135" s="8">
        <f>IFERROR(Q135/Q444, "NA")</f>
        <v>8.1472015943063383E-3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-1997.96</v>
      </c>
      <c r="X135" s="8">
        <f>IFERROR(W135/W444, "NA")</f>
        <v>-9.8676142663469482E-2</v>
      </c>
      <c r="Y135" s="9"/>
      <c r="Z135" s="7">
        <v>1916.36</v>
      </c>
      <c r="AA135" s="8">
        <f>IFERROR(Z135/Z444, "NA")</f>
        <v>9.1515910270893504E-3</v>
      </c>
      <c r="AB135" s="9"/>
      <c r="AC135" s="10">
        <f t="shared" si="31"/>
        <v>-81.600000000000136</v>
      </c>
      <c r="AD135" s="8">
        <f>IFERROR(AC135/AC444, "NA")</f>
        <v>-2.2773684003412733E-3</v>
      </c>
    </row>
    <row r="136" spans="1:30" ht="16.5" customHeight="1" x14ac:dyDescent="0.45">
      <c r="A136" s="12" t="s">
        <v>128</v>
      </c>
      <c r="B136" s="7">
        <v>1349.8</v>
      </c>
      <c r="C136" s="8">
        <f>IFERROR(B136/B444, "NA")</f>
        <v>1.2956476299189591E-2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-1349.8</v>
      </c>
      <c r="I136" s="8">
        <f>IFERROR(H136/H444, "NA")</f>
        <v>0.18405092011824645</v>
      </c>
      <c r="J136" s="9"/>
      <c r="K136" s="7">
        <v>1438.33</v>
      </c>
      <c r="L136" s="8">
        <f>IFERROR(K136/K444, "NA")</f>
        <v>1.4446062362540292E-2</v>
      </c>
      <c r="M136" s="9"/>
      <c r="N136" s="10">
        <f t="shared" si="29"/>
        <v>88.529999999999973</v>
      </c>
      <c r="O136" s="8">
        <f>IFERROR(N136/N444, "NA")</f>
        <v>1.9187173007485857E-2</v>
      </c>
      <c r="P136" s="9"/>
      <c r="Q136" s="7">
        <v>2789.1</v>
      </c>
      <c r="R136" s="8">
        <f>IFERROR(Q136/Q444, "NA")</f>
        <v>1.1373280729684181E-2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-2789.1</v>
      </c>
      <c r="X136" s="8">
        <f>IFERROR(W136/W444, "NA")</f>
        <v>-0.13774931905677926</v>
      </c>
      <c r="Y136" s="9"/>
      <c r="Z136" s="7">
        <v>3135.43</v>
      </c>
      <c r="AA136" s="8">
        <f>IFERROR(Z136/Z444, "NA")</f>
        <v>1.4973268620753283E-2</v>
      </c>
      <c r="AB136" s="9"/>
      <c r="AC136" s="10">
        <f t="shared" si="31"/>
        <v>346.32999999999993</v>
      </c>
      <c r="AD136" s="8">
        <f>IFERROR(AC136/AC444, "NA")</f>
        <v>9.6656985060072503E-3</v>
      </c>
    </row>
    <row r="137" spans="1:30" ht="16.5" customHeight="1" x14ac:dyDescent="0.45">
      <c r="A137" s="12" t="s">
        <v>129</v>
      </c>
      <c r="B137" s="7">
        <v>588.26</v>
      </c>
      <c r="C137" s="8">
        <f>IFERROR(B137/B444, "NA")</f>
        <v>5.6465970867989844E-3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-588.26</v>
      </c>
      <c r="I137" s="8">
        <f>IFERROR(H137/H444, "NA")</f>
        <v>8.0211730825870256E-2</v>
      </c>
      <c r="J137" s="9"/>
      <c r="K137" s="7">
        <v>608.83000000000004</v>
      </c>
      <c r="L137" s="8">
        <f>IFERROR(K137/K444, "NA")</f>
        <v>6.1148666496460531E-3</v>
      </c>
      <c r="M137" s="9"/>
      <c r="N137" s="10">
        <f t="shared" si="29"/>
        <v>20.57000000000005</v>
      </c>
      <c r="O137" s="8">
        <f>IFERROR(N137/N444, "NA")</f>
        <v>4.4581514601150472E-3</v>
      </c>
      <c r="P137" s="9"/>
      <c r="Q137" s="7">
        <v>1410.66</v>
      </c>
      <c r="R137" s="8">
        <f>IFERROR(Q137/Q444, "NA")</f>
        <v>5.7523330802539486E-3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-1410.66</v>
      </c>
      <c r="X137" s="8">
        <f>IFERROR(W137/W444, "NA")</f>
        <v>-6.9670307418391683E-2</v>
      </c>
      <c r="Y137" s="9"/>
      <c r="Z137" s="7">
        <v>1199.97</v>
      </c>
      <c r="AA137" s="8">
        <f>IFERROR(Z137/Z444, "NA")</f>
        <v>5.7304654056525963E-3</v>
      </c>
      <c r="AB137" s="9"/>
      <c r="AC137" s="10">
        <f t="shared" si="31"/>
        <v>-210.69000000000005</v>
      </c>
      <c r="AD137" s="8">
        <f>IFERROR(AC137/AC444, "NA")</f>
        <v>-5.8801317189693895E-3</v>
      </c>
    </row>
    <row r="138" spans="1:30" ht="16.5" customHeight="1" x14ac:dyDescent="0.45">
      <c r="A138" s="12" t="s">
        <v>130</v>
      </c>
      <c r="B138" s="7">
        <v>5937.04</v>
      </c>
      <c r="C138" s="8">
        <f>IFERROR(B138/B444, "NA")</f>
        <v>5.6988530187687493E-2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-5937.04</v>
      </c>
      <c r="I138" s="8">
        <f>IFERROR(H138/H444, "NA")</f>
        <v>0.80954043175198842</v>
      </c>
      <c r="J138" s="9"/>
      <c r="K138" s="7">
        <v>4743.0200000000004</v>
      </c>
      <c r="L138" s="8">
        <f>IFERROR(K138/K444, "NA")</f>
        <v>4.7637164424558946E-2</v>
      </c>
      <c r="M138" s="9"/>
      <c r="N138" s="10">
        <f t="shared" si="29"/>
        <v>-1194.0199999999995</v>
      </c>
      <c r="O138" s="8">
        <f>IFERROR(N138/N444, "NA")</f>
        <v>-0.2587808462035272</v>
      </c>
      <c r="P138" s="9"/>
      <c r="Q138" s="7">
        <v>12925.83</v>
      </c>
      <c r="R138" s="8">
        <f>IFERROR(Q138/Q444, "NA")</f>
        <v>5.2708433994540775E-2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-12925.83</v>
      </c>
      <c r="X138" s="8">
        <f>IFERROR(W138/W444, "NA")</f>
        <v>-0.6383866769723886</v>
      </c>
      <c r="Y138" s="9"/>
      <c r="Z138" s="7">
        <v>11272.65</v>
      </c>
      <c r="AA138" s="8">
        <f>IFERROR(Z138/Z444, "NA")</f>
        <v>5.3832621528062979E-2</v>
      </c>
      <c r="AB138" s="9"/>
      <c r="AC138" s="10">
        <f t="shared" si="31"/>
        <v>-1653.1800000000003</v>
      </c>
      <c r="AD138" s="8">
        <f>IFERROR(AC138/AC444, "NA")</f>
        <v>-4.6138479069561034E-2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25735.620000000003</v>
      </c>
      <c r="C141" s="15">
        <f>IFERROR(B141/B444, "NA")</f>
        <v>0.24703137544447301</v>
      </c>
      <c r="D141" s="2"/>
      <c r="E141" s="14">
        <f>IFERROR(E129+E130+E131+E132+E133+E134+E135+E136+E137+E138+E139+E140, "NA")</f>
        <v>28770.46</v>
      </c>
      <c r="F141" s="15">
        <f>IFERROR(E141/E444, "NA")</f>
        <v>0.25800002510909004</v>
      </c>
      <c r="G141" s="2"/>
      <c r="H141" s="14">
        <f t="shared" si="28"/>
        <v>3034.8399999999965</v>
      </c>
      <c r="I141" s="15">
        <f>IFERROR(H141/H444, "NA")</f>
        <v>-0.41381322744973958</v>
      </c>
      <c r="J141" s="2"/>
      <c r="K141" s="14">
        <f>IFERROR(K129+K130+K131+K132+K133+K134+K135+K136+K137+K138+K139+K140, "NA")</f>
        <v>23671.750000000004</v>
      </c>
      <c r="L141" s="15">
        <f>IFERROR(K141/K444, "NA")</f>
        <v>0.23775043052043915</v>
      </c>
      <c r="M141" s="2"/>
      <c r="N141" s="14">
        <f t="shared" si="29"/>
        <v>-2063.869999999999</v>
      </c>
      <c r="O141" s="15">
        <f>IFERROR(N141/N444, "NA")</f>
        <v>-0.44730408624149814</v>
      </c>
      <c r="P141" s="2"/>
      <c r="Q141" s="14">
        <f>IFERROR(Q129+Q130+Q131+Q132+Q133+Q134+Q135+Q136+Q137+Q138+Q139+Q140, "NA")</f>
        <v>57512.21</v>
      </c>
      <c r="R141" s="15">
        <f>IFERROR(Q141/Q444, "NA")</f>
        <v>0.23452099591787667</v>
      </c>
      <c r="S141" s="2"/>
      <c r="T141" s="14">
        <f>IFERROR(T129+T130+T131+T132+T133+T134+T135+T136+T137+T138+T139+T140, "NA")</f>
        <v>58886.59</v>
      </c>
      <c r="U141" s="15">
        <f>IFERROR(T141/T444, "NA")</f>
        <v>0.26173560355262765</v>
      </c>
      <c r="V141" s="2"/>
      <c r="W141" s="14">
        <f t="shared" si="30"/>
        <v>1374.3799999999974</v>
      </c>
      <c r="X141" s="15">
        <f>IFERROR(W141/W444, "NA")</f>
        <v>6.7878494541341622E-2</v>
      </c>
      <c r="Y141" s="2"/>
      <c r="Z141" s="14">
        <f>IFERROR(Z129+Z130+Z131+Z132+Z133+Z134+Z135+Z136+Z137+Z138+Z139+Z140, "NA")</f>
        <v>51586.740000000005</v>
      </c>
      <c r="AA141" s="15">
        <f>IFERROR(Z141/Z444, "NA")</f>
        <v>0.24635284962156972</v>
      </c>
      <c r="AB141" s="2"/>
      <c r="AC141" s="14">
        <f t="shared" si="31"/>
        <v>-5925.4699999999939</v>
      </c>
      <c r="AD141" s="15">
        <f>IFERROR(AC141/AC444, "NA")</f>
        <v>-0.16537350655845792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1850.47</v>
      </c>
      <c r="C144" s="8">
        <f>IFERROR(B144/B444, "NA")</f>
        <v>1.776231345189018E-2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-1850.47</v>
      </c>
      <c r="I144" s="8">
        <f>IFERROR(H144/H444, "NA")</f>
        <v>0.25231938520611313</v>
      </c>
      <c r="J144" s="9"/>
      <c r="K144" s="7">
        <v>1366.05</v>
      </c>
      <c r="L144" s="8">
        <f>IFERROR(K144/K444, "NA")</f>
        <v>1.3720108382880262E-2</v>
      </c>
      <c r="M144" s="9"/>
      <c r="N144" s="10">
        <f t="shared" si="33"/>
        <v>-484.42000000000007</v>
      </c>
      <c r="O144" s="8">
        <f>IFERROR(N144/N444, "NA")</f>
        <v>-0.10498870832809559</v>
      </c>
      <c r="P144" s="9"/>
      <c r="Q144" s="7">
        <v>3109.48</v>
      </c>
      <c r="R144" s="8">
        <f>IFERROR(Q144/Q444, "NA")</f>
        <v>1.2679713514516642E-2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-3109.48</v>
      </c>
      <c r="X144" s="8">
        <f>IFERROR(W144/W444, "NA")</f>
        <v>-0.15357238988228247</v>
      </c>
      <c r="Y144" s="9"/>
      <c r="Z144" s="7">
        <v>2914.97</v>
      </c>
      <c r="AA144" s="8">
        <f>IFERROR(Z144/Z444, "NA")</f>
        <v>1.3920460297770066E-2</v>
      </c>
      <c r="AB144" s="9"/>
      <c r="AC144" s="10">
        <f t="shared" si="35"/>
        <v>-194.51000000000022</v>
      </c>
      <c r="AD144" s="8">
        <f>IFERROR(AC144/AC444, "NA")</f>
        <v>-5.4285652886076081E-3</v>
      </c>
    </row>
    <row r="145" spans="1:30" ht="16.5" customHeight="1" x14ac:dyDescent="0.45">
      <c r="A145" s="12" t="s">
        <v>136</v>
      </c>
      <c r="B145" s="7">
        <v>166.45</v>
      </c>
      <c r="C145" s="8">
        <f>IFERROR(B145/B444, "NA")</f>
        <v>1.5977222403319806E-3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-166.45</v>
      </c>
      <c r="I145" s="8">
        <f>IFERROR(H145/H444, "NA")</f>
        <v>2.2696159174457047E-2</v>
      </c>
      <c r="J145" s="9"/>
      <c r="K145" s="7">
        <v>153.57</v>
      </c>
      <c r="L145" s="8">
        <f>IFERROR(K145/K444, "NA")</f>
        <v>1.5424011158880874E-3</v>
      </c>
      <c r="M145" s="9"/>
      <c r="N145" s="10">
        <f t="shared" si="33"/>
        <v>-12.879999999999995</v>
      </c>
      <c r="O145" s="8">
        <f>IFERROR(N145/N444, "NA")</f>
        <v>-2.7914920178065948E-3</v>
      </c>
      <c r="P145" s="9"/>
      <c r="Q145" s="7">
        <v>267</v>
      </c>
      <c r="R145" s="8">
        <f>IFERROR(Q145/Q444, "NA")</f>
        <v>1.0887619500289255E-3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-267</v>
      </c>
      <c r="X145" s="8">
        <f>IFERROR(W145/W444, "NA")</f>
        <v>-1.318671549537846E-2</v>
      </c>
      <c r="Y145" s="9"/>
      <c r="Z145" s="7">
        <v>247.37</v>
      </c>
      <c r="AA145" s="8">
        <f>IFERROR(Z145/Z444, "NA")</f>
        <v>1.181317222427463E-3</v>
      </c>
      <c r="AB145" s="9"/>
      <c r="AC145" s="10">
        <f t="shared" si="35"/>
        <v>-19.629999999999995</v>
      </c>
      <c r="AD145" s="8">
        <f>IFERROR(AC145/AC444, "NA")</f>
        <v>-5.4785222669974398E-4</v>
      </c>
    </row>
    <row r="146" spans="1:30" ht="16.5" customHeight="1" x14ac:dyDescent="0.45">
      <c r="A146" s="12" t="s">
        <v>137</v>
      </c>
      <c r="B146" s="7">
        <v>78.3</v>
      </c>
      <c r="C146" s="8">
        <f>IFERROR(B146/B444, "NA")</f>
        <v>7.5158697157100686E-4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-78.3</v>
      </c>
      <c r="I146" s="8">
        <f>IFERROR(H146/H444, "NA")</f>
        <v>1.0676535075758407E-2</v>
      </c>
      <c r="J146" s="9"/>
      <c r="K146" s="7">
        <v>334.27</v>
      </c>
      <c r="L146" s="8">
        <f>IFERROR(K146/K444, "NA")</f>
        <v>3.3572860650381646E-3</v>
      </c>
      <c r="M146" s="9"/>
      <c r="N146" s="10">
        <f t="shared" si="33"/>
        <v>255.96999999999997</v>
      </c>
      <c r="O146" s="8">
        <f>IFERROR(N146/N444, "NA")</f>
        <v>5.5476569238971603E-2</v>
      </c>
      <c r="P146" s="9"/>
      <c r="Q146" s="7">
        <v>152.34</v>
      </c>
      <c r="R146" s="8">
        <f>IFERROR(Q146/Q444, "NA")</f>
        <v>6.2120597553335776E-4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-152.34</v>
      </c>
      <c r="X146" s="8">
        <f>IFERROR(W146/W444, "NA")</f>
        <v>-7.5238360994979584E-3</v>
      </c>
      <c r="Y146" s="9"/>
      <c r="Z146" s="7">
        <v>650.91</v>
      </c>
      <c r="AA146" s="8">
        <f>IFERROR(Z146/Z444, "NA")</f>
        <v>3.1084254082963166E-3</v>
      </c>
      <c r="AB146" s="9"/>
      <c r="AC146" s="10">
        <f t="shared" si="35"/>
        <v>498.56999999999994</v>
      </c>
      <c r="AD146" s="8">
        <f>IFERROR(AC146/AC444, "NA")</f>
        <v>1.3914553472526306E-2</v>
      </c>
    </row>
    <row r="147" spans="1:30" ht="16.5" customHeight="1" x14ac:dyDescent="0.45">
      <c r="A147" s="12" t="s">
        <v>138</v>
      </c>
      <c r="B147" s="7">
        <v>48.39</v>
      </c>
      <c r="C147" s="8">
        <f>IFERROR(B147/B444, "NA")</f>
        <v>4.6448650771802069E-4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-48.39</v>
      </c>
      <c r="I147" s="8">
        <f>IFERROR(H147/H444, "NA")</f>
        <v>6.5981804893480121E-3</v>
      </c>
      <c r="J147" s="9"/>
      <c r="K147" s="7">
        <v>24.7</v>
      </c>
      <c r="L147" s="8">
        <f>IFERROR(K147/K444, "NA")</f>
        <v>2.4807779880468687E-4</v>
      </c>
      <c r="M147" s="9"/>
      <c r="N147" s="10">
        <f t="shared" si="33"/>
        <v>-23.69</v>
      </c>
      <c r="O147" s="8">
        <f>IFERROR(N147/N444, "NA")</f>
        <v>-5.1343513898942745E-3</v>
      </c>
      <c r="P147" s="9"/>
      <c r="Q147" s="7">
        <v>85.97</v>
      </c>
      <c r="R147" s="8">
        <f>IFERROR(Q147/Q444, "NA")</f>
        <v>3.5056503686886414E-4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-85.97</v>
      </c>
      <c r="X147" s="8">
        <f>IFERROR(W147/W444, "NA")</f>
        <v>-4.2459248357216714E-3</v>
      </c>
      <c r="Y147" s="9"/>
      <c r="Z147" s="7">
        <v>44.07</v>
      </c>
      <c r="AA147" s="8">
        <f>IFERROR(Z147/Z444, "NA")</f>
        <v>2.1045660343767754E-4</v>
      </c>
      <c r="AB147" s="9"/>
      <c r="AC147" s="10">
        <f t="shared" si="35"/>
        <v>-41.9</v>
      </c>
      <c r="AD147" s="8">
        <f>IFERROR(AC147/AC444, "NA")</f>
        <v>-1.1693840192928821E-3</v>
      </c>
    </row>
    <row r="148" spans="1:30" ht="16.5" customHeight="1" x14ac:dyDescent="0.45">
      <c r="A148" s="13" t="s">
        <v>139</v>
      </c>
      <c r="B148" s="14">
        <f>IFERROR(B143+B144+B145+B146+B147, "NA")</f>
        <v>2143.61</v>
      </c>
      <c r="C148" s="15">
        <f>IFERROR(B148/B444, "NA")</f>
        <v>2.0576109171511189E-2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-2143.61</v>
      </c>
      <c r="I148" s="15">
        <f>IFERROR(H148/H444, "NA")</f>
        <v>0.29229025994567664</v>
      </c>
      <c r="J148" s="2"/>
      <c r="K148" s="14">
        <f>IFERROR(K143+K144+K145+K146+K147, "NA")</f>
        <v>1878.59</v>
      </c>
      <c r="L148" s="15">
        <f>IFERROR(K148/K444, "NA")</f>
        <v>1.8867873362611202E-2</v>
      </c>
      <c r="M148" s="2"/>
      <c r="N148" s="14">
        <f t="shared" si="33"/>
        <v>-265.02000000000021</v>
      </c>
      <c r="O148" s="15">
        <f>IFERROR(N148/N444, "NA")</f>
        <v>-5.7437982496824892E-2</v>
      </c>
      <c r="P148" s="2"/>
      <c r="Q148" s="14">
        <f>IFERROR(Q143+Q144+Q145+Q146+Q147, "NA")</f>
        <v>3614.79</v>
      </c>
      <c r="R148" s="15">
        <f>IFERROR(Q148/Q444, "NA")</f>
        <v>1.4740246476947789E-2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-3614.79</v>
      </c>
      <c r="X148" s="15">
        <f>IFERROR(W148/W444, "NA")</f>
        <v>-0.17852886631288054</v>
      </c>
      <c r="Y148" s="2"/>
      <c r="Z148" s="14">
        <f>IFERROR(Z143+Z144+Z145+Z146+Z147, "NA")</f>
        <v>3857.3199999999997</v>
      </c>
      <c r="AA148" s="15">
        <f>IFERROR(Z148/Z444, "NA")</f>
        <v>1.8420659531931522E-2</v>
      </c>
      <c r="AB148" s="2"/>
      <c r="AC148" s="14">
        <f t="shared" si="35"/>
        <v>242.52999999999975</v>
      </c>
      <c r="AD148" s="15">
        <f>IFERROR(AC148/AC444, "NA")</f>
        <v>6.7687519379260718E-3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27879.230000000003</v>
      </c>
      <c r="C149" s="15">
        <f>IFERROR(B149/B444, "NA")</f>
        <v>0.26760748461598421</v>
      </c>
      <c r="D149" s="2"/>
      <c r="E149" s="14">
        <f>IFERROR(E127+E129+E130+E131+E132+E133+E134+E135+E136+E137+E138+E139+E140+E143+E144+E145+E146+E147, "NA")</f>
        <v>28770.46</v>
      </c>
      <c r="F149" s="15">
        <f>IFERROR(E149/E444, "NA")</f>
        <v>0.25800002510909004</v>
      </c>
      <c r="G149" s="2"/>
      <c r="H149" s="14">
        <f t="shared" si="32"/>
        <v>891.22999999999593</v>
      </c>
      <c r="I149" s="15">
        <f>IFERROR(H149/H444, "NA")</f>
        <v>-0.12152296750406286</v>
      </c>
      <c r="J149" s="2"/>
      <c r="K149" s="14">
        <f>IFERROR(K127+K129+K130+K131+K132+K133+K134+K135+K136+K137+K138+K139+K140+K143+K144+K145+K146+K147, "NA")</f>
        <v>25550.340000000004</v>
      </c>
      <c r="L149" s="15">
        <f>IFERROR(K149/K444, "NA")</f>
        <v>0.25661830388305035</v>
      </c>
      <c r="M149" s="2"/>
      <c r="N149" s="14">
        <f t="shared" si="33"/>
        <v>-2328.8899999999994</v>
      </c>
      <c r="O149" s="15">
        <f>IFERROR(N149/N444, "NA")</f>
        <v>-0.50474206873832306</v>
      </c>
      <c r="P149" s="2"/>
      <c r="Q149" s="14">
        <f>IFERROR(Q127+Q129+Q130+Q131+Q132+Q133+Q134+Q135+Q136+Q137+Q138+Q139+Q140+Q143+Q144+Q145+Q146+Q147, "NA")</f>
        <v>61127</v>
      </c>
      <c r="R149" s="15">
        <f>IFERROR(Q149/Q444, "NA")</f>
        <v>0.24926124239482447</v>
      </c>
      <c r="S149" s="2"/>
      <c r="T149" s="14">
        <f>IFERROR(T127+T129+T130+T131+T132+T133+T134+T135+T136+T137+T138+T139+T140+T143+T144+T145+T146+T147, "NA")</f>
        <v>58886.59</v>
      </c>
      <c r="U149" s="15">
        <f>IFERROR(T149/T444, "NA")</f>
        <v>0.26173560355262765</v>
      </c>
      <c r="V149" s="2"/>
      <c r="W149" s="14">
        <f t="shared" si="34"/>
        <v>-2240.4100000000035</v>
      </c>
      <c r="X149" s="15">
        <f>IFERROR(W149/W444, "NA")</f>
        <v>-0.11065037177153897</v>
      </c>
      <c r="Y149" s="2"/>
      <c r="Z149" s="14">
        <f>IFERROR(Z127+Z129+Z130+Z131+Z132+Z133+Z134+Z135+Z136+Z137+Z138+Z139+Z140+Z143+Z144+Z145+Z146+Z147, "NA")</f>
        <v>55444.060000000012</v>
      </c>
      <c r="AA149" s="15">
        <f>IFERROR(Z149/Z444, "NA")</f>
        <v>0.26477350915350129</v>
      </c>
      <c r="AB149" s="2"/>
      <c r="AC149" s="14">
        <f t="shared" si="35"/>
        <v>-5682.9399999999878</v>
      </c>
      <c r="AD149" s="15">
        <f>IFERROR(AC149/AC444, "NA")</f>
        <v>-0.15860475462053167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1672.7</v>
      </c>
      <c r="F153" s="8">
        <f>IFERROR(E153/E444, "NA")</f>
        <v>1.4999991032467849E-2</v>
      </c>
      <c r="G153" s="9"/>
      <c r="H153" s="10">
        <f t="shared" ref="H153:H158" si="36">IFERROR(-(B153-E153), "NA")</f>
        <v>1672.7</v>
      </c>
      <c r="I153" s="8">
        <f>IFERROR(H153/H444, "NA")</f>
        <v>-0.22807969631189129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3942.13</v>
      </c>
      <c r="U153" s="8">
        <f>IFERROR(T153/T444, "NA")</f>
        <v>1.75217443365785E-2</v>
      </c>
      <c r="V153" s="9"/>
      <c r="W153" s="10">
        <f t="shared" ref="W153:W158" si="38">IFERROR(-(Q153-T153), "NA")</f>
        <v>3942.13</v>
      </c>
      <c r="X153" s="8">
        <f>IFERROR(W153/W444, "NA")</f>
        <v>0.19469568073331944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3623.04</v>
      </c>
      <c r="C154" s="8">
        <f>IFERROR(B154/B444, "NA")</f>
        <v>3.4776879456968335E-2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-3623.04</v>
      </c>
      <c r="I154" s="8">
        <f>IFERROR(H154/H444, "NA")</f>
        <v>0.49401677702267865</v>
      </c>
      <c r="J154" s="9"/>
      <c r="K154" s="7">
        <v>3785.88</v>
      </c>
      <c r="L154" s="8">
        <f>IFERROR(K154/K444, "NA")</f>
        <v>3.8023999066343642E-2</v>
      </c>
      <c r="M154" s="9"/>
      <c r="N154" s="10">
        <f t="shared" si="37"/>
        <v>162.84000000000015</v>
      </c>
      <c r="O154" s="8">
        <f>IFERROR(N154/N444, "NA")</f>
        <v>3.5292434796554847E-2</v>
      </c>
      <c r="P154" s="9"/>
      <c r="Q154" s="7">
        <v>8059.14</v>
      </c>
      <c r="R154" s="8">
        <f>IFERROR(Q154/Q444, "NA")</f>
        <v>3.2863239632794437E-2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-8059.14</v>
      </c>
      <c r="X154" s="8">
        <f>IFERROR(W154/W444, "NA")</f>
        <v>-0.39802841317387405</v>
      </c>
      <c r="Y154" s="9"/>
      <c r="Z154" s="7">
        <v>8614.18</v>
      </c>
      <c r="AA154" s="8">
        <f>IFERROR(Z154/Z444, "NA")</f>
        <v>4.1137078833691242E-2</v>
      </c>
      <c r="AB154" s="9"/>
      <c r="AC154" s="10">
        <f t="shared" si="39"/>
        <v>555.04</v>
      </c>
      <c r="AD154" s="8">
        <f>IFERROR(AC154/AC444, "NA")</f>
        <v>1.5490570550556594E-2</v>
      </c>
    </row>
    <row r="155" spans="1:30" ht="16.5" customHeight="1" x14ac:dyDescent="0.45">
      <c r="A155" s="12" t="s">
        <v>144</v>
      </c>
      <c r="B155" s="7">
        <v>725.02</v>
      </c>
      <c r="C155" s="8">
        <f>IFERROR(B155/B444, "NA")</f>
        <v>6.9593306018954195E-3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-725.02</v>
      </c>
      <c r="I155" s="8">
        <f>IFERROR(H155/H444, "NA")</f>
        <v>9.8859533341332823E-2</v>
      </c>
      <c r="J155" s="9"/>
      <c r="K155" s="7">
        <v>706.27</v>
      </c>
      <c r="L155" s="8">
        <f>IFERROR(K155/K444, "NA")</f>
        <v>7.0935185004771736E-3</v>
      </c>
      <c r="M155" s="9"/>
      <c r="N155" s="10">
        <f t="shared" si="37"/>
        <v>-18.75</v>
      </c>
      <c r="O155" s="8">
        <f>IFERROR(N155/N444, "NA")</f>
        <v>-4.0637015010771479E-3</v>
      </c>
      <c r="P155" s="9"/>
      <c r="Q155" s="7">
        <v>2359.69</v>
      </c>
      <c r="R155" s="8">
        <f>IFERROR(Q155/Q444, "NA")</f>
        <v>9.6222497597893454E-3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-2359.69</v>
      </c>
      <c r="X155" s="8">
        <f>IFERROR(W155/W444, "NA")</f>
        <v>-0.11654142579509214</v>
      </c>
      <c r="Y155" s="9"/>
      <c r="Z155" s="7">
        <v>1276.77</v>
      </c>
      <c r="AA155" s="8">
        <f>IFERROR(Z155/Z444, "NA")</f>
        <v>6.0972243605882355E-3</v>
      </c>
      <c r="AB155" s="9"/>
      <c r="AC155" s="10">
        <f t="shared" si="39"/>
        <v>-1082.92</v>
      </c>
      <c r="AD155" s="8">
        <f>IFERROR(AC155/AC444, "NA")</f>
        <v>-3.0223134658058426E-2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4348.0599999999995</v>
      </c>
      <c r="C158" s="15">
        <f>IFERROR(B158/B444, "NA")</f>
        <v>4.173621005886375E-2</v>
      </c>
      <c r="D158" s="2"/>
      <c r="E158" s="14">
        <f>IFERROR(E153+E154+E155+E156+E157, "NA")</f>
        <v>1672.7</v>
      </c>
      <c r="F158" s="15">
        <f>IFERROR(E158/E444, "NA")</f>
        <v>1.4999991032467849E-2</v>
      </c>
      <c r="G158" s="2"/>
      <c r="H158" s="14">
        <f t="shared" si="36"/>
        <v>-2675.3599999999997</v>
      </c>
      <c r="I158" s="15">
        <f>IFERROR(H158/H444, "NA")</f>
        <v>0.36479661405212016</v>
      </c>
      <c r="J158" s="2"/>
      <c r="K158" s="14">
        <f>IFERROR(K153+K154+K155+K156+K157, "NA")</f>
        <v>4492.1499999999996</v>
      </c>
      <c r="L158" s="15">
        <f>IFERROR(K158/K444, "NA")</f>
        <v>4.5117517566820808E-2</v>
      </c>
      <c r="M158" s="2"/>
      <c r="N158" s="14">
        <f t="shared" si="37"/>
        <v>144.09000000000015</v>
      </c>
      <c r="O158" s="15">
        <f>IFERROR(N158/N444, "NA")</f>
        <v>3.1228733295477699E-2</v>
      </c>
      <c r="P158" s="2"/>
      <c r="Q158" s="14">
        <f>IFERROR(Q153+Q154+Q155+Q156+Q157, "NA")</f>
        <v>10418.83</v>
      </c>
      <c r="R158" s="15">
        <f>IFERROR(Q158/Q444, "NA")</f>
        <v>4.2485489392583786E-2</v>
      </c>
      <c r="S158" s="2"/>
      <c r="T158" s="14">
        <f>IFERROR(T153+T154+T155+T156+T157, "NA")</f>
        <v>3942.13</v>
      </c>
      <c r="U158" s="15">
        <f>IFERROR(T158/T444, "NA")</f>
        <v>1.75217443365785E-2</v>
      </c>
      <c r="V158" s="2"/>
      <c r="W158" s="14">
        <f t="shared" si="38"/>
        <v>-6476.7</v>
      </c>
      <c r="X158" s="15">
        <f>IFERROR(W158/W444, "NA")</f>
        <v>-0.31987415823564674</v>
      </c>
      <c r="Y158" s="2"/>
      <c r="Z158" s="14">
        <f>IFERROR(Z153+Z154+Z155+Z156+Z157, "NA")</f>
        <v>9890.9500000000007</v>
      </c>
      <c r="AA158" s="15">
        <f>IFERROR(Z158/Z444, "NA")</f>
        <v>4.723430319427948E-2</v>
      </c>
      <c r="AB158" s="2"/>
      <c r="AC158" s="14">
        <f t="shared" si="39"/>
        <v>-527.8799999999992</v>
      </c>
      <c r="AD158" s="15">
        <f>IFERROR(AC158/AC444, "NA")</f>
        <v>-1.4732564107501806E-2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376.01</v>
      </c>
      <c r="C161" s="8">
        <f>IFERROR(B161/B444, "NA")</f>
        <v>3.6092492615634009E-3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-376.01</v>
      </c>
      <c r="I161" s="8">
        <f>IFERROR(H161/H444, "NA")</f>
        <v>5.1270548580279934E-2</v>
      </c>
      <c r="J161" s="9"/>
      <c r="K161" s="7">
        <v>143.79</v>
      </c>
      <c r="L161" s="8">
        <f>IFERROR(K161/K444, "NA")</f>
        <v>1.4441743599241264E-3</v>
      </c>
      <c r="M161" s="9"/>
      <c r="N161" s="10">
        <f t="shared" si="41"/>
        <v>-232.22</v>
      </c>
      <c r="O161" s="8">
        <f>IFERROR(N161/N444, "NA")</f>
        <v>-5.0329214004273884E-2</v>
      </c>
      <c r="P161" s="9"/>
      <c r="Q161" s="7">
        <v>992.27</v>
      </c>
      <c r="R161" s="8">
        <f>IFERROR(Q161/Q444, "NA")</f>
        <v>4.0462390267985088E-3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-992.27</v>
      </c>
      <c r="X161" s="8">
        <f>IFERROR(W161/W444, "NA")</f>
        <v>-4.9006674848686087E-2</v>
      </c>
      <c r="Y161" s="9"/>
      <c r="Z161" s="7">
        <v>542.08000000000004</v>
      </c>
      <c r="AA161" s="8">
        <f>IFERROR(Z161/Z444, "NA")</f>
        <v>2.5887069569207224E-3</v>
      </c>
      <c r="AB161" s="9"/>
      <c r="AC161" s="10">
        <f t="shared" si="43"/>
        <v>-450.18999999999994</v>
      </c>
      <c r="AD161" s="8">
        <f>IFERROR(AC161/AC444, "NA")</f>
        <v>-1.2564319609676911E-2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376.01</v>
      </c>
      <c r="C166" s="15">
        <f>IFERROR(B166/B444, "NA")</f>
        <v>3.6092492615634009E-3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-376.01</v>
      </c>
      <c r="I166" s="15">
        <f>IFERROR(H166/H444, "NA")</f>
        <v>5.1270548580279934E-2</v>
      </c>
      <c r="J166" s="2"/>
      <c r="K166" s="14">
        <f>IFERROR(K160+K161+K162+K163+K164+K165, "NA")</f>
        <v>143.79</v>
      </c>
      <c r="L166" s="15">
        <f>IFERROR(K166/K444, "NA")</f>
        <v>1.4441743599241264E-3</v>
      </c>
      <c r="M166" s="2"/>
      <c r="N166" s="14">
        <f t="shared" si="41"/>
        <v>-232.22</v>
      </c>
      <c r="O166" s="15">
        <f>IFERROR(N166/N444, "NA")</f>
        <v>-5.0329214004273884E-2</v>
      </c>
      <c r="P166" s="2"/>
      <c r="Q166" s="14">
        <f>IFERROR(Q160+Q161+Q162+Q163+Q164+Q165, "NA")</f>
        <v>992.27</v>
      </c>
      <c r="R166" s="15">
        <f>IFERROR(Q166/Q444, "NA")</f>
        <v>4.0462390267985088E-3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-992.27</v>
      </c>
      <c r="X166" s="15">
        <f>IFERROR(W166/W444, "NA")</f>
        <v>-4.9006674848686087E-2</v>
      </c>
      <c r="Y166" s="2"/>
      <c r="Z166" s="14">
        <f>IFERROR(Z160+Z161+Z162+Z163+Z164+Z165, "NA")</f>
        <v>542.08000000000004</v>
      </c>
      <c r="AA166" s="15">
        <f>IFERROR(Z166/Z444, "NA")</f>
        <v>2.5887069569207224E-3</v>
      </c>
      <c r="AB166" s="2"/>
      <c r="AC166" s="14">
        <f t="shared" si="43"/>
        <v>-450.18999999999994</v>
      </c>
      <c r="AD166" s="15">
        <f>IFERROR(AC166/AC444, "NA")</f>
        <v>-1.2564319609676911E-2</v>
      </c>
    </row>
    <row r="167" spans="1:30" ht="16.5" customHeight="1" x14ac:dyDescent="0.45">
      <c r="A167" s="6" t="s">
        <v>155</v>
      </c>
      <c r="B167" s="7">
        <v>93.59</v>
      </c>
      <c r="C167" s="8">
        <f>IFERROR(B167/B444, "NA")</f>
        <v>8.9835280548314854E-4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-93.59</v>
      </c>
      <c r="I167" s="8">
        <f>IFERROR(H167/H444, "NA")</f>
        <v>1.2761391031165126E-2</v>
      </c>
      <c r="J167" s="9"/>
      <c r="K167" s="7">
        <v>141.04</v>
      </c>
      <c r="L167" s="8">
        <f>IFERROR(K167/K444, "NA")</f>
        <v>1.4165543620814993E-3</v>
      </c>
      <c r="M167" s="9"/>
      <c r="N167" s="10">
        <f t="shared" si="41"/>
        <v>47.449999999999989</v>
      </c>
      <c r="O167" s="8">
        <f>IFERROR(N167/N444, "NA")</f>
        <v>1.0283873932059234E-2</v>
      </c>
      <c r="P167" s="9"/>
      <c r="Q167" s="7">
        <v>236.18</v>
      </c>
      <c r="R167" s="8">
        <f>IFERROR(Q167/Q444, "NA")</f>
        <v>9.6308538336266532E-4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-236.18</v>
      </c>
      <c r="X167" s="8">
        <f>IFERROR(W167/W444, "NA")</f>
        <v>-1.1664563541941892E-2</v>
      </c>
      <c r="Y167" s="9"/>
      <c r="Z167" s="7">
        <v>422.56</v>
      </c>
      <c r="AA167" s="8">
        <f>IFERROR(Z167/Z444, "NA")</f>
        <v>2.0179383333021332E-3</v>
      </c>
      <c r="AB167" s="9"/>
      <c r="AC167" s="10">
        <f t="shared" si="43"/>
        <v>186.38</v>
      </c>
      <c r="AD167" s="8">
        <f>IFERROR(AC167/AC444, "NA")</f>
        <v>5.201665716367718E-3</v>
      </c>
    </row>
    <row r="168" spans="1:30" ht="16.5" customHeight="1" x14ac:dyDescent="0.45">
      <c r="A168" s="6" t="s">
        <v>156</v>
      </c>
      <c r="B168" s="7">
        <v>35.6</v>
      </c>
      <c r="C168" s="8">
        <f>IFERROR(B168/B444, "NA")</f>
        <v>3.4171770354952545E-4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-35.6</v>
      </c>
      <c r="I168" s="8">
        <f>IFERROR(H168/H444, "NA")</f>
        <v>4.8542100727586119E-3</v>
      </c>
      <c r="J168" s="9"/>
      <c r="K168" s="7">
        <v>59.6</v>
      </c>
      <c r="L168" s="8">
        <f>IFERROR(K168/K444, "NA")</f>
        <v>5.9860068051657237E-4</v>
      </c>
      <c r="M168" s="9"/>
      <c r="N168" s="10">
        <f t="shared" si="41"/>
        <v>24</v>
      </c>
      <c r="O168" s="8">
        <f>IFERROR(N168/N444, "NA")</f>
        <v>5.2015379213787493E-3</v>
      </c>
      <c r="P168" s="9"/>
      <c r="Q168" s="7">
        <v>98.2</v>
      </c>
      <c r="R168" s="8">
        <f>IFERROR(Q168/Q444, "NA")</f>
        <v>4.0043604304434641E-4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-98.2</v>
      </c>
      <c r="X168" s="8">
        <f>IFERROR(W168/W444, "NA")</f>
        <v>-4.8499455492365725E-3</v>
      </c>
      <c r="Y168" s="9"/>
      <c r="Z168" s="7">
        <v>126.3</v>
      </c>
      <c r="AA168" s="8">
        <f>IFERROR(Z168/Z444, "NA")</f>
        <v>6.0314656260900099E-4</v>
      </c>
      <c r="AB168" s="9"/>
      <c r="AC168" s="10">
        <f t="shared" si="43"/>
        <v>28.099999999999994</v>
      </c>
      <c r="AD168" s="8">
        <f>IFERROR(AC168/AC444, "NA")</f>
        <v>7.8424083394104964E-4</v>
      </c>
    </row>
    <row r="169" spans="1:30" ht="16.5" customHeight="1" x14ac:dyDescent="0.45">
      <c r="A169" s="6" t="s">
        <v>157</v>
      </c>
      <c r="B169" s="7">
        <v>-2299.86</v>
      </c>
      <c r="C169" s="8">
        <f>IFERROR(B169/B444, "NA")</f>
        <v>-2.2075923530489091E-2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2299.86</v>
      </c>
      <c r="I169" s="8">
        <f>IFERROR(H169/H444, "NA")</f>
        <v>-0.31359560612175902</v>
      </c>
      <c r="J169" s="9"/>
      <c r="K169" s="7">
        <v>-2712.33</v>
      </c>
      <c r="L169" s="8">
        <f>IFERROR(K169/K444, "NA")</f>
        <v>-2.7241654090360983E-2</v>
      </c>
      <c r="M169" s="9"/>
      <c r="N169" s="10">
        <f t="shared" si="41"/>
        <v>-412.4699999999998</v>
      </c>
      <c r="O169" s="8">
        <f>IFERROR(N169/N444, "NA")</f>
        <v>-8.9394931101295497E-2</v>
      </c>
      <c r="P169" s="9"/>
      <c r="Q169" s="7">
        <v>-6639.81</v>
      </c>
      <c r="R169" s="8">
        <f>IFERROR(Q169/Q444, "NA")</f>
        <v>-2.7075552372365395E-2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6639.81</v>
      </c>
      <c r="X169" s="8">
        <f>IFERROR(W169/W444, "NA")</f>
        <v>0.32792990791523918</v>
      </c>
      <c r="Y169" s="9"/>
      <c r="Z169" s="7">
        <v>-6193.68</v>
      </c>
      <c r="AA169" s="8">
        <f>IFERROR(Z169/Z444, "NA")</f>
        <v>-2.9577963593825158E-2</v>
      </c>
      <c r="AB169" s="9"/>
      <c r="AC169" s="10">
        <f t="shared" si="43"/>
        <v>446.13000000000011</v>
      </c>
      <c r="AD169" s="8">
        <f>IFERROR(AC169/AC444, "NA")</f>
        <v>1.2451009368189348E-2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2553.4</v>
      </c>
      <c r="C170" s="15">
        <f>IFERROR(B170/B444, "NA")</f>
        <v>2.450960629897074E-2</v>
      </c>
      <c r="D170" s="2"/>
      <c r="E170" s="14">
        <f>IFERROR(E151+E153+E154+E155+E156+E157+E160+E161+E162+E163+E164+E165+E167+E168+E169, "NA")</f>
        <v>1672.7</v>
      </c>
      <c r="F170" s="15">
        <f>IFERROR(E170/E444, "NA")</f>
        <v>1.4999991032467849E-2</v>
      </c>
      <c r="G170" s="2"/>
      <c r="H170" s="14">
        <f t="shared" si="40"/>
        <v>-880.7</v>
      </c>
      <c r="I170" s="15">
        <f>IFERROR(H170/H444, "NA")</f>
        <v>0.12008715761456487</v>
      </c>
      <c r="J170" s="2"/>
      <c r="K170" s="14">
        <f>IFERROR(K151+K153+K154+K155+K156+K157+K160+K161+K162+K163+K164+K165+K167+K168+K169, "NA")</f>
        <v>2124.25</v>
      </c>
      <c r="L170" s="15">
        <f>IFERROR(K170/K444, "NA")</f>
        <v>2.1335192878982025E-2</v>
      </c>
      <c r="M170" s="2"/>
      <c r="N170" s="14">
        <f t="shared" si="41"/>
        <v>-429.15000000000009</v>
      </c>
      <c r="O170" s="15">
        <f>IFERROR(N170/N444, "NA")</f>
        <v>-9.3009999956653794E-2</v>
      </c>
      <c r="P170" s="2"/>
      <c r="Q170" s="14">
        <f>IFERROR(Q151+Q153+Q154+Q155+Q156+Q157+Q160+Q161+Q162+Q163+Q164+Q165+Q167+Q168+Q169, "NA")</f>
        <v>5105.670000000001</v>
      </c>
      <c r="R170" s="15">
        <f>IFERROR(Q170/Q444, "NA")</f>
        <v>2.0819697473423916E-2</v>
      </c>
      <c r="S170" s="2"/>
      <c r="T170" s="14">
        <f>IFERROR(T151+T153+T154+T155+T156+T157+T160+T161+T162+T163+T164+T165+T167+T168+T169, "NA")</f>
        <v>3942.13</v>
      </c>
      <c r="U170" s="15">
        <f>IFERROR(T170/T444, "NA")</f>
        <v>1.75217443365785E-2</v>
      </c>
      <c r="V170" s="2"/>
      <c r="W170" s="14">
        <f t="shared" si="42"/>
        <v>-1163.5400000000009</v>
      </c>
      <c r="X170" s="15">
        <f>IFERROR(W170/W444, "NA")</f>
        <v>-5.7465434260272154E-2</v>
      </c>
      <c r="Y170" s="2"/>
      <c r="Z170" s="14">
        <f>IFERROR(Z151+Z153+Z154+Z155+Z156+Z157+Z160+Z161+Z162+Z163+Z164+Z165+Z167+Z168+Z169, "NA")</f>
        <v>4788.2099999999991</v>
      </c>
      <c r="AA170" s="15">
        <f>IFERROR(Z170/Z444, "NA")</f>
        <v>2.2866131453286174E-2</v>
      </c>
      <c r="AB170" s="2"/>
      <c r="AC170" s="14">
        <f t="shared" si="43"/>
        <v>-317.46000000000186</v>
      </c>
      <c r="AD170" s="15">
        <f>IFERROR(AC170/AC444, "NA")</f>
        <v>-8.8599677986806805E-3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30432.63</v>
      </c>
      <c r="C171" s="15">
        <f>IFERROR(B171/B444, "NA")</f>
        <v>0.29211709091495491</v>
      </c>
      <c r="D171" s="2"/>
      <c r="E171" s="14">
        <f>IFERROR(E127+E129+E130+E131+E132+E133+E134+E135+E136+E137+E138+E139+E140+E143+E144+E145+E146+E147+E151+E153+E154+E155+E156+E157+E160+E161+E162+E163+E164+E165+E167+E168+E169, "NA")</f>
        <v>30443.16</v>
      </c>
      <c r="F171" s="15">
        <f>IFERROR(E171/E444, "NA")</f>
        <v>0.27300001614155789</v>
      </c>
      <c r="G171" s="2"/>
      <c r="H171" s="14">
        <f t="shared" si="40"/>
        <v>10.529999999998836</v>
      </c>
      <c r="I171" s="15">
        <f>IFERROR(H171/H444, "NA")</f>
        <v>-1.4358098894983857E-3</v>
      </c>
      <c r="J171" s="2"/>
      <c r="K171" s="14">
        <f>IFERROR(K127+K129+K130+K131+K132+K133+K134+K135+K136+K137+K138+K139+K140+K143+K144+K145+K146+K147+K151+K153+K154+K155+K156+K157+K160+K161+K162+K163+K164+K165+K167+K168+K169, "NA")</f>
        <v>27674.590000000004</v>
      </c>
      <c r="L171" s="15">
        <f>IFERROR(K171/K444, "NA")</f>
        <v>0.2779534967620324</v>
      </c>
      <c r="M171" s="2"/>
      <c r="N171" s="14">
        <f t="shared" si="41"/>
        <v>-2758.0399999999972</v>
      </c>
      <c r="O171" s="15">
        <f>IFERROR(N171/N444, "NA")</f>
        <v>-0.59775206869497632</v>
      </c>
      <c r="P171" s="2"/>
      <c r="Q171" s="14">
        <f>IFERROR(Q127+Q129+Q130+Q131+Q132+Q133+Q134+Q135+Q136+Q137+Q138+Q139+Q140+Q143+Q144+Q145+Q146+Q147+Q151+Q153+Q154+Q155+Q156+Q157+Q160+Q161+Q162+Q163+Q164+Q165+Q167+Q168+Q169, "NA")</f>
        <v>66232.67</v>
      </c>
      <c r="R171" s="15">
        <f>IFERROR(Q171/Q444, "NA")</f>
        <v>0.27008093986824838</v>
      </c>
      <c r="S171" s="2"/>
      <c r="T171" s="14">
        <f>IFERROR(T127+T129+T130+T131+T132+T133+T134+T135+T136+T137+T138+T139+T140+T143+T144+T145+T146+T147+T151+T153+T154+T155+T156+T157+T160+T161+T162+T163+T164+T165+T167+T168+T169, "NA")</f>
        <v>62828.719999999994</v>
      </c>
      <c r="U171" s="15">
        <f>IFERROR(T171/T444, "NA")</f>
        <v>0.27925734788920614</v>
      </c>
      <c r="V171" s="2"/>
      <c r="W171" s="14">
        <f t="shared" si="42"/>
        <v>-3403.9500000000044</v>
      </c>
      <c r="X171" s="15">
        <f>IFERROR(W171/W444, "NA")</f>
        <v>-0.16811580603181112</v>
      </c>
      <c r="Y171" s="2"/>
      <c r="Z171" s="14">
        <f>IFERROR(Z127+Z129+Z130+Z131+Z132+Z133+Z134+Z135+Z136+Z137+Z138+Z139+Z140+Z143+Z144+Z145+Z146+Z147+Z151+Z153+Z154+Z155+Z156+Z157+Z160+Z161+Z162+Z163+Z164+Z165+Z167+Z168+Z169, "NA")</f>
        <v>60232.270000000011</v>
      </c>
      <c r="AA171" s="15">
        <f>IFERROR(Z171/Z444, "NA")</f>
        <v>0.28763964060678748</v>
      </c>
      <c r="AB171" s="2"/>
      <c r="AC171" s="14">
        <f t="shared" si="43"/>
        <v>-6000.3999999999869</v>
      </c>
      <c r="AD171" s="15">
        <f>IFERROR(AC171/AC444, "NA")</f>
        <v>-0.16746472241921229</v>
      </c>
    </row>
    <row r="172" spans="1:30" ht="16.5" customHeight="1" x14ac:dyDescent="0.45">
      <c r="A172" s="22" t="s">
        <v>160</v>
      </c>
      <c r="B172" s="23">
        <f>IFERROR(B124-B171, "NA")</f>
        <v>73746.930000000022</v>
      </c>
      <c r="C172" s="24">
        <f>IFERROR(B172/B444, "NA")</f>
        <v>0.70788290908504536</v>
      </c>
      <c r="D172" s="25"/>
      <c r="E172" s="23">
        <f>IFERROR(E124-E171, "NA")</f>
        <v>81070.240000000005</v>
      </c>
      <c r="F172" s="24">
        <f>IFERROR(E172/E444, "NA")</f>
        <v>0.72699998385844222</v>
      </c>
      <c r="G172" s="25"/>
      <c r="H172" s="23">
        <f>IFERROR(B172-E172, "NA")</f>
        <v>-7323.3099999999831</v>
      </c>
      <c r="I172" s="24">
        <f>IFERROR(H172/H444, "NA")</f>
        <v>0.99856419011049968</v>
      </c>
      <c r="J172" s="25"/>
      <c r="K172" s="23">
        <f>IFERROR(K124-K171, "NA")</f>
        <v>71890.950000000012</v>
      </c>
      <c r="L172" s="24">
        <f>IFERROR(K172/K444, "NA")</f>
        <v>0.72204650323796782</v>
      </c>
      <c r="M172" s="25"/>
      <c r="N172" s="23">
        <f>IFERROR(B172-K172, "NA")</f>
        <v>1855.9800000000105</v>
      </c>
      <c r="O172" s="24">
        <f>IFERROR(N172/N444, "NA")</f>
        <v>0.40224793130502445</v>
      </c>
      <c r="P172" s="25"/>
      <c r="Q172" s="23">
        <f>IFERROR(Q124-Q171, "NA")</f>
        <v>179000.00000000006</v>
      </c>
      <c r="R172" s="24">
        <f>IFERROR(Q172/Q444, "NA")</f>
        <v>0.72991906013175178</v>
      </c>
      <c r="S172" s="25"/>
      <c r="T172" s="23">
        <f>IFERROR(T124-T171, "NA")</f>
        <v>162156.29999999999</v>
      </c>
      <c r="U172" s="24">
        <f>IFERROR(T172/T444, "NA")</f>
        <v>0.7207426521107938</v>
      </c>
      <c r="V172" s="25"/>
      <c r="W172" s="23">
        <f>IFERROR(Q172-T172, "NA")</f>
        <v>16843.70000000007</v>
      </c>
      <c r="X172" s="24">
        <f>IFERROR(W172/W444, "NA")</f>
        <v>0.83188419396819135</v>
      </c>
      <c r="Y172" s="25"/>
      <c r="Z172" s="23">
        <f>IFERROR(Z124-Z171, "NA")</f>
        <v>149169.57</v>
      </c>
      <c r="AA172" s="24">
        <f>IFERROR(Z172/Z444, "NA")</f>
        <v>0.71236035939321263</v>
      </c>
      <c r="AB172" s="25"/>
      <c r="AC172" s="23">
        <f>IFERROR(Q172-Z172, "NA")</f>
        <v>29830.430000000051</v>
      </c>
      <c r="AD172" s="24">
        <f>IFERROR(AC172/AC444, "NA")</f>
        <v>0.83253527758078827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5769.25</v>
      </c>
      <c r="C178" s="8">
        <f>IFERROR(B178/B444, "NA")</f>
        <v>5.5377945539412915E-2</v>
      </c>
      <c r="D178" s="9"/>
      <c r="E178" s="7">
        <v>6250</v>
      </c>
      <c r="F178" s="8">
        <f>IFERROR(E178/E444, "NA")</f>
        <v>5.6047075956790843E-2</v>
      </c>
      <c r="G178" s="9"/>
      <c r="H178" s="10">
        <f t="shared" si="44"/>
        <v>480.75</v>
      </c>
      <c r="I178" s="8">
        <f>IFERROR(H178/H444, "NA")</f>
        <v>-6.5552289114570297E-2</v>
      </c>
      <c r="J178" s="9"/>
      <c r="K178" s="7">
        <v>6634.6</v>
      </c>
      <c r="L178" s="8">
        <f>IFERROR(K178/K444, "NA")</f>
        <v>6.6635504613343138E-2</v>
      </c>
      <c r="M178" s="9"/>
      <c r="N178" s="10">
        <f t="shared" si="45"/>
        <v>865.35000000000036</v>
      </c>
      <c r="O178" s="8">
        <f>IFERROR(N178/N444, "NA")</f>
        <v>0.18754795167771263</v>
      </c>
      <c r="P178" s="9"/>
      <c r="Q178" s="7">
        <v>15000.05</v>
      </c>
      <c r="R178" s="8">
        <f>IFERROR(Q178/Q444, "NA")</f>
        <v>6.1166605575023909E-2</v>
      </c>
      <c r="S178" s="9"/>
      <c r="T178" s="7">
        <v>16250</v>
      </c>
      <c r="U178" s="8">
        <f>IFERROR(T178/T444, "NA")</f>
        <v>7.2227030937437528E-2</v>
      </c>
      <c r="V178" s="9"/>
      <c r="W178" s="10">
        <f t="shared" si="46"/>
        <v>1249.9500000000007</v>
      </c>
      <c r="X178" s="8">
        <f>IFERROR(W178/W444, "NA")</f>
        <v>6.1733090012915041E-2</v>
      </c>
      <c r="Y178" s="9"/>
      <c r="Z178" s="7">
        <v>17249.96</v>
      </c>
      <c r="AA178" s="8">
        <f>IFERROR(Z178/Z444, "NA")</f>
        <v>8.2377308623458129E-2</v>
      </c>
      <c r="AB178" s="9"/>
      <c r="AC178" s="10">
        <f t="shared" si="47"/>
        <v>2249.91</v>
      </c>
      <c r="AD178" s="8">
        <f>IFERROR(AC178/AC444, "NA")</f>
        <v>6.2792572764850799E-2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19997.13</v>
      </c>
      <c r="C180" s="8">
        <f>IFERROR(B180/B444, "NA")</f>
        <v>0.1919486893590259</v>
      </c>
      <c r="D180" s="9"/>
      <c r="E180" s="7">
        <v>22748.73</v>
      </c>
      <c r="F180" s="8">
        <f>IFERROR(E180/E444, "NA")</f>
        <v>0.20399996771688425</v>
      </c>
      <c r="G180" s="9"/>
      <c r="H180" s="10">
        <f t="shared" si="44"/>
        <v>2751.5999999999985</v>
      </c>
      <c r="I180" s="8">
        <f>IFERROR(H180/H444, "NA")</f>
        <v>-0.37519225944389295</v>
      </c>
      <c r="J180" s="9"/>
      <c r="K180" s="7">
        <v>17560.669999999998</v>
      </c>
      <c r="L180" s="8">
        <f>IFERROR(K180/K444, "NA")</f>
        <v>0.17637297000548582</v>
      </c>
      <c r="M180" s="9"/>
      <c r="N180" s="10">
        <f t="shared" si="45"/>
        <v>-2436.4600000000028</v>
      </c>
      <c r="O180" s="8">
        <f>IFERROR(N180/N444, "NA")</f>
        <v>-0.52805579516343681</v>
      </c>
      <c r="P180" s="9"/>
      <c r="Q180" s="7">
        <v>48662.85</v>
      </c>
      <c r="R180" s="8">
        <f>IFERROR(Q180/Q444, "NA")</f>
        <v>0.19843542868900785</v>
      </c>
      <c r="S180" s="9"/>
      <c r="T180" s="7">
        <v>48374.31</v>
      </c>
      <c r="U180" s="8">
        <f>IFERROR(T180/T444, "NA")</f>
        <v>0.21501124830444268</v>
      </c>
      <c r="V180" s="9"/>
      <c r="W180" s="10">
        <f t="shared" si="46"/>
        <v>-288.54000000000087</v>
      </c>
      <c r="X180" s="8">
        <f>IFERROR(W180/W444, "NA")</f>
        <v>-1.4250542655567463E-2</v>
      </c>
      <c r="Y180" s="9"/>
      <c r="Z180" s="7">
        <v>42710.52</v>
      </c>
      <c r="AA180" s="8">
        <f>IFERROR(Z180/Z444, "NA")</f>
        <v>0.20396439687444962</v>
      </c>
      <c r="AB180" s="9"/>
      <c r="AC180" s="10">
        <f t="shared" si="47"/>
        <v>-5952.3300000000017</v>
      </c>
      <c r="AD180" s="8">
        <f>IFERROR(AC180/AC444, "NA")</f>
        <v>-0.16612314032357048</v>
      </c>
    </row>
    <row r="181" spans="1:30" ht="16.5" customHeight="1" x14ac:dyDescent="0.45">
      <c r="A181" s="12" t="s">
        <v>166</v>
      </c>
      <c r="B181" s="7">
        <v>120.83</v>
      </c>
      <c r="C181" s="8">
        <f>IFERROR(B181/B444, "NA")</f>
        <v>1.1598244415699202E-3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-120.83</v>
      </c>
      <c r="I181" s="8">
        <f>IFERROR(H181/H444, "NA")</f>
        <v>1.6475679862118627E-2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-120.83</v>
      </c>
      <c r="O181" s="8">
        <f>IFERROR(N181/N444, "NA")</f>
        <v>-2.6187576126674765E-2</v>
      </c>
      <c r="P181" s="9"/>
      <c r="Q181" s="7">
        <v>199.29</v>
      </c>
      <c r="R181" s="8">
        <f>IFERROR(Q181/Q444, "NA")</f>
        <v>8.12656812813725E-4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-199.29</v>
      </c>
      <c r="X181" s="8">
        <f>IFERROR(W181/W444, "NA")</f>
        <v>-9.8426237118875402E-3</v>
      </c>
      <c r="Y181" s="9"/>
      <c r="Z181" s="7">
        <v>0.31</v>
      </c>
      <c r="AA181" s="8">
        <f>IFERROR(Z181/Z444, "NA")</f>
        <v>1.4804072399745867E-6</v>
      </c>
      <c r="AB181" s="9"/>
      <c r="AC181" s="10">
        <f t="shared" si="47"/>
        <v>-198.98</v>
      </c>
      <c r="AD181" s="8">
        <f>IFERROR(AC181/AC444, "NA")</f>
        <v>-5.5533181899498256E-3</v>
      </c>
    </row>
    <row r="182" spans="1:30" ht="16.5" customHeight="1" x14ac:dyDescent="0.45">
      <c r="A182" s="13" t="s">
        <v>167</v>
      </c>
      <c r="B182" s="14">
        <f>IFERROR(B177+B178+B179+B180+B181, "NA")</f>
        <v>25887.210000000003</v>
      </c>
      <c r="C182" s="15">
        <f>IFERROR(B182/B444, "NA")</f>
        <v>0.24848645934000876</v>
      </c>
      <c r="D182" s="2"/>
      <c r="E182" s="14">
        <f>IFERROR(E177+E178+E179+E180+E181, "NA")</f>
        <v>28998.73</v>
      </c>
      <c r="F182" s="15">
        <f>IFERROR(E182/E444, "NA")</f>
        <v>0.26004704367367509</v>
      </c>
      <c r="G182" s="2"/>
      <c r="H182" s="14">
        <f t="shared" si="44"/>
        <v>3111.5199999999968</v>
      </c>
      <c r="I182" s="15">
        <f>IFERROR(H182/H444, "NA")</f>
        <v>-0.42426886869634439</v>
      </c>
      <c r="J182" s="2"/>
      <c r="K182" s="14">
        <f>IFERROR(K177+K178+K179+K180+K181, "NA")</f>
        <v>24195.269999999997</v>
      </c>
      <c r="L182" s="15">
        <f>IFERROR(K182/K444, "NA")</f>
        <v>0.24300847461882893</v>
      </c>
      <c r="M182" s="2"/>
      <c r="N182" s="14">
        <f t="shared" si="45"/>
        <v>-1691.940000000006</v>
      </c>
      <c r="O182" s="15">
        <f>IFERROR(N182/N444, "NA")</f>
        <v>-0.36669541961239971</v>
      </c>
      <c r="P182" s="2"/>
      <c r="Q182" s="14">
        <f>IFERROR(Q177+Q178+Q179+Q180+Q181, "NA")</f>
        <v>63862.189999999995</v>
      </c>
      <c r="R182" s="15">
        <f>IFERROR(Q182/Q444, "NA")</f>
        <v>0.26041469107684545</v>
      </c>
      <c r="S182" s="2"/>
      <c r="T182" s="14">
        <f>IFERROR(T177+T178+T179+T180+T181, "NA")</f>
        <v>64624.31</v>
      </c>
      <c r="U182" s="15">
        <f>IFERROR(T182/T444, "NA")</f>
        <v>0.28723827924188022</v>
      </c>
      <c r="V182" s="2"/>
      <c r="W182" s="14">
        <f t="shared" si="46"/>
        <v>762.12000000000262</v>
      </c>
      <c r="X182" s="15">
        <f>IFERROR(W182/W444, "NA")</f>
        <v>3.7639923645460177E-2</v>
      </c>
      <c r="Y182" s="2"/>
      <c r="Z182" s="14">
        <f>IFERROR(Z177+Z178+Z179+Z180+Z181, "NA")</f>
        <v>59960.789999999994</v>
      </c>
      <c r="AA182" s="15">
        <f>IFERROR(Z182/Z444, "NA")</f>
        <v>0.28634318590514768</v>
      </c>
      <c r="AB182" s="2"/>
      <c r="AC182" s="14">
        <f t="shared" si="47"/>
        <v>-3901.4000000000015</v>
      </c>
      <c r="AD182" s="15">
        <f>IFERROR(AC182/AC444, "NA")</f>
        <v>-0.1088838857486695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2.8796435692375741E-3</v>
      </c>
      <c r="D184" s="9"/>
      <c r="E184" s="7">
        <v>300</v>
      </c>
      <c r="F184" s="8">
        <f>IFERROR(E184/E444, "NA")</f>
        <v>2.6902596459259607E-3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3.0130906737411358E-3</v>
      </c>
      <c r="M184" s="9"/>
      <c r="N184" s="10">
        <f t="shared" si="45"/>
        <v>0</v>
      </c>
      <c r="O184" s="8">
        <f>IFERROR(N184/N444, "NA")</f>
        <v>0</v>
      </c>
      <c r="P184" s="9"/>
      <c r="Q184" s="7">
        <v>900</v>
      </c>
      <c r="R184" s="8">
        <f>IFERROR(Q184/Q444, "NA")</f>
        <v>3.6699841012210973E-3</v>
      </c>
      <c r="S184" s="9"/>
      <c r="T184" s="7">
        <v>900</v>
      </c>
      <c r="U184" s="8">
        <f>IFERROR(T184/T444, "NA")</f>
        <v>4.0002663288426941E-3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900</v>
      </c>
      <c r="AA184" s="8">
        <f>IFERROR(Z184/Z444, "NA")</f>
        <v>4.2979565031520256E-3</v>
      </c>
      <c r="AB184" s="9"/>
      <c r="AC184" s="10">
        <f t="shared" si="47"/>
        <v>0</v>
      </c>
      <c r="AD184" s="8">
        <f>IFERROR(AC184/AC444, "NA")</f>
        <v>0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3292.72</v>
      </c>
      <c r="C186" s="8">
        <f>IFERROR(B186/B444, "NA")</f>
        <v>3.1606199910999812E-2</v>
      </c>
      <c r="D186" s="9"/>
      <c r="E186" s="7">
        <v>3481.28</v>
      </c>
      <c r="F186" s="8">
        <f>IFERROR(E186/E444, "NA")</f>
        <v>3.1218490333897096E-2</v>
      </c>
      <c r="G186" s="9"/>
      <c r="H186" s="10">
        <f t="shared" ref="H186:H197" si="48">IFERROR(-(B186-E186), "NA")</f>
        <v>188.5600000000004</v>
      </c>
      <c r="I186" s="8">
        <f>IFERROR(H186/H444, "NA")</f>
        <v>-2.5710950879757465E-2</v>
      </c>
      <c r="J186" s="9"/>
      <c r="K186" s="7">
        <v>3561.58</v>
      </c>
      <c r="L186" s="8">
        <f>IFERROR(K186/K444, "NA")</f>
        <v>3.5771211605943182E-2</v>
      </c>
      <c r="M186" s="9"/>
      <c r="N186" s="10">
        <f t="shared" ref="N186:N197" si="49">IFERROR(-(B186-K186), "NA")</f>
        <v>268.86000000000013</v>
      </c>
      <c r="O186" s="8">
        <f>IFERROR(N186/N444, "NA")</f>
        <v>5.827022856424547E-2</v>
      </c>
      <c r="P186" s="9"/>
      <c r="Q186" s="7">
        <v>9318.61</v>
      </c>
      <c r="R186" s="8">
        <f>IFERROR(Q186/Q444, "NA")</f>
        <v>3.7999056161644368E-2</v>
      </c>
      <c r="S186" s="9"/>
      <c r="T186" s="7">
        <v>8110.25</v>
      </c>
      <c r="U186" s="8">
        <f>IFERROR(T186/T444, "NA")</f>
        <v>3.6047955548329395E-2</v>
      </c>
      <c r="V186" s="9"/>
      <c r="W186" s="10">
        <f t="shared" ref="W186:W197" si="50">IFERROR(-(Q186-T186), "NA")</f>
        <v>-1208.3600000000006</v>
      </c>
      <c r="X186" s="8">
        <f>IFERROR(W186/W444, "NA")</f>
        <v>-5.9679024479383988E-2</v>
      </c>
      <c r="Y186" s="9"/>
      <c r="Z186" s="7">
        <v>9750.52</v>
      </c>
      <c r="AA186" s="8">
        <f>IFERROR(Z186/Z444, "NA")</f>
        <v>4.656367871457099E-2</v>
      </c>
      <c r="AB186" s="9"/>
      <c r="AC186" s="10">
        <f t="shared" ref="AC186:AC197" si="51">IFERROR(-(Q186-Z186), "NA")</f>
        <v>431.90999999999985</v>
      </c>
      <c r="AD186" s="8">
        <f>IFERROR(AC186/AC444, "NA")</f>
        <v>1.2054144433718104E-2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0.02</v>
      </c>
      <c r="L187" s="8">
        <f>IFERROR(K187/K444, "NA")</f>
        <v>2.008727115827424E-7</v>
      </c>
      <c r="M187" s="9"/>
      <c r="N187" s="10">
        <f t="shared" si="49"/>
        <v>0.02</v>
      </c>
      <c r="O187" s="8">
        <f>IFERROR(N187/N444, "NA")</f>
        <v>4.3346149344822914E-6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0.03</v>
      </c>
      <c r="AA187" s="8">
        <f>IFERROR(Z187/Z444, "NA")</f>
        <v>1.432652167717342E-7</v>
      </c>
      <c r="AB187" s="9"/>
      <c r="AC187" s="10">
        <f t="shared" si="51"/>
        <v>0.03</v>
      </c>
      <c r="AD187" s="8">
        <f>IFERROR(AC187/AC444, "NA")</f>
        <v>8.3726779424311367E-7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3292.72</v>
      </c>
      <c r="C193" s="15">
        <f>IFERROR(B193/B444, "NA")</f>
        <v>3.1606199910999812E-2</v>
      </c>
      <c r="D193" s="2"/>
      <c r="E193" s="14">
        <f>IFERROR(E186+E187+E188+E189+E190+E191+E192, "NA")</f>
        <v>3481.28</v>
      </c>
      <c r="F193" s="15">
        <f>IFERROR(E193/E444, "NA")</f>
        <v>3.1218490333897096E-2</v>
      </c>
      <c r="G193" s="2"/>
      <c r="H193" s="14">
        <f t="shared" si="48"/>
        <v>188.5600000000004</v>
      </c>
      <c r="I193" s="15">
        <f>IFERROR(H193/H444, "NA")</f>
        <v>-2.5710950879757465E-2</v>
      </c>
      <c r="J193" s="2"/>
      <c r="K193" s="14">
        <f>IFERROR(K186+K187+K188+K189+K190+K191+K192, "NA")</f>
        <v>3561.6</v>
      </c>
      <c r="L193" s="15">
        <f>IFERROR(K193/K444, "NA")</f>
        <v>3.5771412478654764E-2</v>
      </c>
      <c r="M193" s="2"/>
      <c r="N193" s="14">
        <f t="shared" si="49"/>
        <v>268.88000000000011</v>
      </c>
      <c r="O193" s="15">
        <f>IFERROR(N193/N444, "NA")</f>
        <v>5.827456317917995E-2</v>
      </c>
      <c r="P193" s="2"/>
      <c r="Q193" s="14">
        <f>IFERROR(Q186+Q187+Q188+Q189+Q190+Q191+Q192, "NA")</f>
        <v>9318.61</v>
      </c>
      <c r="R193" s="15">
        <f>IFERROR(Q193/Q444, "NA")</f>
        <v>3.7999056161644368E-2</v>
      </c>
      <c r="S193" s="2"/>
      <c r="T193" s="14">
        <f>IFERROR(T186+T187+T188+T189+T190+T191+T192, "NA")</f>
        <v>8110.25</v>
      </c>
      <c r="U193" s="15">
        <f>IFERROR(T193/T444, "NA")</f>
        <v>3.6047955548329395E-2</v>
      </c>
      <c r="V193" s="2"/>
      <c r="W193" s="14">
        <f t="shared" si="50"/>
        <v>-1208.3600000000006</v>
      </c>
      <c r="X193" s="15">
        <f>IFERROR(W193/W444, "NA")</f>
        <v>-5.9679024479383988E-2</v>
      </c>
      <c r="Y193" s="2"/>
      <c r="Z193" s="14">
        <f>IFERROR(Z186+Z187+Z188+Z189+Z190+Z191+Z192, "NA")</f>
        <v>9750.5500000000011</v>
      </c>
      <c r="AA193" s="15">
        <f>IFERROR(Z193/Z444, "NA")</f>
        <v>4.656382197978777E-2</v>
      </c>
      <c r="AB193" s="2"/>
      <c r="AC193" s="14">
        <f t="shared" si="51"/>
        <v>431.94000000000051</v>
      </c>
      <c r="AD193" s="15">
        <f>IFERROR(AC193/AC444, "NA")</f>
        <v>1.2054981701512365E-2</v>
      </c>
    </row>
    <row r="194" spans="1:30" ht="16.5" customHeight="1" x14ac:dyDescent="0.45">
      <c r="A194" s="6" t="s">
        <v>178</v>
      </c>
      <c r="B194" s="7">
        <v>212</v>
      </c>
      <c r="C194" s="8">
        <f>IFERROR(B194/B444, "NA")</f>
        <v>2.0349481222612189E-3</v>
      </c>
      <c r="D194" s="9"/>
      <c r="E194" s="7">
        <v>234.39</v>
      </c>
      <c r="F194" s="8">
        <f>IFERROR(E194/E444, "NA")</f>
        <v>2.1018998613619531E-3</v>
      </c>
      <c r="G194" s="9"/>
      <c r="H194" s="10">
        <f t="shared" si="48"/>
        <v>22.389999999999986</v>
      </c>
      <c r="I194" s="8">
        <f>IFERROR(H194/H444, "NA")</f>
        <v>-3.0529708856479004E-3</v>
      </c>
      <c r="J194" s="9"/>
      <c r="K194" s="7">
        <v>424</v>
      </c>
      <c r="L194" s="8">
        <f>IFERROR(K194/K444, "NA")</f>
        <v>4.258501485554139E-3</v>
      </c>
      <c r="M194" s="9"/>
      <c r="N194" s="10">
        <f t="shared" si="49"/>
        <v>212</v>
      </c>
      <c r="O194" s="8">
        <f>IFERROR(N194/N444, "NA")</f>
        <v>4.5946918305512292E-2</v>
      </c>
      <c r="P194" s="9"/>
      <c r="Q194" s="7">
        <v>751.54</v>
      </c>
      <c r="R194" s="8">
        <f>IFERROR(Q194/Q444, "NA")</f>
        <v>3.064599834924115E-3</v>
      </c>
      <c r="S194" s="9"/>
      <c r="T194" s="7">
        <v>524.20000000000005</v>
      </c>
      <c r="U194" s="8">
        <f>IFERROR(T194/T444, "NA")</f>
        <v>2.3299328995326002E-3</v>
      </c>
      <c r="V194" s="9"/>
      <c r="W194" s="10">
        <f t="shared" si="50"/>
        <v>-227.33999999999992</v>
      </c>
      <c r="X194" s="8">
        <f>IFERROR(W194/W444, "NA")</f>
        <v>-1.1227969665615499E-2</v>
      </c>
      <c r="Y194" s="9"/>
      <c r="Z194" s="7">
        <v>696.42</v>
      </c>
      <c r="AA194" s="8">
        <f>IFERROR(Z194/Z444, "NA")</f>
        <v>3.3257587421390376E-3</v>
      </c>
      <c r="AB194" s="9"/>
      <c r="AC194" s="10">
        <f t="shared" si="51"/>
        <v>-55.120000000000005</v>
      </c>
      <c r="AD194" s="8">
        <f>IFERROR(AC194/AC444, "NA")</f>
        <v>-1.5383400272893477E-3</v>
      </c>
    </row>
    <row r="195" spans="1:30" ht="16.5" customHeight="1" x14ac:dyDescent="0.45">
      <c r="A195" s="6" t="s">
        <v>179</v>
      </c>
      <c r="B195" s="7">
        <v>-227.2</v>
      </c>
      <c r="C195" s="8">
        <f>IFERROR(B195/B444, "NA")</f>
        <v>-2.1808500631025894E-3</v>
      </c>
      <c r="D195" s="9"/>
      <c r="E195" s="7">
        <v>205.09</v>
      </c>
      <c r="F195" s="8">
        <f>IFERROR(E195/E444, "NA")</f>
        <v>1.8391511692765175E-3</v>
      </c>
      <c r="G195" s="9"/>
      <c r="H195" s="10">
        <f t="shared" si="48"/>
        <v>432.28999999999996</v>
      </c>
      <c r="I195" s="8">
        <f>IFERROR(H195/H444, "NA")</f>
        <v>-5.8944563830135396E-2</v>
      </c>
      <c r="J195" s="9"/>
      <c r="K195" s="7">
        <v>149.69</v>
      </c>
      <c r="L195" s="8">
        <f>IFERROR(K195/K444, "NA")</f>
        <v>1.5034318098410353E-3</v>
      </c>
      <c r="M195" s="9"/>
      <c r="N195" s="10">
        <f t="shared" si="49"/>
        <v>376.89</v>
      </c>
      <c r="O195" s="8">
        <f>IFERROR(N195/N444, "NA")</f>
        <v>8.1683651132851531E-2</v>
      </c>
      <c r="P195" s="9"/>
      <c r="Q195" s="7">
        <v>-572.76</v>
      </c>
      <c r="R195" s="8">
        <f>IFERROR(Q195/Q444, "NA")</f>
        <v>-2.3355778820171062E-3</v>
      </c>
      <c r="S195" s="9"/>
      <c r="T195" s="7">
        <v>458.66</v>
      </c>
      <c r="U195" s="8">
        <f>IFERROR(T195/T444, "NA")</f>
        <v>2.0386246159855444E-3</v>
      </c>
      <c r="V195" s="9"/>
      <c r="W195" s="10">
        <f t="shared" si="50"/>
        <v>1031.42</v>
      </c>
      <c r="X195" s="8">
        <f>IFERROR(W195/W444, "NA")</f>
        <v>5.0940232570199452E-2</v>
      </c>
      <c r="Y195" s="9"/>
      <c r="Z195" s="7">
        <v>555.19000000000005</v>
      </c>
      <c r="AA195" s="8">
        <f>IFERROR(Z195/Z444, "NA")</f>
        <v>2.6513138566499703E-3</v>
      </c>
      <c r="AB195" s="9"/>
      <c r="AC195" s="10">
        <f t="shared" si="51"/>
        <v>1127.95</v>
      </c>
      <c r="AD195" s="8">
        <f>IFERROR(AC195/AC444, "NA")</f>
        <v>3.1479873617217338E-2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29464.730000000003</v>
      </c>
      <c r="C196" s="15">
        <f>IFERROR(B196/B444, "NA")</f>
        <v>0.2828264008794048</v>
      </c>
      <c r="D196" s="2"/>
      <c r="E196" s="14">
        <f>IFERROR(E175+E177+E178+E179+E180+E181+E183+E184+E186+E187+E188+E189+E190+E191+E192+E194+E195, "NA")</f>
        <v>33219.49</v>
      </c>
      <c r="F196" s="15">
        <f>IFERROR(E196/E444, "NA")</f>
        <v>0.29789684468413663</v>
      </c>
      <c r="G196" s="2"/>
      <c r="H196" s="14">
        <f t="shared" si="48"/>
        <v>3754.7599999999948</v>
      </c>
      <c r="I196" s="15">
        <f>IFERROR(H196/H444, "NA")</f>
        <v>-0.51197735429188485</v>
      </c>
      <c r="J196" s="2"/>
      <c r="K196" s="14">
        <f>IFERROR(K175+K177+K178+K179+K180+K181+K183+K184+K186+K187+K188+K189+K190+K191+K192+K194+K195, "NA")</f>
        <v>28630.559999999998</v>
      </c>
      <c r="L196" s="15">
        <f>IFERROR(K196/K444, "NA")</f>
        <v>0.28755491106662001</v>
      </c>
      <c r="M196" s="2"/>
      <c r="N196" s="14">
        <f t="shared" si="49"/>
        <v>-834.17000000000553</v>
      </c>
      <c r="O196" s="15">
        <f>IFERROR(N196/N444, "NA")</f>
        <v>-0.18079028699485586</v>
      </c>
      <c r="P196" s="2"/>
      <c r="Q196" s="14">
        <f>IFERROR(Q175+Q177+Q178+Q179+Q180+Q181+Q183+Q184+Q186+Q187+Q188+Q189+Q190+Q191+Q192+Q194+Q195, "NA")</f>
        <v>74259.579999999987</v>
      </c>
      <c r="R196" s="15">
        <f>IFERROR(Q196/Q444, "NA")</f>
        <v>0.30281275329261792</v>
      </c>
      <c r="S196" s="2"/>
      <c r="T196" s="14">
        <f>IFERROR(T175+T177+T178+T179+T180+T181+T183+T184+T186+T187+T188+T189+T190+T191+T192+T194+T195, "NA")</f>
        <v>74617.42</v>
      </c>
      <c r="U196" s="15">
        <f>IFERROR(T196/T444, "NA")</f>
        <v>0.33165505863457045</v>
      </c>
      <c r="V196" s="2"/>
      <c r="W196" s="14">
        <f t="shared" si="50"/>
        <v>357.84000000001106</v>
      </c>
      <c r="X196" s="15">
        <f>IFERROR(W196/W444, "NA")</f>
        <v>1.7673162070660577E-2</v>
      </c>
      <c r="Y196" s="2"/>
      <c r="Z196" s="14">
        <f>IFERROR(Z175+Z177+Z178+Z179+Z180+Z181+Z183+Z184+Z186+Z187+Z188+Z189+Z190+Z191+Z192+Z194+Z195, "NA")</f>
        <v>71862.95</v>
      </c>
      <c r="AA196" s="15">
        <f>IFERROR(Z196/Z444, "NA")</f>
        <v>0.34318203698687649</v>
      </c>
      <c r="AB196" s="2"/>
      <c r="AC196" s="14">
        <f t="shared" si="51"/>
        <v>-2396.6299999999901</v>
      </c>
      <c r="AD196" s="15">
        <f>IFERROR(AC196/AC444, "NA")</f>
        <v>-6.688737045722884E-2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29464.730000000003</v>
      </c>
      <c r="C197" s="15">
        <f>IFERROR(B197/B444, "NA")</f>
        <v>0.2828264008794048</v>
      </c>
      <c r="D197" s="2"/>
      <c r="E197" s="14">
        <f>IFERROR(E175+E177+E178+E179+E180+E181+E183+E184+E186+E187+E188+E189+E190+E191+E192+E194+E195, "NA")</f>
        <v>33219.49</v>
      </c>
      <c r="F197" s="15">
        <f>IFERROR(E197/E444, "NA")</f>
        <v>0.29789684468413663</v>
      </c>
      <c r="G197" s="2"/>
      <c r="H197" s="14">
        <f t="shared" si="48"/>
        <v>3754.7599999999948</v>
      </c>
      <c r="I197" s="15">
        <f>IFERROR(H197/H444, "NA")</f>
        <v>-0.51197735429188485</v>
      </c>
      <c r="J197" s="2"/>
      <c r="K197" s="14">
        <f>IFERROR(K175+K177+K178+K179+K180+K181+K183+K184+K186+K187+K188+K189+K190+K191+K192+K194+K195, "NA")</f>
        <v>28630.559999999998</v>
      </c>
      <c r="L197" s="15">
        <f>IFERROR(K197/K444, "NA")</f>
        <v>0.28755491106662001</v>
      </c>
      <c r="M197" s="2"/>
      <c r="N197" s="14">
        <f t="shared" si="49"/>
        <v>-834.17000000000553</v>
      </c>
      <c r="O197" s="15">
        <f>IFERROR(N197/N444, "NA")</f>
        <v>-0.18079028699485586</v>
      </c>
      <c r="P197" s="2"/>
      <c r="Q197" s="14">
        <f>IFERROR(Q175+Q177+Q178+Q179+Q180+Q181+Q183+Q184+Q186+Q187+Q188+Q189+Q190+Q191+Q192+Q194+Q195, "NA")</f>
        <v>74259.579999999987</v>
      </c>
      <c r="R197" s="15">
        <f>IFERROR(Q197/Q444, "NA")</f>
        <v>0.30281275329261792</v>
      </c>
      <c r="S197" s="2"/>
      <c r="T197" s="14">
        <f>IFERROR(T175+T177+T178+T179+T180+T181+T183+T184+T186+T187+T188+T189+T190+T191+T192+T194+T195, "NA")</f>
        <v>74617.42</v>
      </c>
      <c r="U197" s="15">
        <f>IFERROR(T197/T444, "NA")</f>
        <v>0.33165505863457045</v>
      </c>
      <c r="V197" s="2"/>
      <c r="W197" s="14">
        <f t="shared" si="50"/>
        <v>357.84000000001106</v>
      </c>
      <c r="X197" s="15">
        <f>IFERROR(W197/W444, "NA")</f>
        <v>1.7673162070660577E-2</v>
      </c>
      <c r="Y197" s="2"/>
      <c r="Z197" s="14">
        <f>IFERROR(Z175+Z177+Z178+Z179+Z180+Z181+Z183+Z184+Z186+Z187+Z188+Z189+Z190+Z191+Z192+Z194+Z195, "NA")</f>
        <v>71862.95</v>
      </c>
      <c r="AA197" s="15">
        <f>IFERROR(Z197/Z444, "NA")</f>
        <v>0.34318203698687649</v>
      </c>
      <c r="AB197" s="2"/>
      <c r="AC197" s="14">
        <f t="shared" si="51"/>
        <v>-2396.6299999999901</v>
      </c>
      <c r="AD197" s="15">
        <f>IFERROR(AC197/AC444, "NA")</f>
        <v>-6.688737045722884E-2</v>
      </c>
    </row>
    <row r="198" spans="1:30" ht="16.5" customHeight="1" x14ac:dyDescent="0.45">
      <c r="A198" s="22" t="s">
        <v>181</v>
      </c>
      <c r="B198" s="23">
        <f>IFERROR(B172-B197, "NA")</f>
        <v>44282.200000000019</v>
      </c>
      <c r="C198" s="24">
        <f>IFERROR(B198/B444, "NA")</f>
        <v>0.4250565082056405</v>
      </c>
      <c r="D198" s="25"/>
      <c r="E198" s="23">
        <f>IFERROR(E172-E197, "NA")</f>
        <v>47850.750000000007</v>
      </c>
      <c r="F198" s="24">
        <f>IFERROR(E198/E444, "NA")</f>
        <v>0.42910313917430559</v>
      </c>
      <c r="G198" s="25"/>
      <c r="H198" s="23">
        <f>IFERROR(B198-E198, "NA")</f>
        <v>-3568.5499999999884</v>
      </c>
      <c r="I198" s="24">
        <f>IFERROR(H198/H444, "NA")</f>
        <v>0.48658683581861484</v>
      </c>
      <c r="J198" s="25"/>
      <c r="K198" s="23">
        <f>IFERROR(K172-K197, "NA")</f>
        <v>43260.390000000014</v>
      </c>
      <c r="L198" s="24">
        <f>IFERROR(K198/K444, "NA")</f>
        <v>0.43449159217134781</v>
      </c>
      <c r="M198" s="25"/>
      <c r="N198" s="23">
        <f>IFERROR(B198-K198, "NA")</f>
        <v>1021.8100000000049</v>
      </c>
      <c r="O198" s="24">
        <f>IFERROR(N198/N444, "NA")</f>
        <v>0.22145764431016859</v>
      </c>
      <c r="P198" s="25"/>
      <c r="Q198" s="23">
        <f>IFERROR(Q172-Q197, "NA")</f>
        <v>104740.42000000007</v>
      </c>
      <c r="R198" s="24">
        <f>IFERROR(Q198/Q444, "NA")</f>
        <v>0.42710630683913392</v>
      </c>
      <c r="S198" s="25"/>
      <c r="T198" s="23">
        <f>IFERROR(T172-T197, "NA")</f>
        <v>87538.87999999999</v>
      </c>
      <c r="U198" s="24">
        <f>IFERROR(T198/T444, "NA")</f>
        <v>0.3890875934762234</v>
      </c>
      <c r="V198" s="25"/>
      <c r="W198" s="23">
        <f>IFERROR(Q198-T198, "NA")</f>
        <v>17201.540000000081</v>
      </c>
      <c r="X198" s="24">
        <f>IFERROR(W198/W444, "NA")</f>
        <v>0.84955735603885196</v>
      </c>
      <c r="Y198" s="25"/>
      <c r="Z198" s="23">
        <f>IFERROR(Z172-Z197, "NA")</f>
        <v>77306.62000000001</v>
      </c>
      <c r="AA198" s="24">
        <f>IFERROR(Z198/Z444, "NA")</f>
        <v>0.36917832240633613</v>
      </c>
      <c r="AB198" s="25"/>
      <c r="AC198" s="23">
        <f>IFERROR(Q198-Z198, "NA")</f>
        <v>27433.800000000061</v>
      </c>
      <c r="AD198" s="24">
        <f>IFERROR(AC198/AC444, "NA")</f>
        <v>0.76564790712355946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2453.29</v>
      </c>
      <c r="F201" s="8">
        <f>IFERROR(E201/E444, "NA")</f>
        <v>2.1999956955845668E-2</v>
      </c>
      <c r="G201" s="9"/>
      <c r="H201" s="10">
        <f t="shared" ref="H201:H209" si="52">IFERROR(-(B201-E201), "NA")</f>
        <v>2453.29</v>
      </c>
      <c r="I201" s="8">
        <f>IFERROR(H201/H444, "NA")</f>
        <v>-0.33451643341005544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5176.6099999999997</v>
      </c>
      <c r="U201" s="8">
        <f>IFERROR(T201/T444, "NA")</f>
        <v>2.3008687422833751E-2</v>
      </c>
      <c r="V201" s="9"/>
      <c r="W201" s="10">
        <f t="shared" ref="W201:W209" si="54">IFERROR(-(Q201-T201), "NA")</f>
        <v>5176.6099999999997</v>
      </c>
      <c r="X201" s="8">
        <f>IFERROR(W201/W444, "NA")</f>
        <v>0.25566473146266327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723.63</v>
      </c>
      <c r="C202" s="8">
        <f>IFERROR(B202/B444, "NA")</f>
        <v>6.9459882533579528E-3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-723.63</v>
      </c>
      <c r="I202" s="8">
        <f>IFERROR(H202/H444, "NA")</f>
        <v>9.8670000981750397E-2</v>
      </c>
      <c r="J202" s="9"/>
      <c r="K202" s="7">
        <v>733.77</v>
      </c>
      <c r="L202" s="8">
        <f>IFERROR(K202/K444, "NA")</f>
        <v>7.3697184789034446E-3</v>
      </c>
      <c r="M202" s="9"/>
      <c r="N202" s="10">
        <f t="shared" si="53"/>
        <v>10.139999999999986</v>
      </c>
      <c r="O202" s="8">
        <f>IFERROR(N202/N444, "NA")</f>
        <v>2.1976497717825188E-3</v>
      </c>
      <c r="P202" s="9"/>
      <c r="Q202" s="7">
        <v>1803.36</v>
      </c>
      <c r="R202" s="8">
        <f>IFERROR(Q202/Q444, "NA")</f>
        <v>7.3536694764200867E-3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-1803.36</v>
      </c>
      <c r="X202" s="8">
        <f>IFERROR(W202/W444, "NA")</f>
        <v>-8.9065150770583149E-2</v>
      </c>
      <c r="Y202" s="9"/>
      <c r="Z202" s="7">
        <v>2092.35</v>
      </c>
      <c r="AA202" s="8">
        <f>IFERROR(Z202/Z444, "NA")</f>
        <v>9.9920325437446011E-3</v>
      </c>
      <c r="AB202" s="9"/>
      <c r="AC202" s="10">
        <f t="shared" si="55"/>
        <v>288.99</v>
      </c>
      <c r="AD202" s="8">
        <f>IFERROR(AC202/AC444, "NA")</f>
        <v>8.065400661943915E-3</v>
      </c>
    </row>
    <row r="203" spans="1:30" ht="16.5" customHeight="1" x14ac:dyDescent="0.45">
      <c r="A203" s="6" t="s">
        <v>185</v>
      </c>
      <c r="B203" s="7">
        <v>769.87</v>
      </c>
      <c r="C203" s="8">
        <f>IFERROR(B203/B444, "NA")</f>
        <v>7.3898373154964369E-3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-769.87</v>
      </c>
      <c r="I203" s="8">
        <f>IFERROR(H203/H444, "NA")</f>
        <v>0.10497501990771552</v>
      </c>
      <c r="J203" s="9"/>
      <c r="K203" s="7">
        <v>1072.3900000000001</v>
      </c>
      <c r="L203" s="8">
        <f>IFERROR(K203/K444, "NA")</f>
        <v>1.0770694358710857E-2</v>
      </c>
      <c r="M203" s="9"/>
      <c r="N203" s="10">
        <f t="shared" si="53"/>
        <v>302.5200000000001</v>
      </c>
      <c r="O203" s="8">
        <f>IFERROR(N203/N444, "NA")</f>
        <v>6.5565385498979167E-2</v>
      </c>
      <c r="P203" s="9"/>
      <c r="Q203" s="7">
        <v>1521.73</v>
      </c>
      <c r="R203" s="8">
        <f>IFERROR(Q203/Q444, "NA")</f>
        <v>6.2052498959457563E-3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-1521.73</v>
      </c>
      <c r="X203" s="8">
        <f>IFERROR(W203/W444, "NA")</f>
        <v>-7.5155882287574027E-2</v>
      </c>
      <c r="Y203" s="9"/>
      <c r="Z203" s="7">
        <v>1889.13</v>
      </c>
      <c r="AA203" s="8">
        <f>IFERROR(Z203/Z444, "NA")</f>
        <v>9.0215539653328743E-3</v>
      </c>
      <c r="AB203" s="9"/>
      <c r="AC203" s="10">
        <f t="shared" si="55"/>
        <v>367.40000000000009</v>
      </c>
      <c r="AD203" s="8">
        <f>IFERROR(AC203/AC444, "NA")</f>
        <v>1.0253739586830669E-2</v>
      </c>
    </row>
    <row r="204" spans="1:30" ht="16.5" customHeight="1" x14ac:dyDescent="0.45">
      <c r="A204" s="6" t="s">
        <v>186</v>
      </c>
      <c r="B204" s="7">
        <v>30.58</v>
      </c>
      <c r="C204" s="8">
        <f>IFERROR(B204/B444, "NA")</f>
        <v>2.9353166782428337E-4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-30.58</v>
      </c>
      <c r="I204" s="8">
        <f>IFERROR(H204/H444, "NA")</f>
        <v>4.1697119108134364E-3</v>
      </c>
      <c r="J204" s="9"/>
      <c r="K204" s="7">
        <v>50.5</v>
      </c>
      <c r="L204" s="8">
        <f>IFERROR(K204/K444, "NA")</f>
        <v>5.0720359674642453E-4</v>
      </c>
      <c r="M204" s="9"/>
      <c r="N204" s="10">
        <f t="shared" si="53"/>
        <v>19.920000000000002</v>
      </c>
      <c r="O204" s="8">
        <f>IFERROR(N204/N444, "NA")</f>
        <v>4.3172764747443628E-3</v>
      </c>
      <c r="P204" s="9"/>
      <c r="Q204" s="7">
        <v>300.70999999999998</v>
      </c>
      <c r="R204" s="8">
        <f>IFERROR(Q204/Q444, "NA")</f>
        <v>1.2262232434202178E-3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-300.70999999999998</v>
      </c>
      <c r="X204" s="8">
        <f>IFERROR(W204/W444, "NA")</f>
        <v>-1.4851600062229426E-2</v>
      </c>
      <c r="Y204" s="9"/>
      <c r="Z204" s="7">
        <v>114.55</v>
      </c>
      <c r="AA204" s="8">
        <f>IFERROR(Z204/Z444, "NA")</f>
        <v>5.4703435270673834E-4</v>
      </c>
      <c r="AB204" s="9"/>
      <c r="AC204" s="10">
        <f t="shared" si="55"/>
        <v>-186.15999999999997</v>
      </c>
      <c r="AD204" s="8">
        <f>IFERROR(AC204/AC444, "NA")</f>
        <v>-5.1955257525432676E-3</v>
      </c>
    </row>
    <row r="205" spans="1:30" ht="16.5" customHeight="1" x14ac:dyDescent="0.45">
      <c r="A205" s="6" t="s">
        <v>187</v>
      </c>
      <c r="B205" s="7">
        <v>492.33</v>
      </c>
      <c r="C205" s="8">
        <f>IFERROR(B205/B444, "NA")</f>
        <v>4.7257830614757827E-3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-492.33</v>
      </c>
      <c r="I205" s="8">
        <f>IFERROR(H205/H444, "NA")</f>
        <v>6.7131270930372119E-2</v>
      </c>
      <c r="J205" s="9"/>
      <c r="K205" s="7">
        <v>470.64</v>
      </c>
      <c r="L205" s="8">
        <f>IFERROR(K205/K444, "NA")</f>
        <v>4.7269366489650936E-3</v>
      </c>
      <c r="M205" s="9"/>
      <c r="N205" s="10">
        <f t="shared" si="53"/>
        <v>-21.689999999999998</v>
      </c>
      <c r="O205" s="8">
        <f>IFERROR(N205/N444, "NA")</f>
        <v>-4.7008898964460448E-3</v>
      </c>
      <c r="P205" s="9"/>
      <c r="Q205" s="7">
        <v>1080.3599999999999</v>
      </c>
      <c r="R205" s="8">
        <f>IFERROR(Q205/Q444, "NA")</f>
        <v>4.4054489151058047E-3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-1080.3599999999999</v>
      </c>
      <c r="X205" s="8">
        <f>IFERROR(W205/W444, "NA")</f>
        <v>-5.3357303193210012E-2</v>
      </c>
      <c r="Y205" s="9"/>
      <c r="Z205" s="7">
        <v>1512.89</v>
      </c>
      <c r="AA205" s="8">
        <f>IFERROR(Z205/Z444, "NA")</f>
        <v>7.2248171267262984E-3</v>
      </c>
      <c r="AB205" s="9"/>
      <c r="AC205" s="10">
        <f t="shared" si="55"/>
        <v>432.5300000000002</v>
      </c>
      <c r="AD205" s="8">
        <f>IFERROR(AC205/AC444, "NA")</f>
        <v>1.2071447968132471E-2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176.64</v>
      </c>
      <c r="L206" s="8">
        <f>IFERROR(K206/K444, "NA")</f>
        <v>1.7741077886987808E-3</v>
      </c>
      <c r="M206" s="9"/>
      <c r="N206" s="10">
        <f t="shared" si="53"/>
        <v>176.64</v>
      </c>
      <c r="O206" s="8">
        <f>IFERROR(N206/N444, "NA")</f>
        <v>3.8283319101347593E-2</v>
      </c>
      <c r="P206" s="9"/>
      <c r="Q206" s="7">
        <v>10.8</v>
      </c>
      <c r="R206" s="8">
        <f>IFERROR(Q206/Q444, "NA")</f>
        <v>4.4039809214653168E-5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-10.8</v>
      </c>
      <c r="X206" s="8">
        <f>IFERROR(W206/W444, "NA")</f>
        <v>-5.3339523352092654E-4</v>
      </c>
      <c r="Y206" s="9"/>
      <c r="Z206" s="7">
        <v>176.64</v>
      </c>
      <c r="AA206" s="8">
        <f>IFERROR(Z206/Z444, "NA")</f>
        <v>8.4354559635197086E-4</v>
      </c>
      <c r="AB206" s="9"/>
      <c r="AC206" s="10">
        <f t="shared" si="55"/>
        <v>165.83999999999997</v>
      </c>
      <c r="AD206" s="8">
        <f>IFERROR(AC206/AC444, "NA")</f>
        <v>4.6284163665759317E-3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99.59</v>
      </c>
      <c r="R207" s="8">
        <f>IFERROR(Q207/Q444, "NA")</f>
        <v>4.0610412960067678E-4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-99.59</v>
      </c>
      <c r="X207" s="8">
        <f>IFERROR(W207/W444, "NA")</f>
        <v>-4.918595491328618E-3</v>
      </c>
      <c r="Y207" s="9"/>
      <c r="Z207" s="7">
        <v>154.15</v>
      </c>
      <c r="AA207" s="8">
        <f>IFERROR(Z207/Z444, "NA")</f>
        <v>7.3614443884542754E-4</v>
      </c>
      <c r="AB207" s="9"/>
      <c r="AC207" s="10">
        <f t="shared" si="55"/>
        <v>54.56</v>
      </c>
      <c r="AD207" s="8">
        <f>IFERROR(AC207/AC444, "NA")</f>
        <v>1.5227110284634763E-3</v>
      </c>
    </row>
    <row r="208" spans="1:30" ht="16.5" customHeight="1" x14ac:dyDescent="0.45">
      <c r="A208" s="6" t="s">
        <v>190</v>
      </c>
      <c r="B208" s="7">
        <v>231.08</v>
      </c>
      <c r="C208" s="8">
        <f>IFERROR(B208/B444, "NA")</f>
        <v>2.2180934532647287E-3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-231.08</v>
      </c>
      <c r="I208" s="8">
        <f>IFERROR(H208/H444, "NA")</f>
        <v>3.1508732123962359E-2</v>
      </c>
      <c r="J208" s="9"/>
      <c r="K208" s="7">
        <v>131.91</v>
      </c>
      <c r="L208" s="8">
        <f>IFERROR(K208/K444, "NA")</f>
        <v>1.3248559692439774E-3</v>
      </c>
      <c r="M208" s="9"/>
      <c r="N208" s="10">
        <f t="shared" si="53"/>
        <v>-99.170000000000016</v>
      </c>
      <c r="O208" s="8">
        <f>IFERROR(N208/N444, "NA")</f>
        <v>-2.1493188152630446E-2</v>
      </c>
      <c r="P208" s="9"/>
      <c r="Q208" s="7">
        <v>828.99</v>
      </c>
      <c r="R208" s="8">
        <f>IFERROR(Q208/Q444, "NA")</f>
        <v>3.3804223556347527E-3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-828.99</v>
      </c>
      <c r="X208" s="8">
        <f>IFERROR(W208/W444, "NA")</f>
        <v>-4.0942529133010448E-2</v>
      </c>
      <c r="Y208" s="9"/>
      <c r="Z208" s="7">
        <v>131.91</v>
      </c>
      <c r="AA208" s="8">
        <f>IFERROR(Z208/Z444, "NA")</f>
        <v>6.2993715814531521E-4</v>
      </c>
      <c r="AB208" s="9"/>
      <c r="AC208" s="10">
        <f t="shared" si="55"/>
        <v>-697.08</v>
      </c>
      <c r="AD208" s="8">
        <f>IFERROR(AC208/AC444, "NA")</f>
        <v>-1.945475446703299E-2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2247.4899999999998</v>
      </c>
      <c r="C209" s="15">
        <f>IFERROR(B209/B444, "NA")</f>
        <v>2.1573233751419181E-2</v>
      </c>
      <c r="D209" s="2"/>
      <c r="E209" s="14">
        <f>IFERROR(E201+E202+E203+E204+E205+E206+E207+E208, "NA")</f>
        <v>2453.29</v>
      </c>
      <c r="F209" s="15">
        <f>IFERROR(E209/E444, "NA")</f>
        <v>2.1999956955845668E-2</v>
      </c>
      <c r="G209" s="2"/>
      <c r="H209" s="14">
        <f t="shared" si="52"/>
        <v>205.80000000000018</v>
      </c>
      <c r="I209" s="15">
        <f>IFERROR(H209/H444, "NA")</f>
        <v>-2.8061697555441661E-2</v>
      </c>
      <c r="J209" s="2"/>
      <c r="K209" s="14">
        <f>IFERROR(K201+K202+K203+K204+K205+K206+K207+K208, "NA")</f>
        <v>2635.85</v>
      </c>
      <c r="L209" s="15">
        <f>IFERROR(K209/K444, "NA")</f>
        <v>2.6473516841268575E-2</v>
      </c>
      <c r="M209" s="2"/>
      <c r="N209" s="14">
        <f t="shared" si="53"/>
        <v>388.36000000000013</v>
      </c>
      <c r="O209" s="15">
        <f>IFERROR(N209/N444, "NA")</f>
        <v>8.4169552797777158E-2</v>
      </c>
      <c r="P209" s="2"/>
      <c r="Q209" s="14">
        <f>IFERROR(Q201+Q202+Q203+Q204+Q205+Q206+Q207+Q208, "NA")</f>
        <v>5645.54</v>
      </c>
      <c r="R209" s="15">
        <f>IFERROR(Q209/Q444, "NA")</f>
        <v>2.3021157825341948E-2</v>
      </c>
      <c r="S209" s="2"/>
      <c r="T209" s="14">
        <f>IFERROR(T201+T202+T203+T204+T205+T206+T207+T208, "NA")</f>
        <v>5176.6099999999997</v>
      </c>
      <c r="U209" s="15">
        <f>IFERROR(T209/T444, "NA")</f>
        <v>2.3008687422833751E-2</v>
      </c>
      <c r="V209" s="2"/>
      <c r="W209" s="14">
        <f t="shared" si="54"/>
        <v>-468.93000000000029</v>
      </c>
      <c r="X209" s="15">
        <f>IFERROR(W209/W444, "NA")</f>
        <v>-2.3159724708793353E-2</v>
      </c>
      <c r="Y209" s="2"/>
      <c r="Z209" s="14">
        <f>IFERROR(Z201+Z202+Z203+Z204+Z205+Z206+Z207+Z208, "NA")</f>
        <v>6071.62</v>
      </c>
      <c r="AA209" s="15">
        <f>IFERROR(Z209/Z444, "NA")</f>
        <v>2.8995065181853224E-2</v>
      </c>
      <c r="AB209" s="2"/>
      <c r="AC209" s="14">
        <f t="shared" si="55"/>
        <v>426.07999999999993</v>
      </c>
      <c r="AD209" s="15">
        <f>IFERROR(AC209/AC444, "NA")</f>
        <v>1.1891435392370194E-2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3745.42</v>
      </c>
      <c r="F213" s="8">
        <f>IFERROR(E213/E444, "NA")</f>
        <v>3.3587174276813375E-2</v>
      </c>
      <c r="G213" s="9"/>
      <c r="H213" s="10">
        <f t="shared" ref="H213:H227" si="56">IFERROR(-(B213-E213), "NA")</f>
        <v>3745.42</v>
      </c>
      <c r="I213" s="8">
        <f>IFERROR(H213/H444, "NA")</f>
        <v>-0.510703805918864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7877.2</v>
      </c>
      <c r="U213" s="8">
        <f>IFERROR(T213/T444, "NA")</f>
        <v>3.501210880617741E-2</v>
      </c>
      <c r="V213" s="9"/>
      <c r="W213" s="10">
        <f t="shared" ref="W213:W227" si="58">IFERROR(-(Q213-T213), "NA")</f>
        <v>7877.2</v>
      </c>
      <c r="X213" s="8">
        <f>IFERROR(W213/W444, "NA")</f>
        <v>0.38904267902694833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1886.96</v>
      </c>
      <c r="C214" s="8">
        <f>IFERROR(B214/B444, "NA")</f>
        <v>1.8112574098028442E-2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-1886.96</v>
      </c>
      <c r="I214" s="8">
        <f>IFERROR(H214/H444, "NA")</f>
        <v>0.25729495053069074</v>
      </c>
      <c r="J214" s="9"/>
      <c r="K214" s="7">
        <v>440</v>
      </c>
      <c r="L214" s="8">
        <f>IFERROR(K214/K444, "NA")</f>
        <v>4.4191996548203329E-3</v>
      </c>
      <c r="M214" s="9"/>
      <c r="N214" s="10">
        <f t="shared" si="57"/>
        <v>-1446.96</v>
      </c>
      <c r="O214" s="8">
        <f>IFERROR(N214/N444, "NA")</f>
        <v>-0.31360072127992483</v>
      </c>
      <c r="P214" s="9"/>
      <c r="Q214" s="7">
        <v>4733.5</v>
      </c>
      <c r="R214" s="8">
        <f>IFERROR(Q214/Q444, "NA")</f>
        <v>1.9302077492366738E-2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-4733.5</v>
      </c>
      <c r="X214" s="8">
        <f>IFERROR(W214/W444, "NA")</f>
        <v>-0.23378021646956534</v>
      </c>
      <c r="Y214" s="9"/>
      <c r="Z214" s="7">
        <v>946</v>
      </c>
      <c r="AA214" s="8">
        <f>IFERROR(Z214/Z444, "NA")</f>
        <v>4.5176298355353514E-3</v>
      </c>
      <c r="AB214" s="9"/>
      <c r="AC214" s="10">
        <f t="shared" si="59"/>
        <v>-3787.5</v>
      </c>
      <c r="AD214" s="8">
        <f>IFERROR(AC214/AC444, "NA")</f>
        <v>-0.1057050590231931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1.71</v>
      </c>
      <c r="C216" s="8">
        <f>IFERROR(B216/B444, "NA")</f>
        <v>1.6413968344654171E-5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-1.71</v>
      </c>
      <c r="I216" s="8">
        <f>IFERROR(H216/H444, "NA")</f>
        <v>2.3316570855104566E-4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-1.71</v>
      </c>
      <c r="O216" s="8">
        <f>IFERROR(N216/N444, "NA")</f>
        <v>-3.7060957689823593E-4</v>
      </c>
      <c r="P216" s="9"/>
      <c r="Q216" s="7">
        <v>1.71</v>
      </c>
      <c r="R216" s="8">
        <f>IFERROR(Q216/Q444, "NA")</f>
        <v>6.972969792320085E-6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-1.71</v>
      </c>
      <c r="X216" s="8">
        <f>IFERROR(W216/W444, "NA")</f>
        <v>-8.4454245307480033E-5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-1.71</v>
      </c>
      <c r="AD216" s="8">
        <f>IFERROR(AC216/AC444, "NA")</f>
        <v>-4.7724264271857482E-5</v>
      </c>
    </row>
    <row r="217" spans="1:30" ht="16.5" customHeight="1" x14ac:dyDescent="0.45">
      <c r="A217" s="12" t="s">
        <v>197</v>
      </c>
      <c r="B217" s="7">
        <v>3323.48</v>
      </c>
      <c r="C217" s="8">
        <f>IFERROR(B217/B444, "NA")</f>
        <v>3.1901459364965641E-2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-3323.48</v>
      </c>
      <c r="I217" s="8">
        <f>IFERROR(H217/H444, "NA")</f>
        <v>0.45317050821943233</v>
      </c>
      <c r="J217" s="9"/>
      <c r="K217" s="7">
        <v>181</v>
      </c>
      <c r="L217" s="8">
        <f>IFERROR(K217/K444, "NA")</f>
        <v>1.8178980398238186E-3</v>
      </c>
      <c r="M217" s="9"/>
      <c r="N217" s="10">
        <f t="shared" si="57"/>
        <v>-3142.48</v>
      </c>
      <c r="O217" s="8">
        <f>IFERROR(N217/N444, "NA")</f>
        <v>-0.6810720369655956</v>
      </c>
      <c r="P217" s="9"/>
      <c r="Q217" s="7">
        <v>7437.77</v>
      </c>
      <c r="R217" s="8">
        <f>IFERROR(Q217/Q444, "NA")</f>
        <v>3.0329441831710269E-2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-7437.77</v>
      </c>
      <c r="X217" s="8">
        <f>IFERROR(W217/W444, "NA")</f>
        <v>-0.36733991352082795</v>
      </c>
      <c r="Y217" s="9"/>
      <c r="Z217" s="7">
        <v>836.44</v>
      </c>
      <c r="AA217" s="8">
        <f>IFERROR(Z217/Z444, "NA")</f>
        <v>3.9944252638849783E-3</v>
      </c>
      <c r="AB217" s="9"/>
      <c r="AC217" s="10">
        <f t="shared" si="59"/>
        <v>-6601.33</v>
      </c>
      <c r="AD217" s="8">
        <f>IFERROR(AC217/AC444, "NA")</f>
        <v>-0.18423603360569646</v>
      </c>
    </row>
    <row r="218" spans="1:30" ht="16.5" customHeight="1" x14ac:dyDescent="0.45">
      <c r="A218" s="13" t="s">
        <v>198</v>
      </c>
      <c r="B218" s="14">
        <f>IFERROR(B213+B214+B215+B216+B217, "NA")</f>
        <v>5212.1499999999996</v>
      </c>
      <c r="C218" s="15">
        <f>IFERROR(B218/B444, "NA")</f>
        <v>5.0030447431338734E-2</v>
      </c>
      <c r="D218" s="2"/>
      <c r="E218" s="14">
        <f>IFERROR(E213+E214+E215+E216+E217, "NA")</f>
        <v>3745.42</v>
      </c>
      <c r="F218" s="15">
        <f>IFERROR(E218/E444, "NA")</f>
        <v>3.3587174276813375E-2</v>
      </c>
      <c r="G218" s="2"/>
      <c r="H218" s="14">
        <f t="shared" si="56"/>
        <v>-1466.7299999999996</v>
      </c>
      <c r="I218" s="15">
        <f>IFERROR(H218/H444, "NA")</f>
        <v>0.19999481853981002</v>
      </c>
      <c r="J218" s="2"/>
      <c r="K218" s="14">
        <f>IFERROR(K213+K214+K215+K216+K217, "NA")</f>
        <v>621</v>
      </c>
      <c r="L218" s="15">
        <f>IFERROR(K218/K444, "NA")</f>
        <v>6.2370976946441517E-3</v>
      </c>
      <c r="M218" s="2"/>
      <c r="N218" s="14">
        <f t="shared" si="57"/>
        <v>-4591.1499999999996</v>
      </c>
      <c r="O218" s="15">
        <f>IFERROR(N218/N444, "NA")</f>
        <v>-0.99504336782241853</v>
      </c>
      <c r="P218" s="2"/>
      <c r="Q218" s="14">
        <f>IFERROR(Q213+Q214+Q215+Q216+Q217, "NA")</f>
        <v>12172.98</v>
      </c>
      <c r="R218" s="15">
        <f>IFERROR(Q218/Q444, "NA")</f>
        <v>4.9638492293869324E-2</v>
      </c>
      <c r="S218" s="2"/>
      <c r="T218" s="14">
        <f>IFERROR(T213+T214+T215+T216+T217, "NA")</f>
        <v>7877.2</v>
      </c>
      <c r="U218" s="15">
        <f>IFERROR(T218/T444, "NA")</f>
        <v>3.501210880617741E-2</v>
      </c>
      <c r="V218" s="2"/>
      <c r="W218" s="14">
        <f t="shared" si="58"/>
        <v>-4295.78</v>
      </c>
      <c r="X218" s="15">
        <f>IFERROR(W218/W444, "NA")</f>
        <v>-0.21216190520875236</v>
      </c>
      <c r="Y218" s="2"/>
      <c r="Z218" s="14">
        <f>IFERROR(Z213+Z214+Z215+Z216+Z217, "NA")</f>
        <v>1782.44</v>
      </c>
      <c r="AA218" s="15">
        <f>IFERROR(Z218/Z444, "NA")</f>
        <v>8.5120550994203306E-3</v>
      </c>
      <c r="AB218" s="2"/>
      <c r="AC218" s="14">
        <f t="shared" si="59"/>
        <v>-10390.539999999999</v>
      </c>
      <c r="AD218" s="15">
        <f>IFERROR(AC218/AC444, "NA")</f>
        <v>-0.28998881689316142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262.67</v>
      </c>
      <c r="C222" s="8">
        <f>IFERROR(B222/B444, "NA")</f>
        <v>2.5213199211054456E-3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-262.67</v>
      </c>
      <c r="I222" s="8">
        <f>IFERROR(H222/H444, "NA")</f>
        <v>3.5816161792457994E-2</v>
      </c>
      <c r="J222" s="9"/>
      <c r="K222" s="7">
        <v>62.5</v>
      </c>
      <c r="L222" s="8">
        <f>IFERROR(K222/K444, "NA")</f>
        <v>6.2772722369607004E-4</v>
      </c>
      <c r="M222" s="9"/>
      <c r="N222" s="10">
        <f t="shared" si="57"/>
        <v>-200.17000000000002</v>
      </c>
      <c r="O222" s="8">
        <f>IFERROR(N222/N444, "NA")</f>
        <v>-4.3382993571766018E-2</v>
      </c>
      <c r="P222" s="9"/>
      <c r="Q222" s="7">
        <v>510.58</v>
      </c>
      <c r="R222" s="8">
        <f>IFERROR(Q222/Q444, "NA")</f>
        <v>2.0820227582238533E-3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-510.58</v>
      </c>
      <c r="X222" s="8">
        <f>IFERROR(W222/W444, "NA")</f>
        <v>-2.5216753549177282E-2</v>
      </c>
      <c r="Y222" s="9"/>
      <c r="Z222" s="7">
        <v>187.5</v>
      </c>
      <c r="AA222" s="8">
        <f>IFERROR(Z222/Z444, "NA")</f>
        <v>8.9540760482333874E-4</v>
      </c>
      <c r="AB222" s="9"/>
      <c r="AC222" s="10">
        <f t="shared" si="59"/>
        <v>-323.08</v>
      </c>
      <c r="AD222" s="8">
        <f>IFERROR(AC222/AC444, "NA")</f>
        <v>-9.0168159654688395E-3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111.51</v>
      </c>
      <c r="F226" s="8">
        <f>IFERROR(E226/E444, "NA")</f>
        <v>9.9996951039067966E-4</v>
      </c>
      <c r="G226" s="9"/>
      <c r="H226" s="10">
        <f t="shared" si="56"/>
        <v>111.51</v>
      </c>
      <c r="I226" s="8">
        <f>IFERROR(H226/H444, "NA")</f>
        <v>-1.5204858573407663E-2</v>
      </c>
      <c r="J226" s="9"/>
      <c r="K226" s="7">
        <v>459.38</v>
      </c>
      <c r="L226" s="8">
        <f>IFERROR(K226/K444, "NA")</f>
        <v>4.6138453123440101E-3</v>
      </c>
      <c r="M226" s="9"/>
      <c r="N226" s="10">
        <f t="shared" si="57"/>
        <v>459.38</v>
      </c>
      <c r="O226" s="8">
        <f>IFERROR(N226/N444, "NA")</f>
        <v>9.956177043012375E-2</v>
      </c>
      <c r="P226" s="9"/>
      <c r="Q226" s="7">
        <v>0</v>
      </c>
      <c r="R226" s="8">
        <f>IFERROR(Q226/Q444, "NA")</f>
        <v>0</v>
      </c>
      <c r="S226" s="9"/>
      <c r="T226" s="7">
        <v>224.98</v>
      </c>
      <c r="U226" s="8">
        <f>IFERROR(T226/T444, "NA")</f>
        <v>9.9997768740336577E-4</v>
      </c>
      <c r="V226" s="9"/>
      <c r="W226" s="10">
        <f t="shared" si="58"/>
        <v>224.98</v>
      </c>
      <c r="X226" s="8">
        <f>IFERROR(W226/W444, "NA")</f>
        <v>1.111141292940167E-2</v>
      </c>
      <c r="Y226" s="9"/>
      <c r="Z226" s="7">
        <v>1296.81</v>
      </c>
      <c r="AA226" s="8">
        <f>IFERROR(Z226/Z444, "NA")</f>
        <v>6.1929255253917537E-3</v>
      </c>
      <c r="AB226" s="9"/>
      <c r="AC226" s="10">
        <f t="shared" si="59"/>
        <v>1296.81</v>
      </c>
      <c r="AD226" s="8">
        <f>IFERROR(AC226/AC444, "NA")</f>
        <v>3.6192574941747074E-2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5474.82</v>
      </c>
      <c r="C227" s="15">
        <f>IFERROR(B227/B444, "NA")</f>
        <v>5.2551767352444184E-2</v>
      </c>
      <c r="D227" s="2"/>
      <c r="E227" s="14">
        <f>IFERROR(E211+E213+E214+E215+E216+E217+E219+E220+E221+E222+E223+E224+E225+E226, "NA")</f>
        <v>3856.9300000000003</v>
      </c>
      <c r="F227" s="15">
        <f>IFERROR(E227/E444, "NA")</f>
        <v>3.4587143787204053E-2</v>
      </c>
      <c r="G227" s="2"/>
      <c r="H227" s="14">
        <f t="shared" si="56"/>
        <v>-1617.8899999999994</v>
      </c>
      <c r="I227" s="15">
        <f>IFERROR(H227/H444, "NA")</f>
        <v>0.22060612175886032</v>
      </c>
      <c r="J227" s="2"/>
      <c r="K227" s="14">
        <f>IFERROR(K211+K213+K214+K215+K216+K217+K219+K220+K221+K222+K223+K224+K225+K226, "NA")</f>
        <v>1142.8800000000001</v>
      </c>
      <c r="L227" s="15">
        <f>IFERROR(K227/K444, "NA")</f>
        <v>1.1478670230684232E-2</v>
      </c>
      <c r="M227" s="2"/>
      <c r="N227" s="14">
        <f t="shared" si="57"/>
        <v>-4331.9399999999996</v>
      </c>
      <c r="O227" s="15">
        <f>IFERROR(N227/N444, "NA")</f>
        <v>-0.93886459096406083</v>
      </c>
      <c r="P227" s="2"/>
      <c r="Q227" s="14">
        <f>IFERROR(Q211+Q213+Q214+Q215+Q216+Q217+Q219+Q220+Q221+Q222+Q223+Q224+Q225+Q226, "NA")</f>
        <v>12683.56</v>
      </c>
      <c r="R227" s="15">
        <f>IFERROR(Q227/Q444, "NA")</f>
        <v>5.1720515052093179E-2</v>
      </c>
      <c r="S227" s="2"/>
      <c r="T227" s="14">
        <f>IFERROR(T211+T213+T214+T215+T216+T217+T219+T220+T221+T222+T223+T224+T225+T226, "NA")</f>
        <v>8102.1799999999994</v>
      </c>
      <c r="U227" s="15">
        <f>IFERROR(T227/T444, "NA")</f>
        <v>3.6012086493580772E-2</v>
      </c>
      <c r="V227" s="2"/>
      <c r="W227" s="14">
        <f t="shared" si="58"/>
        <v>-4581.38</v>
      </c>
      <c r="X227" s="15">
        <f>IFERROR(W227/W444, "NA")</f>
        <v>-0.226267245828528</v>
      </c>
      <c r="Y227" s="2"/>
      <c r="Z227" s="14">
        <f>IFERROR(Z211+Z213+Z214+Z215+Z216+Z217+Z219+Z220+Z221+Z222+Z223+Z224+Z225+Z226, "NA")</f>
        <v>3266.75</v>
      </c>
      <c r="AA227" s="15">
        <f>IFERROR(Z227/Z444, "NA")</f>
        <v>1.5600388229635423E-2</v>
      </c>
      <c r="AB227" s="2"/>
      <c r="AC227" s="14">
        <f t="shared" si="59"/>
        <v>-9416.81</v>
      </c>
      <c r="AD227" s="15">
        <f>IFERROR(AC227/AC444, "NA")</f>
        <v>-0.2628130579168832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913.29</v>
      </c>
      <c r="F229" s="8">
        <f>IFERROR(E229/E444, "NA")</f>
        <v>8.1899574400924012E-3</v>
      </c>
      <c r="G229" s="9"/>
      <c r="H229" s="10">
        <f t="shared" ref="H229:H236" si="60">IFERROR(-(B229-E229), "NA")</f>
        <v>913.29</v>
      </c>
      <c r="I229" s="8">
        <f>IFERROR(H229/H444, "NA")</f>
        <v>-0.12453094149858743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1842.63</v>
      </c>
      <c r="U229" s="8">
        <f>IFERROR(T229/T444, "NA")</f>
        <v>8.1900119394615698E-3</v>
      </c>
      <c r="V229" s="9"/>
      <c r="W229" s="10">
        <f t="shared" ref="W229:W236" si="62">IFERROR(-(Q229-T229), "NA")</f>
        <v>1842.63</v>
      </c>
      <c r="X229" s="8">
        <f>IFERROR(W229/W444, "NA")</f>
        <v>9.1004635105802298E-2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83.95</v>
      </c>
      <c r="C230" s="8">
        <f>IFERROR(B230/B444, "NA")</f>
        <v>8.0582025879164789E-4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-83.95</v>
      </c>
      <c r="I230" s="8">
        <f>IFERROR(H230/H444, "NA")</f>
        <v>1.1446936393485548E-2</v>
      </c>
      <c r="J230" s="9"/>
      <c r="K230" s="7">
        <v>100</v>
      </c>
      <c r="L230" s="8">
        <f>IFERROR(K230/K444, "NA")</f>
        <v>1.0043635579137121E-3</v>
      </c>
      <c r="M230" s="9"/>
      <c r="N230" s="10">
        <f t="shared" si="61"/>
        <v>16.049999999999997</v>
      </c>
      <c r="O230" s="8">
        <f>IFERROR(N230/N444, "NA")</f>
        <v>3.4785284849220381E-3</v>
      </c>
      <c r="P230" s="9"/>
      <c r="Q230" s="7">
        <v>83.95</v>
      </c>
      <c r="R230" s="8">
        <f>IFERROR(Q230/Q444, "NA")</f>
        <v>3.4232796144167905E-4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-4.1461601716742394E-3</v>
      </c>
      <c r="Y230" s="9"/>
      <c r="Z230" s="7">
        <v>580</v>
      </c>
      <c r="AA230" s="8">
        <f>IFERROR(Z230/Z444, "NA")</f>
        <v>2.7697941909201945E-3</v>
      </c>
      <c r="AB230" s="9"/>
      <c r="AC230" s="10">
        <f t="shared" si="63"/>
        <v>496.05</v>
      </c>
      <c r="AD230" s="8">
        <f>IFERROR(AC230/AC444, "NA")</f>
        <v>1.3844222977809885E-2</v>
      </c>
    </row>
    <row r="231" spans="1:30" ht="16.5" customHeight="1" x14ac:dyDescent="0.45">
      <c r="A231" s="6" t="s">
        <v>210</v>
      </c>
      <c r="B231" s="7">
        <v>149.56</v>
      </c>
      <c r="C231" s="8">
        <f>IFERROR(B231/B444, "NA")</f>
        <v>1.4355983073839054E-3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-149.56</v>
      </c>
      <c r="I231" s="8">
        <f>IFERROR(H231/H444, "NA")</f>
        <v>2.0393136474207246E-2</v>
      </c>
      <c r="J231" s="9"/>
      <c r="K231" s="7">
        <v>509.07</v>
      </c>
      <c r="L231" s="8">
        <f>IFERROR(K231/K444, "NA")</f>
        <v>5.1129135642713338E-3</v>
      </c>
      <c r="M231" s="9"/>
      <c r="N231" s="10">
        <f t="shared" si="61"/>
        <v>359.51</v>
      </c>
      <c r="O231" s="8">
        <f>IFERROR(N231/N444, "NA")</f>
        <v>7.7916870754786427E-2</v>
      </c>
      <c r="P231" s="9"/>
      <c r="Q231" s="7">
        <v>426.05</v>
      </c>
      <c r="R231" s="8">
        <f>IFERROR(Q231/Q444, "NA")</f>
        <v>1.7373296959169429E-3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-426.05</v>
      </c>
      <c r="X231" s="8">
        <f>IFERROR(W231/W444, "NA")</f>
        <v>-2.104194807792507E-2</v>
      </c>
      <c r="Y231" s="9"/>
      <c r="Z231" s="7">
        <v>664.38</v>
      </c>
      <c r="AA231" s="8">
        <f>IFERROR(Z231/Z444, "NA")</f>
        <v>3.1727514906268253E-3</v>
      </c>
      <c r="AB231" s="9"/>
      <c r="AC231" s="10">
        <f t="shared" si="63"/>
        <v>238.32999999999998</v>
      </c>
      <c r="AD231" s="8">
        <f>IFERROR(AC231/AC444, "NA")</f>
        <v>6.6515344467320426E-3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12.75</v>
      </c>
      <c r="L233" s="8">
        <f>IFERROR(K233/K444, "NA")</f>
        <v>1.2805635363399829E-4</v>
      </c>
      <c r="M233" s="9"/>
      <c r="N233" s="10">
        <f t="shared" si="61"/>
        <v>12.75</v>
      </c>
      <c r="O233" s="8">
        <f>IFERROR(N233/N444, "NA")</f>
        <v>2.7633170207324608E-3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8.1183622837316049E-5</v>
      </c>
      <c r="AB233" s="9"/>
      <c r="AC233" s="10">
        <f t="shared" si="63"/>
        <v>17</v>
      </c>
      <c r="AD233" s="8">
        <f>IFERROR(AC233/AC444, "NA")</f>
        <v>4.7445175007109776E-4</v>
      </c>
    </row>
    <row r="234" spans="1:30" ht="16.5" customHeight="1" x14ac:dyDescent="0.45">
      <c r="A234" s="6" t="s">
        <v>213</v>
      </c>
      <c r="B234" s="7">
        <v>707.71</v>
      </c>
      <c r="C234" s="8">
        <f>IFERROR(B234/B444, "NA")</f>
        <v>6.7931751679504125E-3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-707.71</v>
      </c>
      <c r="I234" s="8">
        <f>IFERROR(H234/H444, "NA")</f>
        <v>9.6499241870561719E-2</v>
      </c>
      <c r="J234" s="9"/>
      <c r="K234" s="7">
        <v>606.85</v>
      </c>
      <c r="L234" s="8">
        <f>IFERROR(K234/K444, "NA")</f>
        <v>6.0949802511993615E-3</v>
      </c>
      <c r="M234" s="9"/>
      <c r="N234" s="10">
        <f t="shared" si="61"/>
        <v>-100.86000000000001</v>
      </c>
      <c r="O234" s="8">
        <f>IFERROR(N234/N444, "NA")</f>
        <v>-2.1859463114594198E-2</v>
      </c>
      <c r="P234" s="9"/>
      <c r="Q234" s="7">
        <v>2895.61</v>
      </c>
      <c r="R234" s="8">
        <f>IFERROR(Q234/Q444, "NA")</f>
        <v>1.1807602959263136E-2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-2895.61</v>
      </c>
      <c r="X234" s="8">
        <f>IFERROR(W234/W444, "NA")</f>
        <v>-0.14300968260514169</v>
      </c>
      <c r="Y234" s="9"/>
      <c r="Z234" s="7">
        <v>1222.5999999999999</v>
      </c>
      <c r="AA234" s="8">
        <f>IFERROR(Z234/Z444, "NA")</f>
        <v>5.8385351341707402E-3</v>
      </c>
      <c r="AB234" s="9"/>
      <c r="AC234" s="10">
        <f t="shared" si="63"/>
        <v>-1673.0100000000002</v>
      </c>
      <c r="AD234" s="8">
        <f>IFERROR(AC234/AC444, "NA")</f>
        <v>-4.6691913081555729E-2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941.22</v>
      </c>
      <c r="C236" s="15">
        <f>IFERROR(B236/B444, "NA")</f>
        <v>9.0345937341259654E-3</v>
      </c>
      <c r="D236" s="2"/>
      <c r="E236" s="14">
        <f>IFERROR(E229+E230+E231+E232+E233+E234+E235, "NA")</f>
        <v>913.29</v>
      </c>
      <c r="F236" s="15">
        <f>IFERROR(E236/E444, "NA")</f>
        <v>8.1899574400924012E-3</v>
      </c>
      <c r="G236" s="2"/>
      <c r="H236" s="14">
        <f t="shared" si="60"/>
        <v>-27.930000000000064</v>
      </c>
      <c r="I236" s="15">
        <f>IFERROR(H236/H444, "NA")</f>
        <v>3.8083732396670881E-3</v>
      </c>
      <c r="J236" s="2"/>
      <c r="K236" s="14">
        <f>IFERROR(K229+K230+K231+K232+K233+K234+K235, "NA")</f>
        <v>1228.67</v>
      </c>
      <c r="L236" s="15">
        <f>IFERROR(K236/K444, "NA")</f>
        <v>1.2340313727018406E-2</v>
      </c>
      <c r="M236" s="2"/>
      <c r="N236" s="14">
        <f t="shared" si="61"/>
        <v>287.45000000000005</v>
      </c>
      <c r="O236" s="15">
        <f>IFERROR(N236/N444, "NA")</f>
        <v>6.2299253145846743E-2</v>
      </c>
      <c r="P236" s="2"/>
      <c r="Q236" s="14">
        <f>IFERROR(Q229+Q230+Q231+Q232+Q233+Q234+Q235, "NA")</f>
        <v>3405.61</v>
      </c>
      <c r="R236" s="15">
        <f>IFERROR(Q236/Q444, "NA")</f>
        <v>1.3887260616621757E-2</v>
      </c>
      <c r="S236" s="2"/>
      <c r="T236" s="14">
        <f>IFERROR(T229+T230+T231+T232+T233+T234+T235, "NA")</f>
        <v>1842.63</v>
      </c>
      <c r="U236" s="15">
        <f>IFERROR(T236/T444, "NA")</f>
        <v>8.1900119394615698E-3</v>
      </c>
      <c r="V236" s="2"/>
      <c r="W236" s="14">
        <f t="shared" si="62"/>
        <v>-1562.98</v>
      </c>
      <c r="X236" s="15">
        <f>IFERROR(W236/W444, "NA")</f>
        <v>-7.7193155748938674E-2</v>
      </c>
      <c r="Y236" s="2"/>
      <c r="Z236" s="14">
        <f>IFERROR(Z229+Z230+Z231+Z232+Z233+Z234+Z235, "NA")</f>
        <v>2483.98</v>
      </c>
      <c r="AA236" s="15">
        <f>IFERROR(Z236/Z444, "NA")</f>
        <v>1.1862264438555077E-2</v>
      </c>
      <c r="AB236" s="2"/>
      <c r="AC236" s="14">
        <f t="shared" si="63"/>
        <v>-921.63000000000011</v>
      </c>
      <c r="AD236" s="15">
        <f>IFERROR(AC236/AC444, "NA")</f>
        <v>-2.57217039069427E-2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5624.74</v>
      </c>
      <c r="F240" s="8">
        <f>IFERROR(E240/E444, "NA")</f>
        <v>5.0440036802751956E-2</v>
      </c>
      <c r="G240" s="9"/>
      <c r="H240" s="10">
        <f t="shared" ref="H240:H263" si="64">IFERROR(-(B240-E240), "NA")</f>
        <v>5624.74</v>
      </c>
      <c r="I240" s="8">
        <f>IFERROR(H240/H444, "NA")</f>
        <v>-0.76695701024292906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11379.23</v>
      </c>
      <c r="U240" s="8">
        <f>IFERROR(T240/T444, "NA")</f>
        <v>5.057772290795183E-2</v>
      </c>
      <c r="V240" s="9"/>
      <c r="W240" s="10">
        <f t="shared" ref="W240:W263" si="66">IFERROR(-(Q240-T240), "NA")</f>
        <v>11379.23</v>
      </c>
      <c r="X240" s="8">
        <f>IFERROR(W240/W444, "NA")</f>
        <v>0.56200250399429008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101.95</v>
      </c>
      <c r="C241" s="8">
        <f>IFERROR(B241/B444, "NA")</f>
        <v>9.7859887294590221E-4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-101.95</v>
      </c>
      <c r="I241" s="8">
        <f>IFERROR(H241/H444, "NA")</f>
        <v>1.3901312272970237E-2</v>
      </c>
      <c r="J241" s="9"/>
      <c r="K241" s="7">
        <v>47.41</v>
      </c>
      <c r="L241" s="8">
        <f>IFERROR(K241/K444, "NA")</f>
        <v>4.761687628068908E-4</v>
      </c>
      <c r="M241" s="9"/>
      <c r="N241" s="10">
        <f t="shared" si="65"/>
        <v>-54.540000000000006</v>
      </c>
      <c r="O241" s="8">
        <f>IFERROR(N241/N444, "NA")</f>
        <v>-1.1820494926333211E-2</v>
      </c>
      <c r="P241" s="9"/>
      <c r="Q241" s="7">
        <v>561.48</v>
      </c>
      <c r="R241" s="8">
        <f>IFERROR(Q241/Q444, "NA")</f>
        <v>2.2895807479484686E-3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-561.48</v>
      </c>
      <c r="X241" s="8">
        <f>IFERROR(W241/W444, "NA")</f>
        <v>-2.773062552938239E-2</v>
      </c>
      <c r="Y241" s="9"/>
      <c r="Z241" s="7">
        <v>242.23</v>
      </c>
      <c r="AA241" s="8">
        <f>IFERROR(Z241/Z444, "NA")</f>
        <v>1.1567711152872392E-3</v>
      </c>
      <c r="AB241" s="9"/>
      <c r="AC241" s="10">
        <f t="shared" si="67"/>
        <v>-319.25</v>
      </c>
      <c r="AD241" s="8">
        <f>IFERROR(AC241/AC444, "NA")</f>
        <v>-8.9099247770704684E-3</v>
      </c>
    </row>
    <row r="242" spans="1:30" ht="16.5" customHeight="1" x14ac:dyDescent="0.45">
      <c r="A242" s="12" t="s">
        <v>219</v>
      </c>
      <c r="B242" s="7">
        <v>685.98</v>
      </c>
      <c r="C242" s="8">
        <f>IFERROR(B242/B444, "NA")</f>
        <v>6.5845929854186375E-3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-685.98</v>
      </c>
      <c r="I242" s="8">
        <f>IFERROR(H242/H444, "NA")</f>
        <v>9.3536264767161592E-2</v>
      </c>
      <c r="J242" s="9"/>
      <c r="K242" s="7">
        <v>766.04</v>
      </c>
      <c r="L242" s="8">
        <f>IFERROR(K242/K444, "NA")</f>
        <v>7.6938265990421986E-3</v>
      </c>
      <c r="M242" s="9"/>
      <c r="N242" s="10">
        <f t="shared" si="65"/>
        <v>80.059999999999945</v>
      </c>
      <c r="O242" s="8">
        <f>IFERROR(N242/N444, "NA")</f>
        <v>1.7351463582732599E-2</v>
      </c>
      <c r="P242" s="9"/>
      <c r="Q242" s="7">
        <v>1799.06</v>
      </c>
      <c r="R242" s="8">
        <f>IFERROR(Q242/Q444, "NA")</f>
        <v>7.3361351079364746E-3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-1799.06</v>
      </c>
      <c r="X242" s="8">
        <f>IFERROR(W242/W444, "NA")</f>
        <v>-8.885278044612574E-2</v>
      </c>
      <c r="Y242" s="9"/>
      <c r="Z242" s="7">
        <v>1637.32</v>
      </c>
      <c r="AA242" s="8">
        <f>IFERROR(Z242/Z444, "NA")</f>
        <v>7.8190334908231941E-3</v>
      </c>
      <c r="AB242" s="9"/>
      <c r="AC242" s="10">
        <f t="shared" si="67"/>
        <v>-161.74</v>
      </c>
      <c r="AD242" s="8">
        <f>IFERROR(AC242/AC444, "NA")</f>
        <v>-4.513989768029374E-3</v>
      </c>
    </row>
    <row r="243" spans="1:30" ht="16.5" customHeight="1" x14ac:dyDescent="0.45">
      <c r="A243" s="12" t="s">
        <v>220</v>
      </c>
      <c r="B243" s="7">
        <v>1012.06</v>
      </c>
      <c r="C243" s="8">
        <f>IFERROR(B243/B444, "NA")</f>
        <v>9.7145735689419307E-3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-1012.06</v>
      </c>
      <c r="I243" s="8">
        <f>IFERROR(H243/H444, "NA")</f>
        <v>0.13799864736618203</v>
      </c>
      <c r="J243" s="9"/>
      <c r="K243" s="7">
        <v>616.01</v>
      </c>
      <c r="L243" s="8">
        <f>IFERROR(K243/K444, "NA")</f>
        <v>6.1869799531042574E-3</v>
      </c>
      <c r="M243" s="9"/>
      <c r="N243" s="10">
        <f t="shared" si="65"/>
        <v>-396.04999999999995</v>
      </c>
      <c r="O243" s="8">
        <f>IFERROR(N243/N444, "NA")</f>
        <v>-8.5836212240085571E-2</v>
      </c>
      <c r="P243" s="9"/>
      <c r="Q243" s="7">
        <v>4315</v>
      </c>
      <c r="R243" s="8">
        <f>IFERROR(Q243/Q444, "NA")</f>
        <v>1.7595534885298927E-2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-4315</v>
      </c>
      <c r="X243" s="8">
        <f>IFERROR(W243/W444, "NA")</f>
        <v>-0.21311115117062943</v>
      </c>
      <c r="Y243" s="9"/>
      <c r="Z243" s="7">
        <v>1354.93</v>
      </c>
      <c r="AA243" s="8">
        <f>IFERROR(Z243/Z444, "NA")</f>
        <v>6.4704780053508604E-3</v>
      </c>
      <c r="AB243" s="9"/>
      <c r="AC243" s="10">
        <f t="shared" si="67"/>
        <v>-2960.0699999999997</v>
      </c>
      <c r="AD243" s="8">
        <f>IFERROR(AC243/AC444, "NA")</f>
        <v>-8.2612375990173778E-2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207.97</v>
      </c>
      <c r="C246" s="8">
        <f>IFERROR(B246/B444, "NA")</f>
        <v>1.9962649103144612E-3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-207.97</v>
      </c>
      <c r="I246" s="8">
        <f>IFERROR(H246/H444, "NA")</f>
        <v>2.8357586203135068E-2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-207.97</v>
      </c>
      <c r="O246" s="8">
        <f>IFERROR(N246/N444, "NA")</f>
        <v>-4.5073493396214109E-2</v>
      </c>
      <c r="P246" s="9"/>
      <c r="Q246" s="7">
        <v>454.8</v>
      </c>
      <c r="R246" s="8">
        <f>IFERROR(Q246/Q444, "NA")</f>
        <v>1.8545652991503946E-3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-454.8</v>
      </c>
      <c r="X246" s="8">
        <f>IFERROR(W246/W444, "NA")</f>
        <v>-2.2461865944936793E-2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-454.8</v>
      </c>
      <c r="AD246" s="8">
        <f>IFERROR(AC246/AC444, "NA")</f>
        <v>-1.2692979760725604E-2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36.51</v>
      </c>
      <c r="L247" s="8">
        <f>IFERROR(K247/K444, "NA")</f>
        <v>3.666931349942962E-4</v>
      </c>
      <c r="M247" s="9"/>
      <c r="N247" s="10">
        <f t="shared" si="65"/>
        <v>36.51</v>
      </c>
      <c r="O247" s="8">
        <f>IFERROR(N247/N444, "NA")</f>
        <v>7.9128395628974228E-3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122.27</v>
      </c>
      <c r="AA247" s="8">
        <f>IFERROR(Z247/Z444, "NA")</f>
        <v>5.839012684893313E-4</v>
      </c>
      <c r="AB247" s="9"/>
      <c r="AC247" s="10">
        <f t="shared" si="67"/>
        <v>122.27</v>
      </c>
      <c r="AD247" s="8">
        <f>IFERROR(AC247/AC444, "NA")</f>
        <v>3.4124244400701837E-3</v>
      </c>
    </row>
    <row r="248" spans="1:30" ht="16.5" customHeight="1" x14ac:dyDescent="0.45">
      <c r="A248" s="12" t="s">
        <v>225</v>
      </c>
      <c r="B248" s="7">
        <v>259.16000000000003</v>
      </c>
      <c r="C248" s="8">
        <f>IFERROR(B248/B444, "NA")</f>
        <v>2.4876280913453661E-3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-259.16000000000003</v>
      </c>
      <c r="I248" s="8">
        <f>IFERROR(H248/H444, "NA")</f>
        <v>3.5337558495958481E-2</v>
      </c>
      <c r="J248" s="9"/>
      <c r="K248" s="7">
        <v>467.66</v>
      </c>
      <c r="L248" s="8">
        <f>IFERROR(K248/K444, "NA")</f>
        <v>4.6970066149392654E-3</v>
      </c>
      <c r="M248" s="9"/>
      <c r="N248" s="10">
        <f t="shared" si="65"/>
        <v>208.5</v>
      </c>
      <c r="O248" s="8">
        <f>IFERROR(N248/N444, "NA")</f>
        <v>4.5188360691977889E-2</v>
      </c>
      <c r="P248" s="9"/>
      <c r="Q248" s="7">
        <v>610.83000000000004</v>
      </c>
      <c r="R248" s="8">
        <f>IFERROR(Q248/Q444, "NA")</f>
        <v>2.4908182094987587E-3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-610.83000000000004</v>
      </c>
      <c r="X248" s="8">
        <f>IFERROR(W248/W444, "NA")</f>
        <v>-3.0167945415887736E-2</v>
      </c>
      <c r="Y248" s="9"/>
      <c r="Z248" s="7">
        <v>641.41</v>
      </c>
      <c r="AA248" s="8">
        <f>IFERROR(Z248/Z444, "NA")</f>
        <v>3.0630580896519343E-3</v>
      </c>
      <c r="AB248" s="9"/>
      <c r="AC248" s="10">
        <f t="shared" si="67"/>
        <v>30.579999999999927</v>
      </c>
      <c r="AD248" s="8">
        <f>IFERROR(AC248/AC444, "NA")</f>
        <v>8.5345497159847856E-4</v>
      </c>
    </row>
    <row r="249" spans="1:30" ht="16.5" customHeight="1" x14ac:dyDescent="0.45">
      <c r="A249" s="12" t="s">
        <v>226</v>
      </c>
      <c r="B249" s="7">
        <v>2116.09</v>
      </c>
      <c r="C249" s="8">
        <f>IFERROR(B249/B444, "NA")</f>
        <v>2.0311949868093128E-2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-2116.09</v>
      </c>
      <c r="I249" s="8">
        <f>IFERROR(H249/H444, "NA")</f>
        <v>0.28853779193437562</v>
      </c>
      <c r="J249" s="9"/>
      <c r="K249" s="7">
        <v>1475.35</v>
      </c>
      <c r="L249" s="8">
        <f>IFERROR(K249/K444, "NA")</f>
        <v>1.4817877751679949E-2</v>
      </c>
      <c r="M249" s="9"/>
      <c r="N249" s="10">
        <f t="shared" si="65"/>
        <v>-640.74000000000024</v>
      </c>
      <c r="O249" s="8">
        <f>IFERROR(N249/N444, "NA")</f>
        <v>-0.13886805865600924</v>
      </c>
      <c r="P249" s="9"/>
      <c r="Q249" s="7">
        <v>4869.8500000000004</v>
      </c>
      <c r="R249" s="8">
        <f>IFERROR(Q249/Q444, "NA")</f>
        <v>1.9858080083701737E-2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-4869.8500000000004</v>
      </c>
      <c r="X249" s="8">
        <f>IFERROR(W249/W444, "NA")</f>
        <v>-0.24051433129276706</v>
      </c>
      <c r="Y249" s="9"/>
      <c r="Z249" s="7">
        <v>3821.32</v>
      </c>
      <c r="AA249" s="8">
        <f>IFERROR(Z249/Z444, "NA")</f>
        <v>1.8248741271805445E-2</v>
      </c>
      <c r="AB249" s="9"/>
      <c r="AC249" s="10">
        <f t="shared" si="67"/>
        <v>-1048.5300000000002</v>
      </c>
      <c r="AD249" s="8">
        <f>IFERROR(AC249/AC444, "NA")</f>
        <v>-2.9263346676591074E-2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3.94</v>
      </c>
      <c r="L250" s="8">
        <f>IFERROR(K250/K444, "NA")</f>
        <v>3.9571924181800252E-5</v>
      </c>
      <c r="M250" s="9"/>
      <c r="N250" s="10">
        <f t="shared" si="65"/>
        <v>3.94</v>
      </c>
      <c r="O250" s="8">
        <f>IFERROR(N250/N444, "NA")</f>
        <v>8.5391914209301137E-4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3.94</v>
      </c>
      <c r="AA250" s="8">
        <f>IFERROR(Z250/Z444, "NA")</f>
        <v>1.8815498469354425E-5</v>
      </c>
      <c r="AB250" s="9"/>
      <c r="AC250" s="10">
        <f t="shared" si="67"/>
        <v>3.94</v>
      </c>
      <c r="AD250" s="8">
        <f>IFERROR(AC250/AC444, "NA")</f>
        <v>1.099611703105956E-4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29.09</v>
      </c>
      <c r="R251" s="8">
        <f>IFERROR(Q251/Q444, "NA")</f>
        <v>1.186220416716908E-4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-1.4367099391781252E-3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-29.09</v>
      </c>
      <c r="AD251" s="8">
        <f>IFERROR(AC251/AC444, "NA")</f>
        <v>-8.1187067115107256E-4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28.04</v>
      </c>
      <c r="AA252" s="8">
        <f>IFERROR(Z252/Z444, "NA")</f>
        <v>1.3390522260931423E-4</v>
      </c>
      <c r="AB252" s="9"/>
      <c r="AC252" s="10">
        <f t="shared" si="67"/>
        <v>28.04</v>
      </c>
      <c r="AD252" s="8">
        <f>IFERROR(AC252/AC444, "NA")</f>
        <v>7.8256629835256363E-4</v>
      </c>
    </row>
    <row r="253" spans="1:30" ht="16.5" customHeight="1" x14ac:dyDescent="0.45">
      <c r="A253" s="12" t="s">
        <v>230</v>
      </c>
      <c r="B253" s="7">
        <v>441.85</v>
      </c>
      <c r="C253" s="8">
        <f>IFERROR(B253/B444, "NA")</f>
        <v>4.2412350368920739E-3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-441.85</v>
      </c>
      <c r="I253" s="8">
        <f>IFERROR(H253/H444, "NA")</f>
        <v>6.0248110130572831E-2</v>
      </c>
      <c r="J253" s="9"/>
      <c r="K253" s="7">
        <v>1332.63</v>
      </c>
      <c r="L253" s="8">
        <f>IFERROR(K253/K444, "NA")</f>
        <v>1.33844500818255E-2</v>
      </c>
      <c r="M253" s="9"/>
      <c r="N253" s="10">
        <f t="shared" si="65"/>
        <v>890.78000000000009</v>
      </c>
      <c r="O253" s="8">
        <f>IFERROR(N253/N444, "NA")</f>
        <v>0.19305941456690678</v>
      </c>
      <c r="P253" s="9"/>
      <c r="Q253" s="7">
        <v>441.85</v>
      </c>
      <c r="R253" s="8">
        <f>IFERROR(Q253/Q444, "NA")</f>
        <v>1.8017583056939355E-3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-441.85</v>
      </c>
      <c r="X253" s="8">
        <f>IFERROR(W253/W444, "NA")</f>
        <v>-2.1822285549187165E-2</v>
      </c>
      <c r="Y253" s="9"/>
      <c r="Z253" s="7">
        <v>2277.21</v>
      </c>
      <c r="AA253" s="8">
        <f>IFERROR(Z253/Z444, "NA")</f>
        <v>1.0874832809492028E-2</v>
      </c>
      <c r="AB253" s="9"/>
      <c r="AC253" s="10">
        <f t="shared" si="67"/>
        <v>1835.3600000000001</v>
      </c>
      <c r="AD253" s="8">
        <f>IFERROR(AC253/AC444, "NA")</f>
        <v>5.122292729473471E-2</v>
      </c>
    </row>
    <row r="254" spans="1:30" ht="16.5" customHeight="1" x14ac:dyDescent="0.45">
      <c r="A254" s="12" t="s">
        <v>231</v>
      </c>
      <c r="B254" s="7">
        <v>148.75</v>
      </c>
      <c r="C254" s="8">
        <f>IFERROR(B254/B444, "NA")</f>
        <v>1.4278232697469639E-3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-148.75</v>
      </c>
      <c r="I254" s="8">
        <f>IFERROR(H254/H444, "NA")</f>
        <v>2.0282689559630435E-2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-148.75</v>
      </c>
      <c r="O254" s="8">
        <f>IFERROR(N254/N444, "NA")</f>
        <v>-3.2238698575212041E-2</v>
      </c>
      <c r="P254" s="9"/>
      <c r="Q254" s="7">
        <v>228.8</v>
      </c>
      <c r="R254" s="8">
        <f>IFERROR(Q254/Q444, "NA")</f>
        <v>9.3299151373265232E-4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-228.8</v>
      </c>
      <c r="X254" s="8">
        <f>IFERROR(W254/W444, "NA")</f>
        <v>-1.1300076799035925E-2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-228.8</v>
      </c>
      <c r="AD254" s="8">
        <f>IFERROR(AC254/AC444, "NA")</f>
        <v>-6.3855623774274808E-3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4973.8100000000004</v>
      </c>
      <c r="C262" s="15">
        <f>IFERROR(B262/B444, "NA")</f>
        <v>4.7742666603698462E-2</v>
      </c>
      <c r="D262" s="2"/>
      <c r="E262" s="14">
        <f>IFERROR(E240+E241+E242+E243+E244+E245+E246+E247+E248+E249+E250+E251+E252+E253+E254+E255+E256+E257+E258+E259+E260+E261, "NA")</f>
        <v>5624.74</v>
      </c>
      <c r="F262" s="15">
        <f>IFERROR(E262/E444, "NA")</f>
        <v>5.0440036802751956E-2</v>
      </c>
      <c r="G262" s="2"/>
      <c r="H262" s="14">
        <f t="shared" si="64"/>
        <v>650.92999999999938</v>
      </c>
      <c r="I262" s="15">
        <f>IFERROR(H262/H444, "NA")</f>
        <v>-8.8757049512942707E-2</v>
      </c>
      <c r="J262" s="2"/>
      <c r="K262" s="14">
        <f>IFERROR(K240+K241+K242+K243+K244+K245+K246+K247+K248+K249+K250+K251+K252+K253+K254+K255+K256+K257+K258+K259+K260+K261, "NA")</f>
        <v>4745.55</v>
      </c>
      <c r="L262" s="15">
        <f>IFERROR(K262/K444, "NA")</f>
        <v>4.7662574822574161E-2</v>
      </c>
      <c r="M262" s="2"/>
      <c r="N262" s="14">
        <f t="shared" si="65"/>
        <v>-228.26000000000022</v>
      </c>
      <c r="O262" s="15">
        <f>IFERROR(N262/N444, "NA")</f>
        <v>-4.947096024724644E-2</v>
      </c>
      <c r="P262" s="2"/>
      <c r="Q262" s="14">
        <f>IFERROR(Q240+Q241+Q242+Q243+Q244+Q245+Q246+Q247+Q248+Q249+Q250+Q251+Q252+Q253+Q254+Q255+Q256+Q257+Q258+Q259+Q260+Q261, "NA")</f>
        <v>13310.76</v>
      </c>
      <c r="R262" s="15">
        <f>IFERROR(Q262/Q444, "NA")</f>
        <v>5.4278086194633035E-2</v>
      </c>
      <c r="S262" s="2"/>
      <c r="T262" s="14">
        <f>IFERROR(T240+T241+T242+T243+T244+T245+T246+T247+T248+T249+T250+T251+T252+T253+T254+T255+T256+T257+T258+T259+T260+T261, "NA")</f>
        <v>11379.23</v>
      </c>
      <c r="U262" s="15">
        <f>IFERROR(T262/T444, "NA")</f>
        <v>5.057772290795183E-2</v>
      </c>
      <c r="V262" s="2"/>
      <c r="W262" s="14">
        <f t="shared" si="66"/>
        <v>-1931.5300000000007</v>
      </c>
      <c r="X262" s="15">
        <f>IFERROR(W262/W444, "NA")</f>
        <v>-9.5395268092840324E-2</v>
      </c>
      <c r="Y262" s="2"/>
      <c r="Z262" s="14">
        <f>IFERROR(Z240+Z241+Z242+Z243+Z244+Z245+Z246+Z247+Z248+Z249+Z250+Z251+Z252+Z253+Z254+Z255+Z256+Z257+Z258+Z259+Z260+Z261, "NA")</f>
        <v>10128.669999999998</v>
      </c>
      <c r="AA262" s="15">
        <f>IFERROR(Z262/Z444, "NA")</f>
        <v>4.8369536771978694E-2</v>
      </c>
      <c r="AB262" s="2"/>
      <c r="AC262" s="14">
        <f t="shared" si="67"/>
        <v>-3182.090000000002</v>
      </c>
      <c r="AD262" s="15">
        <f>IFERROR(AC262/AC444, "NA")</f>
        <v>-8.8808715846102379E-2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4973.8100000000004</v>
      </c>
      <c r="C263" s="15">
        <f>IFERROR(B263/B444, "NA")</f>
        <v>4.7742666603698462E-2</v>
      </c>
      <c r="D263" s="2"/>
      <c r="E263" s="14">
        <f>IFERROR(E238+E240+E241+E242+E243+E244+E245+E246+E247+E248+E249+E250+E251+E252+E253+E254+E255+E256+E257+E258+E259+E260+E261, "NA")</f>
        <v>5624.74</v>
      </c>
      <c r="F263" s="15">
        <f>IFERROR(E263/E444, "NA")</f>
        <v>5.0440036802751956E-2</v>
      </c>
      <c r="G263" s="2"/>
      <c r="H263" s="14">
        <f t="shared" si="64"/>
        <v>650.92999999999938</v>
      </c>
      <c r="I263" s="15">
        <f>IFERROR(H263/H444, "NA")</f>
        <v>-8.8757049512942707E-2</v>
      </c>
      <c r="J263" s="2"/>
      <c r="K263" s="14">
        <f>IFERROR(K238+K240+K241+K242+K243+K244+K245+K246+K247+K248+K249+K250+K251+K252+K253+K254+K255+K256+K257+K258+K259+K260+K261, "NA")</f>
        <v>4745.55</v>
      </c>
      <c r="L263" s="15">
        <f>IFERROR(K263/K444, "NA")</f>
        <v>4.7662574822574161E-2</v>
      </c>
      <c r="M263" s="2"/>
      <c r="N263" s="14">
        <f t="shared" si="65"/>
        <v>-228.26000000000022</v>
      </c>
      <c r="O263" s="15">
        <f>IFERROR(N263/N444, "NA")</f>
        <v>-4.947096024724644E-2</v>
      </c>
      <c r="P263" s="2"/>
      <c r="Q263" s="14">
        <f>IFERROR(Q238+Q240+Q241+Q242+Q243+Q244+Q245+Q246+Q247+Q248+Q249+Q250+Q251+Q252+Q253+Q254+Q255+Q256+Q257+Q258+Q259+Q260+Q261, "NA")</f>
        <v>13310.76</v>
      </c>
      <c r="R263" s="15">
        <f>IFERROR(Q263/Q444, "NA")</f>
        <v>5.4278086194633035E-2</v>
      </c>
      <c r="S263" s="2"/>
      <c r="T263" s="14">
        <f>IFERROR(T238+T240+T241+T242+T243+T244+T245+T246+T247+T248+T249+T250+T251+T252+T253+T254+T255+T256+T257+T258+T259+T260+T261, "NA")</f>
        <v>11379.23</v>
      </c>
      <c r="U263" s="15">
        <f>IFERROR(T263/T444, "NA")</f>
        <v>5.057772290795183E-2</v>
      </c>
      <c r="V263" s="2"/>
      <c r="W263" s="14">
        <f t="shared" si="66"/>
        <v>-1931.5300000000007</v>
      </c>
      <c r="X263" s="15">
        <f>IFERROR(W263/W444, "NA")</f>
        <v>-9.5395268092840324E-2</v>
      </c>
      <c r="Y263" s="2"/>
      <c r="Z263" s="14">
        <f>IFERROR(Z238+Z240+Z241+Z242+Z243+Z244+Z245+Z246+Z247+Z248+Z249+Z250+Z251+Z252+Z253+Z254+Z255+Z256+Z257+Z258+Z259+Z260+Z261, "NA")</f>
        <v>10128.669999999998</v>
      </c>
      <c r="AA263" s="15">
        <f>IFERROR(Z263/Z444, "NA")</f>
        <v>4.8369536771978694E-2</v>
      </c>
      <c r="AB263" s="2"/>
      <c r="AC263" s="14">
        <f t="shared" si="67"/>
        <v>-3182.090000000002</v>
      </c>
      <c r="AD263" s="15">
        <f>IFERROR(AC263/AC444, "NA")</f>
        <v>-8.8808715846102379E-2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3270.24</v>
      </c>
      <c r="C265" s="8">
        <f>IFERROR(B265/B444, "NA")</f>
        <v>3.1390418619544946E-2</v>
      </c>
      <c r="D265" s="9"/>
      <c r="E265" s="7">
        <v>3122.38</v>
      </c>
      <c r="F265" s="8">
        <f>IFERROR(E265/E444, "NA")</f>
        <v>2.8000043044154339E-2</v>
      </c>
      <c r="G265" s="9"/>
      <c r="H265" s="10">
        <f>IFERROR(-(B265-E265), "NA")</f>
        <v>-147.85999999999967</v>
      </c>
      <c r="I265" s="8">
        <f>IFERROR(H265/H444, "NA")</f>
        <v>2.0161334307811425E-2</v>
      </c>
      <c r="J265" s="9"/>
      <c r="K265" s="7">
        <v>2814.07</v>
      </c>
      <c r="L265" s="8">
        <f>IFERROR(K265/K444, "NA")</f>
        <v>2.8263493574182397E-2</v>
      </c>
      <c r="M265" s="9"/>
      <c r="N265" s="10">
        <f>IFERROR(-(B265-K265), "NA")</f>
        <v>-456.16999999999962</v>
      </c>
      <c r="O265" s="8">
        <f>IFERROR(N265/N444, "NA")</f>
        <v>-9.8866064733139261E-2</v>
      </c>
      <c r="P265" s="9"/>
      <c r="Q265" s="7">
        <v>6688.22</v>
      </c>
      <c r="R265" s="8">
        <f>IFERROR(Q265/Q444, "NA")</f>
        <v>2.7272956739409965E-2</v>
      </c>
      <c r="S265" s="9"/>
      <c r="T265" s="7">
        <v>6413.06</v>
      </c>
      <c r="U265" s="8">
        <f>IFERROR(T265/T444, "NA")</f>
        <v>2.850438664760881E-2</v>
      </c>
      <c r="V265" s="9"/>
      <c r="W265" s="10">
        <f>IFERROR(-(Q265-T265), "NA")</f>
        <v>-275.15999999999985</v>
      </c>
      <c r="X265" s="8">
        <f>IFERROR(W265/W444, "NA")</f>
        <v>-1.3589725227372042E-2</v>
      </c>
      <c r="Y265" s="9"/>
      <c r="Z265" s="7">
        <v>5628.46</v>
      </c>
      <c r="AA265" s="8">
        <f>IFERROR(Z265/Z444, "NA")</f>
        <v>2.6878751399701167E-2</v>
      </c>
      <c r="AB265" s="9"/>
      <c r="AC265" s="10">
        <f>IFERROR(-(Q265-Z265), "NA")</f>
        <v>-1059.7600000000002</v>
      </c>
      <c r="AD265" s="8">
        <f>IFERROR(AC265/AC444, "NA")</f>
        <v>-2.9576763920902745E-2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202</v>
      </c>
      <c r="L266" s="8">
        <f>IFERROR(K266/K444, "NA")</f>
        <v>2.0288143869856981E-3</v>
      </c>
      <c r="M266" s="9"/>
      <c r="N266" s="10">
        <f>IFERROR(-(B266-K266), "NA")</f>
        <v>202</v>
      </c>
      <c r="O266" s="8">
        <f>IFERROR(N266/N444, "NA")</f>
        <v>4.3779610838271144E-2</v>
      </c>
      <c r="P266" s="9"/>
      <c r="Q266" s="7">
        <v>44.62</v>
      </c>
      <c r="R266" s="8">
        <f>IFERROR(Q266/Q444, "NA")</f>
        <v>1.8194965621831706E-4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-44.62</v>
      </c>
      <c r="X266" s="8">
        <f>IFERROR(W266/W444, "NA")</f>
        <v>-2.2037125296021981E-3</v>
      </c>
      <c r="Y266" s="9"/>
      <c r="Z266" s="7">
        <v>244.57</v>
      </c>
      <c r="AA266" s="8">
        <f>IFERROR(Z266/Z444, "NA")</f>
        <v>1.1679458021954343E-3</v>
      </c>
      <c r="AB266" s="9"/>
      <c r="AC266" s="10">
        <f>IFERROR(-(Q266-Z266), "NA")</f>
        <v>199.95</v>
      </c>
      <c r="AD266" s="8">
        <f>IFERROR(AC266/AC444, "NA")</f>
        <v>5.5803898486303525E-3</v>
      </c>
    </row>
    <row r="267" spans="1:30" ht="16.5" customHeight="1" x14ac:dyDescent="0.45">
      <c r="A267" s="19" t="s">
        <v>243</v>
      </c>
      <c r="B267" s="14">
        <f>IFERROR(B265+B266, "NA")</f>
        <v>3270.24</v>
      </c>
      <c r="C267" s="15">
        <f>IFERROR(B267/B444, "NA")</f>
        <v>3.1390418619544946E-2</v>
      </c>
      <c r="D267" s="2"/>
      <c r="E267" s="14">
        <f>IFERROR(E265+E266, "NA")</f>
        <v>3122.38</v>
      </c>
      <c r="F267" s="15">
        <f>IFERROR(E267/E444, "NA")</f>
        <v>2.8000043044154339E-2</v>
      </c>
      <c r="G267" s="2"/>
      <c r="H267" s="14">
        <f>IFERROR(-(B267-E267), "NA")</f>
        <v>-147.85999999999967</v>
      </c>
      <c r="I267" s="15">
        <f>IFERROR(H267/H444, "NA")</f>
        <v>2.0161334307811425E-2</v>
      </c>
      <c r="J267" s="2"/>
      <c r="K267" s="14">
        <f>IFERROR(K265+K266, "NA")</f>
        <v>3016.07</v>
      </c>
      <c r="L267" s="15">
        <f>IFERROR(K267/K444, "NA")</f>
        <v>3.0292307961168094E-2</v>
      </c>
      <c r="M267" s="2"/>
      <c r="N267" s="14">
        <f>IFERROR(-(B267-K267), "NA")</f>
        <v>-254.16999999999962</v>
      </c>
      <c r="O267" s="15">
        <f>IFERROR(N267/N444, "NA")</f>
        <v>-5.5086453894868118E-2</v>
      </c>
      <c r="P267" s="2"/>
      <c r="Q267" s="14">
        <f>IFERROR(Q265+Q266, "NA")</f>
        <v>6732.84</v>
      </c>
      <c r="R267" s="15">
        <f>IFERROR(Q267/Q444, "NA")</f>
        <v>2.7454906395628281E-2</v>
      </c>
      <c r="S267" s="2"/>
      <c r="T267" s="14">
        <f>IFERROR(T265+T266, "NA")</f>
        <v>6413.06</v>
      </c>
      <c r="U267" s="15">
        <f>IFERROR(T267/T444, "NA")</f>
        <v>2.850438664760881E-2</v>
      </c>
      <c r="V267" s="2"/>
      <c r="W267" s="14">
        <f>IFERROR(-(Q267-T267), "NA")</f>
        <v>-319.77999999999975</v>
      </c>
      <c r="X267" s="15">
        <f>IFERROR(W267/W444, "NA")</f>
        <v>-1.5793437756974234E-2</v>
      </c>
      <c r="Y267" s="2"/>
      <c r="Z267" s="14">
        <f>IFERROR(Z265+Z266, "NA")</f>
        <v>5873.03</v>
      </c>
      <c r="AA267" s="15">
        <f>IFERROR(Z267/Z444, "NA")</f>
        <v>2.8046697201896603E-2</v>
      </c>
      <c r="AB267" s="2"/>
      <c r="AC267" s="14">
        <f>IFERROR(-(Q267-Z267), "NA")</f>
        <v>-859.8100000000004</v>
      </c>
      <c r="AD267" s="15">
        <f>IFERROR(AC267/AC444, "NA")</f>
        <v>-2.3996374072272397E-2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2.0970524352377762E-3</v>
      </c>
      <c r="D270" s="9"/>
      <c r="E270" s="7">
        <v>234.39</v>
      </c>
      <c r="F270" s="8">
        <f>IFERROR(E270/E444, "NA")</f>
        <v>2.1018998613619531E-3</v>
      </c>
      <c r="G270" s="9"/>
      <c r="H270" s="10">
        <f>IFERROR(-(B270-E270), "NA")</f>
        <v>15.919999999999987</v>
      </c>
      <c r="I270" s="8">
        <f>IFERROR(H270/H444, "NA")</f>
        <v>-2.1707591111886806E-3</v>
      </c>
      <c r="J270" s="9"/>
      <c r="K270" s="7">
        <v>182.93</v>
      </c>
      <c r="L270" s="8">
        <f>IFERROR(K270/K444, "NA")</f>
        <v>1.8372822564915535E-3</v>
      </c>
      <c r="M270" s="9"/>
      <c r="N270" s="10">
        <f>IFERROR(-(B270-K270), "NA")</f>
        <v>-35.539999999999992</v>
      </c>
      <c r="O270" s="8">
        <f>IFERROR(N270/N444, "NA")</f>
        <v>-7.7026107385750305E-3</v>
      </c>
      <c r="P270" s="9"/>
      <c r="Q270" s="7">
        <v>655.41</v>
      </c>
      <c r="R270" s="8">
        <f>IFERROR(Q270/Q444, "NA")</f>
        <v>2.6726047553125771E-3</v>
      </c>
      <c r="S270" s="9"/>
      <c r="T270" s="7">
        <v>524.20000000000005</v>
      </c>
      <c r="U270" s="8">
        <f>IFERROR(T270/T444, "NA")</f>
        <v>2.3299328995326002E-3</v>
      </c>
      <c r="V270" s="9"/>
      <c r="W270" s="10">
        <f>IFERROR(-(Q270-T270), "NA")</f>
        <v>-131.20999999999992</v>
      </c>
      <c r="X270" s="8">
        <f>IFERROR(W270/W444, "NA")</f>
        <v>-6.4802582028037712E-3</v>
      </c>
      <c r="Y270" s="9"/>
      <c r="Z270" s="7">
        <v>548.79</v>
      </c>
      <c r="AA270" s="8">
        <f>IFERROR(Z270/Z444, "NA")</f>
        <v>2.6207506104053333E-3</v>
      </c>
      <c r="AB270" s="9"/>
      <c r="AC270" s="10">
        <f>IFERROR(-(Q270-Z270), "NA")</f>
        <v>-106.62</v>
      </c>
      <c r="AD270" s="8">
        <f>IFERROR(AC270/AC444, "NA")</f>
        <v>-2.9756497407400261E-3</v>
      </c>
    </row>
    <row r="271" spans="1:30" ht="16.5" customHeight="1" x14ac:dyDescent="0.45">
      <c r="A271" s="6" t="s">
        <v>246</v>
      </c>
      <c r="B271" s="7">
        <v>1196.07</v>
      </c>
      <c r="C271" s="8">
        <f>IFERROR(B271/B444, "NA")</f>
        <v>1.1480850946193284E-2</v>
      </c>
      <c r="D271" s="9"/>
      <c r="E271" s="7">
        <v>1338.16</v>
      </c>
      <c r="F271" s="8">
        <f>IFERROR(E271/E444, "NA")</f>
        <v>1.199999282597428E-2</v>
      </c>
      <c r="G271" s="9"/>
      <c r="H271" s="10">
        <f>IFERROR(-(B271-E271), "NA")</f>
        <v>142.09000000000015</v>
      </c>
      <c r="I271" s="8">
        <f>IFERROR(H271/H444, "NA")</f>
        <v>-1.9374570484221119E-2</v>
      </c>
      <c r="J271" s="9"/>
      <c r="K271" s="7">
        <v>1086.1400000000001</v>
      </c>
      <c r="L271" s="8">
        <f>IFERROR(K271/K444, "NA")</f>
        <v>1.0908794347923993E-2</v>
      </c>
      <c r="M271" s="9"/>
      <c r="N271" s="10">
        <f>IFERROR(-(B271-K271), "NA")</f>
        <v>-109.92999999999984</v>
      </c>
      <c r="O271" s="8">
        <f>IFERROR(N271/N444, "NA")</f>
        <v>-2.3825210987381881E-2</v>
      </c>
      <c r="P271" s="9"/>
      <c r="Q271" s="7">
        <v>3632.47</v>
      </c>
      <c r="R271" s="8">
        <f>IFERROR(Q271/Q444, "NA")</f>
        <v>1.481234127573622E-2</v>
      </c>
      <c r="S271" s="9"/>
      <c r="T271" s="7">
        <v>2699.82</v>
      </c>
      <c r="U271" s="8">
        <f>IFERROR(T271/T444, "NA")</f>
        <v>1.1999998933262314E-2</v>
      </c>
      <c r="V271" s="9"/>
      <c r="W271" s="10">
        <f>IFERROR(-(Q271-T271), "NA")</f>
        <v>-932.64999999999964</v>
      </c>
      <c r="X271" s="8">
        <f>IFERROR(W271/W444, "NA")</f>
        <v>-4.6062135605860359E-2</v>
      </c>
      <c r="Y271" s="9"/>
      <c r="Z271" s="7">
        <v>3258.42</v>
      </c>
      <c r="AA271" s="8">
        <f>IFERROR(Z271/Z444, "NA")</f>
        <v>1.5560608254445139E-2</v>
      </c>
      <c r="AB271" s="9"/>
      <c r="AC271" s="10">
        <f>IFERROR(-(Q271-Z271), "NA")</f>
        <v>-374.04999999999973</v>
      </c>
      <c r="AD271" s="8">
        <f>IFERROR(AC271/AC444, "NA")</f>
        <v>-1.0439333947887881E-2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1.3577903381431059E-2</v>
      </c>
      <c r="D273" s="2"/>
      <c r="E273" s="14">
        <f>IFERROR(E269+E270+E271+E272, "NA")</f>
        <v>1572.5500000000002</v>
      </c>
      <c r="F273" s="15">
        <f>IFERROR(E273/E444, "NA")</f>
        <v>1.4101892687336233E-2</v>
      </c>
      <c r="G273" s="2"/>
      <c r="H273" s="14">
        <f>IFERROR(-(B273-E273), "NA")</f>
        <v>158.01000000000022</v>
      </c>
      <c r="I273" s="15">
        <f>IFERROR(H273/H444, "NA")</f>
        <v>-2.154532959540981E-2</v>
      </c>
      <c r="J273" s="2"/>
      <c r="K273" s="14">
        <f>IFERROR(K269+K270+K271+K272, "NA")</f>
        <v>1269.0700000000002</v>
      </c>
      <c r="L273" s="15">
        <f>IFERROR(K273/K444, "NA")</f>
        <v>1.2746076604415546E-2</v>
      </c>
      <c r="M273" s="2"/>
      <c r="N273" s="14">
        <f>IFERROR(-(B273-K273), "NA")</f>
        <v>-145.4699999999998</v>
      </c>
      <c r="O273" s="15">
        <f>IFERROR(N273/N444, "NA")</f>
        <v>-3.1527821725956903E-2</v>
      </c>
      <c r="P273" s="2"/>
      <c r="Q273" s="14">
        <f>IFERROR(Q269+Q270+Q271+Q272, "NA")</f>
        <v>4287.88</v>
      </c>
      <c r="R273" s="15">
        <f>IFERROR(Q273/Q444, "NA")</f>
        <v>1.74849460310488E-2</v>
      </c>
      <c r="S273" s="2"/>
      <c r="T273" s="14">
        <f>IFERROR(T269+T270+T271+T272, "NA")</f>
        <v>3224.0200000000004</v>
      </c>
      <c r="U273" s="15">
        <f>IFERROR(T273/T444, "NA")</f>
        <v>1.4329931832794915E-2</v>
      </c>
      <c r="V273" s="2"/>
      <c r="W273" s="14">
        <f>IFERROR(-(Q273-T273), "NA")</f>
        <v>-1063.8599999999997</v>
      </c>
      <c r="X273" s="15">
        <f>IFERROR(W273/W444, "NA")</f>
        <v>-5.2542393808664135E-2</v>
      </c>
      <c r="Y273" s="2"/>
      <c r="Z273" s="14">
        <f>IFERROR(Z269+Z270+Z271+Z272, "NA")</f>
        <v>3807.21</v>
      </c>
      <c r="AA273" s="15">
        <f>IFERROR(Z273/Z444, "NA")</f>
        <v>1.8181358864850471E-2</v>
      </c>
      <c r="AB273" s="2"/>
      <c r="AC273" s="14">
        <f>IFERROR(-(Q273-Z273), "NA")</f>
        <v>-480.67000000000007</v>
      </c>
      <c r="AD273" s="15">
        <f>IFERROR(AC273/AC444, "NA")</f>
        <v>-1.3414983688627917E-2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9.3159349108404756E-3</v>
      </c>
      <c r="D287" s="9"/>
      <c r="E287" s="7">
        <v>1350</v>
      </c>
      <c r="F287" s="8">
        <f>IFERROR(E287/E444, "NA")</f>
        <v>1.2106168406666822E-2</v>
      </c>
      <c r="G287" s="9"/>
      <c r="H287" s="10">
        <f t="shared" si="72"/>
        <v>379.47</v>
      </c>
      <c r="I287" s="8">
        <f>IFERROR(H287/H444, "NA")</f>
        <v>-5.1742334166003101E-2</v>
      </c>
      <c r="J287" s="9"/>
      <c r="K287" s="7">
        <v>970.53</v>
      </c>
      <c r="L287" s="8">
        <f>IFERROR(K287/K444, "NA")</f>
        <v>9.7476496386199492E-3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2911.59</v>
      </c>
      <c r="R287" s="8">
        <f>IFERROR(Q287/Q444, "NA")</f>
        <v>1.1872765565860373E-2</v>
      </c>
      <c r="S287" s="9"/>
      <c r="T287" s="7">
        <v>4050</v>
      </c>
      <c r="U287" s="8">
        <f>IFERROR(T287/T444, "NA")</f>
        <v>1.8001198479792122E-2</v>
      </c>
      <c r="V287" s="9"/>
      <c r="W287" s="10">
        <f t="shared" si="74"/>
        <v>1138.4099999999999</v>
      </c>
      <c r="X287" s="8">
        <f>IFERROR(W287/W444, "NA")</f>
        <v>5.6224302573384989E-2</v>
      </c>
      <c r="Y287" s="9"/>
      <c r="Z287" s="7">
        <v>2911.59</v>
      </c>
      <c r="AA287" s="8">
        <f>IFERROR(Z287/Z444, "NA")</f>
        <v>1.3904319083347119E-2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371.95</v>
      </c>
      <c r="C288" s="8">
        <f>IFERROR(B288/B444, "NA")</f>
        <v>3.5702780852597191E-3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-371.95</v>
      </c>
      <c r="I288" s="8">
        <f>IFERROR(H288/H444, "NA")</f>
        <v>5.0716950465240607E-2</v>
      </c>
      <c r="J288" s="9"/>
      <c r="K288" s="7">
        <v>100.13</v>
      </c>
      <c r="L288" s="8">
        <f>IFERROR(K288/K444, "NA")</f>
        <v>1.0056692305389998E-3</v>
      </c>
      <c r="M288" s="9"/>
      <c r="N288" s="10">
        <f t="shared" si="73"/>
        <v>-271.82</v>
      </c>
      <c r="O288" s="8">
        <f>IFERROR(N288/N444, "NA")</f>
        <v>-5.8911751574548823E-2</v>
      </c>
      <c r="P288" s="9"/>
      <c r="Q288" s="7">
        <v>1115.8499999999999</v>
      </c>
      <c r="R288" s="8">
        <f>IFERROR(Q288/Q444, "NA")</f>
        <v>4.5501686214972905E-3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-1115.8499999999999</v>
      </c>
      <c r="X288" s="8">
        <f>IFERROR(W288/W444, "NA")</f>
        <v>-5.5110099196696835E-2</v>
      </c>
      <c r="Y288" s="9"/>
      <c r="Z288" s="7">
        <v>300.39</v>
      </c>
      <c r="AA288" s="8">
        <f>IFERROR(Z288/Z444, "NA")</f>
        <v>1.4345146155353744E-3</v>
      </c>
      <c r="AB288" s="9"/>
      <c r="AC288" s="10">
        <f t="shared" si="75"/>
        <v>-815.45999999999992</v>
      </c>
      <c r="AD288" s="8">
        <f>IFERROR(AC288/AC444, "NA")</f>
        <v>-2.2758613183116314E-2</v>
      </c>
    </row>
    <row r="289" spans="1:30" ht="16.5" customHeight="1" x14ac:dyDescent="0.45">
      <c r="A289" s="6" t="s">
        <v>262</v>
      </c>
      <c r="B289" s="7">
        <v>381.86</v>
      </c>
      <c r="C289" s="8">
        <f>IFERROR(B289/B444, "NA")</f>
        <v>3.6654023111635336E-3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-381.86</v>
      </c>
      <c r="I289" s="8">
        <f>IFERROR(H289/H444, "NA")</f>
        <v>5.2068220741112461E-2</v>
      </c>
      <c r="J289" s="9"/>
      <c r="K289" s="7">
        <v>216.92</v>
      </c>
      <c r="L289" s="8">
        <f>IFERROR(K289/K444, "NA")</f>
        <v>2.1786654298264238E-3</v>
      </c>
      <c r="M289" s="9"/>
      <c r="N289" s="10">
        <f t="shared" si="73"/>
        <v>-164.94000000000003</v>
      </c>
      <c r="O289" s="8">
        <f>IFERROR(N289/N444, "NA")</f>
        <v>-3.5747569364675463E-2</v>
      </c>
      <c r="P289" s="9"/>
      <c r="Q289" s="7">
        <v>801.27</v>
      </c>
      <c r="R289" s="8">
        <f>IFERROR(Q289/Q444, "NA")</f>
        <v>3.2673868453171428E-3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-801.27</v>
      </c>
      <c r="X289" s="8">
        <f>IFERROR(W289/W444, "NA")</f>
        <v>-3.9573481366973404E-2</v>
      </c>
      <c r="Y289" s="9"/>
      <c r="Z289" s="7">
        <v>619.4</v>
      </c>
      <c r="AA289" s="8">
        <f>IFERROR(Z289/Z444, "NA")</f>
        <v>2.9579491756137385E-3</v>
      </c>
      <c r="AB289" s="9"/>
      <c r="AC289" s="10">
        <f t="shared" si="75"/>
        <v>-181.87</v>
      </c>
      <c r="AD289" s="8">
        <f>IFERROR(AC289/AC444, "NA")</f>
        <v>-5.0757964579665029E-3</v>
      </c>
    </row>
    <row r="290" spans="1:30" ht="16.5" customHeight="1" x14ac:dyDescent="0.45">
      <c r="A290" s="6" t="s">
        <v>263</v>
      </c>
      <c r="B290" s="7">
        <v>250.96</v>
      </c>
      <c r="C290" s="8">
        <f>IFERROR(B290/B444, "NA")</f>
        <v>2.4089178337862054E-3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-250.96</v>
      </c>
      <c r="I290" s="8">
        <f>IFERROR(H290/H444, "NA")</f>
        <v>3.4219453928637678E-2</v>
      </c>
      <c r="J290" s="9"/>
      <c r="K290" s="7">
        <v>1622.72</v>
      </c>
      <c r="L290" s="8">
        <f>IFERROR(K290/K444, "NA")</f>
        <v>1.6298008326977389E-2</v>
      </c>
      <c r="M290" s="9"/>
      <c r="N290" s="10">
        <f t="shared" si="73"/>
        <v>1371.76</v>
      </c>
      <c r="O290" s="8">
        <f>IFERROR(N290/N444, "NA")</f>
        <v>0.2973025691262714</v>
      </c>
      <c r="P290" s="9"/>
      <c r="Q290" s="7">
        <v>763.09</v>
      </c>
      <c r="R290" s="8">
        <f>IFERROR(Q290/Q444, "NA")</f>
        <v>3.1116979642231194E-3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-763.09</v>
      </c>
      <c r="X290" s="8">
        <f>IFERROR(W290/W444, "NA")</f>
        <v>-3.7687830439581835E-2</v>
      </c>
      <c r="Y290" s="9"/>
      <c r="Z290" s="7">
        <v>2124.64</v>
      </c>
      <c r="AA290" s="8">
        <f>IFERROR(Z290/Z444, "NA")</f>
        <v>1.0146233672063245E-2</v>
      </c>
      <c r="AB290" s="9"/>
      <c r="AC290" s="10">
        <f t="shared" si="75"/>
        <v>1361.5499999999997</v>
      </c>
      <c r="AD290" s="8">
        <f>IFERROR(AC290/AC444, "NA")</f>
        <v>3.7999398841723708E-2</v>
      </c>
    </row>
    <row r="291" spans="1:30" ht="16.5" customHeight="1" x14ac:dyDescent="0.45">
      <c r="A291" s="6" t="s">
        <v>264</v>
      </c>
      <c r="B291" s="7">
        <v>679.7</v>
      </c>
      <c r="C291" s="8">
        <f>IFERROR(B291/B444, "NA")</f>
        <v>6.5243124467025976E-3</v>
      </c>
      <c r="D291" s="9"/>
      <c r="E291" s="7">
        <v>1672.7</v>
      </c>
      <c r="F291" s="8">
        <f>IFERROR(E291/E444, "NA")</f>
        <v>1.4999991032467849E-2</v>
      </c>
      <c r="G291" s="9"/>
      <c r="H291" s="10">
        <f t="shared" si="72"/>
        <v>993</v>
      </c>
      <c r="I291" s="8">
        <f>IFERROR(H291/H444, "NA")</f>
        <v>-0.13539973601823879</v>
      </c>
      <c r="J291" s="9"/>
      <c r="K291" s="7">
        <v>1993.28</v>
      </c>
      <c r="L291" s="8">
        <f>IFERROR(K291/K444, "NA")</f>
        <v>2.0019777927182437E-2</v>
      </c>
      <c r="M291" s="9"/>
      <c r="N291" s="10">
        <f t="shared" si="73"/>
        <v>1313.58</v>
      </c>
      <c r="O291" s="8">
        <f>IFERROR(N291/N444, "NA")</f>
        <v>0.28469317428186242</v>
      </c>
      <c r="P291" s="9"/>
      <c r="Q291" s="7">
        <v>1800.92</v>
      </c>
      <c r="R291" s="8">
        <f>IFERROR(Q291/Q444, "NA")</f>
        <v>7.3437197417456652E-3</v>
      </c>
      <c r="S291" s="9"/>
      <c r="T291" s="7">
        <v>3374.77</v>
      </c>
      <c r="U291" s="8">
        <f>IFERROR(T291/T444, "NA")</f>
        <v>1.4999976442876064E-2</v>
      </c>
      <c r="V291" s="9"/>
      <c r="W291" s="10">
        <f t="shared" si="74"/>
        <v>1573.85</v>
      </c>
      <c r="X291" s="8">
        <f>IFERROR(W291/W444, "NA")</f>
        <v>7.7730008173787973E-2</v>
      </c>
      <c r="Y291" s="9"/>
      <c r="Z291" s="7">
        <v>1509.29</v>
      </c>
      <c r="AA291" s="8">
        <f>IFERROR(Z291/Z444, "NA")</f>
        <v>7.2076253007136897E-3</v>
      </c>
      <c r="AB291" s="9"/>
      <c r="AC291" s="10">
        <f t="shared" si="75"/>
        <v>-291.63000000000011</v>
      </c>
      <c r="AD291" s="8">
        <f>IFERROR(AC291/AC444, "NA")</f>
        <v>-8.1390802278373114E-3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1100.3900000000001</v>
      </c>
      <c r="L292" s="8">
        <f>IFERROR(K292/K444, "NA")</f>
        <v>1.1051916154926697E-2</v>
      </c>
      <c r="M292" s="9"/>
      <c r="N292" s="10">
        <f t="shared" si="73"/>
        <v>1100.3900000000001</v>
      </c>
      <c r="O292" s="8">
        <f>IFERROR(N292/N444, "NA")</f>
        <v>0.23848834638774846</v>
      </c>
      <c r="P292" s="9"/>
      <c r="Q292" s="7">
        <v>1703.69</v>
      </c>
      <c r="R292" s="8">
        <f>IFERROR(Q292/Q444, "NA")</f>
        <v>6.9472391260104131E-3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-1703.69</v>
      </c>
      <c r="X292" s="8">
        <f>IFERROR(W292/W444, "NA")</f>
        <v>-8.4142604203450683E-2</v>
      </c>
      <c r="Y292" s="9"/>
      <c r="Z292" s="7">
        <v>1100.3900000000001</v>
      </c>
      <c r="AA292" s="8">
        <f>IFERROR(Z292/Z444, "NA")</f>
        <v>5.2549203961149539E-3</v>
      </c>
      <c r="AB292" s="9"/>
      <c r="AC292" s="10">
        <f t="shared" si="75"/>
        <v>-603.29999999999995</v>
      </c>
      <c r="AD292" s="8">
        <f>IFERROR(AC292/AC444, "NA")</f>
        <v>-1.6837455342229017E-2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622.30999999999995</v>
      </c>
      <c r="C294" s="8">
        <f>IFERROR(B294/B444, "NA")</f>
        <v>5.9734366319074486E-3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-622.30999999999995</v>
      </c>
      <c r="I294" s="8">
        <f>IFERROR(H294/H444, "NA")</f>
        <v>8.4854591864562123E-2</v>
      </c>
      <c r="J294" s="9"/>
      <c r="K294" s="7">
        <v>385.83</v>
      </c>
      <c r="L294" s="8">
        <f>IFERROR(K294/K444, "NA")</f>
        <v>3.8751359154984748E-3</v>
      </c>
      <c r="M294" s="9"/>
      <c r="N294" s="10">
        <f t="shared" si="73"/>
        <v>-236.47999999999996</v>
      </c>
      <c r="O294" s="8">
        <f>IFERROR(N294/N444, "NA")</f>
        <v>-5.1252486985318604E-2</v>
      </c>
      <c r="P294" s="9"/>
      <c r="Q294" s="7">
        <v>1063.96</v>
      </c>
      <c r="R294" s="8">
        <f>IFERROR(Q294/Q444, "NA")</f>
        <v>4.3385736492613323E-3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-1063.96</v>
      </c>
      <c r="X294" s="8">
        <f>IFERROR(W294/W444, "NA")</f>
        <v>-5.2547332653418981E-2</v>
      </c>
      <c r="Y294" s="9"/>
      <c r="Z294" s="7">
        <v>1157.49</v>
      </c>
      <c r="AA294" s="8">
        <f>IFERROR(Z294/Z444, "NA")</f>
        <v>5.5276018587038208E-3</v>
      </c>
      <c r="AB294" s="9"/>
      <c r="AC294" s="10">
        <f t="shared" si="75"/>
        <v>93.529999999999973</v>
      </c>
      <c r="AD294" s="8">
        <f>IFERROR(AC294/AC444, "NA")</f>
        <v>2.6103218931852802E-3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3277.31</v>
      </c>
      <c r="C295" s="15">
        <f>IFERROR(B295/B444, "NA")</f>
        <v>3.1458282219659982E-2</v>
      </c>
      <c r="D295" s="2"/>
      <c r="E295" s="14">
        <f>IFERROR(E286+E287+E288+E289+E290+E291+E292+E293+E294, "NA")</f>
        <v>3022.7</v>
      </c>
      <c r="F295" s="15">
        <f>IFERROR(E295/E444, "NA")</f>
        <v>2.7106159439134667E-2</v>
      </c>
      <c r="G295" s="2"/>
      <c r="H295" s="14">
        <f t="shared" si="72"/>
        <v>-254.61000000000013</v>
      </c>
      <c r="I295" s="15">
        <f>IFERROR(H295/H444, "NA")</f>
        <v>3.4717146815310976E-2</v>
      </c>
      <c r="J295" s="2"/>
      <c r="K295" s="14">
        <f>IFERROR(K286+K287+K288+K289+K290+K291+K292+K293+K294, "NA")</f>
        <v>6389.8</v>
      </c>
      <c r="L295" s="15">
        <f>IFERROR(K295/K444, "NA")</f>
        <v>6.417682262357037E-2</v>
      </c>
      <c r="M295" s="2"/>
      <c r="N295" s="14">
        <f t="shared" si="73"/>
        <v>3112.4900000000002</v>
      </c>
      <c r="O295" s="15">
        <f>IFERROR(N295/N444, "NA")</f>
        <v>0.67457228187133944</v>
      </c>
      <c r="P295" s="2"/>
      <c r="Q295" s="14">
        <f>IFERROR(Q286+Q287+Q288+Q289+Q290+Q291+Q292+Q293+Q294, "NA")</f>
        <v>10160.369999999999</v>
      </c>
      <c r="R295" s="15">
        <f>IFERROR(Q295/Q444, "NA")</f>
        <v>4.1431551513915331E-2</v>
      </c>
      <c r="S295" s="2"/>
      <c r="T295" s="14">
        <f>IFERROR(T286+T287+T288+T289+T290+T291+T292+T293+T294, "NA")</f>
        <v>7424.77</v>
      </c>
      <c r="U295" s="15">
        <f>IFERROR(T295/T444, "NA")</f>
        <v>3.3001174922668186E-2</v>
      </c>
      <c r="V295" s="2"/>
      <c r="W295" s="14">
        <f t="shared" si="74"/>
        <v>-2735.5999999999985</v>
      </c>
      <c r="X295" s="15">
        <f>IFERROR(W295/W444, "NA")</f>
        <v>-0.13510703711294869</v>
      </c>
      <c r="Y295" s="2"/>
      <c r="Z295" s="14">
        <f>IFERROR(Z286+Z287+Z288+Z289+Z290+Z291+Z292+Z293+Z294, "NA")</f>
        <v>9723.19</v>
      </c>
      <c r="AA295" s="15">
        <f>IFERROR(Z295/Z444, "NA")</f>
        <v>4.6433164102091945E-2</v>
      </c>
      <c r="AB295" s="2"/>
      <c r="AC295" s="14">
        <f t="shared" si="75"/>
        <v>-437.17999999999847</v>
      </c>
      <c r="AD295" s="15">
        <f>IFERROR(AC295/AC444, "NA")</f>
        <v>-1.2201224476240106E-2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1449.67</v>
      </c>
      <c r="F297" s="8">
        <f>IFERROR(E297/E444, "NA")</f>
        <v>1.2999962336364959E-2</v>
      </c>
      <c r="G297" s="9"/>
      <c r="H297" s="10">
        <f t="shared" ref="H297:H325" si="76">IFERROR(-(B297-E297), "NA")</f>
        <v>1449.67</v>
      </c>
      <c r="I297" s="8">
        <f>IFERROR(H297/H444, "NA")</f>
        <v>-0.19766861562292071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2924.8</v>
      </c>
      <c r="U297" s="8">
        <f>IFERROR(T297/T444, "NA")</f>
        <v>1.299997662066568E-2</v>
      </c>
      <c r="V297" s="9"/>
      <c r="W297" s="10">
        <f t="shared" ref="W297:W325" si="78">IFERROR(-(Q297-T297), "NA")</f>
        <v>2924.8</v>
      </c>
      <c r="X297" s="8">
        <f>IFERROR(W297/W444, "NA")</f>
        <v>0.14445133138907462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516.35</v>
      </c>
      <c r="C299" s="8">
        <f>IFERROR(B299/B444, "NA")</f>
        <v>4.9563465232527384E-3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-516.35</v>
      </c>
      <c r="I299" s="8">
        <f>IFERROR(H299/H444, "NA")</f>
        <v>7.0406499187328914E-2</v>
      </c>
      <c r="J299" s="9"/>
      <c r="K299" s="7">
        <v>500.77</v>
      </c>
      <c r="L299" s="8">
        <f>IFERROR(K299/K444, "NA")</f>
        <v>5.0295513889644953E-3</v>
      </c>
      <c r="M299" s="9"/>
      <c r="N299" s="10">
        <f t="shared" si="77"/>
        <v>-15.580000000000041</v>
      </c>
      <c r="O299" s="8">
        <f>IFERROR(N299/N444, "NA")</f>
        <v>-3.3766650339617137E-3</v>
      </c>
      <c r="P299" s="9"/>
      <c r="Q299" s="7">
        <v>1549.05</v>
      </c>
      <c r="R299" s="8">
        <f>IFERROR(Q299/Q444, "NA")</f>
        <v>6.3166543022183785E-3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-1549.05</v>
      </c>
      <c r="X299" s="8">
        <f>IFERROR(W299/W444, "NA")</f>
        <v>-7.650517467459178E-2</v>
      </c>
      <c r="Y299" s="9"/>
      <c r="Z299" s="7">
        <v>1502.31</v>
      </c>
      <c r="AA299" s="8">
        <f>IFERROR(Z299/Z444, "NA")</f>
        <v>7.1742922602781329E-3</v>
      </c>
      <c r="AB299" s="9"/>
      <c r="AC299" s="10">
        <f t="shared" si="79"/>
        <v>-46.740000000000009</v>
      </c>
      <c r="AD299" s="8">
        <f>IFERROR(AC299/AC444, "NA")</f>
        <v>-1.3044632234307713E-3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-87</v>
      </c>
      <c r="C305" s="8">
        <f>IFERROR(B305/B444, "NA")</f>
        <v>-8.350966350788965E-4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87</v>
      </c>
      <c r="I305" s="8">
        <f>IFERROR(H305/H444, "NA")</f>
        <v>-1.1862816750842674E-2</v>
      </c>
      <c r="J305" s="9"/>
      <c r="K305" s="7">
        <v>73.33</v>
      </c>
      <c r="L305" s="8">
        <f>IFERROR(K305/K444, "NA")</f>
        <v>7.3649979701812494E-4</v>
      </c>
      <c r="M305" s="9"/>
      <c r="N305" s="10">
        <f t="shared" si="77"/>
        <v>160.32999999999998</v>
      </c>
      <c r="O305" s="8">
        <f>IFERROR(N305/N444, "NA")</f>
        <v>3.4748440622277284E-2</v>
      </c>
      <c r="P305" s="9"/>
      <c r="Q305" s="7">
        <v>-57</v>
      </c>
      <c r="R305" s="8">
        <f>IFERROR(Q305/Q444, "NA")</f>
        <v>-2.3243232641066949E-4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57</v>
      </c>
      <c r="X305" s="8">
        <f>IFERROR(W305/W444, "NA")</f>
        <v>2.8151415102493343E-3</v>
      </c>
      <c r="Y305" s="9"/>
      <c r="Z305" s="7">
        <v>174.99</v>
      </c>
      <c r="AA305" s="8">
        <f>IFERROR(Z305/Z444, "NA")</f>
        <v>8.3566600942952562E-4</v>
      </c>
      <c r="AB305" s="9"/>
      <c r="AC305" s="10">
        <f t="shared" si="79"/>
        <v>231.99</v>
      </c>
      <c r="AD305" s="8">
        <f>IFERROR(AC305/AC444, "NA")</f>
        <v>6.4745918528819986E-3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3.12</v>
      </c>
      <c r="C310" s="8">
        <f>IFERROR(B310/B444, "NA")</f>
        <v>2.9948293120070773E-5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-3.12</v>
      </c>
      <c r="I310" s="8">
        <f>IFERROR(H310/H444, "NA")</f>
        <v>4.254251524440132E-4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-3.12</v>
      </c>
      <c r="O310" s="8">
        <f>IFERROR(N310/N444, "NA")</f>
        <v>-6.7619992977923748E-4</v>
      </c>
      <c r="P310" s="9"/>
      <c r="Q310" s="7">
        <v>68.98</v>
      </c>
      <c r="R310" s="8">
        <f>IFERROR(Q310/Q444, "NA")</f>
        <v>2.8128389255803476E-4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-68.98</v>
      </c>
      <c r="X310" s="8">
        <f>IFERROR(W310/W444, "NA")</f>
        <v>-3.4068151118771769E-3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-68.98</v>
      </c>
      <c r="AD310" s="8">
        <f>IFERROR(AC310/AC444, "NA")</f>
        <v>-1.9251577482296662E-3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1.0899852780626659E-4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-1.3201532029642931E-3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-7.4600560467061436E-4</v>
      </c>
    </row>
    <row r="312" spans="1:30" ht="16.5" customHeight="1" x14ac:dyDescent="0.45">
      <c r="A312" s="6" t="s">
        <v>284</v>
      </c>
      <c r="B312" s="7">
        <v>102.49</v>
      </c>
      <c r="C312" s="8">
        <f>IFERROR(B312/B444, "NA")</f>
        <v>9.8378223137052983E-4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-102.49</v>
      </c>
      <c r="I312" s="8">
        <f>IFERROR(H312/H444, "NA")</f>
        <v>1.3974943549354777E-2</v>
      </c>
      <c r="J312" s="9"/>
      <c r="K312" s="7">
        <v>23.12</v>
      </c>
      <c r="L312" s="8">
        <f>IFERROR(K312/K444, "NA")</f>
        <v>2.3220885458965021E-4</v>
      </c>
      <c r="M312" s="9"/>
      <c r="N312" s="10">
        <f t="shared" si="77"/>
        <v>-79.36999999999999</v>
      </c>
      <c r="O312" s="8">
        <f>IFERROR(N312/N444, "NA")</f>
        <v>-1.7201919367492973E-2</v>
      </c>
      <c r="P312" s="9"/>
      <c r="Q312" s="7">
        <v>153.49</v>
      </c>
      <c r="R312" s="8">
        <f>IFERROR(Q312/Q444, "NA")</f>
        <v>6.2589539966269585E-4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-153.49</v>
      </c>
      <c r="X312" s="8">
        <f>IFERROR(W312/W444, "NA")</f>
        <v>-7.5806328141784273E-3</v>
      </c>
      <c r="Y312" s="9"/>
      <c r="Z312" s="7">
        <v>46.12</v>
      </c>
      <c r="AA312" s="8">
        <f>IFERROR(Z312/Z444, "NA")</f>
        <v>2.2024639325041268E-4</v>
      </c>
      <c r="AB312" s="9"/>
      <c r="AC312" s="10">
        <f t="shared" si="79"/>
        <v>-107.37</v>
      </c>
      <c r="AD312" s="8">
        <f>IFERROR(AC312/AC444, "NA")</f>
        <v>-2.9965814355961042E-3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20.05</v>
      </c>
      <c r="R313" s="8">
        <f>IFERROR(Q313/Q444, "NA")</f>
        <v>8.1759090254981116E-5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-20.05</v>
      </c>
      <c r="X313" s="8">
        <f>IFERROR(W313/W444, "NA")</f>
        <v>-9.9023837334209037E-4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-20.05</v>
      </c>
      <c r="AD313" s="8">
        <f>IFERROR(AC313/AC444, "NA")</f>
        <v>-5.5957397581914766E-4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3.9793794483294039E-3</v>
      </c>
      <c r="D318" s="9"/>
      <c r="E318" s="7">
        <v>915</v>
      </c>
      <c r="F318" s="8">
        <f>IFERROR(E318/E444, "NA")</f>
        <v>8.20529192007418E-3</v>
      </c>
      <c r="G318" s="9"/>
      <c r="H318" s="10">
        <f t="shared" si="76"/>
        <v>500.43</v>
      </c>
      <c r="I318" s="8">
        <f>IFERROR(H318/H444, "NA")</f>
        <v>-6.8235740076140222E-2</v>
      </c>
      <c r="J318" s="9"/>
      <c r="K318" s="7">
        <v>414.57</v>
      </c>
      <c r="L318" s="8">
        <f>IFERROR(K318/K444, "NA")</f>
        <v>4.163790002042876E-3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1243.71</v>
      </c>
      <c r="R318" s="8">
        <f>IFERROR(Q318/Q444, "NA")</f>
        <v>5.0715510294774349E-3</v>
      </c>
      <c r="S318" s="9"/>
      <c r="T318" s="7">
        <v>2745</v>
      </c>
      <c r="U318" s="8">
        <f>IFERROR(T318/T444, "NA")</f>
        <v>1.2200812302970217E-2</v>
      </c>
      <c r="V318" s="9"/>
      <c r="W318" s="10">
        <f t="shared" si="78"/>
        <v>1501.29</v>
      </c>
      <c r="X318" s="8">
        <f>IFERROR(W318/W444, "NA")</f>
        <v>7.4146382419688128E-2</v>
      </c>
      <c r="Y318" s="9"/>
      <c r="Z318" s="7">
        <v>1243.71</v>
      </c>
      <c r="AA318" s="8">
        <f>IFERROR(Z318/Z444, "NA")</f>
        <v>5.9393460917057843E-3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149.58000000000001</v>
      </c>
      <c r="C319" s="8">
        <f>IFERROR(B319/B444, "NA")</f>
        <v>1.4357902836218547E-3</v>
      </c>
      <c r="D319" s="9"/>
      <c r="E319" s="7">
        <v>149</v>
      </c>
      <c r="F319" s="8">
        <f>IFERROR(E319/E444, "NA")</f>
        <v>1.3361622908098939E-3</v>
      </c>
      <c r="G319" s="9"/>
      <c r="H319" s="10">
        <f t="shared" si="76"/>
        <v>-0.58000000000001251</v>
      </c>
      <c r="I319" s="8">
        <f>IFERROR(H319/H444, "NA")</f>
        <v>7.9085445005619532E-5</v>
      </c>
      <c r="J319" s="9"/>
      <c r="K319" s="7">
        <v>149.54</v>
      </c>
      <c r="L319" s="8">
        <f>IFERROR(K319/K444, "NA")</f>
        <v>1.5019252645041648E-3</v>
      </c>
      <c r="M319" s="9"/>
      <c r="N319" s="10">
        <f t="shared" si="77"/>
        <v>-4.0000000000020464E-2</v>
      </c>
      <c r="O319" s="8">
        <f>IFERROR(N319/N444, "NA")</f>
        <v>-8.6692298689690178E-6</v>
      </c>
      <c r="P319" s="9"/>
      <c r="Q319" s="7">
        <v>448.7</v>
      </c>
      <c r="R319" s="8">
        <f>IFERROR(Q319/Q444, "NA")</f>
        <v>1.8296909624643403E-3</v>
      </c>
      <c r="S319" s="9"/>
      <c r="T319" s="7">
        <v>447</v>
      </c>
      <c r="U319" s="8">
        <f>IFERROR(T319/T444, "NA")</f>
        <v>1.9867989433252045E-3</v>
      </c>
      <c r="V319" s="9"/>
      <c r="W319" s="10">
        <f t="shared" si="78"/>
        <v>-1.6999999999999886</v>
      </c>
      <c r="X319" s="8">
        <f>IFERROR(W319/W444, "NA")</f>
        <v>-8.3960360831997124E-5</v>
      </c>
      <c r="Y319" s="9"/>
      <c r="Z319" s="7">
        <v>448.61</v>
      </c>
      <c r="AA319" s="8">
        <f>IFERROR(Z319/Z444, "NA")</f>
        <v>2.1423402965322562E-3</v>
      </c>
      <c r="AB319" s="9"/>
      <c r="AC319" s="10">
        <f t="shared" si="79"/>
        <v>-8.9999999999974989E-2</v>
      </c>
      <c r="AD319" s="8">
        <f>IFERROR(AC319/AC444, "NA")</f>
        <v>-2.5118033827286432E-6</v>
      </c>
    </row>
    <row r="320" spans="1:30" ht="16.5" customHeight="1" x14ac:dyDescent="0.45">
      <c r="A320" s="6" t="s">
        <v>292</v>
      </c>
      <c r="B320" s="7">
        <v>1018.57</v>
      </c>
      <c r="C320" s="8">
        <f>IFERROR(B320/B444, "NA")</f>
        <v>9.777061834394387E-3</v>
      </c>
      <c r="D320" s="9"/>
      <c r="E320" s="7">
        <v>800</v>
      </c>
      <c r="F320" s="8">
        <f>IFERROR(E320/E444, "NA")</f>
        <v>7.1740257224692282E-3</v>
      </c>
      <c r="G320" s="9"/>
      <c r="H320" s="10">
        <f t="shared" si="76"/>
        <v>-218.57000000000005</v>
      </c>
      <c r="I320" s="8">
        <f>IFERROR(H320/H444, "NA")</f>
        <v>2.9802940887720505E-2</v>
      </c>
      <c r="J320" s="9"/>
      <c r="K320" s="7">
        <v>411.29</v>
      </c>
      <c r="L320" s="8">
        <f>IFERROR(K320/K444, "NA")</f>
        <v>4.1308468773433062E-3</v>
      </c>
      <c r="M320" s="9"/>
      <c r="N320" s="10">
        <f t="shared" si="77"/>
        <v>-607.28</v>
      </c>
      <c r="O320" s="8">
        <f>IFERROR(N320/N444, "NA")</f>
        <v>-0.13161624787062029</v>
      </c>
      <c r="P320" s="9"/>
      <c r="Q320" s="7">
        <v>3017.58</v>
      </c>
      <c r="R320" s="8">
        <f>IFERROR(Q320/Q444, "NA")</f>
        <v>1.2304967360180843E-2</v>
      </c>
      <c r="S320" s="9"/>
      <c r="T320" s="7">
        <v>2400</v>
      </c>
      <c r="U320" s="8">
        <f>IFERROR(T320/T444, "NA")</f>
        <v>1.066737687691385E-2</v>
      </c>
      <c r="V320" s="9"/>
      <c r="W320" s="10">
        <f t="shared" si="78"/>
        <v>-617.57999999999993</v>
      </c>
      <c r="X320" s="8">
        <f>IFERROR(W320/W444, "NA")</f>
        <v>-3.0501317436838312E-2</v>
      </c>
      <c r="Y320" s="9"/>
      <c r="Z320" s="7">
        <v>2023.87</v>
      </c>
      <c r="AA320" s="8">
        <f>IFERROR(Z320/Z444, "NA")</f>
        <v>9.6650058089269887E-3</v>
      </c>
      <c r="AB320" s="9"/>
      <c r="AC320" s="10">
        <f t="shared" si="79"/>
        <v>-993.71</v>
      </c>
      <c r="AD320" s="8">
        <f>IFERROR(AC320/AC444, "NA")</f>
        <v>-2.7733379327244151E-2</v>
      </c>
    </row>
    <row r="321" spans="1:30" ht="16.5" customHeight="1" x14ac:dyDescent="0.45">
      <c r="A321" s="6" t="s">
        <v>293</v>
      </c>
      <c r="B321" s="7">
        <v>2299.86</v>
      </c>
      <c r="C321" s="8">
        <f>IFERROR(B321/B444, "NA")</f>
        <v>2.2075923530489091E-2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-2299.86</v>
      </c>
      <c r="I321" s="8">
        <f>IFERROR(H321/H444, "NA")</f>
        <v>0.31359560612175902</v>
      </c>
      <c r="J321" s="9"/>
      <c r="K321" s="7">
        <v>1949.72</v>
      </c>
      <c r="L321" s="8">
        <f>IFERROR(K321/K444, "NA")</f>
        <v>1.9582277161355226E-2</v>
      </c>
      <c r="M321" s="9"/>
      <c r="N321" s="10">
        <f t="shared" si="77"/>
        <v>-350.1400000000001</v>
      </c>
      <c r="O321" s="8">
        <f>IFERROR(N321/N444, "NA")</f>
        <v>-7.5886103657981499E-2</v>
      </c>
      <c r="P321" s="9"/>
      <c r="Q321" s="7">
        <v>6639.81</v>
      </c>
      <c r="R321" s="8">
        <f>IFERROR(Q321/Q444, "NA")</f>
        <v>2.7075552372365395E-2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-6639.81</v>
      </c>
      <c r="X321" s="8">
        <f>IFERROR(W321/W444, "NA")</f>
        <v>-0.32792990791523918</v>
      </c>
      <c r="Y321" s="9"/>
      <c r="Z321" s="7">
        <v>4810.96</v>
      </c>
      <c r="AA321" s="8">
        <f>IFERROR(Z321/Z444, "NA")</f>
        <v>2.2974774242671411E-2</v>
      </c>
      <c r="AB321" s="9"/>
      <c r="AC321" s="10">
        <f t="shared" si="79"/>
        <v>-1828.8500000000004</v>
      </c>
      <c r="AD321" s="8">
        <f>IFERROR(AC321/AC444, "NA")</f>
        <v>-5.1041240183383962E-2</v>
      </c>
    </row>
    <row r="322" spans="1:30" ht="16.5" customHeight="1" x14ac:dyDescent="0.45">
      <c r="A322" s="6" t="s">
        <v>294</v>
      </c>
      <c r="B322" s="7">
        <v>552.39</v>
      </c>
      <c r="C322" s="8">
        <f>IFERROR(B322/B444, "NA")</f>
        <v>5.3022877040371447E-3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-552.39</v>
      </c>
      <c r="I322" s="8">
        <f>IFERROR(H322/H444, "NA")</f>
        <v>7.5320705114919367E-2</v>
      </c>
      <c r="J322" s="9"/>
      <c r="K322" s="7">
        <v>176.61</v>
      </c>
      <c r="L322" s="8">
        <f>IFERROR(K322/K444, "NA")</f>
        <v>1.7738064796314068E-3</v>
      </c>
      <c r="M322" s="9"/>
      <c r="N322" s="10">
        <f t="shared" si="77"/>
        <v>-375.78</v>
      </c>
      <c r="O322" s="8">
        <f>IFERROR(N322/N444, "NA")</f>
        <v>-8.1443080003987769E-2</v>
      </c>
      <c r="P322" s="9"/>
      <c r="Q322" s="7">
        <v>1266.93</v>
      </c>
      <c r="R322" s="8">
        <f>IFERROR(Q322/Q444, "NA")</f>
        <v>5.166236619288939E-3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-1266.93</v>
      </c>
      <c r="X322" s="8">
        <f>IFERROR(W322/W444, "NA")</f>
        <v>-6.2571705852284026E-2</v>
      </c>
      <c r="Y322" s="9"/>
      <c r="Z322" s="7">
        <v>529.83000000000004</v>
      </c>
      <c r="AA322" s="8">
        <f>IFERROR(Z322/Z444, "NA")</f>
        <v>2.5302069934055979E-3</v>
      </c>
      <c r="AB322" s="9"/>
      <c r="AC322" s="10">
        <f t="shared" si="79"/>
        <v>-737.1</v>
      </c>
      <c r="AD322" s="8">
        <f>IFERROR(AC322/AC444, "NA")</f>
        <v>-2.0571669704553305E-2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4969.93</v>
      </c>
      <c r="C324" s="15">
        <f>IFERROR(B324/B444, "NA")</f>
        <v>4.7705423213536324E-2</v>
      </c>
      <c r="D324" s="2"/>
      <c r="E324" s="14">
        <f>IFERROR(E297+E298+E299+E300+E301+E302+E303+E304+E305+E306+E307+E308+E309+E310+E311+E312+E313+E314+E315+E316+E317+E318+E319+E320+E321+E322+E323, "NA")</f>
        <v>3313.67</v>
      </c>
      <c r="F324" s="15">
        <f>IFERROR(E324/E444, "NA")</f>
        <v>2.971544226971826E-2</v>
      </c>
      <c r="G324" s="2"/>
      <c r="H324" s="14">
        <f t="shared" si="76"/>
        <v>-1656.2600000000002</v>
      </c>
      <c r="I324" s="15">
        <f>IFERROR(H324/H444, "NA")</f>
        <v>0.22583803300862862</v>
      </c>
      <c r="J324" s="2"/>
      <c r="K324" s="14">
        <f>IFERROR(K297+K298+K299+K300+K301+K302+K303+K304+K305+K306+K307+K308+K309+K310+K311+K312+K313+K314+K315+K316+K317+K318+K319+K320+K321+K322+K323, "NA")</f>
        <v>3698.9500000000003</v>
      </c>
      <c r="L324" s="15">
        <f>IFERROR(K324/K444, "NA")</f>
        <v>3.7150905825449249E-2</v>
      </c>
      <c r="M324" s="2"/>
      <c r="N324" s="14">
        <f t="shared" si="77"/>
        <v>-1270.98</v>
      </c>
      <c r="O324" s="15">
        <f>IFERROR(N324/N444, "NA")</f>
        <v>-0.27546044447141516</v>
      </c>
      <c r="P324" s="2"/>
      <c r="Q324" s="14">
        <f>IFERROR(Q297+Q298+Q299+Q300+Q301+Q302+Q303+Q304+Q305+Q306+Q307+Q308+Q309+Q310+Q311+Q312+Q313+Q314+Q315+Q316+Q317+Q318+Q319+Q320+Q321+Q322+Q323, "NA")</f>
        <v>14378.03</v>
      </c>
      <c r="R324" s="15">
        <f>IFERROR(Q324/Q444, "NA")</f>
        <v>5.8630157229866642E-2</v>
      </c>
      <c r="S324" s="2"/>
      <c r="T324" s="14">
        <f>IFERROR(T297+T298+T299+T300+T301+T302+T303+T304+T305+T306+T307+T308+T309+T310+T311+T312+T313+T314+T315+T316+T317+T318+T319+T320+T321+T322+T323, "NA")</f>
        <v>8516.7999999999993</v>
      </c>
      <c r="U324" s="15">
        <f>IFERROR(T324/T444, "NA")</f>
        <v>3.7854964743874946E-2</v>
      </c>
      <c r="V324" s="2"/>
      <c r="W324" s="14">
        <f t="shared" si="78"/>
        <v>-5861.2300000000014</v>
      </c>
      <c r="X324" s="15">
        <f>IFERROR(W324/W444, "NA")</f>
        <v>-0.28947705042313526</v>
      </c>
      <c r="Y324" s="2"/>
      <c r="Z324" s="14">
        <f>IFERROR(Z297+Z298+Z299+Z300+Z301+Z302+Z303+Z304+Z305+Z306+Z307+Z308+Z309+Z310+Z311+Z312+Z313+Z314+Z315+Z316+Z317+Z318+Z319+Z320+Z321+Z322+Z323, "NA")</f>
        <v>10780.4</v>
      </c>
      <c r="AA324" s="15">
        <f>IFERROR(Z324/Z444, "NA")</f>
        <v>5.1481878096200112E-2</v>
      </c>
      <c r="AB324" s="2"/>
      <c r="AC324" s="14">
        <f t="shared" si="79"/>
        <v>-3597.630000000001</v>
      </c>
      <c r="AD324" s="15">
        <f>IFERROR(AC324/AC444, "NA")</f>
        <v>-0.10040599115342846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26569.360000000001</v>
      </c>
      <c r="C325" s="15">
        <f>IFERROR(B325/B444, "NA")</f>
        <v>0.2550342888758601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23879.550000000003</v>
      </c>
      <c r="F325" s="15">
        <f>IFERROR(E325/E444, "NA")</f>
        <v>0.2141406324262376</v>
      </c>
      <c r="G325" s="2"/>
      <c r="H325" s="14">
        <f t="shared" si="76"/>
        <v>-2689.8099999999977</v>
      </c>
      <c r="I325" s="15">
        <f>IFERROR(H325/H444, "NA")</f>
        <v>0.36676693246648401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24126.840000000004</v>
      </c>
      <c r="L325" s="15">
        <f>IFERROR(K325/K444, "NA")</f>
        <v>0.24232118863614865</v>
      </c>
      <c r="M325" s="2"/>
      <c r="N325" s="14">
        <f t="shared" si="77"/>
        <v>-2442.5199999999968</v>
      </c>
      <c r="O325" s="15">
        <f>IFERROR(N325/N444, "NA")</f>
        <v>-0.52936918348858364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70604.590000000011</v>
      </c>
      <c r="R325" s="15">
        <f>IFERROR(Q325/Q444, "NA")</f>
        <v>0.287908580859149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52079.299999999996</v>
      </c>
      <c r="U325" s="15">
        <f>IFERROR(T325/T444, "NA")</f>
        <v>0.23147896691077477</v>
      </c>
      <c r="V325" s="2"/>
      <c r="W325" s="14">
        <f t="shared" si="78"/>
        <v>-18525.290000000015</v>
      </c>
      <c r="X325" s="15">
        <f>IFERROR(W325/W444, "NA")</f>
        <v>-0.91493531348082346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52134.849999999991</v>
      </c>
      <c r="AA325" s="15">
        <f>IFERROR(Z325/Z444, "NA")</f>
        <v>0.24897035288706151</v>
      </c>
      <c r="AB325" s="2"/>
      <c r="AC325" s="14">
        <f t="shared" si="79"/>
        <v>-18469.74000000002</v>
      </c>
      <c r="AD325" s="15">
        <f>IFERROR(AC325/AC444, "NA")</f>
        <v>-0.51547061566812746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4.4133033389659161E-2</v>
      </c>
      <c r="D329" s="9"/>
      <c r="E329" s="7">
        <v>5352.64</v>
      </c>
      <c r="F329" s="8">
        <f>IFERROR(E329/E444, "NA")</f>
        <v>4.7999971303897118E-2</v>
      </c>
      <c r="G329" s="9"/>
      <c r="H329" s="10">
        <f t="shared" si="80"/>
        <v>754.88000000000011</v>
      </c>
      <c r="I329" s="8">
        <f>IFERROR(H329/H444, "NA")</f>
        <v>-0.10293107021696689</v>
      </c>
      <c r="J329" s="9"/>
      <c r="K329" s="7">
        <v>6377.92</v>
      </c>
      <c r="L329" s="8">
        <f>IFERROR(K329/K444, "NA")</f>
        <v>6.4057504232890222E-2</v>
      </c>
      <c r="M329" s="9"/>
      <c r="N329" s="10">
        <f t="shared" si="81"/>
        <v>1780.1599999999999</v>
      </c>
      <c r="O329" s="8">
        <f>IFERROR(N329/N444, "NA")</f>
        <v>0.38581540608839976</v>
      </c>
      <c r="P329" s="9"/>
      <c r="Q329" s="7">
        <v>13793.28</v>
      </c>
      <c r="R329" s="8">
        <f>IFERROR(Q329/Q444, "NA")</f>
        <v>5.6245687004101041E-2</v>
      </c>
      <c r="S329" s="9"/>
      <c r="T329" s="7">
        <v>13844.46</v>
      </c>
      <c r="U329" s="8">
        <f>IFERROR(T329/T444, "NA")</f>
        <v>6.1535030198899464E-2</v>
      </c>
      <c r="V329" s="9"/>
      <c r="W329" s="10">
        <f t="shared" si="82"/>
        <v>51.179999999998472</v>
      </c>
      <c r="X329" s="8">
        <f>IFERROR(W329/W444, "NA")</f>
        <v>2.5277007455185374E-3</v>
      </c>
      <c r="Y329" s="9"/>
      <c r="Z329" s="7">
        <v>19133.759999999998</v>
      </c>
      <c r="AA329" s="8">
        <f>IFERROR(Z329/Z444, "NA")</f>
        <v>9.1373409135277889E-2</v>
      </c>
      <c r="AB329" s="9"/>
      <c r="AC329" s="10">
        <f t="shared" si="83"/>
        <v>5340.4799999999977</v>
      </c>
      <c r="AD329" s="8">
        <f>IFERROR(AC329/AC444, "NA")</f>
        <v>0.14904706365998208</v>
      </c>
    </row>
    <row r="330" spans="1:30" ht="16.5" customHeight="1" x14ac:dyDescent="0.45">
      <c r="A330" s="6" t="s">
        <v>301</v>
      </c>
      <c r="B330" s="7">
        <v>2937.13</v>
      </c>
      <c r="C330" s="8">
        <f>IFERROR(B330/B444, "NA")</f>
        <v>2.8192958388382521E-2</v>
      </c>
      <c r="D330" s="9"/>
      <c r="E330" s="7">
        <v>1686</v>
      </c>
      <c r="F330" s="8">
        <f>IFERROR(E330/E444, "NA")</f>
        <v>1.5119259210103899E-2</v>
      </c>
      <c r="G330" s="9"/>
      <c r="H330" s="10">
        <f t="shared" si="80"/>
        <v>-1251.1300000000001</v>
      </c>
      <c r="I330" s="8">
        <f>IFERROR(H330/H444, "NA")</f>
        <v>0.17059684967220456</v>
      </c>
      <c r="J330" s="9"/>
      <c r="K330" s="7">
        <v>135.72999999999999</v>
      </c>
      <c r="L330" s="8">
        <f>IFERROR(K330/K444, "NA")</f>
        <v>1.3632226571562811E-3</v>
      </c>
      <c r="M330" s="9"/>
      <c r="N330" s="10">
        <f t="shared" si="81"/>
        <v>-2801.4</v>
      </c>
      <c r="O330" s="8">
        <f>IFERROR(N330/N444, "NA")</f>
        <v>-0.60714951387293459</v>
      </c>
      <c r="P330" s="9"/>
      <c r="Q330" s="7">
        <v>6309.17</v>
      </c>
      <c r="R330" s="8">
        <f>IFERROR(Q330/Q444, "NA")</f>
        <v>2.572728176877901E-2</v>
      </c>
      <c r="S330" s="9"/>
      <c r="T330" s="7">
        <v>5058</v>
      </c>
      <c r="U330" s="8">
        <f>IFERROR(T330/T444, "NA")</f>
        <v>2.2481496768095938E-2</v>
      </c>
      <c r="V330" s="9"/>
      <c r="W330" s="10">
        <f t="shared" si="82"/>
        <v>-1251.17</v>
      </c>
      <c r="X330" s="8">
        <f>IFERROR(W330/W444, "NA")</f>
        <v>-6.1793343918923854E-2</v>
      </c>
      <c r="Y330" s="9"/>
      <c r="Z330" s="7">
        <v>3409.55</v>
      </c>
      <c r="AA330" s="8">
        <f>IFERROR(Z330/Z444, "NA")</f>
        <v>1.6282330661468877E-2</v>
      </c>
      <c r="AB330" s="9"/>
      <c r="AC330" s="10">
        <f t="shared" si="83"/>
        <v>-2899.62</v>
      </c>
      <c r="AD330" s="8">
        <f>IFERROR(AC330/AC444, "NA")</f>
        <v>-8.0925281384773909E-2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2192.9899999999998</v>
      </c>
      <c r="C333" s="8">
        <f>IFERROR(B333/B444, "NA")</f>
        <v>2.1050098503007691E-2</v>
      </c>
      <c r="D333" s="9"/>
      <c r="E333" s="7">
        <v>1686</v>
      </c>
      <c r="F333" s="8">
        <f>IFERROR(E333/E444, "NA")</f>
        <v>1.5119259210103899E-2</v>
      </c>
      <c r="G333" s="9"/>
      <c r="H333" s="10">
        <f t="shared" si="80"/>
        <v>-506.98999999999978</v>
      </c>
      <c r="I333" s="8">
        <f>IFERROR(H333/H444, "NA")</f>
        <v>6.9130223729996845E-2</v>
      </c>
      <c r="J333" s="9"/>
      <c r="K333" s="7">
        <v>2064.6</v>
      </c>
      <c r="L333" s="8">
        <f>IFERROR(K333/K444, "NA")</f>
        <v>2.0736090016686498E-2</v>
      </c>
      <c r="M333" s="9"/>
      <c r="N333" s="10">
        <f t="shared" si="81"/>
        <v>-128.38999999999987</v>
      </c>
      <c r="O333" s="8">
        <f>IFERROR(N333/N444, "NA")</f>
        <v>-2.7826060571909041E-2</v>
      </c>
      <c r="P333" s="9"/>
      <c r="Q333" s="7">
        <v>6020.93</v>
      </c>
      <c r="R333" s="8">
        <f>IFERROR(Q333/Q444, "NA")</f>
        <v>2.4551908193961268E-2</v>
      </c>
      <c r="S333" s="9"/>
      <c r="T333" s="7">
        <v>5058</v>
      </c>
      <c r="U333" s="8">
        <f>IFERROR(T333/T444, "NA")</f>
        <v>2.2481496768095938E-2</v>
      </c>
      <c r="V333" s="9"/>
      <c r="W333" s="10">
        <f t="shared" si="82"/>
        <v>-962.93000000000029</v>
      </c>
      <c r="X333" s="8">
        <f>IFERROR(W333/W444, "NA")</f>
        <v>-4.7557617797620917E-2</v>
      </c>
      <c r="Y333" s="9"/>
      <c r="Z333" s="7">
        <v>5772.16</v>
      </c>
      <c r="AA333" s="8">
        <f>IFERROR(Z333/Z444, "NA")</f>
        <v>2.7564991788037774E-2</v>
      </c>
      <c r="AB333" s="9"/>
      <c r="AC333" s="10">
        <f t="shared" si="83"/>
        <v>-248.77000000000044</v>
      </c>
      <c r="AD333" s="8">
        <f>IFERROR(AC333/AC444, "NA")</f>
        <v>-6.9429036391286591E-3</v>
      </c>
    </row>
    <row r="334" spans="1:30" ht="16.5" customHeight="1" x14ac:dyDescent="0.45">
      <c r="A334" s="6" t="s">
        <v>305</v>
      </c>
      <c r="B334" s="7">
        <v>708.06</v>
      </c>
      <c r="C334" s="8">
        <f>IFERROR(B334/B444, "NA")</f>
        <v>6.7965347521145216E-3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-708.06</v>
      </c>
      <c r="I334" s="8">
        <f>IFERROR(H334/H444, "NA")</f>
        <v>9.6546965845996133E-2</v>
      </c>
      <c r="J334" s="9"/>
      <c r="K334" s="7">
        <v>982.2</v>
      </c>
      <c r="L334" s="8">
        <f>IFERROR(K334/K444, "NA")</f>
        <v>9.864858865828479E-3</v>
      </c>
      <c r="M334" s="9"/>
      <c r="N334" s="10">
        <f t="shared" si="81"/>
        <v>274.1400000000001</v>
      </c>
      <c r="O334" s="8">
        <f>IFERROR(N334/N444, "NA")</f>
        <v>5.9414566906948789E-2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3026.06</v>
      </c>
      <c r="F337" s="8">
        <f>IFERROR(E337/E444, "NA")</f>
        <v>2.713629034716904E-2</v>
      </c>
      <c r="G337" s="9"/>
      <c r="H337" s="10">
        <f t="shared" ref="H337:H344" si="84">IFERROR(-(B337-E337), "NA")</f>
        <v>3026.06</v>
      </c>
      <c r="I337" s="8">
        <f>IFERROR(H337/H444, "NA")</f>
        <v>-0.4126160374374136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8483.76</v>
      </c>
      <c r="U337" s="8">
        <f>IFERROR(T337/T444, "NA")</f>
        <v>3.770811052220277E-2</v>
      </c>
      <c r="V337" s="9"/>
      <c r="W337" s="10">
        <f t="shared" ref="W337:W344" si="86">IFERROR(-(Q337-T337), "NA")</f>
        <v>8483.76</v>
      </c>
      <c r="X337" s="8">
        <f>IFERROR(W337/W444, "NA")</f>
        <v>0.41899973577180516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2178.54</v>
      </c>
      <c r="C338" s="8">
        <f>IFERROR(B338/B444, "NA")</f>
        <v>2.0911395671089416E-2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-2178.54</v>
      </c>
      <c r="I338" s="8">
        <f>IFERROR(H338/H444, "NA")</f>
        <v>0.29705311269403217</v>
      </c>
      <c r="J338" s="9"/>
      <c r="K338" s="7">
        <v>1990.42</v>
      </c>
      <c r="L338" s="8">
        <f>IFERROR(K338/K444, "NA")</f>
        <v>1.9991053129426107E-2</v>
      </c>
      <c r="M338" s="9"/>
      <c r="N338" s="10">
        <f t="shared" si="85"/>
        <v>-188.11999999999989</v>
      </c>
      <c r="O338" s="8">
        <f>IFERROR(N338/N444, "NA")</f>
        <v>-4.0771388073740408E-2</v>
      </c>
      <c r="P338" s="9"/>
      <c r="Q338" s="7">
        <v>7173.54</v>
      </c>
      <c r="R338" s="8">
        <f>IFERROR(Q338/Q444, "NA")</f>
        <v>2.9251975277192879E-2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-7173.54</v>
      </c>
      <c r="X338" s="8">
        <f>IFERROR(W338/W444, "NA")</f>
        <v>-0.35429000402515809</v>
      </c>
      <c r="Y338" s="9"/>
      <c r="Z338" s="7">
        <v>6170.4</v>
      </c>
      <c r="AA338" s="8">
        <f>IFERROR(Z338/Z444, "NA")</f>
        <v>2.9466789785610289E-2</v>
      </c>
      <c r="AB338" s="9"/>
      <c r="AC338" s="10">
        <f t="shared" si="87"/>
        <v>-1003.1400000000003</v>
      </c>
      <c r="AD338" s="8">
        <f>IFERROR(AC338/AC444, "NA")</f>
        <v>-2.7996560503901247E-2</v>
      </c>
    </row>
    <row r="339" spans="1:30" ht="16.5" customHeight="1" x14ac:dyDescent="0.45">
      <c r="A339" s="12" t="s">
        <v>309</v>
      </c>
      <c r="B339" s="7">
        <v>278.17</v>
      </c>
      <c r="C339" s="8">
        <f>IFERROR(B339/B444, "NA")</f>
        <v>2.6701015055160533E-3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-278.17</v>
      </c>
      <c r="I339" s="8">
        <f>IFERROR(H339/H444, "NA")</f>
        <v>3.7929652133125366E-2</v>
      </c>
      <c r="J339" s="9"/>
      <c r="K339" s="7">
        <v>206.67</v>
      </c>
      <c r="L339" s="8">
        <f>IFERROR(K339/K444, "NA")</f>
        <v>2.0757181651402685E-3</v>
      </c>
      <c r="M339" s="9"/>
      <c r="N339" s="10">
        <f t="shared" si="85"/>
        <v>-71.500000000000028</v>
      </c>
      <c r="O339" s="8">
        <f>IFERROR(N339/N444, "NA")</f>
        <v>-1.5496248390774198E-2</v>
      </c>
      <c r="P339" s="9"/>
      <c r="Q339" s="7">
        <v>902.28</v>
      </c>
      <c r="R339" s="8">
        <f>IFERROR(Q339/Q444, "NA")</f>
        <v>3.6792813942775238E-3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-902.28</v>
      </c>
      <c r="X339" s="8">
        <f>IFERROR(W339/W444, "NA")</f>
        <v>-4.4562208453820515E-2</v>
      </c>
      <c r="Y339" s="9"/>
      <c r="Z339" s="7">
        <v>878.64</v>
      </c>
      <c r="AA339" s="8">
        <f>IFERROR(Z339/Z444, "NA")</f>
        <v>4.1959516688105511E-3</v>
      </c>
      <c r="AB339" s="9"/>
      <c r="AC339" s="10">
        <f t="shared" si="87"/>
        <v>-23.639999999999986</v>
      </c>
      <c r="AD339" s="8">
        <f>IFERROR(AC339/AC444, "NA")</f>
        <v>-6.5976702186357325E-4</v>
      </c>
    </row>
    <row r="340" spans="1:30" ht="16.5" customHeight="1" x14ac:dyDescent="0.45">
      <c r="A340" s="12" t="s">
        <v>310</v>
      </c>
      <c r="B340" s="7">
        <v>516.28</v>
      </c>
      <c r="C340" s="8">
        <f>IFERROR(B340/B444, "NA")</f>
        <v>4.9556746064199153E-3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-516.28</v>
      </c>
      <c r="I340" s="8">
        <f>IFERROR(H340/H444, "NA")</f>
        <v>7.0396954392242014E-2</v>
      </c>
      <c r="J340" s="9"/>
      <c r="K340" s="7">
        <v>409.62</v>
      </c>
      <c r="L340" s="8">
        <f>IFERROR(K340/K444, "NA")</f>
        <v>4.1140740059261473E-3</v>
      </c>
      <c r="M340" s="9"/>
      <c r="N340" s="10">
        <f t="shared" si="85"/>
        <v>-106.65999999999997</v>
      </c>
      <c r="O340" s="8">
        <f>IFERROR(N340/N444, "NA")</f>
        <v>-2.3116501445594052E-2</v>
      </c>
      <c r="P340" s="9"/>
      <c r="Q340" s="7">
        <v>1359.4</v>
      </c>
      <c r="R340" s="8">
        <f>IFERROR(Q340/Q444, "NA")</f>
        <v>5.5433070968888441E-3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-1359.4</v>
      </c>
      <c r="X340" s="8">
        <f>IFERROR(W340/W444, "NA")</f>
        <v>-6.7138655597069219E-2</v>
      </c>
      <c r="Y340" s="9"/>
      <c r="Z340" s="7">
        <v>1179.79</v>
      </c>
      <c r="AA340" s="8">
        <f>IFERROR(Z340/Z444, "NA")</f>
        <v>5.6340956698374758E-3</v>
      </c>
      <c r="AB340" s="9"/>
      <c r="AC340" s="10">
        <f t="shared" si="87"/>
        <v>-179.61000000000013</v>
      </c>
      <c r="AD340" s="8">
        <f>IFERROR(AC340/AC444, "NA")</f>
        <v>-5.0127222841335256E-3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2972.99</v>
      </c>
      <c r="C342" s="15">
        <f>IFERROR(B342/B444, "NA")</f>
        <v>2.8537171783025384E-2</v>
      </c>
      <c r="D342" s="2"/>
      <c r="E342" s="14">
        <f>IFERROR(E337+E338+E339+E340+E341, "NA")</f>
        <v>3026.06</v>
      </c>
      <c r="F342" s="15">
        <f>IFERROR(E342/E444, "NA")</f>
        <v>2.713629034716904E-2</v>
      </c>
      <c r="G342" s="2"/>
      <c r="H342" s="14">
        <f t="shared" si="84"/>
        <v>53.070000000000164</v>
      </c>
      <c r="I342" s="15">
        <f>IFERROR(H342/H444, "NA")</f>
        <v>-7.2363182180140541E-3</v>
      </c>
      <c r="J342" s="2"/>
      <c r="K342" s="14">
        <f>IFERROR(K337+K338+K339+K340+K341, "NA")</f>
        <v>2606.71</v>
      </c>
      <c r="L342" s="15">
        <f>IFERROR(K342/K444, "NA")</f>
        <v>2.6180845300492521E-2</v>
      </c>
      <c r="M342" s="2"/>
      <c r="N342" s="14">
        <f t="shared" si="85"/>
        <v>-366.27999999999975</v>
      </c>
      <c r="O342" s="15">
        <f>IFERROR(N342/N444, "NA")</f>
        <v>-7.9384137910108635E-2</v>
      </c>
      <c r="P342" s="2"/>
      <c r="Q342" s="14">
        <f>IFERROR(Q337+Q338+Q339+Q340+Q341, "NA")</f>
        <v>9435.2199999999993</v>
      </c>
      <c r="R342" s="15">
        <f>IFERROR(Q342/Q444, "NA")</f>
        <v>3.8474563768359241E-2</v>
      </c>
      <c r="S342" s="2"/>
      <c r="T342" s="14">
        <f>IFERROR(T337+T338+T339+T340+T341, "NA")</f>
        <v>8483.76</v>
      </c>
      <c r="U342" s="15">
        <f>IFERROR(T342/T444, "NA")</f>
        <v>3.770811052220277E-2</v>
      </c>
      <c r="V342" s="2"/>
      <c r="W342" s="14">
        <f t="shared" si="86"/>
        <v>-951.45999999999913</v>
      </c>
      <c r="X342" s="15">
        <f>IFERROR(W342/W444, "NA")</f>
        <v>-4.6991132304242615E-2</v>
      </c>
      <c r="Y342" s="2"/>
      <c r="Z342" s="14">
        <f>IFERROR(Z337+Z338+Z339+Z340+Z341, "NA")</f>
        <v>8228.83</v>
      </c>
      <c r="AA342" s="15">
        <f>IFERROR(Z342/Z444, "NA")</f>
        <v>3.9296837124258313E-2</v>
      </c>
      <c r="AB342" s="2"/>
      <c r="AC342" s="14">
        <f t="shared" si="87"/>
        <v>-1206.3899999999994</v>
      </c>
      <c r="AD342" s="15">
        <f>IFERROR(AC342/AC444, "NA")</f>
        <v>-3.3669049809898315E-2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13408.93</v>
      </c>
      <c r="C343" s="15">
        <f>IFERROR(B343/B444, "NA")</f>
        <v>0.1287097968161893</v>
      </c>
      <c r="D343" s="2"/>
      <c r="E343" s="14">
        <f>IFERROR(E328+E329+E330+E331+E332+E333+E334+E335+E337+E338+E339+E340+E341, "NA")</f>
        <v>11750.699999999999</v>
      </c>
      <c r="F343" s="15">
        <f>IFERROR(E343/E444, "NA")</f>
        <v>0.10537478007127395</v>
      </c>
      <c r="G343" s="2"/>
      <c r="H343" s="14">
        <f t="shared" si="84"/>
        <v>-1658.2300000000014</v>
      </c>
      <c r="I343" s="15">
        <f>IFERROR(H343/H444, "NA")</f>
        <v>0.22610665081321685</v>
      </c>
      <c r="J343" s="2"/>
      <c r="K343" s="14">
        <f>IFERROR(K328+K329+K330+K331+K332+K333+K334+K335+K337+K338+K339+K340+K341, "NA")</f>
        <v>12167.160000000002</v>
      </c>
      <c r="L343" s="15">
        <f>IFERROR(K343/K444, "NA")</f>
        <v>0.12220252107305402</v>
      </c>
      <c r="M343" s="2"/>
      <c r="N343" s="14">
        <f t="shared" si="85"/>
        <v>-1241.7699999999986</v>
      </c>
      <c r="O343" s="15">
        <f>IFERROR(N343/N444, "NA")</f>
        <v>-0.26912973935960344</v>
      </c>
      <c r="P343" s="2"/>
      <c r="Q343" s="14">
        <f>IFERROR(Q328+Q329+Q330+Q331+Q332+Q333+Q334+Q335+Q337+Q338+Q339+Q340+Q341, "NA")</f>
        <v>35558.6</v>
      </c>
      <c r="R343" s="15">
        <f>IFERROR(Q343/Q444, "NA")</f>
        <v>0.14499944073520057</v>
      </c>
      <c r="S343" s="2"/>
      <c r="T343" s="14">
        <f>IFERROR(T328+T329+T330+T331+T332+T333+T334+T335+T337+T338+T339+T340+T341, "NA")</f>
        <v>32444.22</v>
      </c>
      <c r="U343" s="15">
        <f>IFERROR(T343/T444, "NA")</f>
        <v>0.14420613425729412</v>
      </c>
      <c r="V343" s="2"/>
      <c r="W343" s="14">
        <f t="shared" si="86"/>
        <v>-3114.3799999999974</v>
      </c>
      <c r="X343" s="15">
        <f>IFERROR(W343/W444, "NA")</f>
        <v>-0.15381439327526866</v>
      </c>
      <c r="Y343" s="2"/>
      <c r="Z343" s="14">
        <f>IFERROR(Z328+Z329+Z330+Z331+Z332+Z333+Z334+Z335+Z337+Z338+Z339+Z340+Z341, "NA")</f>
        <v>36544.299999999996</v>
      </c>
      <c r="AA343" s="15">
        <f>IFERROR(Z343/Z444, "NA")</f>
        <v>0.17451756870904284</v>
      </c>
      <c r="AB343" s="2"/>
      <c r="AC343" s="14">
        <f t="shared" si="87"/>
        <v>985.69999999999709</v>
      </c>
      <c r="AD343" s="15">
        <f>IFERROR(AC343/AC444, "NA")</f>
        <v>2.7509828826181158E-2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13408.93</v>
      </c>
      <c r="C344" s="15">
        <f>IFERROR(B344/B444, "NA")</f>
        <v>0.1287097968161893</v>
      </c>
      <c r="D344" s="2"/>
      <c r="E344" s="14">
        <f>IFERROR(E328+E329+E330+E331+E332+E333+E334+E335+E337+E338+E339+E340+E341, "NA")</f>
        <v>11750.699999999999</v>
      </c>
      <c r="F344" s="15">
        <f>IFERROR(E344/E444, "NA")</f>
        <v>0.10537478007127395</v>
      </c>
      <c r="G344" s="2"/>
      <c r="H344" s="14">
        <f t="shared" si="84"/>
        <v>-1658.2300000000014</v>
      </c>
      <c r="I344" s="15">
        <f>IFERROR(H344/H444, "NA")</f>
        <v>0.22610665081321685</v>
      </c>
      <c r="J344" s="2"/>
      <c r="K344" s="14">
        <f>IFERROR(K328+K329+K330+K331+K332+K333+K334+K335+K337+K338+K339+K340+K341, "NA")</f>
        <v>12167.160000000002</v>
      </c>
      <c r="L344" s="15">
        <f>IFERROR(K344/K444, "NA")</f>
        <v>0.12220252107305402</v>
      </c>
      <c r="M344" s="2"/>
      <c r="N344" s="14">
        <f t="shared" si="85"/>
        <v>-1241.7699999999986</v>
      </c>
      <c r="O344" s="15">
        <f>IFERROR(N344/N444, "NA")</f>
        <v>-0.26912973935960344</v>
      </c>
      <c r="P344" s="2"/>
      <c r="Q344" s="14">
        <f>IFERROR(Q328+Q329+Q330+Q331+Q332+Q333+Q334+Q335+Q337+Q338+Q339+Q340+Q341, "NA")</f>
        <v>35558.6</v>
      </c>
      <c r="R344" s="15">
        <f>IFERROR(Q344/Q444, "NA")</f>
        <v>0.14499944073520057</v>
      </c>
      <c r="S344" s="2"/>
      <c r="T344" s="14">
        <f>IFERROR(T328+T329+T330+T331+T332+T333+T334+T335+T337+T338+T339+T340+T341, "NA")</f>
        <v>32444.22</v>
      </c>
      <c r="U344" s="15">
        <f>IFERROR(T344/T444, "NA")</f>
        <v>0.14420613425729412</v>
      </c>
      <c r="V344" s="2"/>
      <c r="W344" s="14">
        <f t="shared" si="86"/>
        <v>-3114.3799999999974</v>
      </c>
      <c r="X344" s="15">
        <f>IFERROR(W344/W444, "NA")</f>
        <v>-0.15381439327526866</v>
      </c>
      <c r="Y344" s="2"/>
      <c r="Z344" s="14">
        <f>IFERROR(Z328+Z329+Z330+Z331+Z332+Z333+Z334+Z335+Z337+Z338+Z339+Z340+Z341, "NA")</f>
        <v>36544.299999999996</v>
      </c>
      <c r="AA344" s="15">
        <f>IFERROR(Z344/Z444, "NA")</f>
        <v>0.17451756870904284</v>
      </c>
      <c r="AB344" s="2"/>
      <c r="AC344" s="14">
        <f t="shared" si="87"/>
        <v>985.69999999999709</v>
      </c>
      <c r="AD344" s="15">
        <f>IFERROR(AC344/AC444, "NA")</f>
        <v>2.7509828826181158E-2</v>
      </c>
    </row>
    <row r="345" spans="1:30" ht="16.5" customHeight="1" x14ac:dyDescent="0.45">
      <c r="A345" s="22" t="s">
        <v>315</v>
      </c>
      <c r="B345" s="23">
        <f>IFERROR(B198-B325-B344, "NA")</f>
        <v>4303.910000000018</v>
      </c>
      <c r="C345" s="24">
        <f>IFERROR(B345/B444, "NA")</f>
        <v>4.1312422513591129E-2</v>
      </c>
      <c r="D345" s="25"/>
      <c r="E345" s="23">
        <f>IFERROR(E198-E325-E344, "NA")</f>
        <v>12220.500000000005</v>
      </c>
      <c r="F345" s="24">
        <f>IFERROR(E345/E444, "NA")</f>
        <v>0.10958772667679405</v>
      </c>
      <c r="G345" s="25"/>
      <c r="H345" s="23">
        <f>IFERROR(B345-E345, "NA")</f>
        <v>-7916.5899999999874</v>
      </c>
      <c r="I345" s="24">
        <f>IFERROR(H345/H444, "NA")</f>
        <v>1.0794604190983157</v>
      </c>
      <c r="J345" s="25"/>
      <c r="K345" s="23">
        <f>IFERROR(K198-K325-K344, "NA")</f>
        <v>6966.3900000000085</v>
      </c>
      <c r="L345" s="24">
        <f>IFERROR(K345/K444, "NA")</f>
        <v>6.9967882462145123E-2</v>
      </c>
      <c r="M345" s="25"/>
      <c r="N345" s="23">
        <f>IFERROR(B345-K345, "NA")</f>
        <v>-2662.4799999999905</v>
      </c>
      <c r="O345" s="24">
        <f>IFERROR(N345/N444, "NA")</f>
        <v>-0.57704127853801845</v>
      </c>
      <c r="P345" s="25"/>
      <c r="Q345" s="23">
        <f>IFERROR(Q198-Q325-Q344, "NA")</f>
        <v>-1422.7699999999386</v>
      </c>
      <c r="R345" s="24">
        <f>IFERROR(Q345/Q444, "NA")</f>
        <v>-5.8017147552156837E-3</v>
      </c>
      <c r="S345" s="25"/>
      <c r="T345" s="23">
        <f>IFERROR(T198-T325-T344, "NA")</f>
        <v>3015.3599999999933</v>
      </c>
      <c r="U345" s="24">
        <f>IFERROR(T345/T444, "NA")</f>
        <v>1.3402492308154532E-2</v>
      </c>
      <c r="V345" s="25"/>
      <c r="W345" s="23">
        <f>IFERROR(Q345-T345, "NA")</f>
        <v>-4438.1299999999319</v>
      </c>
      <c r="X345" s="24">
        <f>IFERROR(W345/W444, "NA")</f>
        <v>-0.21919235071724011</v>
      </c>
      <c r="Y345" s="25"/>
      <c r="Z345" s="23">
        <f>IFERROR(Z198-Z325-Z344, "NA")</f>
        <v>-11372.529999999977</v>
      </c>
      <c r="AA345" s="24">
        <f>IFERROR(Z345/Z444, "NA")</f>
        <v>-5.4309599189768236E-2</v>
      </c>
      <c r="AB345" s="25"/>
      <c r="AC345" s="23">
        <f>IFERROR(Q345-Z345, "NA")</f>
        <v>9949.7600000000384</v>
      </c>
      <c r="AD345" s="24">
        <f>IFERROR(AC345/AC444, "NA")</f>
        <v>0.27768712028161319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4303.910000000018</v>
      </c>
      <c r="C404" s="24">
        <f>IFERROR(B404/B444, "NA")</f>
        <v>4.1312422513591129E-2</v>
      </c>
      <c r="D404" s="25"/>
      <c r="E404" s="23">
        <f>IFERROR(E345-E403, "NA")</f>
        <v>12220.500000000005</v>
      </c>
      <c r="F404" s="24">
        <f>IFERROR(E404/E444, "NA")</f>
        <v>0.10958772667679405</v>
      </c>
      <c r="G404" s="25"/>
      <c r="H404" s="23">
        <f>IFERROR(B404-E404, "NA")</f>
        <v>-7916.5899999999874</v>
      </c>
      <c r="I404" s="24">
        <f>IFERROR(H404/H444, "NA")</f>
        <v>1.0794604190983157</v>
      </c>
      <c r="J404" s="25"/>
      <c r="K404" s="23">
        <f>IFERROR(K345-K403, "NA")</f>
        <v>6966.3900000000085</v>
      </c>
      <c r="L404" s="24">
        <f>IFERROR(K404/K444, "NA")</f>
        <v>6.9967882462145123E-2</v>
      </c>
      <c r="M404" s="25"/>
      <c r="N404" s="23">
        <f>IFERROR(B404-K404, "NA")</f>
        <v>-2662.4799999999905</v>
      </c>
      <c r="O404" s="24">
        <f>IFERROR(N404/N444, "NA")</f>
        <v>-0.57704127853801845</v>
      </c>
      <c r="P404" s="25"/>
      <c r="Q404" s="23">
        <f>IFERROR(Q345-Q403, "NA")</f>
        <v>-1422.7699999999386</v>
      </c>
      <c r="R404" s="24">
        <f>IFERROR(Q404/Q444, "NA")</f>
        <v>-5.8017147552156837E-3</v>
      </c>
      <c r="S404" s="25"/>
      <c r="T404" s="23">
        <f>IFERROR(T345-T403, "NA")</f>
        <v>3015.3599999999933</v>
      </c>
      <c r="U404" s="24">
        <f>IFERROR(T404/T444, "NA")</f>
        <v>1.3402492308154532E-2</v>
      </c>
      <c r="V404" s="25"/>
      <c r="W404" s="23">
        <f>IFERROR(Q404-T404, "NA")</f>
        <v>-4438.1299999999319</v>
      </c>
      <c r="X404" s="24">
        <f>IFERROR(W404/W444, "NA")</f>
        <v>-0.21919235071724011</v>
      </c>
      <c r="Y404" s="25"/>
      <c r="Z404" s="23">
        <f>IFERROR(Z345-Z403, "NA")</f>
        <v>-11372.529999999977</v>
      </c>
      <c r="AA404" s="24">
        <f>IFERROR(Z404/Z444, "NA")</f>
        <v>-5.4309599189768236E-2</v>
      </c>
      <c r="AB404" s="25"/>
      <c r="AC404" s="23">
        <f>IFERROR(Q404-Z404, "NA")</f>
        <v>9949.7600000000384</v>
      </c>
      <c r="AD404" s="24">
        <f>IFERROR(AC404/AC444, "NA")</f>
        <v>0.27768712028161319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-58898.32</v>
      </c>
      <c r="L407" s="8">
        <f>IFERROR(K407/K444, "NA")</f>
        <v>-0.59155326230340344</v>
      </c>
      <c r="M407" s="9"/>
      <c r="N407" s="10">
        <f t="shared" ref="N407:N429" si="101">IFERROR(-(B407-K407), "NA")</f>
        <v>-58898.32</v>
      </c>
      <c r="O407" s="8">
        <f>IFERROR(N407/N444, "NA")</f>
        <v>-12.765076874395852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-0.28126935274303227</v>
      </c>
      <c r="AB407" s="9"/>
      <c r="AC407" s="10">
        <f t="shared" ref="AC407:AC429" si="103">IFERROR(-(Q407-Z407), "NA")</f>
        <v>-58898.32</v>
      </c>
      <c r="AD407" s="8">
        <f>IFERROR(AC407/AC444, "NA")</f>
        <v>-1.6437888823675024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331.69</v>
      </c>
      <c r="L408" s="8">
        <f>IFERROR(K408/K444, "NA")</f>
        <v>3.3313734852439911E-3</v>
      </c>
      <c r="M408" s="9"/>
      <c r="N408" s="10">
        <f t="shared" si="101"/>
        <v>331.69</v>
      </c>
      <c r="O408" s="8">
        <f>IFERROR(N408/N444, "NA")</f>
        <v>7.1887421380921565E-2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331.69</v>
      </c>
      <c r="AA408" s="8">
        <f>IFERROR(Z408/Z444, "NA")</f>
        <v>1.5839879917005505E-3</v>
      </c>
      <c r="AB408" s="9"/>
      <c r="AC408" s="10">
        <f t="shared" si="103"/>
        <v>331.69</v>
      </c>
      <c r="AD408" s="8">
        <f>IFERROR(AC408/AC444, "NA")</f>
        <v>9.2571118224166124E-3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3879.35</v>
      </c>
      <c r="C410" s="8">
        <f>IFERROR(B410/B444, "NA")</f>
        <v>3.7237150934405945E-2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-3879.35</v>
      </c>
      <c r="I410" s="8">
        <f>IFERROR(H410/H444, "NA")</f>
        <v>0.52896572600438541</v>
      </c>
      <c r="J410" s="9"/>
      <c r="K410" s="7">
        <v>3408.24</v>
      </c>
      <c r="L410" s="8">
        <f>IFERROR(K410/K444, "NA")</f>
        <v>3.4231120526238293E-2</v>
      </c>
      <c r="M410" s="9"/>
      <c r="N410" s="10">
        <f t="shared" si="101"/>
        <v>-471.11000000000013</v>
      </c>
      <c r="O410" s="8">
        <f>IFERROR(N410/N444, "NA")</f>
        <v>-0.10210402208919764</v>
      </c>
      <c r="P410" s="9"/>
      <c r="Q410" s="7">
        <v>11545.23</v>
      </c>
      <c r="R410" s="8">
        <f>IFERROR(Q410/Q444, "NA")</f>
        <v>4.7078678383267611E-2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-11545.23</v>
      </c>
      <c r="X410" s="8">
        <f>IFERROR(W410/W444, "NA")</f>
        <v>-0.57020098628729687</v>
      </c>
      <c r="Y410" s="9"/>
      <c r="Z410" s="7">
        <v>10224.719999999999</v>
      </c>
      <c r="AA410" s="8">
        <f>IFERROR(Z410/Z444, "NA")</f>
        <v>4.8828224241009535E-2</v>
      </c>
      <c r="AB410" s="9"/>
      <c r="AC410" s="10">
        <f t="shared" si="103"/>
        <v>-1320.5100000000002</v>
      </c>
      <c r="AD410" s="8">
        <f>IFERROR(AC410/AC444, "NA")</f>
        <v>-3.6854016499199144E-2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14.04</v>
      </c>
      <c r="C417" s="8">
        <f>IFERROR(B417/B444, "NA")</f>
        <v>1.3476731904031846E-4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-14.04</v>
      </c>
      <c r="I417" s="8">
        <f>IFERROR(H417/H444, "NA")</f>
        <v>1.9144131859980592E-3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-14.04</v>
      </c>
      <c r="O417" s="8">
        <f>IFERROR(N417/N444, "NA")</f>
        <v>-3.0428996840065684E-3</v>
      </c>
      <c r="P417" s="9"/>
      <c r="Q417" s="7">
        <v>61.64</v>
      </c>
      <c r="R417" s="8">
        <f>IFERROR(Q417/Q444, "NA")</f>
        <v>2.5135313333252048E-4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-61.64</v>
      </c>
      <c r="X417" s="8">
        <f>IFERROR(W417/W444, "NA")</f>
        <v>-3.0443039068731399E-3</v>
      </c>
      <c r="Y417" s="9"/>
      <c r="Z417" s="7">
        <v>0.14000000000000001</v>
      </c>
      <c r="AA417" s="8">
        <f>IFERROR(Z417/Z444, "NA")</f>
        <v>6.6857101160142635E-7</v>
      </c>
      <c r="AB417" s="9"/>
      <c r="AC417" s="10">
        <f t="shared" si="103"/>
        <v>-61.5</v>
      </c>
      <c r="AD417" s="8">
        <f>IFERROR(AC417/AC444, "NA")</f>
        <v>-1.716398978198383E-3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4.5997506612621518E-4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6.5340940080503562E-3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-1.038573738301957E-2</v>
      </c>
      <c r="P424" s="9"/>
      <c r="Q424" s="7">
        <v>143.76</v>
      </c>
      <c r="R424" s="8">
        <f>IFERROR(Q424/Q444, "NA")</f>
        <v>5.8621879376838327E-4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-143.76</v>
      </c>
      <c r="X424" s="8">
        <f>IFERROR(W424/W444, "NA")</f>
        <v>-7.1000832195341097E-3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-143.76</v>
      </c>
      <c r="AD424" s="8">
        <f>IFERROR(AC424/AC444, "NA")</f>
        <v>-4.0121872700130011E-3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-122.1</v>
      </c>
      <c r="C426" s="8">
        <f>IFERROR(B426/B444, "NA")</f>
        <v>-1.1720149326796927E-3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122.1</v>
      </c>
      <c r="I426" s="8">
        <f>IFERROR(H426/H444, "NA")</f>
        <v>-1.6648849715837823E-2</v>
      </c>
      <c r="J426" s="9"/>
      <c r="K426" s="7">
        <v>-373.6</v>
      </c>
      <c r="L426" s="8">
        <f>IFERROR(K426/K444, "NA")</f>
        <v>-3.7523022523656283E-3</v>
      </c>
      <c r="M426" s="9"/>
      <c r="N426" s="10">
        <f t="shared" si="101"/>
        <v>-251.50000000000003</v>
      </c>
      <c r="O426" s="8">
        <f>IFERROR(N426/N444, "NA")</f>
        <v>-5.4507782801114818E-2</v>
      </c>
      <c r="P426" s="9"/>
      <c r="Q426" s="7">
        <v>-400.09</v>
      </c>
      <c r="R426" s="8">
        <f>IFERROR(Q426/Q444, "NA")</f>
        <v>-1.6314710433972764E-3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400.09</v>
      </c>
      <c r="X426" s="8">
        <f>IFERROR(W426/W444, "NA")</f>
        <v>1.9759823979572915E-2</v>
      </c>
      <c r="Y426" s="9"/>
      <c r="Z426" s="7">
        <v>-565.62</v>
      </c>
      <c r="AA426" s="8">
        <f>IFERROR(Z426/Z444, "NA")</f>
        <v>-2.7011223970142767E-3</v>
      </c>
      <c r="AB426" s="9"/>
      <c r="AC426" s="10">
        <f t="shared" si="103"/>
        <v>-165.53000000000003</v>
      </c>
      <c r="AD426" s="8">
        <f>IFERROR(AC426/AC444, "NA")</f>
        <v>-4.6197645993687544E-3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3819.21</v>
      </c>
      <c r="C428" s="15">
        <f>IFERROR(B428/B444, "NA")</f>
        <v>3.6659878386892789E-2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-3819.21</v>
      </c>
      <c r="I428" s="15">
        <f>IFERROR(H428/H444, "NA")</f>
        <v>0.52076538348259604</v>
      </c>
      <c r="J428" s="2"/>
      <c r="K428" s="14">
        <f>IFERROR(K407+K408+K409+K410+K411+K412+K413+K414+K415+K416+K417+K418+K419+K420+K421+K422+K423+K424+K425+K426+K427, "NA")</f>
        <v>-55531.99</v>
      </c>
      <c r="L428" s="15">
        <f>IFERROR(K428/K444, "NA")</f>
        <v>-0.55774307054428673</v>
      </c>
      <c r="M428" s="2"/>
      <c r="N428" s="14">
        <f t="shared" si="101"/>
        <v>-59351.199999999997</v>
      </c>
      <c r="O428" s="15">
        <f>IFERROR(N428/N444, "NA")</f>
        <v>-12.863229894972267</v>
      </c>
      <c r="P428" s="2"/>
      <c r="Q428" s="14">
        <f>IFERROR(Q407+Q408+Q409+Q410+Q411+Q412+Q413+Q414+Q415+Q416+Q417+Q418+Q419+Q420+Q421+Q422+Q423+Q424+Q425+Q426+Q427, "NA")</f>
        <v>11350.539999999999</v>
      </c>
      <c r="R428" s="15">
        <f>IFERROR(Q428/Q444, "NA")</f>
        <v>4.6284779266971235E-2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-11350.539999999999</v>
      </c>
      <c r="X428" s="15">
        <f>IFERROR(W428/W444, "NA")</f>
        <v>-0.56058554943413119</v>
      </c>
      <c r="Y428" s="2"/>
      <c r="Z428" s="14">
        <f>IFERROR(Z407+Z408+Z409+Z410+Z411+Z412+Z413+Z414+Z415+Z416+Z417+Z418+Z419+Z420+Z421+Z422+Z423+Z424+Z425+Z426+Z427, "NA")</f>
        <v>-48907.39</v>
      </c>
      <c r="AA428" s="15">
        <f>IFERROR(Z428/Z444, "NA")</f>
        <v>-0.23355759433632484</v>
      </c>
      <c r="AB428" s="2"/>
      <c r="AC428" s="14">
        <f t="shared" si="103"/>
        <v>-60257.93</v>
      </c>
      <c r="AD428" s="15">
        <f>IFERROR(AC428/AC444, "NA")</f>
        <v>-1.6817341378918651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3819.21</v>
      </c>
      <c r="C429" s="15">
        <f>IFERROR(B429/B444, "NA")</f>
        <v>3.6659878386892789E-2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-3819.21</v>
      </c>
      <c r="I429" s="15">
        <f>IFERROR(H429/H444, "NA")</f>
        <v>0.52076538348259604</v>
      </c>
      <c r="J429" s="2"/>
      <c r="K429" s="14">
        <f>IFERROR(K407+K408+K409+K410+K411+K412+K413+K414+K415+K416+K417+K418+K419+K420+K421+K422+K423+K424+K425+K426+K427, "NA")</f>
        <v>-55531.99</v>
      </c>
      <c r="L429" s="15">
        <f>IFERROR(K429/K444, "NA")</f>
        <v>-0.55774307054428673</v>
      </c>
      <c r="M429" s="2"/>
      <c r="N429" s="14">
        <f t="shared" si="101"/>
        <v>-59351.199999999997</v>
      </c>
      <c r="O429" s="15">
        <f>IFERROR(N429/N444, "NA")</f>
        <v>-12.863229894972267</v>
      </c>
      <c r="P429" s="2"/>
      <c r="Q429" s="14">
        <f>IFERROR(Q407+Q408+Q409+Q410+Q411+Q412+Q413+Q414+Q415+Q416+Q417+Q418+Q419+Q420+Q421+Q422+Q423+Q424+Q425+Q426+Q427, "NA")</f>
        <v>11350.539999999999</v>
      </c>
      <c r="R429" s="15">
        <f>IFERROR(Q429/Q444, "NA")</f>
        <v>4.6284779266971235E-2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-11350.539999999999</v>
      </c>
      <c r="X429" s="15">
        <f>IFERROR(W429/W444, "NA")</f>
        <v>-0.56058554943413119</v>
      </c>
      <c r="Y429" s="2"/>
      <c r="Z429" s="14">
        <f>IFERROR(Z407+Z408+Z409+Z410+Z411+Z412+Z413+Z414+Z415+Z416+Z417+Z418+Z419+Z420+Z421+Z422+Z423+Z424+Z425+Z426+Z427, "NA")</f>
        <v>-48907.39</v>
      </c>
      <c r="AA429" s="15">
        <f>IFERROR(Z429/Z444, "NA")</f>
        <v>-0.23355759433632484</v>
      </c>
      <c r="AB429" s="2"/>
      <c r="AC429" s="14">
        <f t="shared" si="103"/>
        <v>-60257.93</v>
      </c>
      <c r="AD429" s="15">
        <f>IFERROR(AC429/AC444, "NA")</f>
        <v>-1.6817341378918651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484.70000000001801</v>
      </c>
      <c r="C443" s="24">
        <f>IFERROR(B443/B444, "NA")</f>
        <v>4.6525441266983469E-3</v>
      </c>
      <c r="D443" s="25"/>
      <c r="E443" s="23">
        <f>IFERROR(E404-E429-E442, "NA")</f>
        <v>12220.500000000005</v>
      </c>
      <c r="F443" s="24">
        <f>IFERROR(E443/E444, "NA")</f>
        <v>0.10958772667679405</v>
      </c>
      <c r="G443" s="25"/>
      <c r="H443" s="23">
        <f>IFERROR(B443-E443, "NA")</f>
        <v>-11735.799999999988</v>
      </c>
      <c r="I443" s="24">
        <f>IFERROR(H443/H444, "NA")</f>
        <v>1.6002258025809117</v>
      </c>
      <c r="J443" s="25"/>
      <c r="K443" s="23">
        <f>IFERROR(K404-K429-K442, "NA")</f>
        <v>62498.380000000005</v>
      </c>
      <c r="L443" s="24">
        <f>IFERROR(K443/K444, "NA")</f>
        <v>0.62771095300643187</v>
      </c>
      <c r="M443" s="25"/>
      <c r="N443" s="23">
        <f>IFERROR(B443-K443, "NA")</f>
        <v>-62013.679999999986</v>
      </c>
      <c r="O443" s="24">
        <f>IFERROR(N443/N444, "NA")</f>
        <v>-13.440271173510286</v>
      </c>
      <c r="P443" s="25"/>
      <c r="Q443" s="23">
        <f>IFERROR(Q404-Q429-Q442, "NA")</f>
        <v>-12773.309999999938</v>
      </c>
      <c r="R443" s="24">
        <f>IFERROR(Q443/Q444, "NA")</f>
        <v>-5.2086494022186916E-2</v>
      </c>
      <c r="S443" s="25"/>
      <c r="T443" s="23">
        <f>IFERROR(T404-T429-T442, "NA")</f>
        <v>3015.3599999999933</v>
      </c>
      <c r="U443" s="24">
        <f>IFERROR(T443/T444, "NA")</f>
        <v>1.3402492308154532E-2</v>
      </c>
      <c r="V443" s="25"/>
      <c r="W443" s="23">
        <f>IFERROR(Q443-T443, "NA")</f>
        <v>-15788.669999999931</v>
      </c>
      <c r="X443" s="24">
        <f>IFERROR(W443/W444, "NA")</f>
        <v>-0.77977790015137127</v>
      </c>
      <c r="Y443" s="25"/>
      <c r="Z443" s="23">
        <f>IFERROR(Z404-Z429-Z442, "NA")</f>
        <v>37534.860000000022</v>
      </c>
      <c r="AA443" s="24">
        <f>IFERROR(Z443/Z444, "NA")</f>
        <v>0.17924799514655659</v>
      </c>
      <c r="AB443" s="25"/>
      <c r="AC443" s="23">
        <f>IFERROR(Q443-Z443, "NA")</f>
        <v>-50308.169999999962</v>
      </c>
      <c r="AD443" s="24">
        <f>IFERROR(AC443/AC444, "NA")</f>
        <v>-1.4040470176102517</v>
      </c>
    </row>
    <row r="444" spans="1:30" ht="15.75" hidden="1" x14ac:dyDescent="0.45">
      <c r="A444" s="26" t="s">
        <v>117</v>
      </c>
      <c r="B444" s="7">
        <v>104179.56</v>
      </c>
      <c r="C444" s="27"/>
      <c r="D444" s="9"/>
      <c r="E444" s="7">
        <v>111513.4</v>
      </c>
      <c r="F444" s="27"/>
      <c r="G444" s="9"/>
      <c r="H444" s="10">
        <f>IFERROR(B444-E444, "NA")</f>
        <v>-7333.8399999999965</v>
      </c>
      <c r="I444" s="27"/>
      <c r="J444" s="9"/>
      <c r="K444" s="7">
        <v>99565.54</v>
      </c>
      <c r="L444" s="27"/>
      <c r="M444" s="9"/>
      <c r="N444" s="10">
        <f>IFERROR(B444-K444, "NA")</f>
        <v>4614.0200000000041</v>
      </c>
      <c r="O444" s="27"/>
      <c r="P444" s="9"/>
      <c r="Q444" s="7">
        <v>245232.67</v>
      </c>
      <c r="R444" s="27"/>
      <c r="S444" s="9"/>
      <c r="T444" s="7">
        <v>224985.02</v>
      </c>
      <c r="U444" s="27"/>
      <c r="V444" s="9"/>
      <c r="W444" s="10">
        <f>IFERROR(Q444-T444, "NA")</f>
        <v>20247.650000000023</v>
      </c>
      <c r="X444" s="27"/>
      <c r="Y444" s="9"/>
      <c r="Z444" s="7">
        <v>209401.84</v>
      </c>
      <c r="AA444" s="27"/>
      <c r="AB444" s="9"/>
      <c r="AC444" s="10">
        <f>IFERROR(Q444-Z444, "NA")</f>
        <v>35830.830000000016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45446.38</v>
      </c>
      <c r="F10" s="8">
        <f>IFERROR(E10/E444, "NA")</f>
        <v>0.23999998310096543</v>
      </c>
      <c r="G10" s="9"/>
      <c r="H10" s="10">
        <f t="shared" ref="H10:H19" si="0">IFERROR(B10-E10, "NA")</f>
        <v>-45446.38</v>
      </c>
      <c r="I10" s="8">
        <f>IFERROR(H10/H444, "NA")</f>
        <v>-1.3467074454703016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105037.65</v>
      </c>
      <c r="U10" s="8">
        <f>IFERROR(T10/T444, "NA")</f>
        <v>0.23999997532313666</v>
      </c>
      <c r="V10" s="9"/>
      <c r="W10" s="10">
        <f t="shared" ref="W10:W19" si="2">IFERROR(Q10-T10, "NA")</f>
        <v>-105037.65</v>
      </c>
      <c r="X10" s="8">
        <f>IFERROR(W10/W444, "NA")</f>
        <v>-1.453307441449244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64144.63</v>
      </c>
      <c r="C11" s="8">
        <f>IFERROR(B11/B444, "NA")</f>
        <v>0.28750713449405396</v>
      </c>
      <c r="D11" s="9"/>
      <c r="E11" s="7">
        <v>0</v>
      </c>
      <c r="F11" s="8">
        <f>IFERROR(E11/E444, "NA")</f>
        <v>0</v>
      </c>
      <c r="G11" s="9"/>
      <c r="H11" s="10">
        <f t="shared" si="0"/>
        <v>64144.63</v>
      </c>
      <c r="I11" s="8">
        <f>IFERROR(H11/H444, "NA")</f>
        <v>1.9007905757936645</v>
      </c>
      <c r="J11" s="9"/>
      <c r="K11" s="7">
        <v>53918.03</v>
      </c>
      <c r="L11" s="8">
        <f>IFERROR(K11/K444, "NA")</f>
        <v>0.32033063464320594</v>
      </c>
      <c r="M11" s="9"/>
      <c r="N11" s="10">
        <f t="shared" si="1"/>
        <v>10226.599999999999</v>
      </c>
      <c r="O11" s="8">
        <f>IFERROR(N11/N444, "NA")</f>
        <v>0.18666348825591214</v>
      </c>
      <c r="P11" s="9"/>
      <c r="Q11" s="7">
        <v>126794.23</v>
      </c>
      <c r="R11" s="8">
        <f>IFERROR(Q11/Q444, "NA")</f>
        <v>0.24864937826394123</v>
      </c>
      <c r="S11" s="9"/>
      <c r="T11" s="7">
        <v>0</v>
      </c>
      <c r="U11" s="8">
        <f>IFERROR(T11/T444, "NA")</f>
        <v>0</v>
      </c>
      <c r="V11" s="9"/>
      <c r="W11" s="10">
        <f t="shared" si="2"/>
        <v>126794.23</v>
      </c>
      <c r="X11" s="8">
        <f>IFERROR(W11/W444, "NA")</f>
        <v>1.7543328320066849</v>
      </c>
      <c r="Y11" s="9"/>
      <c r="Z11" s="7">
        <v>110058.52</v>
      </c>
      <c r="AA11" s="8">
        <f>IFERROR(Z11/Z444, "NA")</f>
        <v>0.27310571554225427</v>
      </c>
      <c r="AB11" s="9"/>
      <c r="AC11" s="10">
        <f t="shared" si="3"/>
        <v>16735.709999999992</v>
      </c>
      <c r="AD11" s="8">
        <f>IFERROR(AC11/AC444, "NA")</f>
        <v>0.15649170853550073</v>
      </c>
    </row>
    <row r="12" spans="1:30" ht="16.5" customHeight="1" x14ac:dyDescent="0.45">
      <c r="A12" s="12" t="s">
        <v>14</v>
      </c>
      <c r="B12" s="7">
        <v>5475.39</v>
      </c>
      <c r="C12" s="8">
        <f>IFERROR(B12/B444, "NA")</f>
        <v>2.4541628646659874E-2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5475.39</v>
      </c>
      <c r="I12" s="8">
        <f>IFERROR(H12/H444, "NA")</f>
        <v>0.16225161343661773</v>
      </c>
      <c r="J12" s="9"/>
      <c r="K12" s="7">
        <v>4422.25</v>
      </c>
      <c r="L12" s="8">
        <f>IFERROR(K12/K444, "NA")</f>
        <v>2.6272884025082474E-2</v>
      </c>
      <c r="M12" s="9"/>
      <c r="N12" s="10">
        <f t="shared" si="1"/>
        <v>1053.1400000000003</v>
      </c>
      <c r="O12" s="8">
        <f>IFERROR(N12/N444, "NA")</f>
        <v>1.9222692392567561E-2</v>
      </c>
      <c r="P12" s="9"/>
      <c r="Q12" s="7">
        <v>10421.790000000001</v>
      </c>
      <c r="R12" s="8">
        <f>IFERROR(Q12/Q444, "NA")</f>
        <v>2.0437614581494446E-2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10421.790000000001</v>
      </c>
      <c r="X12" s="8">
        <f>IFERROR(W12/W444, "NA")</f>
        <v>0.14419653295957513</v>
      </c>
      <c r="Y12" s="9"/>
      <c r="Z12" s="7">
        <v>8629</v>
      </c>
      <c r="AA12" s="8">
        <f>IFERROR(Z12/Z444, "NA")</f>
        <v>2.141251053906696E-2</v>
      </c>
      <c r="AB12" s="9"/>
      <c r="AC12" s="10">
        <f t="shared" si="3"/>
        <v>1792.7900000000009</v>
      </c>
      <c r="AD12" s="8">
        <f>IFERROR(AC12/AC444, "NA")</f>
        <v>1.6763959828735121E-2</v>
      </c>
    </row>
    <row r="13" spans="1:30" ht="16.5" customHeight="1" x14ac:dyDescent="0.45">
      <c r="A13" s="12" t="s">
        <v>15</v>
      </c>
      <c r="B13" s="7">
        <v>640</v>
      </c>
      <c r="C13" s="8">
        <f>IFERROR(B13/B444, "NA")</f>
        <v>2.8685887825090667E-3</v>
      </c>
      <c r="D13" s="9"/>
      <c r="E13" s="7">
        <v>0</v>
      </c>
      <c r="F13" s="8">
        <f>IFERROR(E13/E444, "NA")</f>
        <v>0</v>
      </c>
      <c r="G13" s="9"/>
      <c r="H13" s="10">
        <f t="shared" si="0"/>
        <v>640</v>
      </c>
      <c r="I13" s="8">
        <f>IFERROR(H13/H444, "NA")</f>
        <v>1.8965047713393083E-2</v>
      </c>
      <c r="J13" s="9"/>
      <c r="K13" s="7">
        <v>256</v>
      </c>
      <c r="L13" s="8">
        <f>IFERROR(K13/K444, "NA")</f>
        <v>1.520913180037563E-3</v>
      </c>
      <c r="M13" s="9"/>
      <c r="N13" s="10">
        <f t="shared" si="1"/>
        <v>384</v>
      </c>
      <c r="O13" s="8">
        <f>IFERROR(N13/N444, "NA")</f>
        <v>7.0090528123003025E-3</v>
      </c>
      <c r="P13" s="9"/>
      <c r="Q13" s="7">
        <v>926</v>
      </c>
      <c r="R13" s="8">
        <f>IFERROR(Q13/Q444, "NA")</f>
        <v>1.8159290392978419E-3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926</v>
      </c>
      <c r="X13" s="8">
        <f>IFERROR(W13/W444, "NA")</f>
        <v>1.2812193444750524E-2</v>
      </c>
      <c r="Y13" s="9"/>
      <c r="Z13" s="7">
        <v>536.5</v>
      </c>
      <c r="AA13" s="8">
        <f>IFERROR(Z13/Z444, "NA")</f>
        <v>1.3313028049842883E-3</v>
      </c>
      <c r="AB13" s="9"/>
      <c r="AC13" s="10">
        <f t="shared" si="3"/>
        <v>389.5</v>
      </c>
      <c r="AD13" s="8">
        <f>IFERROR(AC13/AC444, "NA")</f>
        <v>3.642123368209509E-3</v>
      </c>
    </row>
    <row r="14" spans="1:30" ht="16.5" customHeight="1" x14ac:dyDescent="0.45">
      <c r="A14" s="12" t="s">
        <v>16</v>
      </c>
      <c r="B14" s="7">
        <v>720</v>
      </c>
      <c r="C14" s="8">
        <f>IFERROR(B14/B444, "NA")</f>
        <v>3.2271623803227E-3</v>
      </c>
      <c r="D14" s="9"/>
      <c r="E14" s="7">
        <v>0</v>
      </c>
      <c r="F14" s="8">
        <f>IFERROR(E14/E444, "NA")</f>
        <v>0</v>
      </c>
      <c r="G14" s="9"/>
      <c r="H14" s="10">
        <f t="shared" si="0"/>
        <v>720</v>
      </c>
      <c r="I14" s="8">
        <f>IFERROR(H14/H444, "NA")</f>
        <v>2.1335678677567218E-2</v>
      </c>
      <c r="J14" s="9"/>
      <c r="K14" s="7">
        <v>815</v>
      </c>
      <c r="L14" s="8">
        <f>IFERROR(K14/K444, "NA")</f>
        <v>4.8419696942602107E-3</v>
      </c>
      <c r="M14" s="9"/>
      <c r="N14" s="10">
        <f t="shared" si="1"/>
        <v>-95</v>
      </c>
      <c r="O14" s="8">
        <f>IFERROR(N14/N444, "NA")</f>
        <v>-1.734010461376377E-3</v>
      </c>
      <c r="P14" s="9"/>
      <c r="Q14" s="7">
        <v>1145</v>
      </c>
      <c r="R14" s="8">
        <f>IFERROR(Q14/Q444, "NA")</f>
        <v>2.2453982181382601E-3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1145</v>
      </c>
      <c r="X14" s="8">
        <f>IFERROR(W14/W444, "NA")</f>
        <v>1.5842291030496058E-2</v>
      </c>
      <c r="Y14" s="9"/>
      <c r="Z14" s="7">
        <v>1361</v>
      </c>
      <c r="AA14" s="8">
        <f>IFERROR(Z14/Z444, "NA")</f>
        <v>3.3772658296059954E-3</v>
      </c>
      <c r="AB14" s="9"/>
      <c r="AC14" s="10">
        <f t="shared" si="3"/>
        <v>-216</v>
      </c>
      <c r="AD14" s="8">
        <f>IFERROR(AC14/AC444, "NA")</f>
        <v>-2.0197654622163132E-3</v>
      </c>
    </row>
    <row r="15" spans="1:30" ht="16.5" customHeight="1" x14ac:dyDescent="0.45">
      <c r="A15" s="12" t="s">
        <v>17</v>
      </c>
      <c r="B15" s="7">
        <v>103</v>
      </c>
      <c r="C15" s="8">
        <f>IFERROR(B15/B444, "NA")</f>
        <v>4.6166350718505292E-4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103</v>
      </c>
      <c r="I15" s="8">
        <f>IFERROR(H15/H444, "NA")</f>
        <v>3.0521873663741993E-3</v>
      </c>
      <c r="J15" s="9"/>
      <c r="K15" s="7">
        <v>72</v>
      </c>
      <c r="L15" s="8">
        <f>IFERROR(K15/K444, "NA")</f>
        <v>4.2775683188556461E-4</v>
      </c>
      <c r="M15" s="9"/>
      <c r="N15" s="10">
        <f t="shared" si="1"/>
        <v>31</v>
      </c>
      <c r="O15" s="8">
        <f>IFERROR(N15/N444, "NA")</f>
        <v>5.6583499265965985E-4</v>
      </c>
      <c r="P15" s="9"/>
      <c r="Q15" s="7">
        <v>260</v>
      </c>
      <c r="R15" s="8">
        <f>IFERROR(Q15/Q444, "NA")</f>
        <v>5.0987208446807649E-4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260</v>
      </c>
      <c r="X15" s="8">
        <f>IFERROR(W15/W444, "NA")</f>
        <v>3.5973761291956119E-3</v>
      </c>
      <c r="Y15" s="9"/>
      <c r="Z15" s="7">
        <v>152</v>
      </c>
      <c r="AA15" s="8">
        <f>IFERROR(Z15/Z444, "NA")</f>
        <v>3.7718178258641535E-4</v>
      </c>
      <c r="AB15" s="9"/>
      <c r="AC15" s="10">
        <f t="shared" si="3"/>
        <v>108</v>
      </c>
      <c r="AD15" s="8">
        <f>IFERROR(AC15/AC444, "NA")</f>
        <v>1.0098827311081566E-3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0.6</v>
      </c>
      <c r="R16" s="8">
        <f>IFERROR(Q16/Q444, "NA")</f>
        <v>1.1766278872340226E-6</v>
      </c>
      <c r="S16" s="9"/>
      <c r="T16" s="7">
        <v>0</v>
      </c>
      <c r="U16" s="8">
        <f>IFERROR(T16/T444, "NA")</f>
        <v>0</v>
      </c>
      <c r="V16" s="9"/>
      <c r="W16" s="10">
        <f t="shared" si="2"/>
        <v>0.6</v>
      </c>
      <c r="X16" s="8">
        <f>IFERROR(W16/W444, "NA")</f>
        <v>8.3016372212206416E-6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0.6</v>
      </c>
      <c r="AD16" s="8">
        <f>IFERROR(AC16/AC444, "NA")</f>
        <v>5.6104596172675365E-6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71083.02</v>
      </c>
      <c r="C18" s="15">
        <f>IFERROR(B18/B444, "NA")</f>
        <v>0.3186061778107307</v>
      </c>
      <c r="D18" s="2"/>
      <c r="E18" s="14">
        <f>IFERROR(E10+E11+E12+E13+E14+E15+E16+E17, "NA")</f>
        <v>45446.38</v>
      </c>
      <c r="F18" s="15">
        <f>IFERROR(E18/E444, "NA")</f>
        <v>0.23999998310096543</v>
      </c>
      <c r="G18" s="2"/>
      <c r="H18" s="14">
        <f t="shared" si="0"/>
        <v>25636.640000000007</v>
      </c>
      <c r="I18" s="15">
        <f>IFERROR(H18/H444, "NA")</f>
        <v>0.75968765751731526</v>
      </c>
      <c r="J18" s="2"/>
      <c r="K18" s="14">
        <f>IFERROR(K10+K11+K12+K13+K14+K15+K16+K17, "NA")</f>
        <v>59483.28</v>
      </c>
      <c r="L18" s="15">
        <f>IFERROR(K18/K444, "NA")</f>
        <v>0.35339415837447175</v>
      </c>
      <c r="M18" s="2"/>
      <c r="N18" s="14">
        <f t="shared" si="1"/>
        <v>11599.740000000005</v>
      </c>
      <c r="O18" s="15">
        <f>IFERROR(N18/N444, "NA")</f>
        <v>0.2117270579920634</v>
      </c>
      <c r="P18" s="2"/>
      <c r="Q18" s="14">
        <f>IFERROR(Q10+Q11+Q12+Q13+Q14+Q15+Q16+Q17, "NA")</f>
        <v>139547.62</v>
      </c>
      <c r="R18" s="15">
        <f>IFERROR(Q18/Q444, "NA")</f>
        <v>0.27365936881522707</v>
      </c>
      <c r="S18" s="2"/>
      <c r="T18" s="14">
        <f>IFERROR(T10+T11+T12+T13+T14+T15+T16+T17, "NA")</f>
        <v>105037.65</v>
      </c>
      <c r="U18" s="15">
        <f>IFERROR(T18/T444, "NA")</f>
        <v>0.23999997532313666</v>
      </c>
      <c r="V18" s="2"/>
      <c r="W18" s="14">
        <f t="shared" si="2"/>
        <v>34509.97</v>
      </c>
      <c r="X18" s="15">
        <f>IFERROR(W18/W444, "NA")</f>
        <v>0.47748208575867956</v>
      </c>
      <c r="Y18" s="2"/>
      <c r="Z18" s="14">
        <f>IFERROR(Z10+Z11+Z12+Z13+Z14+Z15+Z16+Z17, "NA")</f>
        <v>120737.02</v>
      </c>
      <c r="AA18" s="15">
        <f>IFERROR(Z18/Z444, "NA")</f>
        <v>0.2996039764984979</v>
      </c>
      <c r="AB18" s="2"/>
      <c r="AC18" s="14">
        <f t="shared" si="3"/>
        <v>18810.599999999991</v>
      </c>
      <c r="AD18" s="15">
        <f>IFERROR(AC18/AC444, "NA")</f>
        <v>0.17589351946095447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10604.16</v>
      </c>
      <c r="F21" s="8">
        <f>IFERROR(E21/E444, "NA")</f>
        <v>5.6000020701317328E-2</v>
      </c>
      <c r="G21" s="9"/>
      <c r="H21" s="10">
        <f t="shared" ref="H21:H29" si="4">IFERROR(B21-E21, "NA")</f>
        <v>-10604.16</v>
      </c>
      <c r="I21" s="8">
        <f>IFERROR(H21/H444, "NA")</f>
        <v>-0.31423187556320997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24508.79</v>
      </c>
      <c r="U21" s="8">
        <f>IFERROR(T21/T444, "NA")</f>
        <v>5.6000005666538989E-2</v>
      </c>
      <c r="V21" s="9"/>
      <c r="W21" s="10">
        <f t="shared" ref="W21:W29" si="6">IFERROR(Q21-T21, "NA")</f>
        <v>-24508.79</v>
      </c>
      <c r="X21" s="8">
        <f>IFERROR(W21/W444, "NA")</f>
        <v>-0.33910513885180044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8678.7000000000007</v>
      </c>
      <c r="C22" s="8">
        <f>IFERROR(B22/B444, "NA")</f>
        <v>3.8899408541814749E-2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8678.7000000000007</v>
      </c>
      <c r="I22" s="8">
        <f>IFERROR(H22/H444, "NA")</f>
        <v>0.25717493685972587</v>
      </c>
      <c r="J22" s="9"/>
      <c r="K22" s="7">
        <v>6859.68</v>
      </c>
      <c r="L22" s="8">
        <f>IFERROR(K22/K444, "NA")</f>
        <v>4.0753819229844029E-2</v>
      </c>
      <c r="M22" s="9"/>
      <c r="N22" s="10">
        <f t="shared" si="5"/>
        <v>1819.0200000000004</v>
      </c>
      <c r="O22" s="8">
        <f>IFERROR(N22/N444, "NA")</f>
        <v>3.3202102204766923E-2</v>
      </c>
      <c r="P22" s="9"/>
      <c r="Q22" s="7">
        <v>20278.150000000001</v>
      </c>
      <c r="R22" s="8">
        <f>IFERROR(Q22/Q444, "NA")</f>
        <v>3.9766394652524337E-2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20278.150000000001</v>
      </c>
      <c r="X22" s="8">
        <f>IFERROR(W22/W444, "NA")</f>
        <v>0.2805697413624923</v>
      </c>
      <c r="Y22" s="9"/>
      <c r="Z22" s="7">
        <v>17476.79</v>
      </c>
      <c r="AA22" s="8">
        <f>IFERROR(Z22/Z444, "NA")</f>
        <v>4.3367939513739726E-2</v>
      </c>
      <c r="AB22" s="9"/>
      <c r="AC22" s="10">
        <f t="shared" si="7"/>
        <v>2801.3600000000006</v>
      </c>
      <c r="AD22" s="8">
        <f>IFERROR(AC22/AC444, "NA")</f>
        <v>2.6194861922380984E-2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2111.39</v>
      </c>
      <c r="C24" s="8">
        <f>IFERROR(B24/B444, "NA")</f>
        <v>9.4636088585965915E-3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2111.39</v>
      </c>
      <c r="I24" s="8">
        <f>IFERROR(H24/H444, "NA")</f>
        <v>6.2566581393095344E-2</v>
      </c>
      <c r="J24" s="9"/>
      <c r="K24" s="7">
        <v>450.52</v>
      </c>
      <c r="L24" s="8">
        <f>IFERROR(K24/K444, "NA")</f>
        <v>2.6765695541817302E-3</v>
      </c>
      <c r="M24" s="9"/>
      <c r="N24" s="10">
        <f t="shared" si="5"/>
        <v>1660.87</v>
      </c>
      <c r="O24" s="8">
        <f>IFERROR(N24/N444, "NA")</f>
        <v>3.0315431105117717E-2</v>
      </c>
      <c r="P24" s="9"/>
      <c r="Q24" s="7">
        <v>4861.09</v>
      </c>
      <c r="R24" s="8">
        <f>IFERROR(Q24/Q444, "NA")</f>
        <v>9.5328234272573937E-3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4861.09</v>
      </c>
      <c r="X24" s="8">
        <f>IFERROR(W24/W444, "NA")</f>
        <v>6.7258342799505752E-2</v>
      </c>
      <c r="Y24" s="9"/>
      <c r="Z24" s="7">
        <v>1135.56</v>
      </c>
      <c r="AA24" s="8">
        <f>IFERROR(Z24/Z444, "NA")</f>
        <v>2.8178456910120382E-3</v>
      </c>
      <c r="AB24" s="9"/>
      <c r="AC24" s="10">
        <f t="shared" si="7"/>
        <v>3725.53</v>
      </c>
      <c r="AD24" s="8">
        <f>IFERROR(AC24/AC444, "NA")</f>
        <v>3.4836559363197878E-2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4938.16</v>
      </c>
      <c r="C26" s="8">
        <f>IFERROR(B26/B444, "NA")</f>
        <v>2.2133672472242145E-2</v>
      </c>
      <c r="D26" s="9"/>
      <c r="E26" s="7">
        <v>0</v>
      </c>
      <c r="F26" s="8">
        <f>IFERROR(E26/E444, "NA")</f>
        <v>0</v>
      </c>
      <c r="G26" s="9"/>
      <c r="H26" s="10">
        <f t="shared" si="4"/>
        <v>4938.16</v>
      </c>
      <c r="I26" s="8">
        <f>IFERROR(H26/H444, "NA")</f>
        <v>0.14633193752557686</v>
      </c>
      <c r="J26" s="9"/>
      <c r="K26" s="7">
        <v>629.63</v>
      </c>
      <c r="L26" s="8">
        <f>IFERROR(K26/K444, "NA")</f>
        <v>3.740674084168167E-3</v>
      </c>
      <c r="M26" s="9"/>
      <c r="N26" s="10">
        <f t="shared" si="5"/>
        <v>4308.53</v>
      </c>
      <c r="O26" s="8">
        <f>IFERROR(N26/N444, "NA")</f>
        <v>7.8642485191094319E-2</v>
      </c>
      <c r="P26" s="9"/>
      <c r="Q26" s="7">
        <v>9994.74</v>
      </c>
      <c r="R26" s="8">
        <f>IFERROR(Q26/Q444, "NA")</f>
        <v>1.9600149682755627E-2</v>
      </c>
      <c r="S26" s="9"/>
      <c r="T26" s="7">
        <v>0</v>
      </c>
      <c r="U26" s="8">
        <f>IFERROR(T26/T444, "NA")</f>
        <v>0</v>
      </c>
      <c r="V26" s="9"/>
      <c r="W26" s="10">
        <f t="shared" si="6"/>
        <v>9994.74</v>
      </c>
      <c r="X26" s="8">
        <f>IFERROR(W26/W444, "NA")</f>
        <v>0.13828784266737135</v>
      </c>
      <c r="Y26" s="9"/>
      <c r="Z26" s="7">
        <v>1529.22</v>
      </c>
      <c r="AA26" s="8">
        <f>IFERROR(Z26/Z444, "NA")</f>
        <v>3.7946968787289348E-3</v>
      </c>
      <c r="AB26" s="9"/>
      <c r="AC26" s="10">
        <f t="shared" si="7"/>
        <v>8465.52</v>
      </c>
      <c r="AD26" s="8">
        <f>IFERROR(AC26/AC444, "NA")</f>
        <v>7.9159096831951131E-2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63.44</v>
      </c>
      <c r="L27" s="8">
        <f>IFERROR(K27/K444, "NA")</f>
        <v>3.769012974280586E-4</v>
      </c>
      <c r="M27" s="9"/>
      <c r="N27" s="10">
        <f t="shared" si="5"/>
        <v>-63.44</v>
      </c>
      <c r="O27" s="8">
        <f>IFERROR(N27/N444, "NA")</f>
        <v>-1.1579539333654457E-3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78.8</v>
      </c>
      <c r="AA27" s="8">
        <f>IFERROR(Z27/Z444, "NA")</f>
        <v>1.9553897676190479E-4</v>
      </c>
      <c r="AB27" s="9"/>
      <c r="AC27" s="10">
        <f t="shared" si="7"/>
        <v>-78.8</v>
      </c>
      <c r="AD27" s="8">
        <f>IFERROR(AC27/AC444, "NA")</f>
        <v>-7.3684036306780314E-4</v>
      </c>
    </row>
    <row r="28" spans="1:30" ht="16.5" customHeight="1" x14ac:dyDescent="0.45">
      <c r="A28" s="12" t="s">
        <v>29</v>
      </c>
      <c r="B28" s="7">
        <v>790.68</v>
      </c>
      <c r="C28" s="8">
        <f>IFERROR(B28/B444, "NA")</f>
        <v>3.5439621539910451E-3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790.68</v>
      </c>
      <c r="I28" s="8">
        <f>IFERROR(H28/H444, "NA")</f>
        <v>2.3430131134415066E-2</v>
      </c>
      <c r="J28" s="9"/>
      <c r="K28" s="7">
        <v>1689.44</v>
      </c>
      <c r="L28" s="8">
        <f>IFERROR(K28/K444, "NA")</f>
        <v>1.0037076417510393E-2</v>
      </c>
      <c r="M28" s="9"/>
      <c r="N28" s="10">
        <f t="shared" si="5"/>
        <v>-898.7600000000001</v>
      </c>
      <c r="O28" s="8">
        <f>IFERROR(N28/N444, "NA")</f>
        <v>-1.6404834129122449E-2</v>
      </c>
      <c r="P28" s="9"/>
      <c r="Q28" s="7">
        <v>2330.11</v>
      </c>
      <c r="R28" s="8">
        <f>IFERROR(Q28/Q444, "NA")</f>
        <v>4.5694540105381152E-3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2330.11</v>
      </c>
      <c r="X28" s="8">
        <f>IFERROR(W28/W444, "NA")</f>
        <v>3.2239546509230721E-2</v>
      </c>
      <c r="Y28" s="9"/>
      <c r="Z28" s="7">
        <v>2402.36</v>
      </c>
      <c r="AA28" s="8">
        <f>IFERROR(Z28/Z444, "NA")</f>
        <v>5.961358073778295E-3</v>
      </c>
      <c r="AB28" s="9"/>
      <c r="AC28" s="10">
        <f t="shared" si="7"/>
        <v>-72.25</v>
      </c>
      <c r="AD28" s="8">
        <f>IFERROR(AC28/AC444, "NA")</f>
        <v>-6.7559284557929921E-4</v>
      </c>
    </row>
    <row r="29" spans="1:30" ht="16.5" customHeight="1" x14ac:dyDescent="0.45">
      <c r="A29" s="13" t="s">
        <v>30</v>
      </c>
      <c r="B29" s="14">
        <f>IFERROR(B21+B22+B23+B24+B25+B26+B27+B28, "NA")</f>
        <v>16518.93</v>
      </c>
      <c r="C29" s="15">
        <f>IFERROR(B29/B444, "NA")</f>
        <v>7.4040652026644532E-2</v>
      </c>
      <c r="D29" s="2"/>
      <c r="E29" s="14">
        <f>IFERROR(E21+E22+E23+E24+E25+E26+E27+E28, "NA")</f>
        <v>10604.16</v>
      </c>
      <c r="F29" s="15">
        <f>IFERROR(E29/E444, "NA")</f>
        <v>5.6000020701317328E-2</v>
      </c>
      <c r="G29" s="2"/>
      <c r="H29" s="14">
        <f t="shared" si="4"/>
        <v>5914.77</v>
      </c>
      <c r="I29" s="15">
        <f>IFERROR(H29/H444, "NA")</f>
        <v>0.17527171134960315</v>
      </c>
      <c r="J29" s="2"/>
      <c r="K29" s="14">
        <f>IFERROR(K21+K22+K23+K24+K25+K26+K27+K28, "NA")</f>
        <v>9692.7100000000009</v>
      </c>
      <c r="L29" s="15">
        <f>IFERROR(K29/K444, "NA")</f>
        <v>5.758504058313238E-2</v>
      </c>
      <c r="M29" s="2"/>
      <c r="N29" s="14">
        <f t="shared" si="5"/>
        <v>6826.2199999999993</v>
      </c>
      <c r="O29" s="15">
        <f>IFERROR(N29/N444, "NA")</f>
        <v>0.12459723043849105</v>
      </c>
      <c r="P29" s="2"/>
      <c r="Q29" s="14">
        <f>IFERROR(Q21+Q22+Q23+Q24+Q25+Q26+Q27+Q28, "NA")</f>
        <v>37464.090000000004</v>
      </c>
      <c r="R29" s="15">
        <f>IFERROR(Q29/Q444, "NA")</f>
        <v>7.3468821773075468E-2</v>
      </c>
      <c r="S29" s="2"/>
      <c r="T29" s="14">
        <f>IFERROR(T21+T22+T23+T24+T25+T26+T27+T28, "NA")</f>
        <v>24508.79</v>
      </c>
      <c r="U29" s="15">
        <f>IFERROR(T29/T444, "NA")</f>
        <v>5.6000005666538989E-2</v>
      </c>
      <c r="V29" s="2"/>
      <c r="W29" s="14">
        <f t="shared" si="6"/>
        <v>12955.300000000003</v>
      </c>
      <c r="X29" s="15">
        <f>IFERROR(W29/W444, "NA")</f>
        <v>0.1792503344867997</v>
      </c>
      <c r="Y29" s="2"/>
      <c r="Z29" s="14">
        <f>IFERROR(Z21+Z22+Z23+Z24+Z25+Z26+Z27+Z28, "NA")</f>
        <v>22622.730000000003</v>
      </c>
      <c r="AA29" s="15">
        <f>IFERROR(Z29/Z444, "NA")</f>
        <v>5.6137379134020907E-2</v>
      </c>
      <c r="AB29" s="2"/>
      <c r="AC29" s="14">
        <f t="shared" si="7"/>
        <v>14841.36</v>
      </c>
      <c r="AD29" s="15">
        <f>IFERROR(AC29/AC444, "NA")</f>
        <v>0.13877808490888288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50937.82</v>
      </c>
      <c r="F31" s="8">
        <f>IFERROR(E31/E444, "NA")</f>
        <v>0.26899999382129047</v>
      </c>
      <c r="G31" s="9"/>
      <c r="H31" s="10">
        <f t="shared" ref="H31:H40" si="8">IFERROR(B31-E31, "NA")</f>
        <v>-50937.82</v>
      </c>
      <c r="I31" s="8">
        <f>IFERROR(H31/H444, "NA")</f>
        <v>-1.509434666744107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117729.71</v>
      </c>
      <c r="U31" s="8">
        <f>IFERROR(T31/T444, "NA")</f>
        <v>0.26899999661835577</v>
      </c>
      <c r="V31" s="9"/>
      <c r="W31" s="10">
        <f t="shared" ref="W31:W40" si="10">IFERROR(Q31-T31, "NA")</f>
        <v>-117729.71</v>
      </c>
      <c r="X31" s="8">
        <f>IFERROR(W31/W444, "NA")</f>
        <v>-1.6289155709658536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25590.36</v>
      </c>
      <c r="C33" s="8">
        <f>IFERROR(B33/B444, "NA")</f>
        <v>0.11470034318182613</v>
      </c>
      <c r="D33" s="9"/>
      <c r="E33" s="7">
        <v>0</v>
      </c>
      <c r="F33" s="8">
        <f>IFERROR(E33/E444, "NA")</f>
        <v>0</v>
      </c>
      <c r="G33" s="9"/>
      <c r="H33" s="10">
        <f t="shared" si="8"/>
        <v>25590.36</v>
      </c>
      <c r="I33" s="8">
        <f>IFERROR(H33/H444, "NA")</f>
        <v>0.7583162475045403</v>
      </c>
      <c r="J33" s="9"/>
      <c r="K33" s="7">
        <v>15900.21</v>
      </c>
      <c r="L33" s="8">
        <f>IFERROR(K33/K444, "NA")</f>
        <v>9.4464214665488516E-2</v>
      </c>
      <c r="M33" s="9"/>
      <c r="N33" s="10">
        <f t="shared" si="9"/>
        <v>9690.1500000000015</v>
      </c>
      <c r="O33" s="8">
        <f>IFERROR(N33/N444, "NA")</f>
        <v>0.17687180497164529</v>
      </c>
      <c r="P33" s="9"/>
      <c r="Q33" s="7">
        <v>62080.04</v>
      </c>
      <c r="R33" s="8">
        <f>IFERROR(Q33/Q444, "NA")</f>
        <v>0.12174184384100604</v>
      </c>
      <c r="S33" s="9"/>
      <c r="T33" s="7">
        <v>0</v>
      </c>
      <c r="U33" s="8">
        <f>IFERROR(T33/T444, "NA")</f>
        <v>0</v>
      </c>
      <c r="V33" s="9"/>
      <c r="W33" s="10">
        <f t="shared" si="10"/>
        <v>62080.04</v>
      </c>
      <c r="X33" s="8">
        <f>IFERROR(W33/W444, "NA")</f>
        <v>0.85894328459811053</v>
      </c>
      <c r="Y33" s="9"/>
      <c r="Z33" s="7">
        <v>34790.230000000003</v>
      </c>
      <c r="AA33" s="8">
        <f>IFERROR(Z33/Z444, "NA")</f>
        <v>8.633053268415386E-2</v>
      </c>
      <c r="AB33" s="9"/>
      <c r="AC33" s="10">
        <f t="shared" si="11"/>
        <v>27289.809999999998</v>
      </c>
      <c r="AD33" s="8">
        <f>IFERROR(AC33/AC444, "NA")</f>
        <v>0.25518062827983962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3159.01</v>
      </c>
      <c r="C35" s="8">
        <f>IFERROR(B35/B444, "NA")</f>
        <v>1.4159219765365574E-2</v>
      </c>
      <c r="D35" s="9"/>
      <c r="E35" s="7">
        <v>0</v>
      </c>
      <c r="F35" s="8">
        <f>IFERROR(E35/E444, "NA")</f>
        <v>0</v>
      </c>
      <c r="G35" s="9"/>
      <c r="H35" s="10">
        <f t="shared" si="8"/>
        <v>3159.01</v>
      </c>
      <c r="I35" s="8">
        <f>IFERROR(H35/H444, "NA")</f>
        <v>9.3610586526696696E-2</v>
      </c>
      <c r="J35" s="9"/>
      <c r="K35" s="7">
        <v>0</v>
      </c>
      <c r="L35" s="8">
        <f>IFERROR(K35/K444, "NA")</f>
        <v>0</v>
      </c>
      <c r="M35" s="9"/>
      <c r="N35" s="10">
        <f t="shared" si="9"/>
        <v>3159.01</v>
      </c>
      <c r="O35" s="8">
        <f>IFERROR(N35/N444, "NA")</f>
        <v>5.7660593553606199E-2</v>
      </c>
      <c r="P35" s="9"/>
      <c r="Q35" s="7">
        <v>6481.83</v>
      </c>
      <c r="R35" s="8">
        <f>IFERROR(Q35/Q444, "NA")</f>
        <v>1.2711169897183509E-2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6481.83</v>
      </c>
      <c r="X35" s="8">
        <f>IFERROR(W35/W444, "NA")</f>
        <v>8.9683001982707664E-2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6481.83</v>
      </c>
      <c r="AD35" s="8">
        <f>IFERROR(AC35/AC444, "NA")</f>
        <v>6.0610075768322065E-2</v>
      </c>
    </row>
    <row r="36" spans="1:30" ht="16.5" customHeight="1" x14ac:dyDescent="0.45">
      <c r="A36" s="12" t="s">
        <v>36</v>
      </c>
      <c r="B36" s="7">
        <v>35585.269999999997</v>
      </c>
      <c r="C36" s="8">
        <f>IFERROR(B36/B444, "NA")</f>
        <v>0.15949922866336938</v>
      </c>
      <c r="D36" s="9"/>
      <c r="E36" s="7">
        <v>0</v>
      </c>
      <c r="F36" s="8">
        <f>IFERROR(E36/E444, "NA")</f>
        <v>0</v>
      </c>
      <c r="G36" s="9"/>
      <c r="H36" s="10">
        <f t="shared" si="8"/>
        <v>35585.269999999997</v>
      </c>
      <c r="I36" s="8">
        <f>IFERROR(H36/H444, "NA")</f>
        <v>1.0544942866312115</v>
      </c>
      <c r="J36" s="9"/>
      <c r="K36" s="7">
        <v>17994.259999999998</v>
      </c>
      <c r="L36" s="8">
        <f>IFERROR(K36/K444, "NA")</f>
        <v>0.10690510624618249</v>
      </c>
      <c r="M36" s="9"/>
      <c r="N36" s="10">
        <f t="shared" si="9"/>
        <v>17591.009999999998</v>
      </c>
      <c r="O36" s="8">
        <f>IFERROR(N36/N444, "NA")</f>
        <v>0.32108416174922588</v>
      </c>
      <c r="P36" s="9"/>
      <c r="Q36" s="7">
        <v>75457.48</v>
      </c>
      <c r="R36" s="8">
        <f>IFERROR(Q36/Q444, "NA")</f>
        <v>0.14797562544733919</v>
      </c>
      <c r="S36" s="9"/>
      <c r="T36" s="7">
        <v>0</v>
      </c>
      <c r="U36" s="8">
        <f>IFERROR(T36/T444, "NA")</f>
        <v>0</v>
      </c>
      <c r="V36" s="9"/>
      <c r="W36" s="10">
        <f t="shared" si="10"/>
        <v>75457.48</v>
      </c>
      <c r="X36" s="8">
        <f>IFERROR(W36/W444, "NA")</f>
        <v>1.0440343743125202</v>
      </c>
      <c r="Y36" s="9"/>
      <c r="Z36" s="7">
        <v>37946.639999999999</v>
      </c>
      <c r="AA36" s="8">
        <f>IFERROR(Z36/Z444, "NA")</f>
        <v>9.4163034989243236E-2</v>
      </c>
      <c r="AB36" s="9"/>
      <c r="AC36" s="10">
        <f t="shared" si="11"/>
        <v>37510.839999999997</v>
      </c>
      <c r="AD36" s="8">
        <f>IFERROR(AC36/AC444, "NA")</f>
        <v>0.35075508838297298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3083.9</v>
      </c>
      <c r="C39" s="8">
        <f>IFERROR(B39/B444, "NA")</f>
        <v>1.3822563978718299E-2</v>
      </c>
      <c r="D39" s="9"/>
      <c r="E39" s="7">
        <v>0</v>
      </c>
      <c r="F39" s="8">
        <f>IFERROR(E39/E444, "NA")</f>
        <v>0</v>
      </c>
      <c r="G39" s="9"/>
      <c r="H39" s="10">
        <f t="shared" si="8"/>
        <v>3083.9</v>
      </c>
      <c r="I39" s="8">
        <f>IFERROR(H39/H444, "NA")</f>
        <v>9.1384860380207697E-2</v>
      </c>
      <c r="J39" s="9"/>
      <c r="K39" s="7">
        <v>2547.2800000000002</v>
      </c>
      <c r="L39" s="8">
        <f>IFERROR(K39/K444, "NA")</f>
        <v>1.5133561426742515E-2</v>
      </c>
      <c r="M39" s="9"/>
      <c r="N39" s="10">
        <f t="shared" si="9"/>
        <v>536.61999999999989</v>
      </c>
      <c r="O39" s="8">
        <f>IFERROR(N39/N444, "NA")</f>
        <v>9.794786250355696E-3</v>
      </c>
      <c r="P39" s="9"/>
      <c r="Q39" s="7">
        <v>6291.8</v>
      </c>
      <c r="R39" s="8">
        <f>IFERROR(Q39/Q444, "NA")</f>
        <v>1.2338512234831707E-2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6291.8</v>
      </c>
      <c r="X39" s="8">
        <f>IFERROR(W39/W444, "NA")</f>
        <v>8.7053735114126729E-2</v>
      </c>
      <c r="Y39" s="9"/>
      <c r="Z39" s="7">
        <v>4804.75</v>
      </c>
      <c r="AA39" s="8">
        <f>IFERROR(Z39/Z444, "NA")</f>
        <v>1.1922790591329469E-2</v>
      </c>
      <c r="AB39" s="9"/>
      <c r="AC39" s="10">
        <f t="shared" si="11"/>
        <v>1487.0500000000002</v>
      </c>
      <c r="AD39" s="8">
        <f>IFERROR(AC39/AC444, "NA")</f>
        <v>1.3905056623096152E-2</v>
      </c>
    </row>
    <row r="40" spans="1:30" ht="16.5" customHeight="1" x14ac:dyDescent="0.45">
      <c r="A40" s="13" t="s">
        <v>40</v>
      </c>
      <c r="B40" s="14">
        <f>IFERROR(B31+B32+B33+B34+B35+B36+B37+B38+B39, "NA")</f>
        <v>67418.539999999994</v>
      </c>
      <c r="C40" s="15">
        <f>IFERROR(B40/B444, "NA")</f>
        <v>0.30218135558927939</v>
      </c>
      <c r="D40" s="2"/>
      <c r="E40" s="14">
        <f>IFERROR(E31+E32+E33+E34+E35+E36+E37+E38+E39, "NA")</f>
        <v>50937.82</v>
      </c>
      <c r="F40" s="15">
        <f>IFERROR(E40/E444, "NA")</f>
        <v>0.26899999382129047</v>
      </c>
      <c r="G40" s="2"/>
      <c r="H40" s="14">
        <f t="shared" si="8"/>
        <v>16480.719999999994</v>
      </c>
      <c r="I40" s="15">
        <f>IFERROR(H40/H444, "NA")</f>
        <v>0.48837131429854924</v>
      </c>
      <c r="J40" s="2"/>
      <c r="K40" s="14">
        <f>IFERROR(K31+K32+K33+K34+K35+K36+K37+K38+K39, "NA")</f>
        <v>36441.75</v>
      </c>
      <c r="L40" s="15">
        <f>IFERROR(K40/K444, "NA")</f>
        <v>0.21650288233841353</v>
      </c>
      <c r="M40" s="2"/>
      <c r="N40" s="14">
        <f t="shared" si="9"/>
        <v>30976.789999999994</v>
      </c>
      <c r="O40" s="15">
        <f>IFERROR(N40/N444, "NA")</f>
        <v>0.56541134652483294</v>
      </c>
      <c r="P40" s="2"/>
      <c r="Q40" s="14">
        <f>IFERROR(Q31+Q32+Q33+Q34+Q35+Q36+Q37+Q38+Q39, "NA")</f>
        <v>150311.14999999997</v>
      </c>
      <c r="R40" s="15">
        <f>IFERROR(Q40/Q444, "NA")</f>
        <v>0.29476715142036042</v>
      </c>
      <c r="S40" s="2"/>
      <c r="T40" s="14">
        <f>IFERROR(T31+T32+T33+T34+T35+T36+T37+T38+T39, "NA")</f>
        <v>117729.71</v>
      </c>
      <c r="U40" s="15">
        <f>IFERROR(T40/T444, "NA")</f>
        <v>0.26899999661835577</v>
      </c>
      <c r="V40" s="2"/>
      <c r="W40" s="14">
        <f t="shared" si="10"/>
        <v>32581.439999999959</v>
      </c>
      <c r="X40" s="15">
        <f>IFERROR(W40/W444, "NA")</f>
        <v>0.45079882504161123</v>
      </c>
      <c r="Y40" s="2"/>
      <c r="Z40" s="14">
        <f>IFERROR(Z31+Z32+Z33+Z34+Z35+Z36+Z37+Z38+Z39, "NA")</f>
        <v>77541.62</v>
      </c>
      <c r="AA40" s="15">
        <f>IFERROR(Z40/Z444, "NA")</f>
        <v>0.19241635826472656</v>
      </c>
      <c r="AB40" s="2"/>
      <c r="AC40" s="14">
        <f t="shared" si="11"/>
        <v>72769.52999999997</v>
      </c>
      <c r="AD40" s="15">
        <f>IFERROR(AC40/AC444, "NA")</f>
        <v>0.68045084905423059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18498.57</v>
      </c>
      <c r="C43" s="8">
        <f>IFERROR(B43/B444, "NA")</f>
        <v>8.2913734991341789E-2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18498.57</v>
      </c>
      <c r="I43" s="8">
        <f>IFERROR(H43/H444, "NA")</f>
        <v>0.54816603543678422</v>
      </c>
      <c r="J43" s="9"/>
      <c r="K43" s="7">
        <v>368.75</v>
      </c>
      <c r="L43" s="8">
        <f>IFERROR(K43/K444, "NA")</f>
        <v>2.1907684966361381E-3</v>
      </c>
      <c r="M43" s="9"/>
      <c r="N43" s="10">
        <f>IFERROR(B43-K43, "NA")</f>
        <v>18129.82</v>
      </c>
      <c r="O43" s="8">
        <f>IFERROR(N43/N444, "NA")</f>
        <v>0.33091892150390173</v>
      </c>
      <c r="P43" s="9"/>
      <c r="Q43" s="7">
        <v>32988.33</v>
      </c>
      <c r="R43" s="8">
        <f>IFERROR(Q43/Q444, "NA")</f>
        <v>6.4691648385464554E-2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32988.33</v>
      </c>
      <c r="X43" s="8">
        <f>IFERROR(W43/W444, "NA")</f>
        <v>0.45642858032318262</v>
      </c>
      <c r="Y43" s="9"/>
      <c r="Z43" s="7">
        <v>1194.73</v>
      </c>
      <c r="AA43" s="8">
        <f>IFERROR(Z43/Z444, "NA")</f>
        <v>2.9646736257201846E-3</v>
      </c>
      <c r="AB43" s="9"/>
      <c r="AC43" s="10">
        <f>IFERROR(Q43-Z43, "NA")</f>
        <v>31793.600000000002</v>
      </c>
      <c r="AD43" s="8">
        <f>IFERROR(AC43/AC444, "NA")</f>
        <v>0.29729451481259528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83507.73</v>
      </c>
      <c r="F46" s="8">
        <f>IFERROR(E46/E444, "NA")</f>
        <v>0.44100000459442501</v>
      </c>
      <c r="G46" s="9"/>
      <c r="H46" s="10">
        <f t="shared" ref="H46:H62" si="12">IFERROR(B46-E46, "NA")</f>
        <v>-83507.73</v>
      </c>
      <c r="I46" s="8">
        <f>IFERROR(H46/H444, "NA")</f>
        <v>-2.4745751310736668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193006.71</v>
      </c>
      <c r="U46" s="8">
        <f>IFERROR(T46/T444, "NA")</f>
        <v>0.44100001891892854</v>
      </c>
      <c r="V46" s="9"/>
      <c r="W46" s="10">
        <f t="shared" ref="W46:W62" si="14">IFERROR(Q46-T46, "NA")</f>
        <v>-193006.71</v>
      </c>
      <c r="X46" s="8">
        <f>IFERROR(W46/W444, "NA")</f>
        <v>-2.6704528128022305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51175.16</v>
      </c>
      <c r="C48" s="8">
        <f>IFERROR(B48/B444, "NA")</f>
        <v>0.22937576549860422</v>
      </c>
      <c r="D48" s="9"/>
      <c r="E48" s="7">
        <v>0</v>
      </c>
      <c r="F48" s="8">
        <f>IFERROR(E48/E444, "NA")</f>
        <v>0</v>
      </c>
      <c r="G48" s="9"/>
      <c r="H48" s="10">
        <f t="shared" si="12"/>
        <v>51175.16</v>
      </c>
      <c r="I48" s="8">
        <f>IFERROR(H48/H444, "NA")</f>
        <v>1.5164677361570706</v>
      </c>
      <c r="J48" s="9"/>
      <c r="K48" s="7">
        <v>40443.360000000001</v>
      </c>
      <c r="L48" s="8">
        <f>IFERROR(K48/K444, "NA")</f>
        <v>0.24027671589454677</v>
      </c>
      <c r="M48" s="9"/>
      <c r="N48" s="10">
        <f t="shared" si="13"/>
        <v>10731.800000000003</v>
      </c>
      <c r="O48" s="8">
        <f>IFERROR(N48/N444, "NA")</f>
        <v>0.19588477336209481</v>
      </c>
      <c r="P48" s="9"/>
      <c r="Q48" s="7">
        <v>119489.74</v>
      </c>
      <c r="R48" s="8">
        <f>IFERROR(Q48/Q444, "NA")</f>
        <v>0.23432493387057118</v>
      </c>
      <c r="S48" s="9"/>
      <c r="T48" s="7">
        <v>0</v>
      </c>
      <c r="U48" s="8">
        <f>IFERROR(T48/T444, "NA")</f>
        <v>0</v>
      </c>
      <c r="V48" s="9"/>
      <c r="W48" s="10">
        <f t="shared" si="14"/>
        <v>119489.74</v>
      </c>
      <c r="X48" s="8">
        <f>IFERROR(W48/W444, "NA")</f>
        <v>1.6532674552299618</v>
      </c>
      <c r="Y48" s="9"/>
      <c r="Z48" s="7">
        <v>128874.23</v>
      </c>
      <c r="AA48" s="8">
        <f>IFERROR(Z48/Z444, "NA")</f>
        <v>0.31979613026876108</v>
      </c>
      <c r="AB48" s="9"/>
      <c r="AC48" s="10">
        <f t="shared" si="15"/>
        <v>-9384.4899999999907</v>
      </c>
      <c r="AD48" s="8">
        <f>IFERROR(AC48/AC444, "NA")</f>
        <v>-8.7752170289418285E-2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3787.64</v>
      </c>
      <c r="C51" s="8">
        <f>IFERROR(B51/B444, "NA")</f>
        <v>1.6976846275285378E-2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3787.64</v>
      </c>
      <c r="I51" s="8">
        <f>IFERROR(H51/H444, "NA")</f>
        <v>0.11223870831430652</v>
      </c>
      <c r="J51" s="9"/>
      <c r="K51" s="7">
        <v>8570.27</v>
      </c>
      <c r="L51" s="8">
        <f>IFERROR(K51/K444, "NA")</f>
        <v>5.0916549216720806E-2</v>
      </c>
      <c r="M51" s="9"/>
      <c r="N51" s="10">
        <f t="shared" si="13"/>
        <v>-4782.630000000001</v>
      </c>
      <c r="O51" s="8">
        <f>IFERROR(N51/N444, "NA")</f>
        <v>-8.7296110030447405E-2</v>
      </c>
      <c r="P51" s="9"/>
      <c r="Q51" s="7">
        <v>10567.08</v>
      </c>
      <c r="R51" s="8">
        <f>IFERROR(Q51/Q444, "NA")</f>
        <v>2.0722535024388162E-2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10567.08</v>
      </c>
      <c r="X51" s="8">
        <f>IFERROR(W51/W444, "NA")</f>
        <v>0.1462067744126937</v>
      </c>
      <c r="Y51" s="9"/>
      <c r="Z51" s="7">
        <v>24826.13</v>
      </c>
      <c r="AA51" s="8">
        <f>IFERROR(Z51/Z444, "NA")</f>
        <v>6.1605026106066343E-2</v>
      </c>
      <c r="AB51" s="9"/>
      <c r="AC51" s="10">
        <f t="shared" si="15"/>
        <v>-14259.050000000001</v>
      </c>
      <c r="AD51" s="8">
        <f>IFERROR(AC51/AC444, "NA")</f>
        <v>-0.13333304034266447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304.54000000000002</v>
      </c>
      <c r="AA56" s="8">
        <f>IFERROR(Z56/Z444, "NA")</f>
        <v>7.5570355308465093E-4</v>
      </c>
      <c r="AB56" s="9"/>
      <c r="AC56" s="10">
        <f t="shared" si="15"/>
        <v>-304.54000000000002</v>
      </c>
      <c r="AD56" s="8">
        <f>IFERROR(AC56/AC444, "NA")</f>
        <v>-2.847682286404426E-3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47.5</v>
      </c>
      <c r="C58" s="8">
        <f>IFERROR(B58/B444, "NA")</f>
        <v>2.129030737018448E-4</v>
      </c>
      <c r="D58" s="9"/>
      <c r="E58" s="7">
        <v>0</v>
      </c>
      <c r="F58" s="8">
        <f>IFERROR(E58/E444, "NA")</f>
        <v>0</v>
      </c>
      <c r="G58" s="9"/>
      <c r="H58" s="10">
        <f t="shared" si="12"/>
        <v>47.5</v>
      </c>
      <c r="I58" s="8">
        <f>IFERROR(H58/H444, "NA")</f>
        <v>1.4075621349783928E-3</v>
      </c>
      <c r="J58" s="9"/>
      <c r="K58" s="7">
        <v>404.25</v>
      </c>
      <c r="L58" s="8">
        <f>IFERROR(K58/K444, "NA")</f>
        <v>2.4016763790241594E-3</v>
      </c>
      <c r="M58" s="9"/>
      <c r="N58" s="10">
        <f t="shared" si="13"/>
        <v>-356.75</v>
      </c>
      <c r="O58" s="8">
        <f>IFERROR(N58/N444, "NA")</f>
        <v>-6.5116656010107627E-3</v>
      </c>
      <c r="P58" s="9"/>
      <c r="Q58" s="7">
        <v>47.5</v>
      </c>
      <c r="R58" s="8">
        <f>IFERROR(Q58/Q444, "NA")</f>
        <v>9.3149707739360131E-5</v>
      </c>
      <c r="S58" s="9"/>
      <c r="T58" s="7">
        <v>0</v>
      </c>
      <c r="U58" s="8">
        <f>IFERROR(T58/T444, "NA")</f>
        <v>0</v>
      </c>
      <c r="V58" s="9"/>
      <c r="W58" s="10">
        <f t="shared" si="14"/>
        <v>47.5</v>
      </c>
      <c r="X58" s="8">
        <f>IFERROR(W58/W444, "NA")</f>
        <v>6.572129466799675E-4</v>
      </c>
      <c r="Y58" s="9"/>
      <c r="Z58" s="7">
        <v>2506.1999999999998</v>
      </c>
      <c r="AA58" s="8">
        <f>IFERROR(Z58/Z444, "NA")</f>
        <v>6.2190327863031192E-3</v>
      </c>
      <c r="AB58" s="9"/>
      <c r="AC58" s="10">
        <f t="shared" si="15"/>
        <v>-2458.6999999999998</v>
      </c>
      <c r="AD58" s="8">
        <f>IFERROR(AC58/AC444, "NA")</f>
        <v>-2.2990728434959487E-2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55010.3</v>
      </c>
      <c r="C61" s="15">
        <f>IFERROR(B61/B444, "NA")</f>
        <v>0.24656551484759145</v>
      </c>
      <c r="D61" s="2"/>
      <c r="E61" s="14">
        <f>IFERROR(E46+E47+E48+E49+E50+E51+E52+E53+E54+E55+E56+E57+E58+E59+E60, "NA")</f>
        <v>83507.73</v>
      </c>
      <c r="F61" s="15">
        <f>IFERROR(E61/E444, "NA")</f>
        <v>0.44100000459442501</v>
      </c>
      <c r="G61" s="2"/>
      <c r="H61" s="14">
        <f t="shared" si="12"/>
        <v>-28497.429999999993</v>
      </c>
      <c r="I61" s="15">
        <f>IFERROR(H61/H444, "NA")</f>
        <v>-0.84446112446731136</v>
      </c>
      <c r="J61" s="2"/>
      <c r="K61" s="14">
        <f>IFERROR(K46+K47+K48+K49+K50+K51+K52+K53+K54+K55+K56+K57+K58+K59+K60, "NA")</f>
        <v>49417.880000000005</v>
      </c>
      <c r="L61" s="15">
        <f>IFERROR(K61/K444, "NA")</f>
        <v>0.29359494149029175</v>
      </c>
      <c r="M61" s="2"/>
      <c r="N61" s="14">
        <f t="shared" si="13"/>
        <v>5592.4199999999983</v>
      </c>
      <c r="O61" s="15">
        <f>IFERROR(N61/N444, "NA")</f>
        <v>0.10207699773063658</v>
      </c>
      <c r="P61" s="2"/>
      <c r="Q61" s="14">
        <f>IFERROR(Q46+Q47+Q48+Q49+Q50+Q51+Q52+Q53+Q54+Q55+Q56+Q57+Q58+Q59+Q60, "NA")</f>
        <v>130104.32000000001</v>
      </c>
      <c r="R61" s="15">
        <f>IFERROR(Q61/Q444, "NA")</f>
        <v>0.25514061860269871</v>
      </c>
      <c r="S61" s="2"/>
      <c r="T61" s="14">
        <f>IFERROR(T46+T47+T48+T49+T50+T51+T52+T53+T54+T55+T56+T57+T58+T59+T60, "NA")</f>
        <v>193006.71</v>
      </c>
      <c r="U61" s="15">
        <f>IFERROR(T61/T444, "NA")</f>
        <v>0.44100001891892854</v>
      </c>
      <c r="V61" s="2"/>
      <c r="W61" s="14">
        <f t="shared" si="14"/>
        <v>-62902.389999999985</v>
      </c>
      <c r="X61" s="15">
        <f>IFERROR(W61/W444, "NA")</f>
        <v>-0.87032137021289502</v>
      </c>
      <c r="Y61" s="2"/>
      <c r="Z61" s="14">
        <f>IFERROR(Z46+Z47+Z48+Z49+Z50+Z51+Z52+Z53+Z54+Z55+Z56+Z57+Z58+Z59+Z60, "NA")</f>
        <v>156511.1</v>
      </c>
      <c r="AA61" s="15">
        <f>IFERROR(Z61/Z444, "NA")</f>
        <v>0.38837589271421524</v>
      </c>
      <c r="AB61" s="2"/>
      <c r="AC61" s="14">
        <f t="shared" si="15"/>
        <v>-26406.78</v>
      </c>
      <c r="AD61" s="15">
        <f>IFERROR(AC61/AC444, "NA")</f>
        <v>-0.24692362135344673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73508.87000000001</v>
      </c>
      <c r="C62" s="15">
        <f>IFERROR(B62/B444, "NA")</f>
        <v>0.32947924983893329</v>
      </c>
      <c r="D62" s="2"/>
      <c r="E62" s="14">
        <f>IFERROR(E42+E43+E44+E46+E47+E48+E49+E50+E51+E52+E53+E54+E55+E56+E57+E58+E59+E60, "NA")</f>
        <v>83507.73</v>
      </c>
      <c r="F62" s="15">
        <f>IFERROR(E62/E444, "NA")</f>
        <v>0.44100000459442501</v>
      </c>
      <c r="G62" s="2"/>
      <c r="H62" s="14">
        <f t="shared" si="12"/>
        <v>-9998.859999999986</v>
      </c>
      <c r="I62" s="15">
        <f>IFERROR(H62/H444, "NA")</f>
        <v>-0.29629508903052704</v>
      </c>
      <c r="J62" s="2"/>
      <c r="K62" s="14">
        <f>IFERROR(K42+K43+K44+K46+K47+K48+K49+K50+K51+K52+K53+K54+K55+K56+K57+K58+K59+K60, "NA")</f>
        <v>49786.630000000005</v>
      </c>
      <c r="L62" s="15">
        <f>IFERROR(K62/K444, "NA")</f>
        <v>0.29578570998692794</v>
      </c>
      <c r="M62" s="2"/>
      <c r="N62" s="14">
        <f t="shared" si="13"/>
        <v>23722.240000000005</v>
      </c>
      <c r="O62" s="15">
        <f>IFERROR(N62/N444, "NA")</f>
        <v>0.43299591923453845</v>
      </c>
      <c r="P62" s="2"/>
      <c r="Q62" s="14">
        <f>IFERROR(Q42+Q43+Q44+Q46+Q47+Q48+Q49+Q50+Q51+Q52+Q53+Q54+Q55+Q56+Q57+Q58+Q59+Q60, "NA")</f>
        <v>163092.65</v>
      </c>
      <c r="R62" s="15">
        <f>IFERROR(Q62/Q444, "NA")</f>
        <v>0.31983226698816325</v>
      </c>
      <c r="S62" s="2"/>
      <c r="T62" s="14">
        <f>IFERROR(T42+T43+T44+T46+T47+T48+T49+T50+T51+T52+T53+T54+T55+T56+T57+T58+T59+T60, "NA")</f>
        <v>193006.71</v>
      </c>
      <c r="U62" s="15">
        <f>IFERROR(T62/T444, "NA")</f>
        <v>0.44100001891892854</v>
      </c>
      <c r="V62" s="2"/>
      <c r="W62" s="14">
        <f t="shared" si="14"/>
        <v>-29914.059999999998</v>
      </c>
      <c r="X62" s="15">
        <f>IFERROR(W62/W444, "NA")</f>
        <v>-0.41389278988971256</v>
      </c>
      <c r="Y62" s="2"/>
      <c r="Z62" s="14">
        <f>IFERROR(Z42+Z43+Z44+Z46+Z47+Z48+Z49+Z50+Z51+Z52+Z53+Z54+Z55+Z56+Z57+Z58+Z59+Z60, "NA")</f>
        <v>157705.83000000002</v>
      </c>
      <c r="AA62" s="15">
        <f>IFERROR(Z62/Z444, "NA")</f>
        <v>0.39134056633993547</v>
      </c>
      <c r="AB62" s="2"/>
      <c r="AC62" s="14">
        <f t="shared" si="15"/>
        <v>5386.8199999999779</v>
      </c>
      <c r="AD62" s="15">
        <f>IFERROR(AC62/AC444, "NA")</f>
        <v>5.0370893459148317E-2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13740.46</v>
      </c>
      <c r="L66" s="8">
        <f>IFERROR(K66/K444, "NA")</f>
        <v>8.1632994975698953E-2</v>
      </c>
      <c r="M66" s="9"/>
      <c r="N66" s="10">
        <f t="shared" si="17"/>
        <v>-13740.46</v>
      </c>
      <c r="O66" s="8">
        <f>IFERROR(N66/N444, "NA")</f>
        <v>-0.25080106720130158</v>
      </c>
      <c r="P66" s="9"/>
      <c r="Q66" s="7">
        <v>16868</v>
      </c>
      <c r="R66" s="8">
        <f>IFERROR(Q66/Q444, "NA")</f>
        <v>3.3078932003105826E-2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16868</v>
      </c>
      <c r="X66" s="8">
        <f>IFERROR(W66/W444, "NA")</f>
        <v>0.233386694412583</v>
      </c>
      <c r="Y66" s="9"/>
      <c r="Z66" s="7">
        <v>26337.24</v>
      </c>
      <c r="AA66" s="8">
        <f>IFERROR(Z66/Z444, "NA")</f>
        <v>6.5354783760567386E-2</v>
      </c>
      <c r="AB66" s="9"/>
      <c r="AC66" s="10">
        <f t="shared" si="19"/>
        <v>-9469.2400000000016</v>
      </c>
      <c r="AD66" s="8">
        <f>IFERROR(AC66/AC444, "NA")</f>
        <v>-8.854464771035743E-2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1.9380532087603396E-2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0.13673834208003049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9.2411282970917913E-2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>
        <f>IFERROR(B73/B444, "NA")</f>
        <v>0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0</v>
      </c>
      <c r="I73" s="15">
        <f>IFERROR(H73/H444, "NA")</f>
        <v>0</v>
      </c>
      <c r="J73" s="2"/>
      <c r="K73" s="14">
        <f>IFERROR(K64+K65+K66+K67+K68+K69+K70+K71+K72, "NA")</f>
        <v>13740.46</v>
      </c>
      <c r="L73" s="15">
        <f>IFERROR(K73/K444, "NA")</f>
        <v>8.1632994975698953E-2</v>
      </c>
      <c r="M73" s="2"/>
      <c r="N73" s="14">
        <f t="shared" si="17"/>
        <v>-13740.46</v>
      </c>
      <c r="O73" s="15">
        <f>IFERROR(N73/N444, "NA")</f>
        <v>-0.25080106720130158</v>
      </c>
      <c r="P73" s="2"/>
      <c r="Q73" s="14">
        <f>IFERROR(Q64+Q65+Q66+Q67+Q68+Q69+Q70+Q71+Q72, "NA")</f>
        <v>26750.75</v>
      </c>
      <c r="R73" s="15">
        <f>IFERROR(Q73/Q444, "NA")</f>
        <v>5.2459464090709222E-2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26750.75</v>
      </c>
      <c r="X73" s="15">
        <f>IFERROR(W73/W444, "NA")</f>
        <v>0.37012503649261352</v>
      </c>
      <c r="Y73" s="2"/>
      <c r="Z73" s="14">
        <f>IFERROR(Z64+Z65+Z66+Z67+Z68+Z69+Z70+Z71+Z72, "NA")</f>
        <v>26337.24</v>
      </c>
      <c r="AA73" s="15">
        <f>IFERROR(Z73/Z444, "NA")</f>
        <v>6.5354783760567386E-2</v>
      </c>
      <c r="AB73" s="2"/>
      <c r="AC73" s="14">
        <f t="shared" si="19"/>
        <v>413.5099999999984</v>
      </c>
      <c r="AD73" s="15">
        <f>IFERROR(AC73/AC444, "NA")</f>
        <v>3.8666352605604836E-3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5491.44</v>
      </c>
      <c r="F75" s="8">
        <f>IFERROR(E75/E444, "NA")</f>
        <v>2.9000010720325042E-2</v>
      </c>
      <c r="G75" s="9"/>
      <c r="H75" s="10">
        <f t="shared" ref="H75:H92" si="20">IFERROR(B75-E75, "NA")</f>
        <v>-5491.44</v>
      </c>
      <c r="I75" s="8">
        <f>IFERROR(H75/H444, "NA")</f>
        <v>-0.16272722127380515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12692.05</v>
      </c>
      <c r="U75" s="8">
        <f>IFERROR(T75/T444, "NA")</f>
        <v>2.8999998446271567E-2</v>
      </c>
      <c r="V75" s="9"/>
      <c r="W75" s="10">
        <f t="shared" ref="W75:W92" si="22">IFERROR(Q75-T75, "NA")</f>
        <v>-12692.05</v>
      </c>
      <c r="X75" s="8">
        <f>IFERROR(W75/W444, "NA")</f>
        <v>-0.17560799115598907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1787.53</v>
      </c>
      <c r="C77" s="8">
        <f>IFERROR(B77/B444, "NA")</f>
        <v>8.0120132912475505E-3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1787.53</v>
      </c>
      <c r="I77" s="8">
        <f>IFERROR(H77/H444, "NA")</f>
        <v>5.2969674592377398E-2</v>
      </c>
      <c r="J77" s="9"/>
      <c r="K77" s="7">
        <v>146.51</v>
      </c>
      <c r="L77" s="8">
        <f>IFERROR(K77/K444, "NA")</f>
        <v>8.7042574221602874E-4</v>
      </c>
      <c r="M77" s="9"/>
      <c r="N77" s="10">
        <f t="shared" si="21"/>
        <v>1641.02</v>
      </c>
      <c r="O77" s="8">
        <f>IFERROR(N77/N444, "NA")</f>
        <v>2.9953114182398547E-2</v>
      </c>
      <c r="P77" s="9"/>
      <c r="Q77" s="7">
        <v>3202.8</v>
      </c>
      <c r="R77" s="8">
        <f>IFERROR(Q77/Q444, "NA")</f>
        <v>6.2808396620552135E-3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3202.8</v>
      </c>
      <c r="X77" s="8">
        <f>IFERROR(W77/W444, "NA")</f>
        <v>4.4314139486875792E-2</v>
      </c>
      <c r="Y77" s="9"/>
      <c r="Z77" s="7">
        <v>331.89</v>
      </c>
      <c r="AA77" s="8">
        <f>IFERROR(Z77/Z444, "NA")</f>
        <v>8.23571459359246E-4</v>
      </c>
      <c r="AB77" s="9"/>
      <c r="AC77" s="10">
        <f t="shared" si="23"/>
        <v>2870.9100000000003</v>
      </c>
      <c r="AD77" s="8">
        <f>IFERROR(AC77/AC444, "NA")</f>
        <v>2.6845207699682575E-2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26.91</v>
      </c>
      <c r="L79" s="8">
        <f>IFERROR(K79/K444, "NA")</f>
        <v>1.5987411591722976E-4</v>
      </c>
      <c r="M79" s="9"/>
      <c r="N79" s="10">
        <f t="shared" si="21"/>
        <v>-26.91</v>
      </c>
      <c r="O79" s="8">
        <f>IFERROR(N79/N444, "NA")</f>
        <v>-4.9118127911198216E-4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1.1129344045395217E-4</v>
      </c>
      <c r="AB79" s="9"/>
      <c r="AC79" s="10">
        <f t="shared" si="23"/>
        <v>-44.85</v>
      </c>
      <c r="AD79" s="8">
        <f>IFERROR(AC79/AC444, "NA")</f>
        <v>-4.1938185639074838E-4</v>
      </c>
    </row>
    <row r="80" spans="1:30" ht="16.5" customHeight="1" x14ac:dyDescent="0.45">
      <c r="A80" s="12" t="s">
        <v>76</v>
      </c>
      <c r="B80" s="7">
        <v>3869.14</v>
      </c>
      <c r="C80" s="8">
        <f>IFERROR(B80/B444, "NA")</f>
        <v>1.7342143128058016E-2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3869.14</v>
      </c>
      <c r="I80" s="8">
        <f>IFERROR(H80/H444, "NA")</f>
        <v>0.11465378860905892</v>
      </c>
      <c r="J80" s="9"/>
      <c r="K80" s="7">
        <v>3712.24</v>
      </c>
      <c r="L80" s="8">
        <f>IFERROR(K80/K444, "NA")</f>
        <v>2.2054666966650947E-2</v>
      </c>
      <c r="M80" s="9"/>
      <c r="N80" s="10">
        <f t="shared" si="21"/>
        <v>156.90000000000009</v>
      </c>
      <c r="O80" s="8">
        <f>IFERROR(N80/N444, "NA")</f>
        <v>2.8638551725258285E-3</v>
      </c>
      <c r="P80" s="9"/>
      <c r="Q80" s="7">
        <v>10601.8</v>
      </c>
      <c r="R80" s="8">
        <f>IFERROR(Q80/Q444, "NA")</f>
        <v>2.0790622558129437E-2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10601.8</v>
      </c>
      <c r="X80" s="8">
        <f>IFERROR(W80/W444, "NA")</f>
        <v>0.14668716248656166</v>
      </c>
      <c r="Y80" s="9"/>
      <c r="Z80" s="7">
        <v>10267.24</v>
      </c>
      <c r="AA80" s="8">
        <f>IFERROR(Z80/Z444, "NA")</f>
        <v>2.547773608843781E-2</v>
      </c>
      <c r="AB80" s="9"/>
      <c r="AC80" s="10">
        <f t="shared" si="23"/>
        <v>334.55999999999949</v>
      </c>
      <c r="AD80" s="8">
        <f>IFERROR(AC80/AC444, "NA")</f>
        <v>3.1283922825883735E-3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1.7823201328565191E-4</v>
      </c>
      <c r="M85" s="9"/>
      <c r="N85" s="10">
        <f t="shared" si="21"/>
        <v>-30</v>
      </c>
      <c r="O85" s="8">
        <f>IFERROR(N85/N444, "NA")</f>
        <v>-5.4758225096096112E-4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30</v>
      </c>
      <c r="AA85" s="8">
        <f>IFERROR(Z85/Z444, "NA")</f>
        <v>7.4443772878897768E-5</v>
      </c>
      <c r="AB85" s="9"/>
      <c r="AC85" s="10">
        <f t="shared" si="23"/>
        <v>-30</v>
      </c>
      <c r="AD85" s="8">
        <f>IFERROR(AC85/AC444, "NA")</f>
        <v>-2.8052298086337686E-4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1.9380630139927333E-3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1.3673903388313226E-2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9.2411750509219358E-3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5656.67</v>
      </c>
      <c r="C88" s="15">
        <f>IFERROR(B88/B444, "NA")</f>
        <v>2.5354156419305565E-2</v>
      </c>
      <c r="D88" s="2"/>
      <c r="E88" s="14">
        <f>IFERROR(E75+E76+E77+E78+E79+E80+E81+E82+E83+E84+E85+E86+E87, "NA")</f>
        <v>5491.44</v>
      </c>
      <c r="F88" s="15">
        <f>IFERROR(E88/E444, "NA")</f>
        <v>2.9000010720325042E-2</v>
      </c>
      <c r="G88" s="2"/>
      <c r="H88" s="14">
        <f t="shared" si="20"/>
        <v>165.23000000000047</v>
      </c>
      <c r="I88" s="15">
        <f>IFERROR(H88/H444, "NA")</f>
        <v>4.8962419276311689E-3</v>
      </c>
      <c r="J88" s="2"/>
      <c r="K88" s="14">
        <f>IFERROR(K75+K76+K77+K78+K79+K80+K81+K82+K83+K84+K85+K86+K87, "NA")</f>
        <v>3915.66</v>
      </c>
      <c r="L88" s="15">
        <f>IFERROR(K88/K444, "NA")</f>
        <v>2.3263198838069859E-2</v>
      </c>
      <c r="M88" s="2"/>
      <c r="N88" s="14">
        <f t="shared" si="21"/>
        <v>1741.0100000000002</v>
      </c>
      <c r="O88" s="15">
        <f>IFERROR(N88/N444, "NA")</f>
        <v>3.1778205824851434E-2</v>
      </c>
      <c r="P88" s="2"/>
      <c r="Q88" s="14">
        <f>IFERROR(Q75+Q76+Q77+Q78+Q79+Q80+Q81+Q82+Q83+Q84+Q85+Q86+Q87, "NA")</f>
        <v>14792.88</v>
      </c>
      <c r="R88" s="15">
        <f>IFERROR(Q88/Q444, "NA")</f>
        <v>2.9009525234177384E-2</v>
      </c>
      <c r="S88" s="2"/>
      <c r="T88" s="14">
        <f>IFERROR(T75+T76+T77+T78+T79+T80+T81+T82+T83+T84+T85+T86+T87, "NA")</f>
        <v>12692.05</v>
      </c>
      <c r="U88" s="15">
        <f>IFERROR(T88/T444, "NA")</f>
        <v>2.8999998446271567E-2</v>
      </c>
      <c r="V88" s="2"/>
      <c r="W88" s="14">
        <f t="shared" si="22"/>
        <v>2100.83</v>
      </c>
      <c r="X88" s="15">
        <f>IFERROR(W88/W444, "NA")</f>
        <v>2.9067214205761603E-2</v>
      </c>
      <c r="Y88" s="2"/>
      <c r="Z88" s="14">
        <f>IFERROR(Z75+Z76+Z77+Z78+Z79+Z80+Z81+Z82+Z83+Z84+Z85+Z86+Z87, "NA")</f>
        <v>10673.98</v>
      </c>
      <c r="AA88" s="15">
        <f>IFERROR(Z88/Z444, "NA")</f>
        <v>2.6487044761129907E-2</v>
      </c>
      <c r="AB88" s="2"/>
      <c r="AC88" s="14">
        <f t="shared" si="23"/>
        <v>4118.8999999999996</v>
      </c>
      <c r="AD88" s="15">
        <f>IFERROR(AC88/AC444, "NA")</f>
        <v>3.8514870195938758E-2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-388.44</v>
      </c>
      <c r="L89" s="8">
        <f>IFERROR(K89/K444, "NA")</f>
        <v>-2.3077481080226209E-3</v>
      </c>
      <c r="M89" s="9"/>
      <c r="N89" s="10">
        <f t="shared" si="21"/>
        <v>388.44</v>
      </c>
      <c r="O89" s="8">
        <f>IFERROR(N89/N444, "NA")</f>
        <v>7.0900949854425244E-3</v>
      </c>
      <c r="P89" s="9"/>
      <c r="Q89" s="7">
        <v>0</v>
      </c>
      <c r="R89" s="8">
        <f>IFERROR(Q89/Q444, "NA")</f>
        <v>0</v>
      </c>
      <c r="S89" s="9"/>
      <c r="T89" s="7">
        <v>0</v>
      </c>
      <c r="U89" s="8">
        <f>IFERROR(T89/T444, "NA")</f>
        <v>0</v>
      </c>
      <c r="V89" s="9"/>
      <c r="W89" s="10">
        <f t="shared" si="22"/>
        <v>0</v>
      </c>
      <c r="X89" s="8">
        <f>IFERROR(W89/W444, "NA")</f>
        <v>0</v>
      </c>
      <c r="Y89" s="9"/>
      <c r="Z89" s="7">
        <v>-1132.72</v>
      </c>
      <c r="AA89" s="8">
        <f>IFERROR(Z89/Z444, "NA")</f>
        <v>-2.8107983471795028E-3</v>
      </c>
      <c r="AB89" s="9"/>
      <c r="AC89" s="10">
        <f t="shared" si="23"/>
        <v>1132.72</v>
      </c>
      <c r="AD89" s="8">
        <f>IFERROR(AC89/AC444, "NA")</f>
        <v>1.0591799696118807E-2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-6627.6</v>
      </c>
      <c r="F94" s="8">
        <f>IFERROR(E94/E444, "NA")</f>
        <v>-3.5000012938323333E-2</v>
      </c>
      <c r="G94" s="9"/>
      <c r="H94" s="10">
        <f t="shared" ref="H94:H124" si="24">IFERROR(B94-E94, "NA")</f>
        <v>6627.6</v>
      </c>
      <c r="I94" s="8">
        <f>IFERROR(H94/H444, "NA")</f>
        <v>0.19639492222700625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-15317.99</v>
      </c>
      <c r="U94" s="8">
        <f>IFERROR(T94/T444, "NA")</f>
        <v>-3.4999994973231544E-2</v>
      </c>
      <c r="V94" s="9"/>
      <c r="W94" s="10">
        <f t="shared" ref="W94:W124" si="26">IFERROR(Q94-T94, "NA")</f>
        <v>15317.99</v>
      </c>
      <c r="X94" s="8">
        <f>IFERROR(W94/W444, "NA")</f>
        <v>0.21194065989714264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-3497.15</v>
      </c>
      <c r="C96" s="8">
        <f>IFERROR(B96/B444, "NA")</f>
        <v>-1.5674820719924348E-2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-3497.15</v>
      </c>
      <c r="I96" s="8">
        <f>IFERROR(H96/H444, "NA")</f>
        <v>-0.10363065095451972</v>
      </c>
      <c r="J96" s="9"/>
      <c r="K96" s="7">
        <v>-91.14</v>
      </c>
      <c r="L96" s="8">
        <f>IFERROR(K96/K444, "NA")</f>
        <v>-5.4146885636181048E-4</v>
      </c>
      <c r="M96" s="9"/>
      <c r="N96" s="10">
        <f t="shared" si="25"/>
        <v>-3406.01</v>
      </c>
      <c r="O96" s="8">
        <f>IFERROR(N96/N444, "NA")</f>
        <v>-6.2169020753184777E-2</v>
      </c>
      <c r="P96" s="9"/>
      <c r="Q96" s="7">
        <v>-6956.1</v>
      </c>
      <c r="R96" s="8">
        <f>IFERROR(Q96/Q444, "NA")</f>
        <v>-1.3641235410647644E-2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-6956.1</v>
      </c>
      <c r="X96" s="8">
        <f>IFERROR(W96/W444, "NA")</f>
        <v>-9.6245031124221517E-2</v>
      </c>
      <c r="Y96" s="9"/>
      <c r="Z96" s="7">
        <v>-373.4</v>
      </c>
      <c r="AA96" s="8">
        <f>IFERROR(Z96/Z444, "NA")</f>
        <v>-9.2657682643268089E-4</v>
      </c>
      <c r="AB96" s="9"/>
      <c r="AC96" s="10">
        <f t="shared" si="27"/>
        <v>-6582.7000000000007</v>
      </c>
      <c r="AD96" s="8">
        <f>IFERROR(AC96/AC444, "NA")</f>
        <v>-6.1553287537645031E-2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-2429.5300000000002</v>
      </c>
      <c r="C98" s="8">
        <f>IFERROR(B98/B444, "NA")</f>
        <v>-1.0889566413701958E-2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-2429.5300000000002</v>
      </c>
      <c r="I98" s="8">
        <f>IFERROR(H98/H444, "NA")</f>
        <v>-7.1993988079874838E-2</v>
      </c>
      <c r="J98" s="9"/>
      <c r="K98" s="7">
        <v>-2022.41</v>
      </c>
      <c r="L98" s="8">
        <f>IFERROR(K98/K444, "NA")</f>
        <v>-1.2015273532967843E-2</v>
      </c>
      <c r="M98" s="9"/>
      <c r="N98" s="10">
        <f t="shared" si="25"/>
        <v>-407.12000000000012</v>
      </c>
      <c r="O98" s="8">
        <f>IFERROR(N98/N444, "NA")</f>
        <v>-7.4310562003742191E-3</v>
      </c>
      <c r="P98" s="9"/>
      <c r="Q98" s="7">
        <v>-5256.09</v>
      </c>
      <c r="R98" s="8">
        <f>IFERROR(Q98/Q444, "NA")</f>
        <v>-1.0307436786353125E-2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-5256.09</v>
      </c>
      <c r="X98" s="8">
        <f>IFERROR(W98/W444, "NA")</f>
        <v>-7.2723587303476014E-2</v>
      </c>
      <c r="Y98" s="9"/>
      <c r="Z98" s="7">
        <v>-5001.3999999999996</v>
      </c>
      <c r="AA98" s="8">
        <f>IFERROR(Z98/Z444, "NA")</f>
        <v>-1.2410769522550642E-2</v>
      </c>
      <c r="AB98" s="9"/>
      <c r="AC98" s="10">
        <f t="shared" si="27"/>
        <v>-254.69000000000051</v>
      </c>
      <c r="AD98" s="8">
        <f>IFERROR(AC98/AC444, "NA")</f>
        <v>-2.3815465998697862E-3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-759.32</v>
      </c>
      <c r="C100" s="8">
        <f>IFERROR(B100/B444, "NA")</f>
        <v>-3.4034013036481009E-3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-759.32</v>
      </c>
      <c r="I100" s="8">
        <f>IFERROR(H100/H444, "NA")</f>
        <v>-2.2500843796458808E-2</v>
      </c>
      <c r="J100" s="9"/>
      <c r="K100" s="7">
        <v>-126.93</v>
      </c>
      <c r="L100" s="8">
        <f>IFERROR(K100/K444, "NA")</f>
        <v>-7.5409964821159328E-4</v>
      </c>
      <c r="M100" s="9"/>
      <c r="N100" s="10">
        <f t="shared" si="25"/>
        <v>-632.3900000000001</v>
      </c>
      <c r="O100" s="8">
        <f>IFERROR(N100/N444, "NA")</f>
        <v>-1.1542851322840076E-2</v>
      </c>
      <c r="P100" s="9"/>
      <c r="Q100" s="7">
        <v>-1164.98</v>
      </c>
      <c r="R100" s="8">
        <f>IFERROR(Q100/Q444, "NA")</f>
        <v>-2.2845799267831529E-3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-1164.98</v>
      </c>
      <c r="X100" s="8">
        <f>IFERROR(W100/W444, "NA")</f>
        <v>-1.6118735549962706E-2</v>
      </c>
      <c r="Y100" s="9"/>
      <c r="Z100" s="7">
        <v>-554.54</v>
      </c>
      <c r="AA100" s="8">
        <f>IFERROR(Z100/Z444, "NA")</f>
        <v>-1.3760683270754655E-3</v>
      </c>
      <c r="AB100" s="9"/>
      <c r="AC100" s="10">
        <f t="shared" si="27"/>
        <v>-610.44000000000005</v>
      </c>
      <c r="AD100" s="8">
        <f>IFERROR(AC100/AC444, "NA")</f>
        <v>-5.7080816146079924E-3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-1791.18</v>
      </c>
      <c r="C102" s="8">
        <f>IFERROR(B102/B444, "NA")</f>
        <v>-8.0283732116477966E-3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-1791.18</v>
      </c>
      <c r="I102" s="8">
        <f>IFERROR(H102/H444, "NA")</f>
        <v>-5.3077834630117851E-2</v>
      </c>
      <c r="J102" s="9"/>
      <c r="K102" s="7">
        <v>-1247.69</v>
      </c>
      <c r="L102" s="8">
        <f>IFERROR(K102/K444, "NA")</f>
        <v>-7.4126100218791686E-3</v>
      </c>
      <c r="M102" s="9"/>
      <c r="N102" s="10">
        <f t="shared" si="25"/>
        <v>-543.49</v>
      </c>
      <c r="O102" s="8">
        <f>IFERROR(N102/N444, "NA")</f>
        <v>-9.920182585825759E-3</v>
      </c>
      <c r="P102" s="9"/>
      <c r="Q102" s="7">
        <v>-5046.18</v>
      </c>
      <c r="R102" s="8">
        <f>IFERROR(Q102/Q444, "NA")</f>
        <v>-9.8957935200043017E-3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-5046.18</v>
      </c>
      <c r="X102" s="8">
        <f>IFERROR(W102/W444, "NA")</f>
        <v>-6.9819259521631968E-2</v>
      </c>
      <c r="Y102" s="9"/>
      <c r="Z102" s="7">
        <v>-1716.69</v>
      </c>
      <c r="AA102" s="8">
        <f>IFERROR(Z102/Z444, "NA")</f>
        <v>-4.2598960154491671E-3</v>
      </c>
      <c r="AB102" s="9"/>
      <c r="AC102" s="10">
        <f t="shared" si="27"/>
        <v>-3329.4900000000002</v>
      </c>
      <c r="AD102" s="8">
        <f>IFERROR(AC102/AC444, "NA")</f>
        <v>-3.1133281985160154E-2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-1003.73</v>
      </c>
      <c r="C104" s="8">
        <f>IFERROR(B104/B444, "NA")</f>
        <v>-4.4988884666684777E-3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-1003.73</v>
      </c>
      <c r="I104" s="8">
        <f>IFERROR(H104/H444, "NA")</f>
        <v>-2.9743417720881311E-2</v>
      </c>
      <c r="J104" s="9"/>
      <c r="K104" s="7">
        <v>-828.64</v>
      </c>
      <c r="L104" s="8">
        <f>IFERROR(K104/K444, "NA")</f>
        <v>-4.9230058496340864E-3</v>
      </c>
      <c r="M104" s="9"/>
      <c r="N104" s="10">
        <f t="shared" si="25"/>
        <v>-175.09000000000003</v>
      </c>
      <c r="O104" s="8">
        <f>IFERROR(N104/N444, "NA")</f>
        <v>-3.1958725440251567E-3</v>
      </c>
      <c r="P104" s="9"/>
      <c r="Q104" s="7">
        <v>-1916.91</v>
      </c>
      <c r="R104" s="8">
        <f>IFERROR(Q104/Q444, "NA")</f>
        <v>-3.7591496055296176E-3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-1916.91</v>
      </c>
      <c r="X104" s="8">
        <f>IFERROR(W104/W444, "NA")</f>
        <v>-2.6522485676216772E-2</v>
      </c>
      <c r="Y104" s="9"/>
      <c r="Z104" s="7">
        <v>-1318.65</v>
      </c>
      <c r="AA104" s="8">
        <f>IFERROR(Z104/Z444, "NA")</f>
        <v>-3.2721760368919516E-3</v>
      </c>
      <c r="AB104" s="9"/>
      <c r="AC104" s="10">
        <f t="shared" si="27"/>
        <v>-598.26</v>
      </c>
      <c r="AD104" s="8">
        <f>IFERROR(AC104/AC444, "NA")</f>
        <v>-5.5941892843774611E-3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-1598.9</v>
      </c>
      <c r="C106" s="8">
        <f>IFERROR(B106/B444, "NA")</f>
        <v>-7.1665415693027302E-3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-1598.9</v>
      </c>
      <c r="I106" s="8">
        <f>IFERROR(H106/H444, "NA")</f>
        <v>-4.7380023107725315E-2</v>
      </c>
      <c r="J106" s="9"/>
      <c r="K106" s="7">
        <v>-15.05</v>
      </c>
      <c r="L106" s="8">
        <f>IFERROR(K106/K444, "NA")</f>
        <v>-8.9413059998302055E-5</v>
      </c>
      <c r="M106" s="9"/>
      <c r="N106" s="10">
        <f t="shared" si="25"/>
        <v>-1583.8500000000001</v>
      </c>
      <c r="O106" s="8">
        <f>IFERROR(N106/N444, "NA")</f>
        <v>-2.8909604939483947E-2</v>
      </c>
      <c r="P106" s="9"/>
      <c r="Q106" s="7">
        <v>-1687.06</v>
      </c>
      <c r="R106" s="8">
        <f>IFERROR(Q106/Q444, "NA")</f>
        <v>-3.3084030723950506E-3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-1687.06</v>
      </c>
      <c r="X106" s="8">
        <f>IFERROR(W106/W444, "NA")</f>
        <v>-2.3342266817387495E-2</v>
      </c>
      <c r="Y106" s="9"/>
      <c r="Z106" s="7">
        <v>-2500.5</v>
      </c>
      <c r="AA106" s="8">
        <f>IFERROR(Z106/Z444, "NA")</f>
        <v>-6.2048884694561289E-3</v>
      </c>
      <c r="AB106" s="9"/>
      <c r="AC106" s="10">
        <f t="shared" si="27"/>
        <v>813.44</v>
      </c>
      <c r="AD106" s="8">
        <f>IFERROR(AC106/AC444, "NA")</f>
        <v>7.6062871184501757E-3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-20.260000000000002</v>
      </c>
      <c r="L108" s="8">
        <f>IFERROR(K108/K444, "NA")</f>
        <v>-1.2036601963891027E-4</v>
      </c>
      <c r="M108" s="9"/>
      <c r="N108" s="10">
        <f t="shared" si="25"/>
        <v>20.260000000000002</v>
      </c>
      <c r="O108" s="8">
        <f>IFERROR(N108/N444, "NA")</f>
        <v>3.6980054681563578E-4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-20.260000000000002</v>
      </c>
      <c r="AA108" s="8">
        <f>IFERROR(Z108/Z444, "NA")</f>
        <v>-5.0274361284215632E-5</v>
      </c>
      <c r="AB108" s="9"/>
      <c r="AC108" s="10">
        <f t="shared" si="27"/>
        <v>20.260000000000002</v>
      </c>
      <c r="AD108" s="8">
        <f>IFERROR(AC108/AC444, "NA")</f>
        <v>1.8944651974306718E-4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-2.8660852558375643E-5</v>
      </c>
      <c r="AB111" s="9"/>
      <c r="AC111" s="10">
        <f t="shared" si="27"/>
        <v>11.55</v>
      </c>
      <c r="AD111" s="8">
        <f>IFERROR(AC111/AC444, "NA")</f>
        <v>1.0800134763240009E-4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-11079.81</v>
      </c>
      <c r="C118" s="15">
        <f>IFERROR(B118/B444, "NA")</f>
        <v>-4.9661591684893411E-2</v>
      </c>
      <c r="D118" s="2"/>
      <c r="E118" s="14">
        <f>IFERROR(E94+E95+E96+E97+E98+E99+E100+E101+E102+E103+E104+E105+E106+E107+E108+E109+E110+E111+E112+E113+E114+E115+E116+E117, "NA")</f>
        <v>-6627.6</v>
      </c>
      <c r="F118" s="15">
        <f>IFERROR(E118/E444, "NA")</f>
        <v>-3.5000012938323333E-2</v>
      </c>
      <c r="G118" s="2"/>
      <c r="H118" s="14">
        <f t="shared" si="24"/>
        <v>-4452.2099999999991</v>
      </c>
      <c r="I118" s="15">
        <f>IFERROR(H118/H444, "NA")</f>
        <v>-0.13193183606257156</v>
      </c>
      <c r="J118" s="2"/>
      <c r="K118" s="14">
        <f>IFERROR(K94+K95+K96+K97+K98+K99+K100+K101+K102+K103+K104+K105+K106+K107+K108+K109+K110+K111+K112+K113+K114+K115+K116+K117, "NA")</f>
        <v>-4352.1200000000008</v>
      </c>
      <c r="L118" s="15">
        <f>IFERROR(K118/K444, "NA")</f>
        <v>-2.585623698869172E-2</v>
      </c>
      <c r="M118" s="2"/>
      <c r="N118" s="14">
        <f t="shared" si="25"/>
        <v>-6727.6899999999987</v>
      </c>
      <c r="O118" s="15">
        <f>IFERROR(N118/N444, "NA")</f>
        <v>-0.12279878779891826</v>
      </c>
      <c r="P118" s="2"/>
      <c r="Q118" s="14">
        <f>IFERROR(Q94+Q95+Q96+Q97+Q98+Q99+Q100+Q101+Q102+Q103+Q104+Q105+Q106+Q107+Q108+Q109+Q110+Q111+Q112+Q113+Q114+Q115+Q116+Q117, "NA")</f>
        <v>-22027.32</v>
      </c>
      <c r="R118" s="15">
        <f>IFERROR(Q118/Q444, "NA")</f>
        <v>-4.3196598321712888E-2</v>
      </c>
      <c r="S118" s="2"/>
      <c r="T118" s="14">
        <f>IFERROR(T94+T95+T96+T97+T98+T99+T100+T101+T102+T103+T104+T105+T106+T107+T108+T109+T110+T111+T112+T113+T114+T115+T116+T117, "NA")</f>
        <v>-15317.99</v>
      </c>
      <c r="U118" s="15">
        <f>IFERROR(T118/T444, "NA")</f>
        <v>-3.4999994973231544E-2</v>
      </c>
      <c r="V118" s="2"/>
      <c r="W118" s="14">
        <f t="shared" si="26"/>
        <v>-6709.33</v>
      </c>
      <c r="X118" s="15">
        <f>IFERROR(W118/W444, "NA")</f>
        <v>-9.283070609575382E-2</v>
      </c>
      <c r="Y118" s="2"/>
      <c r="Z118" s="14">
        <f>IFERROR(Z94+Z95+Z96+Z97+Z98+Z99+Z100+Z101+Z102+Z103+Z104+Z105+Z106+Z107+Z108+Z109+Z110+Z111+Z112+Z113+Z114+Z115+Z116+Z117, "NA")</f>
        <v>-11496.989999999998</v>
      </c>
      <c r="AA118" s="15">
        <f>IFERROR(Z118/Z444, "NA")</f>
        <v>-2.8529310411698625E-2</v>
      </c>
      <c r="AB118" s="2"/>
      <c r="AC118" s="14">
        <f t="shared" si="27"/>
        <v>-10530.330000000002</v>
      </c>
      <c r="AD118" s="15">
        <f>IFERROR(AC118/AC444, "NA")</f>
        <v>-9.8466652035834781E-2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223106.22000000003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189359.92999999996</v>
      </c>
      <c r="F122" s="15">
        <f>IFERROR(E122/E444, "NA")</f>
        <v>0.99999999999999989</v>
      </c>
      <c r="G122" s="2"/>
      <c r="H122" s="14">
        <f t="shared" si="24"/>
        <v>33746.290000000066</v>
      </c>
      <c r="I122" s="15">
        <f>IFERROR(H122/H444, "NA")</f>
        <v>1.0000000000000018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168319.92999999996</v>
      </c>
      <c r="L122" s="15">
        <f>IFERROR(K122/K444, "NA")</f>
        <v>0.99999999999999978</v>
      </c>
      <c r="M122" s="2"/>
      <c r="N122" s="14">
        <f t="shared" si="25"/>
        <v>54786.290000000066</v>
      </c>
      <c r="O122" s="15">
        <f>IFERROR(N122/N444, "NA")</f>
        <v>1.0000000000000011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509931.82000000007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437656.92</v>
      </c>
      <c r="U122" s="15">
        <f>IFERROR(T122/T444, "NA")</f>
        <v>1</v>
      </c>
      <c r="V122" s="2"/>
      <c r="W122" s="14">
        <f t="shared" si="26"/>
        <v>72274.900000000081</v>
      </c>
      <c r="X122" s="15">
        <f>IFERROR(W122/W444, "NA")</f>
        <v>1.0000000000000009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402988.70999999996</v>
      </c>
      <c r="AA122" s="15">
        <f>IFERROR(Z122/Z444, "NA")</f>
        <v>0.99999999999999989</v>
      </c>
      <c r="AB122" s="2"/>
      <c r="AC122" s="14">
        <f t="shared" si="27"/>
        <v>106943.1100000001</v>
      </c>
      <c r="AD122" s="15">
        <f>IFERROR(AC122/AC444, "NA")</f>
        <v>1.0000000000000011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223106.22000000003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189359.92999999996</v>
      </c>
      <c r="F124" s="15">
        <f>IFERROR(E124/E444, "NA")</f>
        <v>0.99999999999999989</v>
      </c>
      <c r="G124" s="2"/>
      <c r="H124" s="14">
        <f t="shared" si="24"/>
        <v>33746.290000000066</v>
      </c>
      <c r="I124" s="15">
        <f>IFERROR(H124/H444, "NA")</f>
        <v>1.0000000000000018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168319.92999999996</v>
      </c>
      <c r="L124" s="15">
        <f>IFERROR(K124/K444, "NA")</f>
        <v>0.99999999999999978</v>
      </c>
      <c r="M124" s="2"/>
      <c r="N124" s="14">
        <f t="shared" si="25"/>
        <v>54786.290000000066</v>
      </c>
      <c r="O124" s="15">
        <f>IFERROR(N124/N444, "NA")</f>
        <v>1.0000000000000011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509931.82000000007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437656.92</v>
      </c>
      <c r="U124" s="15">
        <f>IFERROR(T124/T444, "NA")</f>
        <v>1</v>
      </c>
      <c r="V124" s="2"/>
      <c r="W124" s="14">
        <f t="shared" si="26"/>
        <v>72274.900000000081</v>
      </c>
      <c r="X124" s="15">
        <f>IFERROR(W124/W444, "NA")</f>
        <v>1.0000000000000009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402988.70999999996</v>
      </c>
      <c r="AA124" s="15">
        <f>IFERROR(Z124/Z444, "NA")</f>
        <v>0.99999999999999989</v>
      </c>
      <c r="AB124" s="2"/>
      <c r="AC124" s="14">
        <f t="shared" si="27"/>
        <v>106943.1100000001</v>
      </c>
      <c r="AD124" s="15">
        <f>IFERROR(AC124/AC444, "NA")</f>
        <v>1.0000000000000011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41848.54</v>
      </c>
      <c r="F129" s="8">
        <f>IFERROR(E129/E444, "NA")</f>
        <v>0.22099997607730423</v>
      </c>
      <c r="G129" s="9"/>
      <c r="H129" s="10">
        <f t="shared" ref="H129:H141" si="28">IFERROR(-(B129-E129), "NA")</f>
        <v>41848.54</v>
      </c>
      <c r="I129" s="8">
        <f>IFERROR(H129/H444, "NA")</f>
        <v>1.2400930591184984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100656.74</v>
      </c>
      <c r="U129" s="8">
        <f>IFERROR(T129/T444, "NA")</f>
        <v>0.22999005705199407</v>
      </c>
      <c r="V129" s="9"/>
      <c r="W129" s="10">
        <f t="shared" ref="W129:W141" si="30">IFERROR(-(Q129-T129), "NA")</f>
        <v>100656.74</v>
      </c>
      <c r="X129" s="8">
        <f>IFERROR(W129/W444, "NA")</f>
        <v>1.3926928989178813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12005.44</v>
      </c>
      <c r="C130" s="8">
        <f>IFERROR(B130/B444, "NA")</f>
        <v>5.3810422676696328E-2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-12005.44</v>
      </c>
      <c r="I130" s="8">
        <f>IFERROR(H130/H444, "NA")</f>
        <v>-0.35575584753168416</v>
      </c>
      <c r="J130" s="9"/>
      <c r="K130" s="7">
        <v>10369.120000000001</v>
      </c>
      <c r="L130" s="8">
        <f>IFERROR(K130/K444, "NA")</f>
        <v>6.1603637786683971E-2</v>
      </c>
      <c r="M130" s="9"/>
      <c r="N130" s="10">
        <f t="shared" si="29"/>
        <v>-1636.3199999999997</v>
      </c>
      <c r="O130" s="8">
        <f>IFERROR(N130/N444, "NA")</f>
        <v>-2.986732629641466E-2</v>
      </c>
      <c r="P130" s="9"/>
      <c r="Q130" s="7">
        <v>27829.99</v>
      </c>
      <c r="R130" s="8">
        <f>IFERROR(Q130/Q444, "NA")</f>
        <v>5.4575903892406637E-2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-27829.99</v>
      </c>
      <c r="X130" s="8">
        <f>IFERROR(W130/W444, "NA")</f>
        <v>-0.38505746808366381</v>
      </c>
      <c r="Y130" s="9"/>
      <c r="Z130" s="7">
        <v>25800.28</v>
      </c>
      <c r="AA130" s="8">
        <f>IFERROR(Z130/Z444, "NA")</f>
        <v>6.4022339484398949E-2</v>
      </c>
      <c r="AB130" s="9"/>
      <c r="AC130" s="10">
        <f t="shared" si="31"/>
        <v>-2029.7100000000028</v>
      </c>
      <c r="AD130" s="8">
        <f>IFERROR(AC130/AC444, "NA")</f>
        <v>-1.8979343316273514E-2</v>
      </c>
    </row>
    <row r="131" spans="1:30" ht="16.5" customHeight="1" x14ac:dyDescent="0.45">
      <c r="A131" s="12" t="s">
        <v>123</v>
      </c>
      <c r="B131" s="7">
        <v>6464.8</v>
      </c>
      <c r="C131" s="8">
        <f>IFERROR(B131/B444, "NA")</f>
        <v>2.897633243931971E-2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-6464.8</v>
      </c>
      <c r="I131" s="8">
        <f>IFERROR(H131/H444, "NA")</f>
        <v>-0.19157068821491188</v>
      </c>
      <c r="J131" s="9"/>
      <c r="K131" s="7">
        <v>4828.96</v>
      </c>
      <c r="L131" s="8">
        <f>IFERROR(K131/K444, "NA")</f>
        <v>2.8689175429196058E-2</v>
      </c>
      <c r="M131" s="9"/>
      <c r="N131" s="10">
        <f t="shared" si="29"/>
        <v>-1635.8400000000001</v>
      </c>
      <c r="O131" s="8">
        <f>IFERROR(N131/N444, "NA")</f>
        <v>-2.985856498039929E-2</v>
      </c>
      <c r="P131" s="9"/>
      <c r="Q131" s="7">
        <v>14467.55</v>
      </c>
      <c r="R131" s="8">
        <f>IFERROR(Q131/Q444, "NA")</f>
        <v>2.837153798325431E-2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-14467.55</v>
      </c>
      <c r="X131" s="8">
        <f>IFERROR(W131/W444, "NA")</f>
        <v>-0.20017391929978451</v>
      </c>
      <c r="Y131" s="9"/>
      <c r="Z131" s="7">
        <v>12052.99</v>
      </c>
      <c r="AA131" s="8">
        <f>IFERROR(Z131/Z444, "NA")</f>
        <v>2.9909001669054202E-2</v>
      </c>
      <c r="AB131" s="9"/>
      <c r="AC131" s="10">
        <f t="shared" si="31"/>
        <v>-2414.5599999999995</v>
      </c>
      <c r="AD131" s="8">
        <f>IFERROR(AC131/AC444, "NA")</f>
        <v>-2.2577985622449167E-2</v>
      </c>
    </row>
    <row r="132" spans="1:30" ht="16.5" customHeight="1" x14ac:dyDescent="0.45">
      <c r="A132" s="12" t="s">
        <v>124</v>
      </c>
      <c r="B132" s="7">
        <v>7519.74</v>
      </c>
      <c r="C132" s="8">
        <f>IFERROR(B132/B444, "NA")</f>
        <v>3.3704752830288641E-2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-7519.74</v>
      </c>
      <c r="I132" s="8">
        <f>IFERROR(H132/H444, "NA")</f>
        <v>-0.22283160608173513</v>
      </c>
      <c r="J132" s="9"/>
      <c r="K132" s="7">
        <v>6071.21</v>
      </c>
      <c r="L132" s="8">
        <f>IFERROR(K132/K444, "NA")</f>
        <v>3.6069466045999428E-2</v>
      </c>
      <c r="M132" s="9"/>
      <c r="N132" s="10">
        <f t="shared" si="29"/>
        <v>-1448.5299999999997</v>
      </c>
      <c r="O132" s="8">
        <f>IFERROR(N132/N444, "NA")</f>
        <v>-2.6439643932816032E-2</v>
      </c>
      <c r="P132" s="9"/>
      <c r="Q132" s="7">
        <v>18194.37</v>
      </c>
      <c r="R132" s="8">
        <f>IFERROR(Q132/Q444, "NA")</f>
        <v>3.568000522109014E-2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-18194.37</v>
      </c>
      <c r="X132" s="8">
        <f>IFERROR(W132/W444, "NA")</f>
        <v>-0.25173843201443369</v>
      </c>
      <c r="Y132" s="9"/>
      <c r="Z132" s="7">
        <v>14120.47</v>
      </c>
      <c r="AA132" s="8">
        <f>IFERROR(Z132/Z444, "NA")</f>
        <v>3.5039368720776315E-2</v>
      </c>
      <c r="AB132" s="9"/>
      <c r="AC132" s="10">
        <f t="shared" si="31"/>
        <v>-4073.8999999999996</v>
      </c>
      <c r="AD132" s="8">
        <f>IFERROR(AC132/AC444, "NA")</f>
        <v>-3.8094085724643692E-2</v>
      </c>
    </row>
    <row r="133" spans="1:30" ht="16.5" customHeight="1" x14ac:dyDescent="0.45">
      <c r="A133" s="12" t="s">
        <v>125</v>
      </c>
      <c r="B133" s="7">
        <v>4989.82</v>
      </c>
      <c r="C133" s="8">
        <f>IFERROR(B133/B444, "NA")</f>
        <v>2.2365221373030299E-2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-4989.82</v>
      </c>
      <c r="I133" s="8">
        <f>IFERROR(H133/H444, "NA")</f>
        <v>-0.14786277247069229</v>
      </c>
      <c r="J133" s="9"/>
      <c r="K133" s="7">
        <v>2395.5700000000002</v>
      </c>
      <c r="L133" s="8">
        <f>IFERROR(K133/K444, "NA")</f>
        <v>1.4232242135556973E-2</v>
      </c>
      <c r="M133" s="9"/>
      <c r="N133" s="10">
        <f t="shared" si="29"/>
        <v>-2594.2499999999995</v>
      </c>
      <c r="O133" s="8">
        <f>IFERROR(N133/N444, "NA")</f>
        <v>-4.7352175151849106E-2</v>
      </c>
      <c r="P133" s="9"/>
      <c r="Q133" s="7">
        <v>10794.23</v>
      </c>
      <c r="R133" s="8">
        <f>IFERROR(Q133/Q444, "NA")</f>
        <v>2.1167986732030176E-2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-10794.23</v>
      </c>
      <c r="X133" s="8">
        <f>IFERROR(W133/W444, "NA")</f>
        <v>-0.14934963590402747</v>
      </c>
      <c r="Y133" s="9"/>
      <c r="Z133" s="7">
        <v>6046.44</v>
      </c>
      <c r="AA133" s="8">
        <f>IFERROR(Z133/Z444, "NA")</f>
        <v>1.5003993536196086E-2</v>
      </c>
      <c r="AB133" s="9"/>
      <c r="AC133" s="10">
        <f t="shared" si="31"/>
        <v>-4747.79</v>
      </c>
      <c r="AD133" s="8">
        <f>IFERROR(AC133/AC444, "NA")</f>
        <v>-4.4395473443777728E-2</v>
      </c>
    </row>
    <row r="134" spans="1:30" ht="16.5" customHeight="1" x14ac:dyDescent="0.45">
      <c r="A134" s="12" t="s">
        <v>126</v>
      </c>
      <c r="B134" s="7">
        <v>2370.66</v>
      </c>
      <c r="C134" s="8">
        <f>IFERROR(B134/B444, "NA")</f>
        <v>1.0625701067410849E-2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-2370.66</v>
      </c>
      <c r="I134" s="8">
        <f>IFERROR(H134/H444, "NA")</f>
        <v>-7.024950001911319E-2</v>
      </c>
      <c r="J134" s="9"/>
      <c r="K134" s="7">
        <v>910.91</v>
      </c>
      <c r="L134" s="8">
        <f>IFERROR(K134/K444, "NA")</f>
        <v>5.4117774407344398E-3</v>
      </c>
      <c r="M134" s="9"/>
      <c r="N134" s="10">
        <f t="shared" si="29"/>
        <v>-1459.75</v>
      </c>
      <c r="O134" s="8">
        <f>IFERROR(N134/N444, "NA")</f>
        <v>-2.6644439694675434E-2</v>
      </c>
      <c r="P134" s="9"/>
      <c r="Q134" s="7">
        <v>4381.29</v>
      </c>
      <c r="R134" s="8">
        <f>IFERROR(Q134/Q444, "NA")</f>
        <v>8.5919133267659195E-3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-4381.29</v>
      </c>
      <c r="X134" s="8">
        <f>IFERROR(W134/W444, "NA")</f>
        <v>-6.0619800234936315E-2</v>
      </c>
      <c r="Y134" s="9"/>
      <c r="Z134" s="7">
        <v>3128.19</v>
      </c>
      <c r="AA134" s="8">
        <f>IFERROR(Z134/Z444, "NA")</f>
        <v>7.7624755294013071E-3</v>
      </c>
      <c r="AB134" s="9"/>
      <c r="AC134" s="10">
        <f t="shared" si="31"/>
        <v>-1253.0999999999999</v>
      </c>
      <c r="AD134" s="8">
        <f>IFERROR(AC134/AC444, "NA")</f>
        <v>-1.171744491066325E-2</v>
      </c>
    </row>
    <row r="135" spans="1:30" ht="16.5" customHeight="1" x14ac:dyDescent="0.45">
      <c r="A135" s="12" t="s">
        <v>127</v>
      </c>
      <c r="B135" s="7">
        <v>1962.95</v>
      </c>
      <c r="C135" s="8">
        <f>IFERROR(B135/B444, "NA")</f>
        <v>8.7982755478533941E-3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-1962.95</v>
      </c>
      <c r="I135" s="8">
        <f>IFERROR(H135/H444, "NA")</f>
        <v>-5.8167875639070235E-2</v>
      </c>
      <c r="J135" s="9"/>
      <c r="K135" s="7">
        <v>1839.43</v>
      </c>
      <c r="L135" s="8">
        <f>IFERROR(K135/K444, "NA")</f>
        <v>1.0928177073267558E-2</v>
      </c>
      <c r="M135" s="9"/>
      <c r="N135" s="10">
        <f t="shared" si="29"/>
        <v>-123.51999999999998</v>
      </c>
      <c r="O135" s="8">
        <f>IFERROR(N135/N444, "NA")</f>
        <v>-2.2545786546232637E-3</v>
      </c>
      <c r="P135" s="9"/>
      <c r="Q135" s="7">
        <v>5084.68</v>
      </c>
      <c r="R135" s="8">
        <f>IFERROR(Q135/Q444, "NA")</f>
        <v>9.9712938094351517E-3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-5084.68</v>
      </c>
      <c r="X135" s="8">
        <f>IFERROR(W135/W444, "NA")</f>
        <v>-7.0351947909993634E-2</v>
      </c>
      <c r="Y135" s="9"/>
      <c r="Z135" s="7">
        <v>4684.21</v>
      </c>
      <c r="AA135" s="8">
        <f>IFERROR(Z135/Z444, "NA")</f>
        <v>1.1623675511902057E-2</v>
      </c>
      <c r="AB135" s="9"/>
      <c r="AC135" s="10">
        <f t="shared" si="31"/>
        <v>-400.47000000000025</v>
      </c>
      <c r="AD135" s="8">
        <f>IFERROR(AC135/AC444, "NA")</f>
        <v>-3.7447012715452199E-3</v>
      </c>
    </row>
    <row r="136" spans="1:30" ht="16.5" customHeight="1" x14ac:dyDescent="0.45">
      <c r="A136" s="12" t="s">
        <v>128</v>
      </c>
      <c r="B136" s="7">
        <v>1696.46</v>
      </c>
      <c r="C136" s="8">
        <f>IFERROR(B136/B444, "NA")</f>
        <v>7.6038220718364557E-3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-1696.46</v>
      </c>
      <c r="I136" s="8">
        <f>IFERROR(H136/H444, "NA")</f>
        <v>-5.0271007568535669E-2</v>
      </c>
      <c r="J136" s="9"/>
      <c r="K136" s="7">
        <v>1398.34</v>
      </c>
      <c r="L136" s="8">
        <f>IFERROR(K136/K444, "NA")</f>
        <v>8.3076317819286167E-3</v>
      </c>
      <c r="M136" s="9"/>
      <c r="N136" s="10">
        <f t="shared" si="29"/>
        <v>-298.12000000000012</v>
      </c>
      <c r="O136" s="8">
        <f>IFERROR(N136/N444, "NA")</f>
        <v>-5.4415073552160596E-3</v>
      </c>
      <c r="P136" s="9"/>
      <c r="Q136" s="7">
        <v>3399.15</v>
      </c>
      <c r="R136" s="8">
        <f>IFERROR(Q136/Q444, "NA")</f>
        <v>6.6658911381525477E-3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-3399.15</v>
      </c>
      <c r="X136" s="8">
        <f>IFERROR(W136/W444, "NA")</f>
        <v>-4.7030850267520248E-2</v>
      </c>
      <c r="Y136" s="9"/>
      <c r="Z136" s="7">
        <v>3465.54</v>
      </c>
      <c r="AA136" s="8">
        <f>IFERROR(Z136/Z444, "NA")</f>
        <v>8.5995957554245127E-3</v>
      </c>
      <c r="AB136" s="9"/>
      <c r="AC136" s="10">
        <f t="shared" si="31"/>
        <v>66.389999999999873</v>
      </c>
      <c r="AD136" s="8">
        <f>IFERROR(AC136/AC444, "NA")</f>
        <v>6.207973566506518E-4</v>
      </c>
    </row>
    <row r="137" spans="1:30" ht="16.5" customHeight="1" x14ac:dyDescent="0.45">
      <c r="A137" s="12" t="s">
        <v>129</v>
      </c>
      <c r="B137" s="7">
        <v>1340.03</v>
      </c>
      <c r="C137" s="8">
        <f>IFERROR(B137/B444, "NA")</f>
        <v>6.0062422284775383E-3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-1340.03</v>
      </c>
      <c r="I137" s="8">
        <f>IFERROR(H137/H444, "NA")</f>
        <v>-3.9708957636528333E-2</v>
      </c>
      <c r="J137" s="9"/>
      <c r="K137" s="7">
        <v>718.61</v>
      </c>
      <c r="L137" s="8">
        <f>IFERROR(K137/K444, "NA")</f>
        <v>4.2693102355734107E-3</v>
      </c>
      <c r="M137" s="9"/>
      <c r="N137" s="10">
        <f t="shared" si="29"/>
        <v>-621.41999999999996</v>
      </c>
      <c r="O137" s="8">
        <f>IFERROR(N137/N444, "NA")</f>
        <v>-1.1342618746405348E-2</v>
      </c>
      <c r="P137" s="9"/>
      <c r="Q137" s="7">
        <v>2627.75</v>
      </c>
      <c r="R137" s="8">
        <f>IFERROR(Q137/Q444, "NA")</f>
        <v>5.1531398844653388E-3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-2627.75</v>
      </c>
      <c r="X137" s="8">
        <f>IFERROR(W137/W444, "NA")</f>
        <v>-3.6357712013437571E-2</v>
      </c>
      <c r="Y137" s="9"/>
      <c r="Z137" s="7">
        <v>1745.48</v>
      </c>
      <c r="AA137" s="8">
        <f>IFERROR(Z137/Z444, "NA")</f>
        <v>4.3313372228219495E-3</v>
      </c>
      <c r="AB137" s="9"/>
      <c r="AC137" s="10">
        <f t="shared" si="31"/>
        <v>-882.27</v>
      </c>
      <c r="AD137" s="8">
        <f>IFERROR(AC137/AC444, "NA")</f>
        <v>-8.2499003442110495E-3</v>
      </c>
    </row>
    <row r="138" spans="1:30" ht="16.5" customHeight="1" x14ac:dyDescent="0.45">
      <c r="A138" s="12" t="s">
        <v>130</v>
      </c>
      <c r="B138" s="7">
        <v>11547.64</v>
      </c>
      <c r="C138" s="8">
        <f>IFERROR(B138/B444, "NA")</f>
        <v>5.175848526320781E-2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-11547.64</v>
      </c>
      <c r="I138" s="8">
        <f>IFERROR(H138/H444, "NA")</f>
        <v>-0.34218991183919761</v>
      </c>
      <c r="J138" s="9"/>
      <c r="K138" s="7">
        <v>8418.27</v>
      </c>
      <c r="L138" s="8">
        <f>IFERROR(K138/K444, "NA")</f>
        <v>5.0013507016073502E-2</v>
      </c>
      <c r="M138" s="9"/>
      <c r="N138" s="10">
        <f t="shared" si="29"/>
        <v>-3129.369999999999</v>
      </c>
      <c r="O138" s="8">
        <f>IFERROR(N138/N444, "NA")</f>
        <v>-5.7119582289656745E-2</v>
      </c>
      <c r="P138" s="9"/>
      <c r="Q138" s="7">
        <v>25746.13</v>
      </c>
      <c r="R138" s="8">
        <f>IFERROR(Q138/Q444, "NA")</f>
        <v>5.0489357577254153E-2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-25746.13</v>
      </c>
      <c r="X138" s="8">
        <f>IFERROR(W138/W444, "NA")</f>
        <v>-0.35622505185064235</v>
      </c>
      <c r="Y138" s="9"/>
      <c r="Z138" s="7">
        <v>21425.1</v>
      </c>
      <c r="AA138" s="8">
        <f>IFERROR(Z138/Z444, "NA")</f>
        <v>5.3165509276922415E-2</v>
      </c>
      <c r="AB138" s="9"/>
      <c r="AC138" s="10">
        <f t="shared" si="31"/>
        <v>-4321.0300000000025</v>
      </c>
      <c r="AD138" s="8">
        <f>IFERROR(AC138/AC444, "NA")</f>
        <v>-4.0404940533335931E-2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49897.54</v>
      </c>
      <c r="C141" s="15">
        <f>IFERROR(B141/B444, "NA")</f>
        <v>0.22364925549812104</v>
      </c>
      <c r="D141" s="2"/>
      <c r="E141" s="14">
        <f>IFERROR(E129+E130+E131+E132+E133+E134+E135+E136+E137+E138+E139+E140, "NA")</f>
        <v>41848.54</v>
      </c>
      <c r="F141" s="15">
        <f>IFERROR(E141/E444, "NA")</f>
        <v>0.22099997607730423</v>
      </c>
      <c r="G141" s="2"/>
      <c r="H141" s="14">
        <f t="shared" si="28"/>
        <v>-8049</v>
      </c>
      <c r="I141" s="15">
        <f>IFERROR(H141/H444, "NA")</f>
        <v>-0.2385151078829702</v>
      </c>
      <c r="J141" s="2"/>
      <c r="K141" s="14">
        <f>IFERROR(K129+K130+K131+K132+K133+K134+K135+K136+K137+K138+K139+K140, "NA")</f>
        <v>36950.42</v>
      </c>
      <c r="L141" s="15">
        <f>IFERROR(K141/K444, "NA")</f>
        <v>0.21952492494501394</v>
      </c>
      <c r="M141" s="2"/>
      <c r="N141" s="14">
        <f t="shared" si="29"/>
        <v>-12947.120000000003</v>
      </c>
      <c r="O141" s="15">
        <f>IFERROR(N141/N444, "NA")</f>
        <v>-0.23632043710205602</v>
      </c>
      <c r="P141" s="2"/>
      <c r="Q141" s="14">
        <f>IFERROR(Q129+Q130+Q131+Q132+Q133+Q134+Q135+Q136+Q137+Q138+Q139+Q140, "NA")</f>
        <v>112525.13999999998</v>
      </c>
      <c r="R141" s="15">
        <f>IFERROR(Q141/Q444, "NA")</f>
        <v>0.22066702956485434</v>
      </c>
      <c r="S141" s="2"/>
      <c r="T141" s="14">
        <f>IFERROR(T129+T130+T131+T132+T133+T134+T135+T136+T137+T138+T139+T140, "NA")</f>
        <v>100656.74</v>
      </c>
      <c r="U141" s="15">
        <f>IFERROR(T141/T444, "NA")</f>
        <v>0.22999005705199407</v>
      </c>
      <c r="V141" s="2"/>
      <c r="W141" s="14">
        <f t="shared" si="30"/>
        <v>-11868.39999999998</v>
      </c>
      <c r="X141" s="15">
        <f>IFERROR(W141/W444, "NA")</f>
        <v>-0.16421191866055818</v>
      </c>
      <c r="Y141" s="2"/>
      <c r="Z141" s="14">
        <f>IFERROR(Z129+Z130+Z131+Z132+Z133+Z134+Z135+Z136+Z137+Z138+Z139+Z140, "NA")</f>
        <v>92468.699999999983</v>
      </c>
      <c r="AA141" s="15">
        <f>IFERROR(Z141/Z444, "NA")</f>
        <v>0.22945729670689777</v>
      </c>
      <c r="AB141" s="2"/>
      <c r="AC141" s="14">
        <f t="shared" si="31"/>
        <v>-20056.440000000002</v>
      </c>
      <c r="AD141" s="15">
        <f>IFERROR(AC141/AC444, "NA")</f>
        <v>-0.18754307781024887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379.96</v>
      </c>
      <c r="C144" s="8">
        <f>IFERROR(B144/B444, "NA")</f>
        <v>1.7030453028158514E-3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-379.96</v>
      </c>
      <c r="I144" s="8">
        <f>IFERROR(H144/H444, "NA")</f>
        <v>-1.1259311764345055E-2</v>
      </c>
      <c r="J144" s="9"/>
      <c r="K144" s="7">
        <v>1631.67</v>
      </c>
      <c r="L144" s="8">
        <f>IFERROR(K144/K444, "NA")</f>
        <v>9.6938609705933231E-3</v>
      </c>
      <c r="M144" s="9"/>
      <c r="N144" s="10">
        <f t="shared" si="33"/>
        <v>1251.71</v>
      </c>
      <c r="O144" s="8">
        <f>IFERROR(N144/N444, "NA")</f>
        <v>2.2847139311678154E-2</v>
      </c>
      <c r="P144" s="9"/>
      <c r="Q144" s="7">
        <v>3913.43</v>
      </c>
      <c r="R144" s="8">
        <f>IFERROR(Q144/Q444, "NA")</f>
        <v>7.6744181212304021E-3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-3913.43</v>
      </c>
      <c r="X144" s="8">
        <f>IFERROR(W144/W444, "NA")</f>
        <v>-5.4146460251069159E-2</v>
      </c>
      <c r="Y144" s="9"/>
      <c r="Z144" s="7">
        <v>3298.98</v>
      </c>
      <c r="AA144" s="8">
        <f>IFERROR(Z144/Z444, "NA")</f>
        <v>8.1862839284008726E-3</v>
      </c>
      <c r="AB144" s="9"/>
      <c r="AC144" s="10">
        <f t="shared" si="35"/>
        <v>-614.44999999999982</v>
      </c>
      <c r="AD144" s="8">
        <f>IFERROR(AC144/AC444, "NA")</f>
        <v>-5.7455781863833951E-3</v>
      </c>
    </row>
    <row r="145" spans="1:30" ht="16.5" customHeight="1" x14ac:dyDescent="0.45">
      <c r="A145" s="12" t="s">
        <v>136</v>
      </c>
      <c r="B145" s="7">
        <v>1422.42</v>
      </c>
      <c r="C145" s="8">
        <f>IFERROR(B145/B444, "NA")</f>
        <v>6.3755282125258547E-3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-1422.42</v>
      </c>
      <c r="I145" s="8">
        <f>IFERROR(H145/H444, "NA")</f>
        <v>-4.2150411200757174E-2</v>
      </c>
      <c r="J145" s="9"/>
      <c r="K145" s="7">
        <v>72.959999999999994</v>
      </c>
      <c r="L145" s="8">
        <f>IFERROR(K145/K444, "NA")</f>
        <v>4.3346025631070545E-4</v>
      </c>
      <c r="M145" s="9"/>
      <c r="N145" s="10">
        <f t="shared" si="33"/>
        <v>-1349.46</v>
      </c>
      <c r="O145" s="8">
        <f>IFERROR(N145/N444, "NA")</f>
        <v>-2.4631344812725955E-2</v>
      </c>
      <c r="P145" s="9"/>
      <c r="Q145" s="7">
        <v>439.52</v>
      </c>
      <c r="R145" s="8">
        <f>IFERROR(Q145/Q444, "NA")</f>
        <v>8.6191914832849613E-4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-439.52</v>
      </c>
      <c r="X145" s="8">
        <f>IFERROR(W145/W444, "NA")</f>
        <v>-6.0812259857848279E-3</v>
      </c>
      <c r="Y145" s="9"/>
      <c r="Z145" s="7">
        <v>213.44</v>
      </c>
      <c r="AA145" s="8">
        <f>IFERROR(Z145/Z444, "NA")</f>
        <v>5.2964262944239803E-4</v>
      </c>
      <c r="AB145" s="9"/>
      <c r="AC145" s="10">
        <f t="shared" si="35"/>
        <v>-226.07999999999998</v>
      </c>
      <c r="AD145" s="8">
        <f>IFERROR(AC145/AC444, "NA")</f>
        <v>-2.1140211837864077E-3</v>
      </c>
    </row>
    <row r="146" spans="1:30" ht="16.5" customHeight="1" x14ac:dyDescent="0.45">
      <c r="A146" s="12" t="s">
        <v>137</v>
      </c>
      <c r="B146" s="7">
        <v>219.25</v>
      </c>
      <c r="C146" s="8">
        <f>IFERROR(B146/B444, "NA")</f>
        <v>9.8271576650798892E-4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-219.25</v>
      </c>
      <c r="I146" s="8">
        <f>IFERROR(H146/H444, "NA")</f>
        <v>-6.4970104861897396E-3</v>
      </c>
      <c r="J146" s="9"/>
      <c r="K146" s="7">
        <v>543.58000000000004</v>
      </c>
      <c r="L146" s="8">
        <f>IFERROR(K146/K444, "NA")</f>
        <v>3.2294452593938225E-3</v>
      </c>
      <c r="M146" s="9"/>
      <c r="N146" s="10">
        <f t="shared" si="33"/>
        <v>324.33000000000004</v>
      </c>
      <c r="O146" s="8">
        <f>IFERROR(N146/N444, "NA")</f>
        <v>5.9199117151389515E-3</v>
      </c>
      <c r="P146" s="9"/>
      <c r="Q146" s="7">
        <v>700.6</v>
      </c>
      <c r="R146" s="8">
        <f>IFERROR(Q146/Q444, "NA")</f>
        <v>1.3739091629935939E-3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-700.6</v>
      </c>
      <c r="X146" s="8">
        <f>IFERROR(W146/W444, "NA")</f>
        <v>-9.6935450619786371E-3</v>
      </c>
      <c r="Y146" s="9"/>
      <c r="Z146" s="7">
        <v>872.95</v>
      </c>
      <c r="AA146" s="8">
        <f>IFERROR(Z146/Z444, "NA")</f>
        <v>2.166189717821127E-3</v>
      </c>
      <c r="AB146" s="9"/>
      <c r="AC146" s="10">
        <f t="shared" si="35"/>
        <v>172.35000000000002</v>
      </c>
      <c r="AD146" s="8">
        <f>IFERROR(AC146/AC444, "NA")</f>
        <v>1.6116045250601002E-3</v>
      </c>
    </row>
    <row r="147" spans="1:30" ht="16.5" customHeight="1" x14ac:dyDescent="0.45">
      <c r="A147" s="12" t="s">
        <v>138</v>
      </c>
      <c r="B147" s="7">
        <v>338.12</v>
      </c>
      <c r="C147" s="8">
        <f>IFERROR(B147/B444, "NA")</f>
        <v>1.5155113111593214E-3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-338.12</v>
      </c>
      <c r="I147" s="8">
        <f>IFERROR(H147/H444, "NA")</f>
        <v>-1.0019471770081983E-2</v>
      </c>
      <c r="J147" s="9"/>
      <c r="K147" s="7">
        <v>25.68</v>
      </c>
      <c r="L147" s="8">
        <f>IFERROR(K147/K444, "NA")</f>
        <v>1.5256660337251805E-4</v>
      </c>
      <c r="M147" s="9"/>
      <c r="N147" s="10">
        <f t="shared" si="33"/>
        <v>-312.44</v>
      </c>
      <c r="O147" s="8">
        <f>IFERROR(N147/N444, "NA")</f>
        <v>-5.7028866163414231E-3</v>
      </c>
      <c r="P147" s="9"/>
      <c r="Q147" s="7">
        <v>382.92</v>
      </c>
      <c r="R147" s="8">
        <f>IFERROR(Q147/Q444, "NA")</f>
        <v>7.5092391763275333E-4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-382.92</v>
      </c>
      <c r="X147" s="8">
        <f>IFERROR(W147/W444, "NA")</f>
        <v>-5.2981048745830142E-3</v>
      </c>
      <c r="Y147" s="9"/>
      <c r="Z147" s="7">
        <v>103.81</v>
      </c>
      <c r="AA147" s="8">
        <f>IFERROR(Z147/Z444, "NA")</f>
        <v>2.5760026875194591E-4</v>
      </c>
      <c r="AB147" s="9"/>
      <c r="AC147" s="10">
        <f t="shared" si="35"/>
        <v>-279.11</v>
      </c>
      <c r="AD147" s="8">
        <f>IFERROR(AC147/AC444, "NA")</f>
        <v>-2.6098923062925702E-3</v>
      </c>
    </row>
    <row r="148" spans="1:30" ht="16.5" customHeight="1" x14ac:dyDescent="0.45">
      <c r="A148" s="13" t="s">
        <v>139</v>
      </c>
      <c r="B148" s="14">
        <f>IFERROR(B143+B144+B145+B146+B147, "NA")</f>
        <v>2359.75</v>
      </c>
      <c r="C148" s="15">
        <f>IFERROR(B148/B444, "NA")</f>
        <v>1.0576800593009016E-2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-2359.75</v>
      </c>
      <c r="I148" s="15">
        <f>IFERROR(H148/H444, "NA")</f>
        <v>-6.9926205221373952E-2</v>
      </c>
      <c r="J148" s="2"/>
      <c r="K148" s="14">
        <f>IFERROR(K143+K144+K145+K146+K147, "NA")</f>
        <v>2273.89</v>
      </c>
      <c r="L148" s="15">
        <f>IFERROR(K148/K444, "NA")</f>
        <v>1.3509333089670367E-2</v>
      </c>
      <c r="M148" s="2"/>
      <c r="N148" s="14">
        <f t="shared" si="33"/>
        <v>-85.860000000000127</v>
      </c>
      <c r="O148" s="15">
        <f>IFERROR(N148/N444, "NA")</f>
        <v>-1.5671804022502731E-3</v>
      </c>
      <c r="P148" s="2"/>
      <c r="Q148" s="14">
        <f>IFERROR(Q143+Q144+Q145+Q146+Q147, "NA")</f>
        <v>5436.47</v>
      </c>
      <c r="R148" s="15">
        <f>IFERROR(Q148/Q444, "NA")</f>
        <v>1.0661170350185246E-2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-5436.47</v>
      </c>
      <c r="X148" s="15">
        <f>IFERROR(W148/W444, "NA")</f>
        <v>-7.5219336173415641E-2</v>
      </c>
      <c r="Y148" s="2"/>
      <c r="Z148" s="14">
        <f>IFERROR(Z143+Z144+Z145+Z146+Z147, "NA")</f>
        <v>4489.18</v>
      </c>
      <c r="AA148" s="15">
        <f>IFERROR(Z148/Z444, "NA")</f>
        <v>1.1139716544416344E-2</v>
      </c>
      <c r="AB148" s="2"/>
      <c r="AC148" s="14">
        <f t="shared" si="35"/>
        <v>-947.29</v>
      </c>
      <c r="AD148" s="15">
        <f>IFERROR(AC148/AC444, "NA")</f>
        <v>-8.8578871514022745E-3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52257.29</v>
      </c>
      <c r="C149" s="15">
        <f>IFERROR(B149/B444, "NA")</f>
        <v>0.23422605609113004</v>
      </c>
      <c r="D149" s="2"/>
      <c r="E149" s="14">
        <f>IFERROR(E127+E129+E130+E131+E132+E133+E134+E135+E136+E137+E138+E139+E140+E143+E144+E145+E146+E147, "NA")</f>
        <v>41848.54</v>
      </c>
      <c r="F149" s="15">
        <f>IFERROR(E149/E444, "NA")</f>
        <v>0.22099997607730423</v>
      </c>
      <c r="G149" s="2"/>
      <c r="H149" s="14">
        <f t="shared" si="32"/>
        <v>-10408.75</v>
      </c>
      <c r="I149" s="15">
        <f>IFERROR(H149/H444, "NA")</f>
        <v>-0.30844131310434414</v>
      </c>
      <c r="J149" s="2"/>
      <c r="K149" s="14">
        <f>IFERROR(K127+K129+K130+K131+K132+K133+K134+K135+K136+K137+K138+K139+K140+K143+K144+K145+K146+K147, "NA")</f>
        <v>39224.31</v>
      </c>
      <c r="L149" s="15">
        <f>IFERROR(K149/K444, "NA")</f>
        <v>0.23303425803468431</v>
      </c>
      <c r="M149" s="2"/>
      <c r="N149" s="14">
        <f t="shared" si="33"/>
        <v>-13032.980000000003</v>
      </c>
      <c r="O149" s="15">
        <f>IFERROR(N149/N444, "NA")</f>
        <v>-0.23788761750430631</v>
      </c>
      <c r="P149" s="2"/>
      <c r="Q149" s="14">
        <f>IFERROR(Q127+Q129+Q130+Q131+Q132+Q133+Q134+Q135+Q136+Q137+Q138+Q139+Q140+Q143+Q144+Q145+Q146+Q147, "NA")</f>
        <v>117961.60999999999</v>
      </c>
      <c r="R149" s="15">
        <f>IFERROR(Q149/Q444, "NA")</f>
        <v>0.23132819991503958</v>
      </c>
      <c r="S149" s="2"/>
      <c r="T149" s="14">
        <f>IFERROR(T127+T129+T130+T131+T132+T133+T134+T135+T136+T137+T138+T139+T140+T143+T144+T145+T146+T147, "NA")</f>
        <v>100656.74</v>
      </c>
      <c r="U149" s="15">
        <f>IFERROR(T149/T444, "NA")</f>
        <v>0.22999005705199407</v>
      </c>
      <c r="V149" s="2"/>
      <c r="W149" s="14">
        <f t="shared" si="34"/>
        <v>-17304.869999999981</v>
      </c>
      <c r="X149" s="15">
        <f>IFERROR(W149/W444, "NA")</f>
        <v>-0.23943125483397384</v>
      </c>
      <c r="Y149" s="2"/>
      <c r="Z149" s="14">
        <f>IFERROR(Z127+Z129+Z130+Z131+Z132+Z133+Z134+Z135+Z136+Z137+Z138+Z139+Z140+Z143+Z144+Z145+Z146+Z147, "NA")</f>
        <v>96957.879999999976</v>
      </c>
      <c r="AA149" s="15">
        <f>IFERROR(Z149/Z444, "NA")</f>
        <v>0.24059701325131408</v>
      </c>
      <c r="AB149" s="2"/>
      <c r="AC149" s="14">
        <f t="shared" si="35"/>
        <v>-21003.73000000001</v>
      </c>
      <c r="AD149" s="15">
        <f>IFERROR(AC149/AC444, "NA")</f>
        <v>-0.19640096496165124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3219.12</v>
      </c>
      <c r="F153" s="8">
        <f>IFERROR(E153/E444, "NA")</f>
        <v>1.7000006284328475E-2</v>
      </c>
      <c r="G153" s="9"/>
      <c r="H153" s="10">
        <f t="shared" ref="H153:H158" si="36">IFERROR(-(B153-E153), "NA")</f>
        <v>3219.12</v>
      </c>
      <c r="I153" s="8">
        <f>IFERROR(H153/H444, "NA")</f>
        <v>9.5391819367403027E-2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9178.25</v>
      </c>
      <c r="U153" s="8">
        <f>IFERROR(T153/T444, "NA")</f>
        <v>2.0971335264160795E-2</v>
      </c>
      <c r="V153" s="9"/>
      <c r="W153" s="10">
        <f t="shared" ref="W153:W158" si="38">IFERROR(-(Q153-T153), "NA")</f>
        <v>9178.25</v>
      </c>
      <c r="X153" s="8">
        <f>IFERROR(W153/W444, "NA")</f>
        <v>0.12699083637611394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6173.13</v>
      </c>
      <c r="C154" s="8">
        <f>IFERROR(B154/B444, "NA")</f>
        <v>2.766901792339093E-2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-6173.13</v>
      </c>
      <c r="I154" s="8">
        <f>IFERROR(H154/H444, "NA")</f>
        <v>-0.18292766404840349</v>
      </c>
      <c r="J154" s="9"/>
      <c r="K154" s="7">
        <v>5269.6</v>
      </c>
      <c r="L154" s="8">
        <f>IFERROR(K154/K444, "NA")</f>
        <v>3.1307047240335714E-2</v>
      </c>
      <c r="M154" s="9"/>
      <c r="N154" s="10">
        <f t="shared" si="37"/>
        <v>-903.52999999999975</v>
      </c>
      <c r="O154" s="8">
        <f>IFERROR(N154/N444, "NA")</f>
        <v>-1.6491899707025234E-2</v>
      </c>
      <c r="P154" s="9"/>
      <c r="Q154" s="7">
        <v>13342.04</v>
      </c>
      <c r="R154" s="8">
        <f>IFERROR(Q154/Q444, "NA")</f>
        <v>2.616436056098637E-2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-13342.04</v>
      </c>
      <c r="X154" s="8">
        <f>IFERROR(W154/W444, "NA")</f>
        <v>-0.18460129311835777</v>
      </c>
      <c r="Y154" s="9"/>
      <c r="Z154" s="7">
        <v>12731.51</v>
      </c>
      <c r="AA154" s="8">
        <f>IFERROR(Z154/Z444, "NA")</f>
        <v>3.1592721294847192E-2</v>
      </c>
      <c r="AB154" s="9"/>
      <c r="AC154" s="10">
        <f t="shared" si="39"/>
        <v>-610.53000000000065</v>
      </c>
      <c r="AD154" s="8">
        <f>IFERROR(AC154/AC444, "NA")</f>
        <v>-5.7089231835505882E-3</v>
      </c>
    </row>
    <row r="155" spans="1:30" ht="16.5" customHeight="1" x14ac:dyDescent="0.45">
      <c r="A155" s="12" t="s">
        <v>144</v>
      </c>
      <c r="B155" s="7">
        <v>4011.15</v>
      </c>
      <c r="C155" s="8">
        <f>IFERROR(B155/B444, "NA")</f>
        <v>1.7978656085876944E-2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-4011.15</v>
      </c>
      <c r="I155" s="8">
        <f>IFERROR(H155/H444, "NA")</f>
        <v>-0.11886195489933854</v>
      </c>
      <c r="J155" s="9"/>
      <c r="K155" s="7">
        <v>2789.81</v>
      </c>
      <c r="L155" s="8">
        <f>IFERROR(K155/K444, "NA")</f>
        <v>1.6574448432814821E-2</v>
      </c>
      <c r="M155" s="9"/>
      <c r="N155" s="10">
        <f t="shared" si="37"/>
        <v>-1221.3400000000001</v>
      </c>
      <c r="O155" s="8">
        <f>IFERROR(N155/N444, "NA")</f>
        <v>-2.2292803546288677E-2</v>
      </c>
      <c r="P155" s="9"/>
      <c r="Q155" s="7">
        <v>8428.43</v>
      </c>
      <c r="R155" s="8">
        <f>IFERROR(Q155/Q444, "NA")</f>
        <v>1.6528542972666423E-2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-8428.43</v>
      </c>
      <c r="X155" s="8">
        <f>IFERROR(W155/W444, "NA")</f>
        <v>-0.1166162803407545</v>
      </c>
      <c r="Y155" s="9"/>
      <c r="Z155" s="7">
        <v>7367.42</v>
      </c>
      <c r="AA155" s="8">
        <f>IFERROR(Z155/Z444, "NA")</f>
        <v>1.8281951372781633E-2</v>
      </c>
      <c r="AB155" s="9"/>
      <c r="AC155" s="10">
        <f t="shared" si="39"/>
        <v>-1061.0100000000002</v>
      </c>
      <c r="AD155" s="8">
        <f>IFERROR(AC155/AC444, "NA")</f>
        <v>-9.9212562641950511E-3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190.79</v>
      </c>
      <c r="AA156" s="8">
        <f>IFERROR(Z156/Z444, "NA")</f>
        <v>4.7343758091883018E-4</v>
      </c>
      <c r="AB156" s="9"/>
      <c r="AC156" s="10">
        <f t="shared" si="39"/>
        <v>190.79</v>
      </c>
      <c r="AD156" s="8">
        <f>IFERROR(AC156/AC444, "NA")</f>
        <v>1.7840326506307889E-3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10184.280000000001</v>
      </c>
      <c r="C158" s="15">
        <f>IFERROR(B158/B444, "NA")</f>
        <v>4.5647674009267877E-2</v>
      </c>
      <c r="D158" s="2"/>
      <c r="E158" s="14">
        <f>IFERROR(E153+E154+E155+E156+E157, "NA")</f>
        <v>3219.12</v>
      </c>
      <c r="F158" s="15">
        <f>IFERROR(E158/E444, "NA")</f>
        <v>1.7000006284328475E-2</v>
      </c>
      <c r="G158" s="2"/>
      <c r="H158" s="14">
        <f t="shared" si="36"/>
        <v>-6965.1600000000008</v>
      </c>
      <c r="I158" s="15">
        <f>IFERROR(H158/H444, "NA")</f>
        <v>-0.20639779958033902</v>
      </c>
      <c r="J158" s="2"/>
      <c r="K158" s="14">
        <f>IFERROR(K153+K154+K155+K156+K157, "NA")</f>
        <v>8059.41</v>
      </c>
      <c r="L158" s="15">
        <f>IFERROR(K158/K444, "NA")</f>
        <v>4.7881495673150531E-2</v>
      </c>
      <c r="M158" s="2"/>
      <c r="N158" s="14">
        <f t="shared" si="37"/>
        <v>-2124.8700000000008</v>
      </c>
      <c r="O158" s="15">
        <f>IFERROR(N158/N444, "NA")</f>
        <v>-3.8784703253313929E-2</v>
      </c>
      <c r="P158" s="2"/>
      <c r="Q158" s="14">
        <f>IFERROR(Q153+Q154+Q155+Q156+Q157, "NA")</f>
        <v>21770.47</v>
      </c>
      <c r="R158" s="15">
        <f>IFERROR(Q158/Q444, "NA")</f>
        <v>4.2692903533652793E-2</v>
      </c>
      <c r="S158" s="2"/>
      <c r="T158" s="14">
        <f>IFERROR(T153+T154+T155+T156+T157, "NA")</f>
        <v>9178.25</v>
      </c>
      <c r="U158" s="15">
        <f>IFERROR(T158/T444, "NA")</f>
        <v>2.0971335264160795E-2</v>
      </c>
      <c r="V158" s="2"/>
      <c r="W158" s="14">
        <f t="shared" si="38"/>
        <v>-12592.220000000001</v>
      </c>
      <c r="X158" s="15">
        <f>IFERROR(W158/W444, "NA")</f>
        <v>-0.17422673708299835</v>
      </c>
      <c r="Y158" s="2"/>
      <c r="Z158" s="14">
        <f>IFERROR(Z153+Z154+Z155+Z156+Z157, "NA")</f>
        <v>20289.72</v>
      </c>
      <c r="AA158" s="15">
        <f>IFERROR(Z158/Z444, "NA")</f>
        <v>5.0348110248547656E-2</v>
      </c>
      <c r="AB158" s="2"/>
      <c r="AC158" s="14">
        <f t="shared" si="39"/>
        <v>-1480.75</v>
      </c>
      <c r="AD158" s="15">
        <f>IFERROR(AC158/AC444, "NA")</f>
        <v>-1.3846146797114841E-2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239.12</v>
      </c>
      <c r="C161" s="8">
        <f>IFERROR(B161/B444, "NA")</f>
        <v>1.07177648386495E-3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-239.12</v>
      </c>
      <c r="I161" s="8">
        <f>IFERROR(H161/H444, "NA")</f>
        <v>-7.0858159519164906E-3</v>
      </c>
      <c r="J161" s="9"/>
      <c r="K161" s="7">
        <v>434.55</v>
      </c>
      <c r="L161" s="8">
        <f>IFERROR(K161/K444, "NA")</f>
        <v>2.581690712442668E-3</v>
      </c>
      <c r="M161" s="9"/>
      <c r="N161" s="10">
        <f t="shared" si="41"/>
        <v>195.43</v>
      </c>
      <c r="O161" s="8">
        <f>IFERROR(N161/N444, "NA")</f>
        <v>3.5671333101766878E-3</v>
      </c>
      <c r="P161" s="9"/>
      <c r="Q161" s="7">
        <v>410.61</v>
      </c>
      <c r="R161" s="8">
        <f>IFERROR(Q161/Q444, "NA")</f>
        <v>8.0522529462860354E-4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-410.61</v>
      </c>
      <c r="X161" s="8">
        <f>IFERROR(W161/W444, "NA")</f>
        <v>-5.6812254323423466E-3</v>
      </c>
      <c r="Y161" s="9"/>
      <c r="Z161" s="7">
        <v>1077.27</v>
      </c>
      <c r="AA161" s="8">
        <f>IFERROR(Z161/Z444, "NA")</f>
        <v>2.6732014403083398E-3</v>
      </c>
      <c r="AB161" s="9"/>
      <c r="AC161" s="10">
        <f t="shared" si="43"/>
        <v>666.66</v>
      </c>
      <c r="AD161" s="8">
        <f>IFERROR(AC161/AC444, "NA")</f>
        <v>6.2337816807459595E-3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239.12</v>
      </c>
      <c r="C166" s="15">
        <f>IFERROR(B166/B444, "NA")</f>
        <v>1.07177648386495E-3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-239.12</v>
      </c>
      <c r="I166" s="15">
        <f>IFERROR(H166/H444, "NA")</f>
        <v>-7.0858159519164906E-3</v>
      </c>
      <c r="J166" s="2"/>
      <c r="K166" s="14">
        <f>IFERROR(K160+K161+K162+K163+K164+K165, "NA")</f>
        <v>434.55</v>
      </c>
      <c r="L166" s="15">
        <f>IFERROR(K166/K444, "NA")</f>
        <v>2.581690712442668E-3</v>
      </c>
      <c r="M166" s="2"/>
      <c r="N166" s="14">
        <f t="shared" si="41"/>
        <v>195.43</v>
      </c>
      <c r="O166" s="15">
        <f>IFERROR(N166/N444, "NA")</f>
        <v>3.5671333101766878E-3</v>
      </c>
      <c r="P166" s="2"/>
      <c r="Q166" s="14">
        <f>IFERROR(Q160+Q161+Q162+Q163+Q164+Q165, "NA")</f>
        <v>410.61</v>
      </c>
      <c r="R166" s="15">
        <f>IFERROR(Q166/Q444, "NA")</f>
        <v>8.0522529462860354E-4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-410.61</v>
      </c>
      <c r="X166" s="15">
        <f>IFERROR(W166/W444, "NA")</f>
        <v>-5.6812254323423466E-3</v>
      </c>
      <c r="Y166" s="2"/>
      <c r="Z166" s="14">
        <f>IFERROR(Z160+Z161+Z162+Z163+Z164+Z165, "NA")</f>
        <v>1077.27</v>
      </c>
      <c r="AA166" s="15">
        <f>IFERROR(Z166/Z444, "NA")</f>
        <v>2.6732014403083398E-3</v>
      </c>
      <c r="AB166" s="2"/>
      <c r="AC166" s="14">
        <f t="shared" si="43"/>
        <v>666.66</v>
      </c>
      <c r="AD166" s="15">
        <f>IFERROR(AC166/AC444, "NA")</f>
        <v>6.2337816807459595E-3</v>
      </c>
    </row>
    <row r="167" spans="1:30" ht="16.5" customHeight="1" x14ac:dyDescent="0.45">
      <c r="A167" s="6" t="s">
        <v>155</v>
      </c>
      <c r="B167" s="7">
        <v>183.38</v>
      </c>
      <c r="C167" s="8">
        <f>IFERROR(B167/B444, "NA")</f>
        <v>8.2194032958830105E-4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-183.38</v>
      </c>
      <c r="I167" s="8">
        <f>IFERROR(H167/H444, "NA")</f>
        <v>-5.4340788276281615E-3</v>
      </c>
      <c r="J167" s="9"/>
      <c r="K167" s="7">
        <v>208.56</v>
      </c>
      <c r="L167" s="8">
        <f>IFERROR(K167/K444, "NA")</f>
        <v>1.2390689563618522E-3</v>
      </c>
      <c r="M167" s="9"/>
      <c r="N167" s="10">
        <f t="shared" si="41"/>
        <v>25.180000000000007</v>
      </c>
      <c r="O167" s="8">
        <f>IFERROR(N167/N444, "NA")</f>
        <v>4.5960403597323352E-4</v>
      </c>
      <c r="P167" s="9"/>
      <c r="Q167" s="7">
        <v>394.85</v>
      </c>
      <c r="R167" s="8">
        <f>IFERROR(Q167/Q444, "NA")</f>
        <v>7.7431920212392316E-4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-394.85</v>
      </c>
      <c r="X167" s="8">
        <f>IFERROR(W167/W444, "NA")</f>
        <v>-5.4631690946649516E-3</v>
      </c>
      <c r="Y167" s="9"/>
      <c r="Z167" s="7">
        <v>646.66999999999996</v>
      </c>
      <c r="AA167" s="8">
        <f>IFERROR(Z167/Z444, "NA")</f>
        <v>1.6046851535865606E-3</v>
      </c>
      <c r="AB167" s="9"/>
      <c r="AC167" s="10">
        <f t="shared" si="43"/>
        <v>251.81999999999994</v>
      </c>
      <c r="AD167" s="8">
        <f>IFERROR(AC167/AC444, "NA")</f>
        <v>2.3547099013671844E-3</v>
      </c>
    </row>
    <row r="168" spans="1:30" ht="16.5" customHeight="1" x14ac:dyDescent="0.45">
      <c r="A168" s="6" t="s">
        <v>156</v>
      </c>
      <c r="B168" s="7">
        <v>68.599999999999994</v>
      </c>
      <c r="C168" s="8">
        <f>IFERROR(B168/B444, "NA")</f>
        <v>3.0747686012519058E-4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-68.599999999999994</v>
      </c>
      <c r="I168" s="8">
        <f>IFERROR(H168/H444, "NA")</f>
        <v>-2.0328160517793211E-3</v>
      </c>
      <c r="J168" s="9"/>
      <c r="K168" s="7">
        <v>68.2</v>
      </c>
      <c r="L168" s="8">
        <f>IFERROR(K168/K444, "NA")</f>
        <v>4.0518077686938202E-4</v>
      </c>
      <c r="M168" s="9"/>
      <c r="N168" s="10">
        <f t="shared" si="41"/>
        <v>-0.39999999999999147</v>
      </c>
      <c r="O168" s="8">
        <f>IFERROR(N168/N444, "NA")</f>
        <v>-7.3010966794793264E-6</v>
      </c>
      <c r="P168" s="9"/>
      <c r="Q168" s="7">
        <v>164</v>
      </c>
      <c r="R168" s="8">
        <f>IFERROR(Q168/Q444, "NA")</f>
        <v>3.2161162251063291E-4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-164</v>
      </c>
      <c r="X168" s="8">
        <f>IFERROR(W168/W444, "NA")</f>
        <v>-2.2691141738003088E-3</v>
      </c>
      <c r="Y168" s="9"/>
      <c r="Z168" s="7">
        <v>164.1</v>
      </c>
      <c r="AA168" s="8">
        <f>IFERROR(Z168/Z444, "NA")</f>
        <v>4.0720743764757078E-4</v>
      </c>
      <c r="AB168" s="9"/>
      <c r="AC168" s="10">
        <f t="shared" si="43"/>
        <v>9.9999999999994316E-2</v>
      </c>
      <c r="AD168" s="8">
        <f>IFERROR(AC168/AC444, "NA")</f>
        <v>9.3507660287786959E-7</v>
      </c>
    </row>
    <row r="169" spans="1:30" ht="16.5" customHeight="1" x14ac:dyDescent="0.45">
      <c r="A169" s="6" t="s">
        <v>157</v>
      </c>
      <c r="B169" s="7">
        <v>-4576.1499999999996</v>
      </c>
      <c r="C169" s="8">
        <f>IFERROR(B169/B444, "NA")</f>
        <v>-2.0511082120435727E-2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4576.1499999999996</v>
      </c>
      <c r="I169" s="8">
        <f>IFERROR(H169/H444, "NA")</f>
        <v>0.13560453608381837</v>
      </c>
      <c r="J169" s="9"/>
      <c r="K169" s="7">
        <v>-2027.62</v>
      </c>
      <c r="L169" s="8">
        <f>IFERROR(K169/K444, "NA")</f>
        <v>-1.2046226492608451E-2</v>
      </c>
      <c r="M169" s="9"/>
      <c r="N169" s="10">
        <f t="shared" si="41"/>
        <v>2548.5299999999997</v>
      </c>
      <c r="O169" s="8">
        <f>IFERROR(N169/N444, "NA")</f>
        <v>4.6517659801384607E-2</v>
      </c>
      <c r="P169" s="9"/>
      <c r="Q169" s="7">
        <v>-8798.1299999999992</v>
      </c>
      <c r="R169" s="8">
        <f>IFERROR(Q169/Q444, "NA")</f>
        <v>-1.7253541855850454E-2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8798.1299999999992</v>
      </c>
      <c r="X169" s="8">
        <f>IFERROR(W169/W444, "NA")</f>
        <v>0.12173147247522995</v>
      </c>
      <c r="Y169" s="9"/>
      <c r="Z169" s="7">
        <v>-5808.25</v>
      </c>
      <c r="AA169" s="8">
        <f>IFERROR(Z169/Z444, "NA")</f>
        <v>-1.4412934794128598E-2</v>
      </c>
      <c r="AB169" s="9"/>
      <c r="AC169" s="10">
        <f t="shared" si="43"/>
        <v>2989.8799999999992</v>
      </c>
      <c r="AD169" s="8">
        <f>IFERROR(AC169/AC444, "NA")</f>
        <v>2.7957668334126429E-2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6099.2300000000014</v>
      </c>
      <c r="C170" s="15">
        <f>IFERROR(B170/B444, "NA")</f>
        <v>2.7337785562410594E-2</v>
      </c>
      <c r="D170" s="2"/>
      <c r="E170" s="14">
        <f>IFERROR(E151+E153+E154+E155+E156+E157+E160+E161+E162+E163+E164+E165+E167+E168+E169, "NA")</f>
        <v>3219.12</v>
      </c>
      <c r="F170" s="15">
        <f>IFERROR(E170/E444, "NA")</f>
        <v>1.7000006284328475E-2</v>
      </c>
      <c r="G170" s="2"/>
      <c r="H170" s="14">
        <f t="shared" si="40"/>
        <v>-2880.1100000000015</v>
      </c>
      <c r="I170" s="15">
        <f>IFERROR(H170/H444, "NA")</f>
        <v>-8.5345974327844659E-2</v>
      </c>
      <c r="J170" s="2"/>
      <c r="K170" s="14">
        <f>IFERROR(K151+K153+K154+K155+K156+K157+K160+K161+K162+K163+K164+K165+K167+K168+K169, "NA")</f>
        <v>6743.0999999999995</v>
      </c>
      <c r="L170" s="15">
        <f>IFERROR(K170/K444, "NA")</f>
        <v>4.0061209626215982E-2</v>
      </c>
      <c r="M170" s="2"/>
      <c r="N170" s="14">
        <f t="shared" si="41"/>
        <v>643.86999999999807</v>
      </c>
      <c r="O170" s="15">
        <f>IFERROR(N170/N444, "NA")</f>
        <v>1.17523927975411E-2</v>
      </c>
      <c r="P170" s="2"/>
      <c r="Q170" s="14">
        <f>IFERROR(Q151+Q153+Q154+Q155+Q156+Q157+Q160+Q161+Q162+Q163+Q164+Q165+Q167+Q168+Q169, "NA")</f>
        <v>13941.800000000001</v>
      </c>
      <c r="R170" s="15">
        <f>IFERROR(Q170/Q444, "NA")</f>
        <v>2.7340517797065499E-2</v>
      </c>
      <c r="S170" s="2"/>
      <c r="T170" s="14">
        <f>IFERROR(T151+T153+T154+T155+T156+T157+T160+T161+T162+T163+T164+T165+T167+T168+T169, "NA")</f>
        <v>9178.25</v>
      </c>
      <c r="U170" s="15">
        <f>IFERROR(T170/T444, "NA")</f>
        <v>2.0971335264160795E-2</v>
      </c>
      <c r="V170" s="2"/>
      <c r="W170" s="14">
        <f t="shared" si="42"/>
        <v>-4763.5500000000011</v>
      </c>
      <c r="X170" s="15">
        <f>IFERROR(W170/W444, "NA")</f>
        <v>-6.5908773308576002E-2</v>
      </c>
      <c r="Y170" s="2"/>
      <c r="Z170" s="14">
        <f>IFERROR(Z151+Z153+Z154+Z155+Z156+Z157+Z160+Z161+Z162+Z163+Z164+Z165+Z167+Z168+Z169, "NA")</f>
        <v>16369.509999999998</v>
      </c>
      <c r="AA170" s="15">
        <f>IFERROR(Z170/Z444, "NA")</f>
        <v>4.0620269485961522E-2</v>
      </c>
      <c r="AB170" s="2"/>
      <c r="AC170" s="14">
        <f t="shared" si="43"/>
        <v>2427.7099999999973</v>
      </c>
      <c r="AD170" s="15">
        <f>IFERROR(AC170/AC444, "NA")</f>
        <v>2.2700948195727592E-2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58356.52</v>
      </c>
      <c r="C171" s="15">
        <f>IFERROR(B171/B444, "NA")</f>
        <v>0.26156384165354063</v>
      </c>
      <c r="D171" s="2"/>
      <c r="E171" s="14">
        <f>IFERROR(E127+E129+E130+E131+E132+E133+E134+E135+E136+E137+E138+E139+E140+E143+E144+E145+E146+E147+E151+E153+E154+E155+E156+E157+E160+E161+E162+E163+E164+E165+E167+E168+E169, "NA")</f>
        <v>45067.66</v>
      </c>
      <c r="F171" s="15">
        <f>IFERROR(E171/E444, "NA")</f>
        <v>0.23799998236163272</v>
      </c>
      <c r="G171" s="2"/>
      <c r="H171" s="14">
        <f t="shared" si="40"/>
        <v>-13288.859999999993</v>
      </c>
      <c r="I171" s="15">
        <f>IFERROR(H171/H444, "NA")</f>
        <v>-0.39378728743218855</v>
      </c>
      <c r="J171" s="2"/>
      <c r="K171" s="14">
        <f>IFERROR(K127+K129+K130+K131+K132+K133+K134+K135+K136+K137+K138+K139+K140+K143+K144+K145+K146+K147+K151+K153+K154+K155+K156+K157+K160+K161+K162+K163+K164+K165+K167+K168+K169, "NA")</f>
        <v>45967.409999999989</v>
      </c>
      <c r="L171" s="15">
        <f>IFERROR(K171/K444, "NA")</f>
        <v>0.27309546766090026</v>
      </c>
      <c r="M171" s="2"/>
      <c r="N171" s="14">
        <f t="shared" si="41"/>
        <v>-12389.110000000008</v>
      </c>
      <c r="O171" s="15">
        <f>IFERROR(N171/N444, "NA")</f>
        <v>-0.22613522470676525</v>
      </c>
      <c r="P171" s="2"/>
      <c r="Q171" s="14">
        <f>IFERROR(Q127+Q129+Q130+Q131+Q132+Q133+Q134+Q135+Q136+Q137+Q138+Q139+Q140+Q143+Q144+Q145+Q146+Q147+Q151+Q153+Q154+Q155+Q156+Q157+Q160+Q161+Q162+Q163+Q164+Q165+Q167+Q168+Q169, "NA")</f>
        <v>131903.40999999997</v>
      </c>
      <c r="R171" s="15">
        <f>IFERROR(Q171/Q444, "NA")</f>
        <v>0.25866871771210509</v>
      </c>
      <c r="S171" s="2"/>
      <c r="T171" s="14">
        <f>IFERROR(T127+T129+T130+T131+T132+T133+T134+T135+T136+T137+T138+T139+T140+T143+T144+T145+T146+T147+T151+T153+T154+T155+T156+T157+T160+T161+T162+T163+T164+T165+T167+T168+T169, "NA")</f>
        <v>109834.99</v>
      </c>
      <c r="U171" s="15">
        <f>IFERROR(T171/T444, "NA")</f>
        <v>0.25096139231615489</v>
      </c>
      <c r="V171" s="2"/>
      <c r="W171" s="14">
        <f t="shared" si="42"/>
        <v>-22068.419999999969</v>
      </c>
      <c r="X171" s="15">
        <f>IFERROR(W171/W444, "NA")</f>
        <v>-0.30534002814254968</v>
      </c>
      <c r="Y171" s="2"/>
      <c r="Z171" s="14">
        <f>IFERROR(Z127+Z129+Z130+Z131+Z132+Z133+Z134+Z135+Z136+Z137+Z138+Z139+Z140+Z143+Z144+Z145+Z146+Z147+Z151+Z153+Z154+Z155+Z156+Z157+Z160+Z161+Z162+Z163+Z164+Z165+Z167+Z168+Z169, "NA")</f>
        <v>113327.38999999997</v>
      </c>
      <c r="AA171" s="15">
        <f>IFERROR(Z171/Z444, "NA")</f>
        <v>0.28121728273727559</v>
      </c>
      <c r="AB171" s="2"/>
      <c r="AC171" s="14">
        <f t="shared" si="43"/>
        <v>-18576.020000000004</v>
      </c>
      <c r="AD171" s="15">
        <f>IFERROR(AC171/AC444, "NA")</f>
        <v>-0.17370001676592356</v>
      </c>
    </row>
    <row r="172" spans="1:30" ht="16.5" customHeight="1" x14ac:dyDescent="0.45">
      <c r="A172" s="22" t="s">
        <v>160</v>
      </c>
      <c r="B172" s="23">
        <f>IFERROR(B124-B171, "NA")</f>
        <v>164749.70000000004</v>
      </c>
      <c r="C172" s="24">
        <f>IFERROR(B172/B444, "NA")</f>
        <v>0.73843615834645959</v>
      </c>
      <c r="D172" s="25"/>
      <c r="E172" s="23">
        <f>IFERROR(E124-E171, "NA")</f>
        <v>144292.26999999996</v>
      </c>
      <c r="F172" s="24">
        <f>IFERROR(E172/E444, "NA")</f>
        <v>0.76200001763836711</v>
      </c>
      <c r="G172" s="25"/>
      <c r="H172" s="23">
        <f>IFERROR(B172-E172, "NA")</f>
        <v>20457.43000000008</v>
      </c>
      <c r="I172" s="24">
        <f>IFERROR(H172/H444, "NA")</f>
        <v>0.60621271256781339</v>
      </c>
      <c r="J172" s="25"/>
      <c r="K172" s="23">
        <f>IFERROR(K124-K171, "NA")</f>
        <v>122352.51999999997</v>
      </c>
      <c r="L172" s="24">
        <f>IFERROR(K172/K444, "NA")</f>
        <v>0.72690453233909957</v>
      </c>
      <c r="M172" s="25"/>
      <c r="N172" s="23">
        <f>IFERROR(B172-K172, "NA")</f>
        <v>42397.180000000066</v>
      </c>
      <c r="O172" s="24">
        <f>IFERROR(N172/N444, "NA")</f>
        <v>0.77386477529323594</v>
      </c>
      <c r="P172" s="25"/>
      <c r="Q172" s="23">
        <f>IFERROR(Q124-Q171, "NA")</f>
        <v>378028.41000000009</v>
      </c>
      <c r="R172" s="24">
        <f>IFERROR(Q172/Q444, "NA")</f>
        <v>0.74133128228789502</v>
      </c>
      <c r="S172" s="25"/>
      <c r="T172" s="23">
        <f>IFERROR(T124-T171, "NA")</f>
        <v>327821.93</v>
      </c>
      <c r="U172" s="24">
        <f>IFERROR(T172/T444, "NA")</f>
        <v>0.74903860768384511</v>
      </c>
      <c r="V172" s="25"/>
      <c r="W172" s="23">
        <f>IFERROR(Q172-T172, "NA")</f>
        <v>50206.480000000098</v>
      </c>
      <c r="X172" s="24">
        <f>IFERROR(W172/W444, "NA")</f>
        <v>0.69465997185745099</v>
      </c>
      <c r="Y172" s="25"/>
      <c r="Z172" s="23">
        <f>IFERROR(Z124-Z171, "NA")</f>
        <v>289661.32</v>
      </c>
      <c r="AA172" s="24">
        <f>IFERROR(Z172/Z444, "NA")</f>
        <v>0.71878271726272425</v>
      </c>
      <c r="AB172" s="25"/>
      <c r="AC172" s="23">
        <f>IFERROR(Q172-Z172, "NA")</f>
        <v>88367.090000000084</v>
      </c>
      <c r="AD172" s="24">
        <f>IFERROR(AC172/AC444, "NA")</f>
        <v>0.82629998323407738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12596.15</v>
      </c>
      <c r="C178" s="8">
        <f>IFERROR(B178/B444, "NA")</f>
        <v>5.6458085301252466E-2</v>
      </c>
      <c r="D178" s="9"/>
      <c r="E178" s="7">
        <v>12884.62</v>
      </c>
      <c r="F178" s="8">
        <f>IFERROR(E178/E444, "NA")</f>
        <v>6.8043012056457783E-2</v>
      </c>
      <c r="G178" s="9"/>
      <c r="H178" s="10">
        <f t="shared" si="44"/>
        <v>288.47000000000116</v>
      </c>
      <c r="I178" s="8">
        <f>IFERROR(H178/H444, "NA")</f>
        <v>8.5481989279414441E-3</v>
      </c>
      <c r="J178" s="9"/>
      <c r="K178" s="7">
        <v>5528.85</v>
      </c>
      <c r="L178" s="8">
        <f>IFERROR(K178/K444, "NA")</f>
        <v>3.284726888847922E-2</v>
      </c>
      <c r="M178" s="9"/>
      <c r="N178" s="10">
        <f t="shared" si="45"/>
        <v>-7067.2999999999993</v>
      </c>
      <c r="O178" s="8">
        <f>IFERROR(N178/N444, "NA")</f>
        <v>-0.12899760140721334</v>
      </c>
      <c r="P178" s="9"/>
      <c r="Q178" s="7">
        <v>32749.99</v>
      </c>
      <c r="R178" s="8">
        <f>IFERROR(Q178/Q444, "NA")</f>
        <v>6.4224252567725626E-2</v>
      </c>
      <c r="S178" s="9"/>
      <c r="T178" s="7">
        <v>33500</v>
      </c>
      <c r="U178" s="8">
        <f>IFERROR(T178/T444, "NA")</f>
        <v>7.6543974216150862E-2</v>
      </c>
      <c r="V178" s="9"/>
      <c r="W178" s="10">
        <f t="shared" si="46"/>
        <v>750.0099999999984</v>
      </c>
      <c r="X178" s="8">
        <f>IFERROR(W178/W444, "NA")</f>
        <v>1.0377184887146134E-2</v>
      </c>
      <c r="Y178" s="9"/>
      <c r="Z178" s="7">
        <v>14375.01</v>
      </c>
      <c r="AA178" s="8">
        <f>IFERROR(Z178/Z444, "NA")</f>
        <v>3.5670999319062806E-2</v>
      </c>
      <c r="AB178" s="9"/>
      <c r="AC178" s="10">
        <f t="shared" si="47"/>
        <v>-18374.980000000003</v>
      </c>
      <c r="AD178" s="8">
        <f>IFERROR(AC178/AC444, "NA")</f>
        <v>-0.17182013876349778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35326.449999999997</v>
      </c>
      <c r="C180" s="8">
        <f>IFERROR(B180/B444, "NA")</f>
        <v>0.15833915343104282</v>
      </c>
      <c r="D180" s="9"/>
      <c r="E180" s="7">
        <v>30297.59</v>
      </c>
      <c r="F180" s="8">
        <f>IFERROR(E180/E444, "NA")</f>
        <v>0.16000000633713796</v>
      </c>
      <c r="G180" s="9"/>
      <c r="H180" s="10">
        <f t="shared" si="44"/>
        <v>-5028.8599999999969</v>
      </c>
      <c r="I180" s="8">
        <f>IFERROR(H180/H444, "NA")</f>
        <v>-0.14901964038120918</v>
      </c>
      <c r="J180" s="9"/>
      <c r="K180" s="7">
        <v>32449.16</v>
      </c>
      <c r="L180" s="8">
        <f>IFERROR(K180/K444, "NA")</f>
        <v>0.19278263720760816</v>
      </c>
      <c r="M180" s="9"/>
      <c r="N180" s="10">
        <f t="shared" si="45"/>
        <v>-2877.2899999999972</v>
      </c>
      <c r="O180" s="8">
        <f>IFERROR(N180/N444, "NA")</f>
        <v>-5.2518431162248747E-2</v>
      </c>
      <c r="P180" s="9"/>
      <c r="Q180" s="7">
        <v>81748.539999999994</v>
      </c>
      <c r="R180" s="8">
        <f>IFERROR(Q180/Q444, "NA")</f>
        <v>0.16031268650777666</v>
      </c>
      <c r="S180" s="9"/>
      <c r="T180" s="7">
        <v>75296.070000000007</v>
      </c>
      <c r="U180" s="8">
        <f>IFERROR(T180/T444, "NA")</f>
        <v>0.17204359524350721</v>
      </c>
      <c r="V180" s="9"/>
      <c r="W180" s="10">
        <f t="shared" si="46"/>
        <v>-6452.4699999999866</v>
      </c>
      <c r="X180" s="8">
        <f>IFERROR(W180/W444, "NA")</f>
        <v>-8.9276775201349079E-2</v>
      </c>
      <c r="Y180" s="9"/>
      <c r="Z180" s="7">
        <v>78792.81</v>
      </c>
      <c r="AA180" s="8">
        <f>IFERROR(Z180/Z444, "NA")</f>
        <v>0.19552113507100483</v>
      </c>
      <c r="AB180" s="9"/>
      <c r="AC180" s="10">
        <f t="shared" si="47"/>
        <v>-2955.7299999999959</v>
      </c>
      <c r="AD180" s="8">
        <f>IFERROR(AC180/AC444, "NA")</f>
        <v>-2.7638339674243589E-2</v>
      </c>
    </row>
    <row r="181" spans="1:30" ht="16.5" customHeight="1" x14ac:dyDescent="0.45">
      <c r="A181" s="12" t="s">
        <v>166</v>
      </c>
      <c r="B181" s="7">
        <v>1051.8499999999999</v>
      </c>
      <c r="C181" s="8">
        <f>IFERROR(B181/B444, "NA")</f>
        <v>4.7145704857533772E-3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-1051.8499999999999</v>
      </c>
      <c r="I181" s="8">
        <f>IFERROR(H181/H444, "NA")</f>
        <v>-3.116935224583205E-2</v>
      </c>
      <c r="J181" s="9"/>
      <c r="K181" s="7">
        <v>524.79</v>
      </c>
      <c r="L181" s="8">
        <f>IFERROR(K181/K444, "NA")</f>
        <v>3.1178126084059087E-3</v>
      </c>
      <c r="M181" s="9"/>
      <c r="N181" s="10">
        <f t="shared" si="45"/>
        <v>-527.05999999999995</v>
      </c>
      <c r="O181" s="8">
        <f>IFERROR(N181/N444, "NA")</f>
        <v>-9.6202900397161385E-3</v>
      </c>
      <c r="P181" s="9"/>
      <c r="Q181" s="7">
        <v>1267.47</v>
      </c>
      <c r="R181" s="8">
        <f>IFERROR(Q181/Q444, "NA")</f>
        <v>2.4855675803875116E-3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-1267.47</v>
      </c>
      <c r="X181" s="8">
        <f>IFERROR(W181/W444, "NA")</f>
        <v>-1.7536793547967545E-2</v>
      </c>
      <c r="Y181" s="9"/>
      <c r="Z181" s="7">
        <v>970.85</v>
      </c>
      <c r="AA181" s="8">
        <f>IFERROR(Z181/Z444, "NA")</f>
        <v>2.4091245633159303E-3</v>
      </c>
      <c r="AB181" s="9"/>
      <c r="AC181" s="10">
        <f t="shared" si="47"/>
        <v>-296.62</v>
      </c>
      <c r="AD181" s="8">
        <f>IFERROR(AC181/AC444, "NA")</f>
        <v>-2.7736242194564948E-3</v>
      </c>
    </row>
    <row r="182" spans="1:30" ht="16.5" customHeight="1" x14ac:dyDescent="0.45">
      <c r="A182" s="13" t="s">
        <v>167</v>
      </c>
      <c r="B182" s="14">
        <f>IFERROR(B177+B178+B179+B180+B181, "NA")</f>
        <v>48974.45</v>
      </c>
      <c r="C182" s="15">
        <f>IFERROR(B182/B444, "NA")</f>
        <v>0.21951180921804869</v>
      </c>
      <c r="D182" s="2"/>
      <c r="E182" s="14">
        <f>IFERROR(E177+E178+E179+E180+E181, "NA")</f>
        <v>43182.21</v>
      </c>
      <c r="F182" s="15">
        <f>IFERROR(E182/E444, "NA")</f>
        <v>0.22804301839359573</v>
      </c>
      <c r="G182" s="2"/>
      <c r="H182" s="14">
        <f t="shared" si="44"/>
        <v>-5792.239999999998</v>
      </c>
      <c r="I182" s="15">
        <f>IFERROR(H182/H444, "NA")</f>
        <v>-0.17164079369909985</v>
      </c>
      <c r="J182" s="2"/>
      <c r="K182" s="14">
        <f>IFERROR(K177+K178+K179+K180+K181, "NA")</f>
        <v>38502.800000000003</v>
      </c>
      <c r="L182" s="15">
        <f>IFERROR(K182/K444, "NA")</f>
        <v>0.22874771870449331</v>
      </c>
      <c r="M182" s="2"/>
      <c r="N182" s="14">
        <f t="shared" si="45"/>
        <v>-10471.649999999994</v>
      </c>
      <c r="O182" s="15">
        <f>IFERROR(N182/N444, "NA")</f>
        <v>-0.19113632260917818</v>
      </c>
      <c r="P182" s="2"/>
      <c r="Q182" s="14">
        <f>IFERROR(Q177+Q178+Q179+Q180+Q181, "NA")</f>
        <v>115766</v>
      </c>
      <c r="R182" s="15">
        <f>IFERROR(Q182/Q444, "NA")</f>
        <v>0.2270225066558898</v>
      </c>
      <c r="S182" s="2"/>
      <c r="T182" s="14">
        <f>IFERROR(T177+T178+T179+T180+T181, "NA")</f>
        <v>108796.07</v>
      </c>
      <c r="U182" s="15">
        <f>IFERROR(T182/T444, "NA")</f>
        <v>0.24858756945965807</v>
      </c>
      <c r="V182" s="2"/>
      <c r="W182" s="14">
        <f t="shared" si="46"/>
        <v>-6969.929999999993</v>
      </c>
      <c r="X182" s="15">
        <f>IFERROR(W182/W444, "NA")</f>
        <v>-9.6436383862170558E-2</v>
      </c>
      <c r="Y182" s="2"/>
      <c r="Z182" s="14">
        <f>IFERROR(Z177+Z178+Z179+Z180+Z181, "NA")</f>
        <v>94138.67</v>
      </c>
      <c r="AA182" s="15">
        <f>IFERROR(Z182/Z444, "NA")</f>
        <v>0.23360125895338357</v>
      </c>
      <c r="AB182" s="2"/>
      <c r="AC182" s="14">
        <f t="shared" si="47"/>
        <v>-21627.33</v>
      </c>
      <c r="AD182" s="15">
        <f>IFERROR(AC182/AC444, "NA")</f>
        <v>-0.20223210265719788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5.1544954685709791E-3</v>
      </c>
      <c r="D184" s="9"/>
      <c r="E184" s="7">
        <v>1150</v>
      </c>
      <c r="F184" s="8">
        <f>IFERROR(E184/E444, "NA")</f>
        <v>6.0730905424394698E-3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1.7823201328565192E-3</v>
      </c>
      <c r="M184" s="9"/>
      <c r="N184" s="10">
        <f t="shared" si="45"/>
        <v>-850</v>
      </c>
      <c r="O184" s="8">
        <f>IFERROR(N184/N444, "NA")</f>
        <v>-1.5514830443893899E-2</v>
      </c>
      <c r="P184" s="9"/>
      <c r="Q184" s="7">
        <v>3450</v>
      </c>
      <c r="R184" s="8">
        <f>IFERROR(Q184/Q444, "NA")</f>
        <v>6.7656103515956311E-3</v>
      </c>
      <c r="S184" s="9"/>
      <c r="T184" s="7">
        <v>3450</v>
      </c>
      <c r="U184" s="8">
        <f>IFERROR(T184/T444, "NA")</f>
        <v>7.8828868968871778E-3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900</v>
      </c>
      <c r="AA184" s="8">
        <f>IFERROR(Z184/Z444, "NA")</f>
        <v>2.233313186366933E-3</v>
      </c>
      <c r="AB184" s="9"/>
      <c r="AC184" s="10">
        <f t="shared" si="47"/>
        <v>-2550</v>
      </c>
      <c r="AD184" s="8">
        <f>IFERROR(AC184/AC444, "NA")</f>
        <v>-2.3844453373387031E-2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5392.69</v>
      </c>
      <c r="C186" s="8">
        <f>IFERROR(B186/B444, "NA")</f>
        <v>2.417095318992003E-2</v>
      </c>
      <c r="D186" s="9"/>
      <c r="E186" s="7">
        <v>5267.56</v>
      </c>
      <c r="F186" s="8">
        <f>IFERROR(E186/E444, "NA")</f>
        <v>2.7817712015419528E-2</v>
      </c>
      <c r="G186" s="9"/>
      <c r="H186" s="10">
        <f t="shared" ref="H186:H197" si="48">IFERROR(-(B186-E186), "NA")</f>
        <v>-125.1299999999992</v>
      </c>
      <c r="I186" s="8">
        <f>IFERROR(H186/H444, "NA")</f>
        <v>-3.7079631568388456E-3</v>
      </c>
      <c r="J186" s="9"/>
      <c r="K186" s="7">
        <v>4416.92</v>
      </c>
      <c r="L186" s="8">
        <f>IFERROR(K186/K444, "NA")</f>
        <v>2.6241218137388722E-2</v>
      </c>
      <c r="M186" s="9"/>
      <c r="N186" s="10">
        <f t="shared" ref="N186:N197" si="49">IFERROR(-(B186-K186), "NA")</f>
        <v>-975.76999999999953</v>
      </c>
      <c r="O186" s="8">
        <f>IFERROR(N186/N444, "NA")</f>
        <v>-1.7810477767339225E-2</v>
      </c>
      <c r="P186" s="9"/>
      <c r="Q186" s="7">
        <v>12395.81</v>
      </c>
      <c r="R186" s="8">
        <f>IFERROR(Q186/Q444, "NA")</f>
        <v>2.4308759551423951E-2</v>
      </c>
      <c r="S186" s="9"/>
      <c r="T186" s="7">
        <v>13942.32</v>
      </c>
      <c r="U186" s="8">
        <f>IFERROR(T186/T444, "NA")</f>
        <v>3.1856733808755956E-2</v>
      </c>
      <c r="V186" s="9"/>
      <c r="W186" s="10">
        <f t="shared" ref="W186:W197" si="50">IFERROR(-(Q186-T186), "NA")</f>
        <v>1546.5100000000002</v>
      </c>
      <c r="X186" s="8">
        <f>IFERROR(W186/W444, "NA")</f>
        <v>2.1397608298316561E-2</v>
      </c>
      <c r="Y186" s="9"/>
      <c r="Z186" s="7">
        <v>11319.8</v>
      </c>
      <c r="AA186" s="8">
        <f>IFERROR(Z186/Z444, "NA")</f>
        <v>2.8089620674484898E-2</v>
      </c>
      <c r="AB186" s="9"/>
      <c r="AC186" s="10">
        <f t="shared" ref="AC186:AC197" si="51">IFERROR(-(Q186-Z186), "NA")</f>
        <v>-1076.0100000000002</v>
      </c>
      <c r="AD186" s="8">
        <f>IFERROR(AC186/AC444, "NA")</f>
        <v>-1.0061517754626739E-2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0.02</v>
      </c>
      <c r="L187" s="8">
        <f>IFERROR(K187/K444, "NA")</f>
        <v>1.1882134219043462E-7</v>
      </c>
      <c r="M187" s="9"/>
      <c r="N187" s="10">
        <f t="shared" si="49"/>
        <v>0.02</v>
      </c>
      <c r="O187" s="8">
        <f>IFERROR(N187/N444, "NA")</f>
        <v>3.6505483397397408E-7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0.08</v>
      </c>
      <c r="AA187" s="8">
        <f>IFERROR(Z187/Z444, "NA")</f>
        <v>1.9851672767706072E-7</v>
      </c>
      <c r="AB187" s="9"/>
      <c r="AC187" s="10">
        <f t="shared" si="51"/>
        <v>0.08</v>
      </c>
      <c r="AD187" s="8">
        <f>IFERROR(AC187/AC444, "NA")</f>
        <v>7.4806128230233828E-7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5392.69</v>
      </c>
      <c r="C193" s="15">
        <f>IFERROR(B193/B444, "NA")</f>
        <v>2.417095318992003E-2</v>
      </c>
      <c r="D193" s="2"/>
      <c r="E193" s="14">
        <f>IFERROR(E186+E187+E188+E189+E190+E191+E192, "NA")</f>
        <v>5267.56</v>
      </c>
      <c r="F193" s="15">
        <f>IFERROR(E193/E444, "NA")</f>
        <v>2.7817712015419528E-2</v>
      </c>
      <c r="G193" s="2"/>
      <c r="H193" s="14">
        <f t="shared" si="48"/>
        <v>-125.1299999999992</v>
      </c>
      <c r="I193" s="15">
        <f>IFERROR(H193/H444, "NA")</f>
        <v>-3.7079631568388456E-3</v>
      </c>
      <c r="J193" s="2"/>
      <c r="K193" s="14">
        <f>IFERROR(K186+K187+K188+K189+K190+K191+K192, "NA")</f>
        <v>4416.9400000000005</v>
      </c>
      <c r="L193" s="15">
        <f>IFERROR(K193/K444, "NA")</f>
        <v>2.6241336958730915E-2</v>
      </c>
      <c r="M193" s="2"/>
      <c r="N193" s="14">
        <f t="shared" si="49"/>
        <v>-975.74999999999909</v>
      </c>
      <c r="O193" s="15">
        <f>IFERROR(N193/N444, "NA")</f>
        <v>-1.7810112712505245E-2</v>
      </c>
      <c r="P193" s="2"/>
      <c r="Q193" s="14">
        <f>IFERROR(Q186+Q187+Q188+Q189+Q190+Q191+Q192, "NA")</f>
        <v>12395.81</v>
      </c>
      <c r="R193" s="15">
        <f>IFERROR(Q193/Q444, "NA")</f>
        <v>2.4308759551423951E-2</v>
      </c>
      <c r="S193" s="2"/>
      <c r="T193" s="14">
        <f>IFERROR(T186+T187+T188+T189+T190+T191+T192, "NA")</f>
        <v>13942.32</v>
      </c>
      <c r="U193" s="15">
        <f>IFERROR(T193/T444, "NA")</f>
        <v>3.1856733808755956E-2</v>
      </c>
      <c r="V193" s="2"/>
      <c r="W193" s="14">
        <f t="shared" si="50"/>
        <v>1546.5100000000002</v>
      </c>
      <c r="X193" s="15">
        <f>IFERROR(W193/W444, "NA")</f>
        <v>2.1397608298316561E-2</v>
      </c>
      <c r="Y193" s="2"/>
      <c r="Z193" s="14">
        <f>IFERROR(Z186+Z187+Z188+Z189+Z190+Z191+Z192, "NA")</f>
        <v>11319.88</v>
      </c>
      <c r="AA193" s="15">
        <f>IFERROR(Z193/Z444, "NA")</f>
        <v>2.8089819191212576E-2</v>
      </c>
      <c r="AB193" s="2"/>
      <c r="AC193" s="14">
        <f t="shared" si="51"/>
        <v>-1075.9300000000003</v>
      </c>
      <c r="AD193" s="15">
        <f>IFERROR(AC193/AC444, "NA")</f>
        <v>-1.0060769693344438E-2</v>
      </c>
    </row>
    <row r="194" spans="1:30" ht="16.5" customHeight="1" x14ac:dyDescent="0.45">
      <c r="A194" s="6" t="s">
        <v>178</v>
      </c>
      <c r="B194" s="7">
        <v>250.16</v>
      </c>
      <c r="C194" s="8">
        <f>IFERROR(B194/B444, "NA")</f>
        <v>1.1212596403632315E-3</v>
      </c>
      <c r="D194" s="9"/>
      <c r="E194" s="7">
        <v>354.66</v>
      </c>
      <c r="F194" s="8">
        <f>IFERROR(E194/E444, "NA")</f>
        <v>1.8729411232883326E-3</v>
      </c>
      <c r="G194" s="9"/>
      <c r="H194" s="10">
        <f t="shared" si="48"/>
        <v>104.50000000000003</v>
      </c>
      <c r="I194" s="8">
        <f>IFERROR(H194/H444, "NA")</f>
        <v>3.0966366969524652E-3</v>
      </c>
      <c r="J194" s="9"/>
      <c r="K194" s="7">
        <v>546.91</v>
      </c>
      <c r="L194" s="8">
        <f>IFERROR(K194/K444, "NA")</f>
        <v>3.2492290128685293E-3</v>
      </c>
      <c r="M194" s="9"/>
      <c r="N194" s="10">
        <f t="shared" si="49"/>
        <v>296.75</v>
      </c>
      <c r="O194" s="8">
        <f>IFERROR(N194/N444, "NA")</f>
        <v>5.4165010990888402E-3</v>
      </c>
      <c r="P194" s="9"/>
      <c r="Q194" s="7">
        <v>861.78</v>
      </c>
      <c r="R194" s="8">
        <f>IFERROR(Q194/Q444, "NA")</f>
        <v>1.6899906344342269E-3</v>
      </c>
      <c r="S194" s="9"/>
      <c r="T194" s="7">
        <v>897.97</v>
      </c>
      <c r="U194" s="8">
        <f>IFERROR(T194/T444, "NA")</f>
        <v>2.0517669411008058E-3</v>
      </c>
      <c r="V194" s="9"/>
      <c r="W194" s="10">
        <f t="shared" si="50"/>
        <v>36.190000000000055</v>
      </c>
      <c r="X194" s="8">
        <f>IFERROR(W194/W444, "NA")</f>
        <v>5.0072708505995915E-4</v>
      </c>
      <c r="Y194" s="9"/>
      <c r="Z194" s="7">
        <v>917.91</v>
      </c>
      <c r="AA194" s="8">
        <f>IFERROR(Z194/Z444, "NA")</f>
        <v>2.2777561187756349E-3</v>
      </c>
      <c r="AB194" s="9"/>
      <c r="AC194" s="10">
        <f t="shared" si="51"/>
        <v>56.129999999999995</v>
      </c>
      <c r="AD194" s="8">
        <f>IFERROR(AC194/AC444, "NA")</f>
        <v>5.2485849719537798E-4</v>
      </c>
    </row>
    <row r="195" spans="1:30" ht="16.5" customHeight="1" x14ac:dyDescent="0.45">
      <c r="A195" s="6" t="s">
        <v>179</v>
      </c>
      <c r="B195" s="7">
        <v>381.85</v>
      </c>
      <c r="C195" s="8">
        <f>IFERROR(B195/B444, "NA")</f>
        <v>1.7115166040641988E-3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-381.85</v>
      </c>
      <c r="I195" s="8">
        <f>IFERROR(H195/H444, "NA")</f>
        <v>-1.1315317920873671E-2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-381.85</v>
      </c>
      <c r="O195" s="8">
        <f>IFERROR(N195/N444, "NA")</f>
        <v>-6.9698094176481006E-3</v>
      </c>
      <c r="P195" s="9"/>
      <c r="Q195" s="7">
        <v>1145.55</v>
      </c>
      <c r="R195" s="8">
        <f>IFERROR(Q195/Q444, "NA")</f>
        <v>2.2464767937015579E-3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-1145.55</v>
      </c>
      <c r="X195" s="8">
        <f>IFERROR(W195/W444, "NA")</f>
        <v>-1.5849900864615511E-2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-1145.55</v>
      </c>
      <c r="AD195" s="8">
        <f>IFERROR(AC195/AC444, "NA")</f>
        <v>-1.0711770024268045E-2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56149.15</v>
      </c>
      <c r="C196" s="15">
        <f>IFERROR(B196/B444, "NA")</f>
        <v>0.25167003412096711</v>
      </c>
      <c r="D196" s="2"/>
      <c r="E196" s="14">
        <f>IFERROR(E175+E177+E178+E179+E180+E181+E183+E184+E186+E187+E188+E189+E190+E191+E192+E194+E195, "NA")</f>
        <v>49954.43</v>
      </c>
      <c r="F196" s="15">
        <f>IFERROR(E196/E444, "NA")</f>
        <v>0.26380676207474307</v>
      </c>
      <c r="G196" s="2"/>
      <c r="H196" s="14">
        <f t="shared" si="48"/>
        <v>-6194.7200000000012</v>
      </c>
      <c r="I196" s="15">
        <f>IFERROR(H196/H444, "NA")</f>
        <v>-0.18356743807986003</v>
      </c>
      <c r="J196" s="2"/>
      <c r="K196" s="14">
        <f>IFERROR(K175+K177+K178+K179+K180+K181+K183+K184+K186+K187+K188+K189+K190+K191+K192+K194+K195, "NA")</f>
        <v>43766.65</v>
      </c>
      <c r="L196" s="15">
        <f>IFERROR(K196/K444, "NA")</f>
        <v>0.26002060480894928</v>
      </c>
      <c r="M196" s="2"/>
      <c r="N196" s="14">
        <f t="shared" si="49"/>
        <v>-12382.5</v>
      </c>
      <c r="O196" s="15">
        <f>IFERROR(N196/N444, "NA")</f>
        <v>-0.22601457408413672</v>
      </c>
      <c r="P196" s="2"/>
      <c r="Q196" s="14">
        <f>IFERROR(Q175+Q177+Q178+Q179+Q180+Q181+Q183+Q184+Q186+Q187+Q188+Q189+Q190+Q191+Q192+Q194+Q195, "NA")</f>
        <v>133619.13999999998</v>
      </c>
      <c r="R196" s="15">
        <f>IFERROR(Q196/Q444, "NA")</f>
        <v>0.26203334398704514</v>
      </c>
      <c r="S196" s="2"/>
      <c r="T196" s="14">
        <f>IFERROR(T175+T177+T178+T179+T180+T181+T183+T184+T186+T187+T188+T189+T190+T191+T192+T194+T195, "NA")</f>
        <v>127086.36000000002</v>
      </c>
      <c r="U196" s="15">
        <f>IFERROR(T196/T444, "NA")</f>
        <v>0.29037895710640199</v>
      </c>
      <c r="V196" s="2"/>
      <c r="W196" s="14">
        <f t="shared" si="50"/>
        <v>-6532.7799999999697</v>
      </c>
      <c r="X196" s="15">
        <f>IFERROR(W196/W444, "NA")</f>
        <v>-9.0387949343409227E-2</v>
      </c>
      <c r="Y196" s="2"/>
      <c r="Z196" s="14">
        <f>IFERROR(Z175+Z177+Z178+Z179+Z180+Z181+Z183+Z184+Z186+Z187+Z188+Z189+Z190+Z191+Z192+Z194+Z195, "NA")</f>
        <v>107276.46</v>
      </c>
      <c r="AA196" s="15">
        <f>IFERROR(Z196/Z444, "NA")</f>
        <v>0.26620214744973875</v>
      </c>
      <c r="AB196" s="2"/>
      <c r="AC196" s="14">
        <f t="shared" si="51"/>
        <v>-26342.679999999978</v>
      </c>
      <c r="AD196" s="15">
        <f>IFERROR(AC196/AC444, "NA")</f>
        <v>-0.24632423725100178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56149.15</v>
      </c>
      <c r="C197" s="15">
        <f>IFERROR(B197/B444, "NA")</f>
        <v>0.25167003412096711</v>
      </c>
      <c r="D197" s="2"/>
      <c r="E197" s="14">
        <f>IFERROR(E175+E177+E178+E179+E180+E181+E183+E184+E186+E187+E188+E189+E190+E191+E192+E194+E195, "NA")</f>
        <v>49954.43</v>
      </c>
      <c r="F197" s="15">
        <f>IFERROR(E197/E444, "NA")</f>
        <v>0.26380676207474307</v>
      </c>
      <c r="G197" s="2"/>
      <c r="H197" s="14">
        <f t="shared" si="48"/>
        <v>-6194.7200000000012</v>
      </c>
      <c r="I197" s="15">
        <f>IFERROR(H197/H444, "NA")</f>
        <v>-0.18356743807986003</v>
      </c>
      <c r="J197" s="2"/>
      <c r="K197" s="14">
        <f>IFERROR(K175+K177+K178+K179+K180+K181+K183+K184+K186+K187+K188+K189+K190+K191+K192+K194+K195, "NA")</f>
        <v>43766.65</v>
      </c>
      <c r="L197" s="15">
        <f>IFERROR(K197/K444, "NA")</f>
        <v>0.26002060480894928</v>
      </c>
      <c r="M197" s="2"/>
      <c r="N197" s="14">
        <f t="shared" si="49"/>
        <v>-12382.5</v>
      </c>
      <c r="O197" s="15">
        <f>IFERROR(N197/N444, "NA")</f>
        <v>-0.22601457408413672</v>
      </c>
      <c r="P197" s="2"/>
      <c r="Q197" s="14">
        <f>IFERROR(Q175+Q177+Q178+Q179+Q180+Q181+Q183+Q184+Q186+Q187+Q188+Q189+Q190+Q191+Q192+Q194+Q195, "NA")</f>
        <v>133619.13999999998</v>
      </c>
      <c r="R197" s="15">
        <f>IFERROR(Q197/Q444, "NA")</f>
        <v>0.26203334398704514</v>
      </c>
      <c r="S197" s="2"/>
      <c r="T197" s="14">
        <f>IFERROR(T175+T177+T178+T179+T180+T181+T183+T184+T186+T187+T188+T189+T190+T191+T192+T194+T195, "NA")</f>
        <v>127086.36000000002</v>
      </c>
      <c r="U197" s="15">
        <f>IFERROR(T197/T444, "NA")</f>
        <v>0.29037895710640199</v>
      </c>
      <c r="V197" s="2"/>
      <c r="W197" s="14">
        <f t="shared" si="50"/>
        <v>-6532.7799999999697</v>
      </c>
      <c r="X197" s="15">
        <f>IFERROR(W197/W444, "NA")</f>
        <v>-9.0387949343409227E-2</v>
      </c>
      <c r="Y197" s="2"/>
      <c r="Z197" s="14">
        <f>IFERROR(Z175+Z177+Z178+Z179+Z180+Z181+Z183+Z184+Z186+Z187+Z188+Z189+Z190+Z191+Z192+Z194+Z195, "NA")</f>
        <v>107276.46</v>
      </c>
      <c r="AA197" s="15">
        <f>IFERROR(Z197/Z444, "NA")</f>
        <v>0.26620214744973875</v>
      </c>
      <c r="AB197" s="2"/>
      <c r="AC197" s="14">
        <f t="shared" si="51"/>
        <v>-26342.679999999978</v>
      </c>
      <c r="AD197" s="15">
        <f>IFERROR(AC197/AC444, "NA")</f>
        <v>-0.24632423725100178</v>
      </c>
    </row>
    <row r="198" spans="1:30" ht="16.5" customHeight="1" x14ac:dyDescent="0.45">
      <c r="A198" s="22" t="s">
        <v>181</v>
      </c>
      <c r="B198" s="23">
        <f>IFERROR(B172-B197, "NA")</f>
        <v>108600.55000000005</v>
      </c>
      <c r="C198" s="24">
        <f>IFERROR(B198/B444, "NA")</f>
        <v>0.48676612422549242</v>
      </c>
      <c r="D198" s="25"/>
      <c r="E198" s="23">
        <f>IFERROR(E172-E197, "NA")</f>
        <v>94337.839999999967</v>
      </c>
      <c r="F198" s="24">
        <f>IFERROR(E198/E444, "NA")</f>
        <v>0.49819325556362409</v>
      </c>
      <c r="G198" s="25"/>
      <c r="H198" s="23">
        <f>IFERROR(B198-E198, "NA")</f>
        <v>14262.710000000079</v>
      </c>
      <c r="I198" s="24">
        <f>IFERROR(H198/H444, "NA")</f>
        <v>0.42264527448795336</v>
      </c>
      <c r="J198" s="25"/>
      <c r="K198" s="23">
        <f>IFERROR(K172-K197, "NA")</f>
        <v>78585.869999999966</v>
      </c>
      <c r="L198" s="24">
        <f>IFERROR(K198/K444, "NA")</f>
        <v>0.46688392753015029</v>
      </c>
      <c r="M198" s="25"/>
      <c r="N198" s="23">
        <f>IFERROR(B198-K198, "NA")</f>
        <v>30014.68000000008</v>
      </c>
      <c r="O198" s="24">
        <f>IFERROR(N198/N444, "NA")</f>
        <v>0.54785020120909955</v>
      </c>
      <c r="P198" s="25"/>
      <c r="Q198" s="23">
        <f>IFERROR(Q172-Q197, "NA")</f>
        <v>244409.27000000011</v>
      </c>
      <c r="R198" s="24">
        <f>IFERROR(Q198/Q444, "NA")</f>
        <v>0.47929793830084994</v>
      </c>
      <c r="S198" s="25"/>
      <c r="T198" s="23">
        <f>IFERROR(T172-T197, "NA")</f>
        <v>200735.56999999998</v>
      </c>
      <c r="U198" s="24">
        <f>IFERROR(T198/T444, "NA")</f>
        <v>0.45865965057744312</v>
      </c>
      <c r="V198" s="25"/>
      <c r="W198" s="23">
        <f>IFERROR(Q198-T198, "NA")</f>
        <v>43673.700000000128</v>
      </c>
      <c r="X198" s="24">
        <f>IFERROR(W198/W444, "NA")</f>
        <v>0.60427202251404177</v>
      </c>
      <c r="Y198" s="25"/>
      <c r="Z198" s="23">
        <f>IFERROR(Z172-Z197, "NA")</f>
        <v>182384.86</v>
      </c>
      <c r="AA198" s="24">
        <f>IFERROR(Z198/Z444, "NA")</f>
        <v>0.4525805698129855</v>
      </c>
      <c r="AB198" s="25"/>
      <c r="AC198" s="23">
        <f>IFERROR(Q198-Z198, "NA")</f>
        <v>62024.41000000012</v>
      </c>
      <c r="AD198" s="24">
        <f>IFERROR(AC198/AC444, "NA")</f>
        <v>0.57997574598307577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3219.12</v>
      </c>
      <c r="F201" s="8">
        <f>IFERROR(E201/E444, "NA")</f>
        <v>1.7000006284328475E-2</v>
      </c>
      <c r="G201" s="9"/>
      <c r="H201" s="10">
        <f t="shared" ref="H201:H209" si="52">IFERROR(-(B201-E201), "NA")</f>
        <v>3219.12</v>
      </c>
      <c r="I201" s="8">
        <f>IFERROR(H201/H444, "NA")</f>
        <v>9.5391819367403027E-2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7688.47</v>
      </c>
      <c r="U201" s="8">
        <f>IFERROR(T201/T444, "NA")</f>
        <v>1.7567344759452222E-2</v>
      </c>
      <c r="V201" s="9"/>
      <c r="W201" s="10">
        <f t="shared" ref="W201:W209" si="54">IFERROR(-(Q201-T201), "NA")</f>
        <v>7688.47</v>
      </c>
      <c r="X201" s="8">
        <f>IFERROR(W201/W444, "NA")</f>
        <v>0.10637814787706379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1520.91</v>
      </c>
      <c r="C202" s="8">
        <f>IFERROR(B202/B444, "NA")</f>
        <v>6.8169771331341644E-3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-1520.91</v>
      </c>
      <c r="I202" s="8">
        <f>IFERROR(H202/H444, "NA")</f>
        <v>-4.5068954246526051E-2</v>
      </c>
      <c r="J202" s="9"/>
      <c r="K202" s="7">
        <v>1134.83</v>
      </c>
      <c r="L202" s="8">
        <f>IFERROR(K202/K444, "NA")</f>
        <v>6.7421011878985452E-3</v>
      </c>
      <c r="M202" s="9"/>
      <c r="N202" s="10">
        <f t="shared" si="53"/>
        <v>-386.08000000000015</v>
      </c>
      <c r="O202" s="8">
        <f>IFERROR(N202/N444, "NA")</f>
        <v>-7.0470185150335986E-3</v>
      </c>
      <c r="P202" s="9"/>
      <c r="Q202" s="7">
        <v>3743.66</v>
      </c>
      <c r="R202" s="8">
        <f>IFERROR(Q202/Q444, "NA")</f>
        <v>7.3414912605375355E-3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-3743.66</v>
      </c>
      <c r="X202" s="8">
        <f>IFERROR(W202/W444, "NA")</f>
        <v>-5.179751199932478E-2</v>
      </c>
      <c r="Y202" s="9"/>
      <c r="Z202" s="7">
        <v>3589.52</v>
      </c>
      <c r="AA202" s="8">
        <f>IFERROR(Z202/Z444, "NA")</f>
        <v>8.9072470541420382E-3</v>
      </c>
      <c r="AB202" s="9"/>
      <c r="AC202" s="10">
        <f t="shared" si="55"/>
        <v>-154.13999999999987</v>
      </c>
      <c r="AD202" s="8">
        <f>IFERROR(AC202/AC444, "NA")</f>
        <v>-1.4413270756760291E-3</v>
      </c>
    </row>
    <row r="203" spans="1:30" ht="16.5" customHeight="1" x14ac:dyDescent="0.45">
      <c r="A203" s="6" t="s">
        <v>185</v>
      </c>
      <c r="B203" s="7">
        <v>1675.78</v>
      </c>
      <c r="C203" s="8">
        <f>IFERROR(B203/B444, "NA")</f>
        <v>7.5111307968016312E-3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-1675.78</v>
      </c>
      <c r="I203" s="8">
        <f>IFERROR(H203/H444, "NA")</f>
        <v>-4.9658199464296657E-2</v>
      </c>
      <c r="J203" s="9"/>
      <c r="K203" s="7">
        <v>1181.57</v>
      </c>
      <c r="L203" s="8">
        <f>IFERROR(K203/K444, "NA")</f>
        <v>7.0197866645975906E-3</v>
      </c>
      <c r="M203" s="9"/>
      <c r="N203" s="10">
        <f t="shared" si="53"/>
        <v>-494.21000000000004</v>
      </c>
      <c r="O203" s="8">
        <f>IFERROR(N203/N444, "NA")</f>
        <v>-9.0206874749138872E-3</v>
      </c>
      <c r="P203" s="9"/>
      <c r="Q203" s="7">
        <v>3531.82</v>
      </c>
      <c r="R203" s="8">
        <f>IFERROR(Q203/Q444, "NA")</f>
        <v>6.9260631744847779E-3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-3531.82</v>
      </c>
      <c r="X203" s="8">
        <f>IFERROR(W203/W444, "NA")</f>
        <v>-4.8866480617752485E-2</v>
      </c>
      <c r="Y203" s="9"/>
      <c r="Z203" s="7">
        <v>3432.07</v>
      </c>
      <c r="AA203" s="8">
        <f>IFERROR(Z203/Z444, "NA")</f>
        <v>8.5165413194826234E-3</v>
      </c>
      <c r="AB203" s="9"/>
      <c r="AC203" s="10">
        <f t="shared" si="55"/>
        <v>-99.75</v>
      </c>
      <c r="AD203" s="8">
        <f>IFERROR(AC203/AC444, "NA")</f>
        <v>-9.3273891137072803E-4</v>
      </c>
    </row>
    <row r="204" spans="1:30" ht="16.5" customHeight="1" x14ac:dyDescent="0.45">
      <c r="A204" s="6" t="s">
        <v>186</v>
      </c>
      <c r="B204" s="7">
        <v>60.73</v>
      </c>
      <c r="C204" s="8">
        <f>IFERROR(B204/B444, "NA")</f>
        <v>2.722021824402744E-4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-60.73</v>
      </c>
      <c r="I204" s="8">
        <f>IFERROR(H204/H444, "NA")</f>
        <v>-1.7996052306786905E-3</v>
      </c>
      <c r="J204" s="9"/>
      <c r="K204" s="7">
        <v>1043.1199999999999</v>
      </c>
      <c r="L204" s="8">
        <f>IFERROR(K204/K444, "NA")</f>
        <v>6.1972459232843072E-3</v>
      </c>
      <c r="M204" s="9"/>
      <c r="N204" s="10">
        <f t="shared" si="53"/>
        <v>982.38999999999987</v>
      </c>
      <c r="O204" s="8">
        <f>IFERROR(N204/N444, "NA")</f>
        <v>1.7931310917384619E-2</v>
      </c>
      <c r="P204" s="9"/>
      <c r="Q204" s="7">
        <v>371.93</v>
      </c>
      <c r="R204" s="8">
        <f>IFERROR(Q204/Q444, "NA")</f>
        <v>7.2937201683158349E-4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-371.93</v>
      </c>
      <c r="X204" s="8">
        <f>IFERROR(W204/W444, "NA")</f>
        <v>-5.1460465528143226E-3</v>
      </c>
      <c r="Y204" s="9"/>
      <c r="Z204" s="7">
        <v>1120.43</v>
      </c>
      <c r="AA204" s="8">
        <f>IFERROR(Z204/Z444, "NA")</f>
        <v>2.7803012148901146E-3</v>
      </c>
      <c r="AB204" s="9"/>
      <c r="AC204" s="10">
        <f t="shared" si="55"/>
        <v>748.5</v>
      </c>
      <c r="AD204" s="8">
        <f>IFERROR(AC204/AC444, "NA")</f>
        <v>6.9990483725412521E-3</v>
      </c>
    </row>
    <row r="205" spans="1:30" ht="16.5" customHeight="1" x14ac:dyDescent="0.45">
      <c r="A205" s="6" t="s">
        <v>187</v>
      </c>
      <c r="B205" s="7">
        <v>886.98</v>
      </c>
      <c r="C205" s="8">
        <f>IFERROR(B205/B444, "NA")</f>
        <v>3.9755951223592063E-3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-886.98</v>
      </c>
      <c r="I205" s="8">
        <f>IFERROR(H205/H444, "NA")</f>
        <v>-2.6283778157539683E-2</v>
      </c>
      <c r="J205" s="9"/>
      <c r="K205" s="7">
        <v>518.24</v>
      </c>
      <c r="L205" s="8">
        <f>IFERROR(K205/K444, "NA")</f>
        <v>3.0788986188385417E-3</v>
      </c>
      <c r="M205" s="9"/>
      <c r="N205" s="10">
        <f t="shared" si="53"/>
        <v>-368.74</v>
      </c>
      <c r="O205" s="8">
        <f>IFERROR(N205/N444, "NA")</f>
        <v>-6.7305159739781606E-3</v>
      </c>
      <c r="P205" s="9"/>
      <c r="Q205" s="7">
        <v>2282.59</v>
      </c>
      <c r="R205" s="8">
        <f>IFERROR(Q205/Q444, "NA")</f>
        <v>4.4762650818691799E-3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-2282.59</v>
      </c>
      <c r="X205" s="8">
        <f>IFERROR(W205/W444, "NA")</f>
        <v>-3.1582056841310047E-2</v>
      </c>
      <c r="Y205" s="9"/>
      <c r="Z205" s="7">
        <v>1546.37</v>
      </c>
      <c r="AA205" s="8">
        <f>IFERROR(Z205/Z444, "NA")</f>
        <v>3.8372539022247043E-3</v>
      </c>
      <c r="AB205" s="9"/>
      <c r="AC205" s="10">
        <f t="shared" si="55"/>
        <v>-736.22000000000025</v>
      </c>
      <c r="AD205" s="8">
        <f>IFERROR(AC205/AC444, "NA")</f>
        <v>-6.8842209657078452E-3</v>
      </c>
    </row>
    <row r="206" spans="1:30" ht="16.5" customHeight="1" x14ac:dyDescent="0.45">
      <c r="A206" s="6" t="s">
        <v>188</v>
      </c>
      <c r="B206" s="7">
        <v>119.48</v>
      </c>
      <c r="C206" s="8">
        <f>IFERROR(B206/B444, "NA")</f>
        <v>5.3552966833466146E-4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-119.48</v>
      </c>
      <c r="I206" s="8">
        <f>IFERROR(H206/H444, "NA")</f>
        <v>-3.5405373449940714E-3</v>
      </c>
      <c r="J206" s="9"/>
      <c r="K206" s="7">
        <v>206.69</v>
      </c>
      <c r="L206" s="8">
        <f>IFERROR(K206/K444, "NA")</f>
        <v>1.2279591608670465E-3</v>
      </c>
      <c r="M206" s="9"/>
      <c r="N206" s="10">
        <f t="shared" si="53"/>
        <v>87.21</v>
      </c>
      <c r="O206" s="8">
        <f>IFERROR(N206/N444, "NA")</f>
        <v>1.591821603543514E-3</v>
      </c>
      <c r="P206" s="9"/>
      <c r="Q206" s="7">
        <v>255.24</v>
      </c>
      <c r="R206" s="8">
        <f>IFERROR(Q206/Q444, "NA")</f>
        <v>5.0053750322935327E-4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-255.24</v>
      </c>
      <c r="X206" s="8">
        <f>IFERROR(W206/W444, "NA")</f>
        <v>-3.5315164739072613E-3</v>
      </c>
      <c r="Y206" s="9"/>
      <c r="Z206" s="7">
        <v>226.81</v>
      </c>
      <c r="AA206" s="8">
        <f>IFERROR(Z206/Z444, "NA")</f>
        <v>5.6281973755542677E-4</v>
      </c>
      <c r="AB206" s="9"/>
      <c r="AC206" s="10">
        <f t="shared" si="55"/>
        <v>-28.430000000000007</v>
      </c>
      <c r="AD206" s="8">
        <f>IFERROR(AC206/AC444, "NA")</f>
        <v>-2.6584227819819351E-4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99.6</v>
      </c>
      <c r="R207" s="8">
        <f>IFERROR(Q207/Q444, "NA")</f>
        <v>1.9532022928084777E-4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-1.3780717787226266E-3</v>
      </c>
      <c r="Y207" s="9"/>
      <c r="Z207" s="7">
        <v>154.15</v>
      </c>
      <c r="AA207" s="8">
        <f>IFERROR(Z207/Z444, "NA")</f>
        <v>3.8251691964273637E-4</v>
      </c>
      <c r="AB207" s="9"/>
      <c r="AC207" s="10">
        <f t="shared" si="55"/>
        <v>54.550000000000011</v>
      </c>
      <c r="AD207" s="8">
        <f>IFERROR(AC207/AC444, "NA")</f>
        <v>5.1008428686990701E-4</v>
      </c>
    </row>
    <row r="208" spans="1:30" ht="16.5" customHeight="1" x14ac:dyDescent="0.45">
      <c r="A208" s="6" t="s">
        <v>190</v>
      </c>
      <c r="B208" s="7">
        <v>173</v>
      </c>
      <c r="C208" s="8">
        <f>IFERROR(B208/B444, "NA")</f>
        <v>7.754154052719821E-4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-173</v>
      </c>
      <c r="I208" s="8">
        <f>IFERROR(H208/H444, "NA")</f>
        <v>-5.1264894600265678E-3</v>
      </c>
      <c r="J208" s="9"/>
      <c r="K208" s="7">
        <v>415.72</v>
      </c>
      <c r="L208" s="8">
        <f>IFERROR(K208/K444, "NA")</f>
        <v>2.469820418770374E-3</v>
      </c>
      <c r="M208" s="9"/>
      <c r="N208" s="10">
        <f t="shared" si="53"/>
        <v>242.72000000000003</v>
      </c>
      <c r="O208" s="8">
        <f>IFERROR(N208/N444, "NA")</f>
        <v>4.4303054651081497E-3</v>
      </c>
      <c r="P208" s="9"/>
      <c r="Q208" s="7">
        <v>402.3</v>
      </c>
      <c r="R208" s="8">
        <f>IFERROR(Q208/Q444, "NA")</f>
        <v>7.8892899839041227E-4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-402.3</v>
      </c>
      <c r="X208" s="8">
        <f>IFERROR(W208/W444, "NA")</f>
        <v>-5.5662477568284409E-3</v>
      </c>
      <c r="Y208" s="9"/>
      <c r="Z208" s="7">
        <v>527.51</v>
      </c>
      <c r="AA208" s="8">
        <f>IFERROR(Z208/Z444, "NA")</f>
        <v>1.3089944877115788E-3</v>
      </c>
      <c r="AB208" s="9"/>
      <c r="AC208" s="10">
        <f t="shared" si="55"/>
        <v>125.20999999999998</v>
      </c>
      <c r="AD208" s="8">
        <f>IFERROR(AC208/AC444, "NA")</f>
        <v>1.1708094144634469E-3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4436.8799999999992</v>
      </c>
      <c r="C209" s="15">
        <f>IFERROR(B209/B444, "NA")</f>
        <v>1.9886850308341916E-2</v>
      </c>
      <c r="D209" s="2"/>
      <c r="E209" s="14">
        <f>IFERROR(E201+E202+E203+E204+E205+E206+E207+E208, "NA")</f>
        <v>3219.12</v>
      </c>
      <c r="F209" s="15">
        <f>IFERROR(E209/E444, "NA")</f>
        <v>1.7000006284328475E-2</v>
      </c>
      <c r="G209" s="2"/>
      <c r="H209" s="14">
        <f t="shared" si="52"/>
        <v>-1217.7599999999993</v>
      </c>
      <c r="I209" s="15">
        <f>IFERROR(H209/H444, "NA")</f>
        <v>-3.6085744536658665E-2</v>
      </c>
      <c r="J209" s="2"/>
      <c r="K209" s="14">
        <f>IFERROR(K201+K202+K203+K204+K205+K206+K207+K208, "NA")</f>
        <v>4500.1699999999992</v>
      </c>
      <c r="L209" s="15">
        <f>IFERROR(K209/K444, "NA")</f>
        <v>2.6735811974256403E-2</v>
      </c>
      <c r="M209" s="2"/>
      <c r="N209" s="14">
        <f t="shared" si="53"/>
        <v>63.289999999999964</v>
      </c>
      <c r="O209" s="15">
        <f>IFERROR(N209/N444, "NA")</f>
        <v>1.1552160221106403E-3</v>
      </c>
      <c r="P209" s="2"/>
      <c r="Q209" s="14">
        <f>IFERROR(Q201+Q202+Q203+Q204+Q205+Q206+Q207+Q208, "NA")</f>
        <v>10687.14</v>
      </c>
      <c r="R209" s="15">
        <f>IFERROR(Q209/Q444, "NA")</f>
        <v>2.095797826462369E-2</v>
      </c>
      <c r="S209" s="2"/>
      <c r="T209" s="14">
        <f>IFERROR(T201+T202+T203+T204+T205+T206+T207+T208, "NA")</f>
        <v>7688.47</v>
      </c>
      <c r="U209" s="15">
        <f>IFERROR(T209/T444, "NA")</f>
        <v>1.7567344759452222E-2</v>
      </c>
      <c r="V209" s="2"/>
      <c r="W209" s="14">
        <f t="shared" si="54"/>
        <v>-2998.6699999999992</v>
      </c>
      <c r="X209" s="15">
        <f>IFERROR(W209/W444, "NA")</f>
        <v>-4.1489784143596165E-2</v>
      </c>
      <c r="Y209" s="2"/>
      <c r="Z209" s="14">
        <f>IFERROR(Z201+Z202+Z203+Z204+Z205+Z206+Z207+Z208, "NA")</f>
        <v>10596.859999999999</v>
      </c>
      <c r="AA209" s="15">
        <f>IFERROR(Z209/Z444, "NA")</f>
        <v>2.6295674635649219E-2</v>
      </c>
      <c r="AB209" s="2"/>
      <c r="AC209" s="14">
        <f t="shared" si="55"/>
        <v>-90.280000000000655</v>
      </c>
      <c r="AD209" s="15">
        <f>IFERROR(AC209/AC444, "NA")</f>
        <v>-8.4418715707819478E-4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8631.32</v>
      </c>
      <c r="F213" s="8">
        <f>IFERROR(E213/E444, "NA")</f>
        <v>4.5581554661537953E-2</v>
      </c>
      <c r="G213" s="9"/>
      <c r="H213" s="10">
        <f t="shared" ref="H213:H227" si="56">IFERROR(-(B213-E213), "NA")</f>
        <v>8631.32</v>
      </c>
      <c r="I213" s="8">
        <f>IFERROR(H213/H444, "NA")</f>
        <v>0.25577093067119372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20664.96</v>
      </c>
      <c r="U213" s="8">
        <f>IFERROR(T213/T444, "NA")</f>
        <v>4.7217258669187731E-2</v>
      </c>
      <c r="V213" s="9"/>
      <c r="W213" s="10">
        <f t="shared" ref="W213:W227" si="58">IFERROR(-(Q213-T213), "NA")</f>
        <v>20664.96</v>
      </c>
      <c r="X213" s="8">
        <f>IFERROR(W213/W444, "NA")</f>
        <v>0.28592166851839285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7511.92</v>
      </c>
      <c r="C214" s="8">
        <f>IFERROR(B214/B444, "NA")</f>
        <v>3.3669702261102358E-2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-7511.92</v>
      </c>
      <c r="I214" s="8">
        <f>IFERROR(H214/H444, "NA")</f>
        <v>-0.22259987690498714</v>
      </c>
      <c r="J214" s="9"/>
      <c r="K214" s="7">
        <v>1020</v>
      </c>
      <c r="L214" s="8">
        <f>IFERROR(K214/K444, "NA")</f>
        <v>6.0598884517121653E-3</v>
      </c>
      <c r="M214" s="9"/>
      <c r="N214" s="10">
        <f t="shared" si="57"/>
        <v>-6491.92</v>
      </c>
      <c r="O214" s="8">
        <f>IFERROR(N214/N444, "NA")</f>
        <v>-0.11849533888861609</v>
      </c>
      <c r="P214" s="9"/>
      <c r="Q214" s="7">
        <v>17236.990000000002</v>
      </c>
      <c r="R214" s="8">
        <f>IFERROR(Q214/Q444, "NA")</f>
        <v>3.3802538543289969E-2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-17236.990000000002</v>
      </c>
      <c r="X214" s="8">
        <f>IFERROR(W214/W444, "NA")</f>
        <v>-0.23849206294301337</v>
      </c>
      <c r="Y214" s="9"/>
      <c r="Z214" s="7">
        <v>1970</v>
      </c>
      <c r="AA214" s="8">
        <f>IFERROR(Z214/Z444, "NA")</f>
        <v>4.8884744190476198E-3</v>
      </c>
      <c r="AB214" s="9"/>
      <c r="AC214" s="10">
        <f t="shared" si="59"/>
        <v>-15266.990000000002</v>
      </c>
      <c r="AD214" s="8">
        <f>IFERROR(AC214/AC444, "NA")</f>
        <v>-0.1427580514537122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3.97</v>
      </c>
      <c r="C216" s="8">
        <f>IFERROR(B216/B444, "NA")</f>
        <v>1.7794214791501557E-5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-3.97</v>
      </c>
      <c r="I216" s="8">
        <f>IFERROR(H216/H444, "NA")</f>
        <v>-1.1764256159714147E-4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-3.97</v>
      </c>
      <c r="O216" s="8">
        <f>IFERROR(N216/N444, "NA")</f>
        <v>-7.2463384543833856E-5</v>
      </c>
      <c r="P216" s="9"/>
      <c r="Q216" s="7">
        <v>3.97</v>
      </c>
      <c r="R216" s="8">
        <f>IFERROR(Q216/Q444, "NA")</f>
        <v>7.7853545205317845E-6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-3.97</v>
      </c>
      <c r="X216" s="8">
        <f>IFERROR(W216/W444, "NA")</f>
        <v>-5.4929166280409921E-5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-3.97</v>
      </c>
      <c r="AD216" s="8">
        <f>IFERROR(AC216/AC444, "NA")</f>
        <v>-3.7122541134253538E-5</v>
      </c>
    </row>
    <row r="217" spans="1:30" ht="16.5" customHeight="1" x14ac:dyDescent="0.45">
      <c r="A217" s="12" t="s">
        <v>197</v>
      </c>
      <c r="B217" s="7">
        <v>8786.68</v>
      </c>
      <c r="C217" s="8">
        <f>IFERROR(B217/B444, "NA")</f>
        <v>3.9383393255463701E-2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-8786.68</v>
      </c>
      <c r="I217" s="8">
        <f>IFERROR(H217/H444, "NA")</f>
        <v>-0.2603746960036199</v>
      </c>
      <c r="J217" s="9"/>
      <c r="K217" s="7">
        <v>386</v>
      </c>
      <c r="L217" s="8">
        <f>IFERROR(K217/K444, "NA")</f>
        <v>2.2932519042753881E-3</v>
      </c>
      <c r="M217" s="9"/>
      <c r="N217" s="10">
        <f t="shared" si="57"/>
        <v>-8400.68</v>
      </c>
      <c r="O217" s="8">
        <f>IFERROR(N217/N444, "NA")</f>
        <v>-0.15333544213342423</v>
      </c>
      <c r="P217" s="9"/>
      <c r="Q217" s="7">
        <v>17294.86</v>
      </c>
      <c r="R217" s="8">
        <f>IFERROR(Q217/Q444, "NA")</f>
        <v>3.3916024303013687E-2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-17294.86</v>
      </c>
      <c r="X217" s="8">
        <f>IFERROR(W217/W444, "NA")</f>
        <v>-0.23929275585300008</v>
      </c>
      <c r="Y217" s="9"/>
      <c r="Z217" s="7">
        <v>998.06</v>
      </c>
      <c r="AA217" s="8">
        <f>IFERROR(Z217/Z444, "NA")</f>
        <v>2.4766450653170903E-3</v>
      </c>
      <c r="AB217" s="9"/>
      <c r="AC217" s="10">
        <f t="shared" si="59"/>
        <v>-16296.800000000001</v>
      </c>
      <c r="AD217" s="8">
        <f>IFERROR(AC217/AC444, "NA")</f>
        <v>-0.15238756381780932</v>
      </c>
    </row>
    <row r="218" spans="1:30" ht="16.5" customHeight="1" x14ac:dyDescent="0.45">
      <c r="A218" s="13" t="s">
        <v>198</v>
      </c>
      <c r="B218" s="14">
        <f>IFERROR(B213+B214+B215+B216+B217, "NA")</f>
        <v>16302.57</v>
      </c>
      <c r="C218" s="15">
        <f>IFERROR(B218/B444, "NA")</f>
        <v>7.3070889731357558E-2</v>
      </c>
      <c r="D218" s="2"/>
      <c r="E218" s="14">
        <f>IFERROR(E213+E214+E215+E216+E217, "NA")</f>
        <v>8631.32</v>
      </c>
      <c r="F218" s="15">
        <f>IFERROR(E218/E444, "NA")</f>
        <v>4.5581554661537953E-2</v>
      </c>
      <c r="G218" s="2"/>
      <c r="H218" s="14">
        <f t="shared" si="56"/>
        <v>-7671.25</v>
      </c>
      <c r="I218" s="15">
        <f>IFERROR(H218/H444, "NA")</f>
        <v>-0.22732128479901045</v>
      </c>
      <c r="J218" s="2"/>
      <c r="K218" s="14">
        <f>IFERROR(K213+K214+K215+K216+K217, "NA")</f>
        <v>1406</v>
      </c>
      <c r="L218" s="15">
        <f>IFERROR(K218/K444, "NA")</f>
        <v>8.3531403559875539E-3</v>
      </c>
      <c r="M218" s="2"/>
      <c r="N218" s="14">
        <f t="shared" si="57"/>
        <v>-14896.57</v>
      </c>
      <c r="O218" s="15">
        <f>IFERROR(N218/N444, "NA")</f>
        <v>-0.27190324440658414</v>
      </c>
      <c r="P218" s="2"/>
      <c r="Q218" s="14">
        <f>IFERROR(Q213+Q214+Q215+Q216+Q217, "NA")</f>
        <v>34535.820000000007</v>
      </c>
      <c r="R218" s="15">
        <f>IFERROR(Q218/Q444, "NA")</f>
        <v>6.7726348200824196E-2</v>
      </c>
      <c r="S218" s="2"/>
      <c r="T218" s="14">
        <f>IFERROR(T213+T214+T215+T216+T217, "NA")</f>
        <v>20664.96</v>
      </c>
      <c r="U218" s="15">
        <f>IFERROR(T218/T444, "NA")</f>
        <v>4.7217258669187731E-2</v>
      </c>
      <c r="V218" s="2"/>
      <c r="W218" s="14">
        <f t="shared" si="58"/>
        <v>-13870.860000000008</v>
      </c>
      <c r="X218" s="15">
        <f>IFERROR(W218/W444, "NA")</f>
        <v>-0.19191807944390105</v>
      </c>
      <c r="Y218" s="2"/>
      <c r="Z218" s="14">
        <f>IFERROR(Z213+Z214+Z215+Z216+Z217, "NA")</f>
        <v>2968.06</v>
      </c>
      <c r="AA218" s="15">
        <f>IFERROR(Z218/Z444, "NA")</f>
        <v>7.3651194843647105E-3</v>
      </c>
      <c r="AB218" s="2"/>
      <c r="AC218" s="14">
        <f t="shared" si="59"/>
        <v>-31567.760000000006</v>
      </c>
      <c r="AD218" s="15">
        <f>IFERROR(AC218/AC444, "NA")</f>
        <v>-0.2951827378126558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317.87</v>
      </c>
      <c r="C222" s="8">
        <f>IFERROR(B222/B444, "NA")</f>
        <v>1.4247473692127453E-3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-317.87</v>
      </c>
      <c r="I222" s="8">
        <f>IFERROR(H222/H444, "NA")</f>
        <v>-9.419405807275405E-3</v>
      </c>
      <c r="J222" s="9"/>
      <c r="K222" s="7">
        <v>87.5</v>
      </c>
      <c r="L222" s="8">
        <f>IFERROR(K222/K444, "NA")</f>
        <v>5.1984337208315148E-4</v>
      </c>
      <c r="M222" s="9"/>
      <c r="N222" s="10">
        <f t="shared" si="57"/>
        <v>-230.37</v>
      </c>
      <c r="O222" s="8">
        <f>IFERROR(N222/N444, "NA")</f>
        <v>-4.2048841051292203E-3</v>
      </c>
      <c r="P222" s="9"/>
      <c r="Q222" s="7">
        <v>754</v>
      </c>
      <c r="R222" s="8">
        <f>IFERROR(Q222/Q444, "NA")</f>
        <v>1.4786290449574219E-3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-754</v>
      </c>
      <c r="X222" s="8">
        <f>IFERROR(W222/W444, "NA")</f>
        <v>-1.0432390774667274E-2</v>
      </c>
      <c r="Y222" s="9"/>
      <c r="Z222" s="7">
        <v>462.5</v>
      </c>
      <c r="AA222" s="8">
        <f>IFERROR(Z222/Z444, "NA")</f>
        <v>1.1476748318830074E-3</v>
      </c>
      <c r="AB222" s="9"/>
      <c r="AC222" s="10">
        <f t="shared" si="59"/>
        <v>-291.5</v>
      </c>
      <c r="AD222" s="8">
        <f>IFERROR(AC222/AC444, "NA")</f>
        <v>-2.7257482973891451E-3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189.36</v>
      </c>
      <c r="F226" s="8">
        <f>IFERROR(E226/E444, "NA")</f>
        <v>1.0000003696663809E-3</v>
      </c>
      <c r="G226" s="9"/>
      <c r="H226" s="10">
        <f t="shared" si="56"/>
        <v>189.36</v>
      </c>
      <c r="I226" s="8">
        <f>IFERROR(H226/H444, "NA")</f>
        <v>5.6112834922001789E-3</v>
      </c>
      <c r="J226" s="9"/>
      <c r="K226" s="7">
        <v>318.2</v>
      </c>
      <c r="L226" s="8">
        <f>IFERROR(K226/K444, "NA")</f>
        <v>1.8904475542498146E-3</v>
      </c>
      <c r="M226" s="9"/>
      <c r="N226" s="10">
        <f t="shared" si="57"/>
        <v>318.2</v>
      </c>
      <c r="O226" s="8">
        <f>IFERROR(N226/N444, "NA")</f>
        <v>5.8080224085259279E-3</v>
      </c>
      <c r="P226" s="9"/>
      <c r="Q226" s="7">
        <v>0</v>
      </c>
      <c r="R226" s="8">
        <f>IFERROR(Q226/Q444, "NA")</f>
        <v>0</v>
      </c>
      <c r="S226" s="9"/>
      <c r="T226" s="7">
        <v>437.66</v>
      </c>
      <c r="U226" s="8">
        <f>IFERROR(T226/T444, "NA")</f>
        <v>1.0000070374758384E-3</v>
      </c>
      <c r="V226" s="9"/>
      <c r="W226" s="10">
        <f t="shared" si="58"/>
        <v>437.66</v>
      </c>
      <c r="X226" s="8">
        <f>IFERROR(W226/W444, "NA")</f>
        <v>6.0554909103990445E-3</v>
      </c>
      <c r="Y226" s="9"/>
      <c r="Z226" s="7">
        <v>886.94</v>
      </c>
      <c r="AA226" s="8">
        <f>IFERROR(Z226/Z444, "NA")</f>
        <v>2.200905330573653E-3</v>
      </c>
      <c r="AB226" s="9"/>
      <c r="AC226" s="10">
        <f t="shared" si="59"/>
        <v>886.94</v>
      </c>
      <c r="AD226" s="8">
        <f>IFERROR(AC226/AC444, "NA")</f>
        <v>8.2935684215654486E-3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16620.439999999999</v>
      </c>
      <c r="C227" s="15">
        <f>IFERROR(B227/B444, "NA")</f>
        <v>7.4495637100570292E-2</v>
      </c>
      <c r="D227" s="2"/>
      <c r="E227" s="14">
        <f>IFERROR(E211+E213+E214+E215+E216+E217+E219+E220+E221+E222+E223+E224+E225+E226, "NA")</f>
        <v>8820.68</v>
      </c>
      <c r="F227" s="15">
        <f>IFERROR(E227/E444, "NA")</f>
        <v>4.6581555031204334E-2</v>
      </c>
      <c r="G227" s="2"/>
      <c r="H227" s="14">
        <f t="shared" si="56"/>
        <v>-7799.7599999999984</v>
      </c>
      <c r="I227" s="15">
        <f>IFERROR(H227/H444, "NA")</f>
        <v>-0.23112940711408561</v>
      </c>
      <c r="J227" s="2"/>
      <c r="K227" s="14">
        <f>IFERROR(K211+K213+K214+K215+K216+K217+K219+K220+K221+K222+K223+K224+K225+K226, "NA")</f>
        <v>1811.7</v>
      </c>
      <c r="L227" s="15">
        <f>IFERROR(K227/K444, "NA")</f>
        <v>1.076343128232052E-2</v>
      </c>
      <c r="M227" s="2"/>
      <c r="N227" s="14">
        <f t="shared" si="57"/>
        <v>-14808.739999999998</v>
      </c>
      <c r="O227" s="15">
        <f>IFERROR(N227/N444, "NA")</f>
        <v>-0.27030010610318744</v>
      </c>
      <c r="P227" s="2"/>
      <c r="Q227" s="14">
        <f>IFERROR(Q211+Q213+Q214+Q215+Q216+Q217+Q219+Q220+Q221+Q222+Q223+Q224+Q225+Q226, "NA")</f>
        <v>35289.820000000007</v>
      </c>
      <c r="R227" s="15">
        <f>IFERROR(Q227/Q444, "NA")</f>
        <v>6.9204977245781618E-2</v>
      </c>
      <c r="S227" s="2"/>
      <c r="T227" s="14">
        <f>IFERROR(T211+T213+T214+T215+T216+T217+T219+T220+T221+T222+T223+T224+T225+T226, "NA")</f>
        <v>21102.62</v>
      </c>
      <c r="U227" s="15">
        <f>IFERROR(T227/T444, "NA")</f>
        <v>4.8217265706663563E-2</v>
      </c>
      <c r="V227" s="2"/>
      <c r="W227" s="14">
        <f t="shared" si="58"/>
        <v>-14187.200000000008</v>
      </c>
      <c r="X227" s="15">
        <f>IFERROR(W227/W444, "NA")</f>
        <v>-0.19629497930816928</v>
      </c>
      <c r="Y227" s="2"/>
      <c r="Z227" s="14">
        <f>IFERROR(Z211+Z213+Z214+Z215+Z216+Z217+Z219+Z220+Z221+Z222+Z223+Z224+Z225+Z226, "NA")</f>
        <v>4317.5</v>
      </c>
      <c r="AA227" s="15">
        <f>IFERROR(Z227/Z444, "NA")</f>
        <v>1.0713699646821371E-2</v>
      </c>
      <c r="AB227" s="2"/>
      <c r="AC227" s="14">
        <f t="shared" si="59"/>
        <v>-30972.320000000007</v>
      </c>
      <c r="AD227" s="15">
        <f>IFERROR(AC227/AC444, "NA")</f>
        <v>-0.28961491768847952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5633.46</v>
      </c>
      <c r="F229" s="8">
        <f>IFERROR(E229/E444, "NA")</f>
        <v>2.9750010997574832E-2</v>
      </c>
      <c r="G229" s="9"/>
      <c r="H229" s="10">
        <f t="shared" ref="H229:H236" si="60">IFERROR(-(B229-E229), "NA")</f>
        <v>5633.46</v>
      </c>
      <c r="I229" s="8">
        <f>IFERROR(H229/H444, "NA")</f>
        <v>0.16693568389295529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13020.3</v>
      </c>
      <c r="U229" s="8">
        <f>IFERROR(T229/T444, "NA")</f>
        <v>2.975001514885221E-2</v>
      </c>
      <c r="V229" s="9"/>
      <c r="W229" s="10">
        <f t="shared" ref="W229:W236" si="62">IFERROR(-(Q229-T229), "NA")</f>
        <v>13020.3</v>
      </c>
      <c r="X229" s="8">
        <f>IFERROR(W229/W444, "NA")</f>
        <v>0.18014967851909855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7.4443772878897768E-5</v>
      </c>
      <c r="AB230" s="9"/>
      <c r="AC230" s="10">
        <f t="shared" si="63"/>
        <v>30</v>
      </c>
      <c r="AD230" s="8">
        <f>IFERROR(AC230/AC444, "NA")</f>
        <v>2.8052298086337686E-4</v>
      </c>
    </row>
    <row r="231" spans="1:30" ht="16.5" customHeight="1" x14ac:dyDescent="0.45">
      <c r="A231" s="6" t="s">
        <v>210</v>
      </c>
      <c r="B231" s="7">
        <v>547.87</v>
      </c>
      <c r="C231" s="8">
        <f>IFERROR(B231/B444, "NA")</f>
        <v>2.4556464629269413E-3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-547.87</v>
      </c>
      <c r="I231" s="8">
        <f>IFERROR(H231/H444, "NA")</f>
        <v>-1.6234969829276046E-2</v>
      </c>
      <c r="J231" s="9"/>
      <c r="K231" s="7">
        <v>658.62</v>
      </c>
      <c r="L231" s="8">
        <f>IFERROR(K231/K444, "NA")</f>
        <v>3.912905619673202E-3</v>
      </c>
      <c r="M231" s="9"/>
      <c r="N231" s="10">
        <f t="shared" si="61"/>
        <v>110.75</v>
      </c>
      <c r="O231" s="8">
        <f>IFERROR(N231/N444, "NA")</f>
        <v>2.0214911431308815E-3</v>
      </c>
      <c r="P231" s="9"/>
      <c r="Q231" s="7">
        <v>1184.81</v>
      </c>
      <c r="R231" s="8">
        <f>IFERROR(Q231/Q444, "NA")</f>
        <v>2.3234674784562374E-3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-1184.81</v>
      </c>
      <c r="X231" s="8">
        <f>IFERROR(W231/W444, "NA")</f>
        <v>-1.6393104660124048E-2</v>
      </c>
      <c r="Y231" s="9"/>
      <c r="Z231" s="7">
        <v>928.5</v>
      </c>
      <c r="AA231" s="8">
        <f>IFERROR(Z231/Z444, "NA")</f>
        <v>2.3040347706018861E-3</v>
      </c>
      <c r="AB231" s="9"/>
      <c r="AC231" s="10">
        <f t="shared" si="63"/>
        <v>-256.30999999999995</v>
      </c>
      <c r="AD231" s="8">
        <f>IFERROR(AC231/AC444, "NA")</f>
        <v>-2.3966948408364035E-3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4.25</v>
      </c>
      <c r="L233" s="8">
        <f>IFERROR(K233/K444, "NA")</f>
        <v>2.5249535215467355E-5</v>
      </c>
      <c r="M233" s="9"/>
      <c r="N233" s="10">
        <f t="shared" si="61"/>
        <v>4.25</v>
      </c>
      <c r="O233" s="8">
        <f>IFERROR(N233/N444, "NA")</f>
        <v>7.7574152219469491E-5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4.2184804631375405E-5</v>
      </c>
      <c r="AB233" s="9"/>
      <c r="AC233" s="10">
        <f t="shared" si="63"/>
        <v>17</v>
      </c>
      <c r="AD233" s="8">
        <f>IFERROR(AC233/AC444, "NA")</f>
        <v>1.5896302248924688E-4</v>
      </c>
    </row>
    <row r="234" spans="1:30" ht="16.5" customHeight="1" x14ac:dyDescent="0.45">
      <c r="A234" s="6" t="s">
        <v>213</v>
      </c>
      <c r="B234" s="7">
        <v>4772.8999999999996</v>
      </c>
      <c r="C234" s="8">
        <f>IFERROR(B234/B444, "NA")</f>
        <v>2.139294906255863E-2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-4772.8999999999996</v>
      </c>
      <c r="I234" s="8">
        <f>IFERROR(H234/H444, "NA")</f>
        <v>-0.14143480661133412</v>
      </c>
      <c r="J234" s="9"/>
      <c r="K234" s="7">
        <v>4243.71</v>
      </c>
      <c r="L234" s="8">
        <f>IFERROR(K234/K444, "NA")</f>
        <v>2.5212165903348464E-2</v>
      </c>
      <c r="M234" s="9"/>
      <c r="N234" s="10">
        <f t="shared" si="61"/>
        <v>-529.1899999999996</v>
      </c>
      <c r="O234" s="8">
        <f>IFERROR(N234/N444, "NA")</f>
        <v>-9.6591683795343598E-3</v>
      </c>
      <c r="P234" s="9"/>
      <c r="Q234" s="7">
        <v>10639.82</v>
      </c>
      <c r="R234" s="8">
        <f>IFERROR(Q234/Q444, "NA")</f>
        <v>2.0865181545250501E-2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-10639.82</v>
      </c>
      <c r="X234" s="8">
        <f>IFERROR(W234/W444, "NA")</f>
        <v>-0.14721320956514636</v>
      </c>
      <c r="Y234" s="9"/>
      <c r="Z234" s="7">
        <v>11416.85</v>
      </c>
      <c r="AA234" s="8">
        <f>IFERROR(Z234/Z444, "NA")</f>
        <v>2.8330446279748133E-2</v>
      </c>
      <c r="AB234" s="9"/>
      <c r="AC234" s="10">
        <f t="shared" si="63"/>
        <v>777.03000000000065</v>
      </c>
      <c r="AD234" s="8">
        <f>IFERROR(AC234/AC444, "NA")</f>
        <v>7.2658257273423297E-3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5320.7699999999995</v>
      </c>
      <c r="C236" s="15">
        <f>IFERROR(B236/B444, "NA")</f>
        <v>2.3848595525485572E-2</v>
      </c>
      <c r="D236" s="2"/>
      <c r="E236" s="14">
        <f>IFERROR(E229+E230+E231+E232+E233+E234+E235, "NA")</f>
        <v>5633.46</v>
      </c>
      <c r="F236" s="15">
        <f>IFERROR(E236/E444, "NA")</f>
        <v>2.9750010997574832E-2</v>
      </c>
      <c r="G236" s="2"/>
      <c r="H236" s="14">
        <f t="shared" si="60"/>
        <v>312.69000000000051</v>
      </c>
      <c r="I236" s="15">
        <f>IFERROR(H236/H444, "NA")</f>
        <v>9.2659074523451443E-3</v>
      </c>
      <c r="J236" s="2"/>
      <c r="K236" s="14">
        <f>IFERROR(K229+K230+K231+K232+K233+K234+K235, "NA")</f>
        <v>4906.58</v>
      </c>
      <c r="L236" s="15">
        <f>IFERROR(K236/K444, "NA")</f>
        <v>2.9150321058237134E-2</v>
      </c>
      <c r="M236" s="2"/>
      <c r="N236" s="14">
        <f t="shared" si="61"/>
        <v>-414.1899999999996</v>
      </c>
      <c r="O236" s="15">
        <f>IFERROR(N236/N444, "NA")</f>
        <v>-7.560103084184009E-3</v>
      </c>
      <c r="P236" s="2"/>
      <c r="Q236" s="14">
        <f>IFERROR(Q229+Q230+Q231+Q232+Q233+Q234+Q235, "NA")</f>
        <v>11824.63</v>
      </c>
      <c r="R236" s="15">
        <f>IFERROR(Q236/Q444, "NA")</f>
        <v>2.3188649023706737E-2</v>
      </c>
      <c r="S236" s="2"/>
      <c r="T236" s="14">
        <f>IFERROR(T229+T230+T231+T232+T233+T234+T235, "NA")</f>
        <v>13020.3</v>
      </c>
      <c r="U236" s="15">
        <f>IFERROR(T236/T444, "NA")</f>
        <v>2.975001514885221E-2</v>
      </c>
      <c r="V236" s="2"/>
      <c r="W236" s="14">
        <f t="shared" si="62"/>
        <v>1195.67</v>
      </c>
      <c r="X236" s="15">
        <f>IFERROR(W236/W444, "NA")</f>
        <v>1.6543364293828144E-2</v>
      </c>
      <c r="Y236" s="2"/>
      <c r="Z236" s="14">
        <f>IFERROR(Z229+Z230+Z231+Z232+Z233+Z234+Z235, "NA")</f>
        <v>12392.35</v>
      </c>
      <c r="AA236" s="15">
        <f>IFERROR(Z236/Z444, "NA")</f>
        <v>3.0751109627860294E-2</v>
      </c>
      <c r="AB236" s="2"/>
      <c r="AC236" s="14">
        <f t="shared" si="63"/>
        <v>567.72000000000116</v>
      </c>
      <c r="AD236" s="15">
        <f>IFERROR(AC236/AC444, "NA")</f>
        <v>5.3086168898585544E-3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17482.84</v>
      </c>
      <c r="F240" s="8">
        <f>IFERROR(E240/E444, "NA")</f>
        <v>9.2325974138245614E-2</v>
      </c>
      <c r="G240" s="9"/>
      <c r="H240" s="10">
        <f t="shared" ref="H240:H263" si="64">IFERROR(-(B240-E240), "NA")</f>
        <v>17482.84</v>
      </c>
      <c r="I240" s="8">
        <f>IFERROR(H240/H444, "NA")</f>
        <v>0.51806702307127672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40723.69</v>
      </c>
      <c r="U240" s="8">
        <f>IFERROR(T240/T444, "NA")</f>
        <v>9.3049345592433455E-2</v>
      </c>
      <c r="V240" s="9"/>
      <c r="W240" s="10">
        <f t="shared" ref="W240:W263" si="66">IFERROR(-(Q240-T240), "NA")</f>
        <v>40723.69</v>
      </c>
      <c r="X240" s="8">
        <f>IFERROR(W240/W444, "NA")</f>
        <v>0.56345550114908483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3199.2</v>
      </c>
      <c r="C242" s="8">
        <f>IFERROR(B242/B444, "NA")</f>
        <v>1.4339358176567197E-2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-3199.2</v>
      </c>
      <c r="I242" s="8">
        <f>IFERROR(H242/H444, "NA")</f>
        <v>-9.480153225732367E-2</v>
      </c>
      <c r="J242" s="9"/>
      <c r="K242" s="7">
        <v>2447.7600000000002</v>
      </c>
      <c r="L242" s="8">
        <f>IFERROR(K242/K444, "NA")</f>
        <v>1.4542306428002912E-2</v>
      </c>
      <c r="M242" s="9"/>
      <c r="N242" s="10">
        <f t="shared" si="65"/>
        <v>-751.4399999999996</v>
      </c>
      <c r="O242" s="8">
        <f>IFERROR(N242/N444, "NA")</f>
        <v>-1.3715840222070147E-2</v>
      </c>
      <c r="P242" s="9"/>
      <c r="Q242" s="7">
        <v>7848.05</v>
      </c>
      <c r="R242" s="8">
        <f>IFERROR(Q242/Q444, "NA")</f>
        <v>1.5390390817344954E-2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-7848.05</v>
      </c>
      <c r="X242" s="8">
        <f>IFERROR(W242/W444, "NA")</f>
        <v>-0.10858610665666778</v>
      </c>
      <c r="Y242" s="9"/>
      <c r="Z242" s="7">
        <v>5402.27</v>
      </c>
      <c r="AA242" s="8">
        <f>IFERROR(Z242/Z444, "NA")</f>
        <v>1.3405512030349436E-2</v>
      </c>
      <c r="AB242" s="9"/>
      <c r="AC242" s="10">
        <f t="shared" si="67"/>
        <v>-2445.7799999999997</v>
      </c>
      <c r="AD242" s="8">
        <f>IFERROR(AC242/AC444, "NA")</f>
        <v>-2.2869916537867657E-2</v>
      </c>
    </row>
    <row r="243" spans="1:30" ht="16.5" customHeight="1" x14ac:dyDescent="0.45">
      <c r="A243" s="12" t="s">
        <v>220</v>
      </c>
      <c r="B243" s="7">
        <v>8457.14</v>
      </c>
      <c r="C243" s="8">
        <f>IFERROR(B243/B444, "NA")</f>
        <v>3.7906338962669886E-2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-8457.14</v>
      </c>
      <c r="I243" s="8">
        <f>IFERROR(H243/H444, "NA")</f>
        <v>-0.25060947440444559</v>
      </c>
      <c r="J243" s="9"/>
      <c r="K243" s="7">
        <v>7230.03</v>
      </c>
      <c r="L243" s="8">
        <f>IFERROR(K243/K444, "NA")</f>
        <v>4.2954093433855395E-2</v>
      </c>
      <c r="M243" s="9"/>
      <c r="N243" s="10">
        <f t="shared" si="65"/>
        <v>-1227.1099999999997</v>
      </c>
      <c r="O243" s="8">
        <f>IFERROR(N243/N444, "NA")</f>
        <v>-2.2398121865890162E-2</v>
      </c>
      <c r="P243" s="9"/>
      <c r="Q243" s="7">
        <v>20176.97</v>
      </c>
      <c r="R243" s="8">
        <f>IFERROR(Q243/Q444, "NA")</f>
        <v>3.9567975969807101E-2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-20176.97</v>
      </c>
      <c r="X243" s="8">
        <f>IFERROR(W243/W444, "NA")</f>
        <v>-0.2791698086057538</v>
      </c>
      <c r="Y243" s="9"/>
      <c r="Z243" s="7">
        <v>20440.36</v>
      </c>
      <c r="AA243" s="8">
        <f>IFERROR(Z243/Z444, "NA")</f>
        <v>5.0721917246763559E-2</v>
      </c>
      <c r="AB243" s="9"/>
      <c r="AC243" s="10">
        <f t="shared" si="67"/>
        <v>263.38999999999942</v>
      </c>
      <c r="AD243" s="8">
        <f>IFERROR(AC243/AC444, "NA")</f>
        <v>2.4628982643201554E-3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926.5</v>
      </c>
      <c r="C246" s="8">
        <f>IFERROR(B246/B444, "NA")</f>
        <v>4.1527304796791413E-3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-926.5</v>
      </c>
      <c r="I246" s="8">
        <f>IFERROR(H246/H444, "NA")</f>
        <v>-2.7454869853841705E-2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-926.5</v>
      </c>
      <c r="O246" s="8">
        <f>IFERROR(N246/N444, "NA")</f>
        <v>-1.6911165183844348E-2</v>
      </c>
      <c r="P246" s="9"/>
      <c r="Q246" s="7">
        <v>1887.26</v>
      </c>
      <c r="R246" s="8">
        <f>IFERROR(Q246/Q444, "NA")</f>
        <v>3.7010045774354696E-3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-1887.26</v>
      </c>
      <c r="X246" s="8">
        <f>IFERROR(W246/W444, "NA")</f>
        <v>-2.6112246436868117E-2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-1887.26</v>
      </c>
      <c r="AD246" s="8">
        <f>IFERROR(AC246/AC444, "NA")</f>
        <v>-1.7647326695473885E-2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6.28</v>
      </c>
      <c r="L247" s="8">
        <f>IFERROR(K247/K444, "NA")</f>
        <v>3.7309901447796473E-5</v>
      </c>
      <c r="M247" s="9"/>
      <c r="N247" s="10">
        <f t="shared" si="65"/>
        <v>6.28</v>
      </c>
      <c r="O247" s="8">
        <f>IFERROR(N247/N444, "NA")</f>
        <v>1.1462721786782786E-4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7.8</v>
      </c>
      <c r="AA247" s="8">
        <f>IFERROR(Z247/Z444, "NA")</f>
        <v>1.935538094851342E-5</v>
      </c>
      <c r="AB247" s="9"/>
      <c r="AC247" s="10">
        <f t="shared" si="67"/>
        <v>7.8</v>
      </c>
      <c r="AD247" s="8">
        <f>IFERROR(AC247/AC444, "NA")</f>
        <v>7.2935975024477977E-5</v>
      </c>
    </row>
    <row r="248" spans="1:30" ht="16.5" customHeight="1" x14ac:dyDescent="0.45">
      <c r="A248" s="12" t="s">
        <v>225</v>
      </c>
      <c r="B248" s="7">
        <v>183.48</v>
      </c>
      <c r="C248" s="8">
        <f>IFERROR(B248/B444, "NA")</f>
        <v>8.22388546585568E-4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-183.48</v>
      </c>
      <c r="I248" s="8">
        <f>IFERROR(H248/H444, "NA")</f>
        <v>-5.4370421163333791E-3</v>
      </c>
      <c r="J248" s="9"/>
      <c r="K248" s="7">
        <v>391.98</v>
      </c>
      <c r="L248" s="8">
        <f>IFERROR(K248/K444, "NA")</f>
        <v>2.3287794855903279E-3</v>
      </c>
      <c r="M248" s="9"/>
      <c r="N248" s="10">
        <f t="shared" si="65"/>
        <v>208.50000000000003</v>
      </c>
      <c r="O248" s="8">
        <f>IFERROR(N248/N444, "NA")</f>
        <v>3.8056966441786804E-3</v>
      </c>
      <c r="P248" s="9"/>
      <c r="Q248" s="7">
        <v>540.71</v>
      </c>
      <c r="R248" s="8">
        <f>IFERROR(Q248/Q444, "NA")</f>
        <v>1.0603574415105142E-3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-540.71</v>
      </c>
      <c r="X248" s="8">
        <f>IFERROR(W248/W444, "NA")</f>
        <v>-7.4812971031436894E-3</v>
      </c>
      <c r="Y248" s="9"/>
      <c r="Z248" s="7">
        <v>557.39</v>
      </c>
      <c r="AA248" s="8">
        <f>IFERROR(Z248/Z444, "NA")</f>
        <v>1.3831404854989608E-3</v>
      </c>
      <c r="AB248" s="9"/>
      <c r="AC248" s="10">
        <f t="shared" si="67"/>
        <v>16.67999999999995</v>
      </c>
      <c r="AD248" s="8">
        <f>IFERROR(AC248/AC444, "NA")</f>
        <v>1.5597077736003706E-4</v>
      </c>
    </row>
    <row r="249" spans="1:30" ht="16.5" customHeight="1" x14ac:dyDescent="0.45">
      <c r="A249" s="12" t="s">
        <v>226</v>
      </c>
      <c r="B249" s="7">
        <v>5613.48</v>
      </c>
      <c r="C249" s="8">
        <f>IFERROR(B249/B444, "NA")</f>
        <v>2.516057149818593E-2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-5613.48</v>
      </c>
      <c r="I249" s="8">
        <f>IFERROR(H249/H444, "NA")</f>
        <v>-0.16634361880965279</v>
      </c>
      <c r="J249" s="9"/>
      <c r="K249" s="7">
        <v>3318.79</v>
      </c>
      <c r="L249" s="8">
        <f>IFERROR(K249/K444, "NA")</f>
        <v>1.9717154112409624E-2</v>
      </c>
      <c r="M249" s="9"/>
      <c r="N249" s="10">
        <f t="shared" si="65"/>
        <v>-2294.6899999999996</v>
      </c>
      <c r="O249" s="8">
        <f>IFERROR(N249/N444, "NA")</f>
        <v>-4.188438384858692E-2</v>
      </c>
      <c r="P249" s="9"/>
      <c r="Q249" s="7">
        <v>12132.42</v>
      </c>
      <c r="R249" s="8">
        <f>IFERROR(Q249/Q444, "NA")</f>
        <v>2.3792239519393004E-2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-12132.42</v>
      </c>
      <c r="X249" s="8">
        <f>IFERROR(W249/W444, "NA")</f>
        <v>-0.16786491575913626</v>
      </c>
      <c r="Y249" s="9"/>
      <c r="Z249" s="7">
        <v>6999.77</v>
      </c>
      <c r="AA249" s="8">
        <f>IFERROR(Z249/Z444, "NA")</f>
        <v>1.7369642936150741E-2</v>
      </c>
      <c r="AB249" s="9"/>
      <c r="AC249" s="10">
        <f t="shared" si="67"/>
        <v>-5132.6499999999996</v>
      </c>
      <c r="AD249" s="8">
        <f>IFERROR(AC249/AC444, "NA")</f>
        <v>-4.7994209257613697E-2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132.16</v>
      </c>
      <c r="L252" s="8">
        <f>IFERROR(K252/K444, "NA")</f>
        <v>7.8517142919439192E-4</v>
      </c>
      <c r="M252" s="9"/>
      <c r="N252" s="10">
        <f t="shared" si="65"/>
        <v>132.16</v>
      </c>
      <c r="O252" s="8">
        <f>IFERROR(N252/N444, "NA")</f>
        <v>2.4122823429000208E-3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132.16</v>
      </c>
      <c r="AA252" s="8">
        <f>IFERROR(Z252/Z444, "NA")</f>
        <v>3.279496341225043E-4</v>
      </c>
      <c r="AB252" s="9"/>
      <c r="AC252" s="10">
        <f t="shared" si="67"/>
        <v>132.16</v>
      </c>
      <c r="AD252" s="8">
        <f>IFERROR(AC252/AC444, "NA")</f>
        <v>1.2357972383634627E-3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2746.65</v>
      </c>
      <c r="L254" s="8">
        <f>IFERROR(K254/K444, "NA")</f>
        <v>1.6318031976367862E-2</v>
      </c>
      <c r="M254" s="9"/>
      <c r="N254" s="10">
        <f t="shared" si="65"/>
        <v>2746.65</v>
      </c>
      <c r="O254" s="8">
        <f>IFERROR(N254/N444, "NA")</f>
        <v>5.0133892986730801E-2</v>
      </c>
      <c r="P254" s="9"/>
      <c r="Q254" s="7">
        <v>3375</v>
      </c>
      <c r="R254" s="8">
        <f>IFERROR(Q254/Q444, "NA")</f>
        <v>6.6185318656913784E-3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-3375</v>
      </c>
      <c r="X254" s="8">
        <f>IFERROR(W254/W444, "NA")</f>
        <v>-4.669670936936611E-2</v>
      </c>
      <c r="Y254" s="9"/>
      <c r="Z254" s="7">
        <v>5266</v>
      </c>
      <c r="AA254" s="8">
        <f>IFERROR(Z254/Z444, "NA")</f>
        <v>1.3067363599342522E-2</v>
      </c>
      <c r="AB254" s="9"/>
      <c r="AC254" s="10">
        <f t="shared" si="67"/>
        <v>1891</v>
      </c>
      <c r="AD254" s="8">
        <f>IFERROR(AC254/AC444, "NA")</f>
        <v>1.7682298560421521E-2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18379.8</v>
      </c>
      <c r="C262" s="15">
        <f>IFERROR(B262/B444, "NA")</f>
        <v>8.2381387663687716E-2</v>
      </c>
      <c r="D262" s="2"/>
      <c r="E262" s="14">
        <f>IFERROR(E240+E241+E242+E243+E244+E245+E246+E247+E248+E249+E250+E251+E252+E253+E254+E255+E256+E257+E258+E259+E260+E261, "NA")</f>
        <v>17482.84</v>
      </c>
      <c r="F262" s="15">
        <f>IFERROR(E262/E444, "NA")</f>
        <v>9.2325974138245614E-2</v>
      </c>
      <c r="G262" s="2"/>
      <c r="H262" s="14">
        <f t="shared" si="64"/>
        <v>-896.95999999999913</v>
      </c>
      <c r="I262" s="15">
        <f>IFERROR(H262/H444, "NA")</f>
        <v>-2.6579514370320381E-2</v>
      </c>
      <c r="J262" s="2"/>
      <c r="K262" s="14">
        <f>IFERROR(K240+K241+K242+K243+K244+K245+K246+K247+K248+K249+K250+K251+K252+K253+K254+K255+K256+K257+K258+K259+K260+K261, "NA")</f>
        <v>16273.65</v>
      </c>
      <c r="L262" s="15">
        <f>IFERROR(K262/K444, "NA")</f>
        <v>9.6682846766868308E-2</v>
      </c>
      <c r="M262" s="2"/>
      <c r="N262" s="14">
        <f t="shared" si="65"/>
        <v>-2106.1499999999996</v>
      </c>
      <c r="O262" s="15">
        <f>IFERROR(N262/N444, "NA")</f>
        <v>-3.8443011928714271E-2</v>
      </c>
      <c r="P262" s="2"/>
      <c r="Q262" s="14">
        <f>IFERROR(Q240+Q241+Q242+Q243+Q244+Q245+Q246+Q247+Q248+Q249+Q250+Q251+Q252+Q253+Q254+Q255+Q256+Q257+Q258+Q259+Q260+Q261, "NA")</f>
        <v>45960.409999999996</v>
      </c>
      <c r="R262" s="15">
        <f>IFERROR(Q262/Q444, "NA")</f>
        <v>9.0130500191182419E-2</v>
      </c>
      <c r="S262" s="2"/>
      <c r="T262" s="14">
        <f>IFERROR(T240+T241+T242+T243+T244+T245+T246+T247+T248+T249+T250+T251+T252+T253+T254+T255+T256+T257+T258+T259+T260+T261, "NA")</f>
        <v>40723.69</v>
      </c>
      <c r="U262" s="15">
        <f>IFERROR(T262/T444, "NA")</f>
        <v>9.3049345592433455E-2</v>
      </c>
      <c r="V262" s="2"/>
      <c r="W262" s="14">
        <f t="shared" si="66"/>
        <v>-5236.7199999999939</v>
      </c>
      <c r="X262" s="15">
        <f>IFERROR(W262/W444, "NA")</f>
        <v>-7.2455582781850852E-2</v>
      </c>
      <c r="Y262" s="2"/>
      <c r="Z262" s="14">
        <f>IFERROR(Z240+Z241+Z242+Z243+Z244+Z245+Z246+Z247+Z248+Z249+Z250+Z251+Z252+Z253+Z254+Z255+Z256+Z257+Z258+Z259+Z260+Z261, "NA")</f>
        <v>38805.75</v>
      </c>
      <c r="AA262" s="15">
        <f>IFERROR(Z262/Z444, "NA")</f>
        <v>9.6294881313176234E-2</v>
      </c>
      <c r="AB262" s="2"/>
      <c r="AC262" s="14">
        <f t="shared" si="67"/>
        <v>-7154.6599999999962</v>
      </c>
      <c r="AD262" s="15">
        <f>IFERROR(AC262/AC444, "NA")</f>
        <v>-6.6901551675465548E-2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18379.8</v>
      </c>
      <c r="C263" s="15">
        <f>IFERROR(B263/B444, "NA")</f>
        <v>8.2381387663687716E-2</v>
      </c>
      <c r="D263" s="2"/>
      <c r="E263" s="14">
        <f>IFERROR(E238+E240+E241+E242+E243+E244+E245+E246+E247+E248+E249+E250+E251+E252+E253+E254+E255+E256+E257+E258+E259+E260+E261, "NA")</f>
        <v>17482.84</v>
      </c>
      <c r="F263" s="15">
        <f>IFERROR(E263/E444, "NA")</f>
        <v>9.2325974138245614E-2</v>
      </c>
      <c r="G263" s="2"/>
      <c r="H263" s="14">
        <f t="shared" si="64"/>
        <v>-896.95999999999913</v>
      </c>
      <c r="I263" s="15">
        <f>IFERROR(H263/H444, "NA")</f>
        <v>-2.6579514370320381E-2</v>
      </c>
      <c r="J263" s="2"/>
      <c r="K263" s="14">
        <f>IFERROR(K238+K240+K241+K242+K243+K244+K245+K246+K247+K248+K249+K250+K251+K252+K253+K254+K255+K256+K257+K258+K259+K260+K261, "NA")</f>
        <v>16273.65</v>
      </c>
      <c r="L263" s="15">
        <f>IFERROR(K263/K444, "NA")</f>
        <v>9.6682846766868308E-2</v>
      </c>
      <c r="M263" s="2"/>
      <c r="N263" s="14">
        <f t="shared" si="65"/>
        <v>-2106.1499999999996</v>
      </c>
      <c r="O263" s="15">
        <f>IFERROR(N263/N444, "NA")</f>
        <v>-3.8443011928714271E-2</v>
      </c>
      <c r="P263" s="2"/>
      <c r="Q263" s="14">
        <f>IFERROR(Q238+Q240+Q241+Q242+Q243+Q244+Q245+Q246+Q247+Q248+Q249+Q250+Q251+Q252+Q253+Q254+Q255+Q256+Q257+Q258+Q259+Q260+Q261, "NA")</f>
        <v>45960.409999999996</v>
      </c>
      <c r="R263" s="15">
        <f>IFERROR(Q263/Q444, "NA")</f>
        <v>9.0130500191182419E-2</v>
      </c>
      <c r="S263" s="2"/>
      <c r="T263" s="14">
        <f>IFERROR(T238+T240+T241+T242+T243+T244+T245+T246+T247+T248+T249+T250+T251+T252+T253+T254+T255+T256+T257+T258+T259+T260+T261, "NA")</f>
        <v>40723.69</v>
      </c>
      <c r="U263" s="15">
        <f>IFERROR(T263/T444, "NA")</f>
        <v>9.3049345592433455E-2</v>
      </c>
      <c r="V263" s="2"/>
      <c r="W263" s="14">
        <f t="shared" si="66"/>
        <v>-5236.7199999999939</v>
      </c>
      <c r="X263" s="15">
        <f>IFERROR(W263/W444, "NA")</f>
        <v>-7.2455582781850852E-2</v>
      </c>
      <c r="Y263" s="2"/>
      <c r="Z263" s="14">
        <f>IFERROR(Z238+Z240+Z241+Z242+Z243+Z244+Z245+Z246+Z247+Z248+Z249+Z250+Z251+Z252+Z253+Z254+Z255+Z256+Z257+Z258+Z259+Z260+Z261, "NA")</f>
        <v>38805.75</v>
      </c>
      <c r="AA263" s="15">
        <f>IFERROR(Z263/Z444, "NA")</f>
        <v>9.6294881313176234E-2</v>
      </c>
      <c r="AB263" s="2"/>
      <c r="AC263" s="14">
        <f t="shared" si="67"/>
        <v>-7154.6599999999962</v>
      </c>
      <c r="AD263" s="15">
        <f>IFERROR(AC263/AC444, "NA")</f>
        <v>-6.6901551675465548E-2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5428.34</v>
      </c>
      <c r="C265" s="8">
        <f>IFERROR(B265/B444, "NA")</f>
        <v>2.4330742549445731E-2</v>
      </c>
      <c r="D265" s="9"/>
      <c r="E265" s="7">
        <v>4734</v>
      </c>
      <c r="F265" s="8">
        <f>IFERROR(E265/E444, "NA")</f>
        <v>2.5000009241659522E-2</v>
      </c>
      <c r="G265" s="9"/>
      <c r="H265" s="10">
        <f>IFERROR(-(B265-E265), "NA")</f>
        <v>-694.34000000000015</v>
      </c>
      <c r="I265" s="8">
        <f>IFERROR(H265/H444, "NA")</f>
        <v>-2.0575298795808369E-2</v>
      </c>
      <c r="J265" s="9"/>
      <c r="K265" s="7">
        <v>3815.8</v>
      </c>
      <c r="L265" s="8">
        <f>IFERROR(K265/K444, "NA")</f>
        <v>2.266992387651302E-2</v>
      </c>
      <c r="M265" s="9"/>
      <c r="N265" s="10">
        <f>IFERROR(-(B265-K265), "NA")</f>
        <v>-1612.54</v>
      </c>
      <c r="O265" s="8">
        <f>IFERROR(N265/N444, "NA")</f>
        <v>-2.943327609881961E-2</v>
      </c>
      <c r="P265" s="9"/>
      <c r="Q265" s="7">
        <v>11572.39</v>
      </c>
      <c r="R265" s="8">
        <f>IFERROR(Q265/Q444, "NA")</f>
        <v>2.2693994659913553E-2</v>
      </c>
      <c r="S265" s="9"/>
      <c r="T265" s="7">
        <v>11189.72</v>
      </c>
      <c r="U265" s="8">
        <f>IFERROR(T265/T444, "NA")</f>
        <v>2.5567332512416347E-2</v>
      </c>
      <c r="V265" s="9"/>
      <c r="W265" s="10">
        <f>IFERROR(-(Q265-T265), "NA")</f>
        <v>-382.67000000000007</v>
      </c>
      <c r="X265" s="8">
        <f>IFERROR(W265/W444, "NA")</f>
        <v>-5.2946458590741726E-3</v>
      </c>
      <c r="Y265" s="9"/>
      <c r="Z265" s="7">
        <v>9456.14</v>
      </c>
      <c r="AA265" s="8">
        <f>IFERROR(Z265/Z444, "NA")</f>
        <v>2.3465024615702011E-2</v>
      </c>
      <c r="AB265" s="9"/>
      <c r="AC265" s="10">
        <f>IFERROR(-(Q265-Z265), "NA")</f>
        <v>-2116.25</v>
      </c>
      <c r="AD265" s="8">
        <f>IFERROR(AC265/AC444, "NA")</f>
        <v>-1.978855860840404E-2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5428.34</v>
      </c>
      <c r="C267" s="15">
        <f>IFERROR(B267/B444, "NA")</f>
        <v>2.4330742549445731E-2</v>
      </c>
      <c r="D267" s="2"/>
      <c r="E267" s="14">
        <f>IFERROR(E265+E266, "NA")</f>
        <v>4734</v>
      </c>
      <c r="F267" s="15">
        <f>IFERROR(E267/E444, "NA")</f>
        <v>2.5000009241659522E-2</v>
      </c>
      <c r="G267" s="2"/>
      <c r="H267" s="14">
        <f>IFERROR(-(B267-E267), "NA")</f>
        <v>-694.34000000000015</v>
      </c>
      <c r="I267" s="15">
        <f>IFERROR(H267/H444, "NA")</f>
        <v>-2.0575298795808369E-2</v>
      </c>
      <c r="J267" s="2"/>
      <c r="K267" s="14">
        <f>IFERROR(K265+K266, "NA")</f>
        <v>3815.8</v>
      </c>
      <c r="L267" s="15">
        <f>IFERROR(K267/K444, "NA")</f>
        <v>2.266992387651302E-2</v>
      </c>
      <c r="M267" s="2"/>
      <c r="N267" s="14">
        <f>IFERROR(-(B267-K267), "NA")</f>
        <v>-1612.54</v>
      </c>
      <c r="O267" s="15">
        <f>IFERROR(N267/N444, "NA")</f>
        <v>-2.943327609881961E-2</v>
      </c>
      <c r="P267" s="2"/>
      <c r="Q267" s="14">
        <f>IFERROR(Q265+Q266, "NA")</f>
        <v>11572.39</v>
      </c>
      <c r="R267" s="15">
        <f>IFERROR(Q267/Q444, "NA")</f>
        <v>2.2693994659913553E-2</v>
      </c>
      <c r="S267" s="2"/>
      <c r="T267" s="14">
        <f>IFERROR(T265+T266, "NA")</f>
        <v>11189.72</v>
      </c>
      <c r="U267" s="15">
        <f>IFERROR(T267/T444, "NA")</f>
        <v>2.5567332512416347E-2</v>
      </c>
      <c r="V267" s="2"/>
      <c r="W267" s="14">
        <f>IFERROR(-(Q267-T267), "NA")</f>
        <v>-382.67000000000007</v>
      </c>
      <c r="X267" s="15">
        <f>IFERROR(W267/W444, "NA")</f>
        <v>-5.2946458590741726E-3</v>
      </c>
      <c r="Y267" s="2"/>
      <c r="Z267" s="14">
        <f>IFERROR(Z265+Z266, "NA")</f>
        <v>9456.14</v>
      </c>
      <c r="AA267" s="15">
        <f>IFERROR(Z267/Z444, "NA")</f>
        <v>2.3465024615702011E-2</v>
      </c>
      <c r="AB267" s="2"/>
      <c r="AC267" s="14">
        <f>IFERROR(-(Q267-Z267), "NA")</f>
        <v>-2116.25</v>
      </c>
      <c r="AD267" s="15">
        <f>IFERROR(AC267/AC444, "NA")</f>
        <v>-1.978855860840404E-2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229.7</v>
      </c>
      <c r="C270" s="8">
        <f>IFERROR(B270/B444, "NA")</f>
        <v>1.0295544427223948E-3</v>
      </c>
      <c r="D270" s="9"/>
      <c r="E270" s="7">
        <v>354.66</v>
      </c>
      <c r="F270" s="8">
        <f>IFERROR(E270/E444, "NA")</f>
        <v>1.8729411232883326E-3</v>
      </c>
      <c r="G270" s="9"/>
      <c r="H270" s="10">
        <f>IFERROR(-(B270-E270), "NA")</f>
        <v>124.96000000000004</v>
      </c>
      <c r="I270" s="8">
        <f>IFERROR(H270/H444, "NA")</f>
        <v>3.7029255660400006E-3</v>
      </c>
      <c r="J270" s="9"/>
      <c r="K270" s="7">
        <v>163.32</v>
      </c>
      <c r="L270" s="8">
        <f>IFERROR(K270/K444, "NA")</f>
        <v>9.7029508032708898E-4</v>
      </c>
      <c r="M270" s="9"/>
      <c r="N270" s="10">
        <f>IFERROR(-(B270-K270), "NA")</f>
        <v>-66.38</v>
      </c>
      <c r="O270" s="8">
        <f>IFERROR(N270/N444, "NA")</f>
        <v>-1.2116169939596199E-3</v>
      </c>
      <c r="P270" s="9"/>
      <c r="Q270" s="7">
        <v>689.1</v>
      </c>
      <c r="R270" s="8">
        <f>IFERROR(Q270/Q444, "NA")</f>
        <v>1.3513571284882752E-3</v>
      </c>
      <c r="S270" s="9"/>
      <c r="T270" s="7">
        <v>897.97</v>
      </c>
      <c r="U270" s="8">
        <f>IFERROR(T270/T444, "NA")</f>
        <v>2.0517669411008058E-3</v>
      </c>
      <c r="V270" s="9"/>
      <c r="W270" s="10">
        <f>IFERROR(-(Q270-T270), "NA")</f>
        <v>208.87</v>
      </c>
      <c r="X270" s="8">
        <f>IFERROR(W270/W444, "NA")</f>
        <v>2.8899382773272596E-3</v>
      </c>
      <c r="Y270" s="9"/>
      <c r="Z270" s="7">
        <v>489.96</v>
      </c>
      <c r="AA270" s="8">
        <f>IFERROR(Z270/Z444, "NA")</f>
        <v>1.2158156986581583E-3</v>
      </c>
      <c r="AB270" s="9"/>
      <c r="AC270" s="10">
        <f>IFERROR(-(Q270-Z270), "NA")</f>
        <v>-199.14000000000004</v>
      </c>
      <c r="AD270" s="8">
        <f>IFERROR(AC270/AC444, "NA")</f>
        <v>-1.8621115469710959E-3</v>
      </c>
    </row>
    <row r="271" spans="1:30" ht="16.5" customHeight="1" x14ac:dyDescent="0.45">
      <c r="A271" s="6" t="s">
        <v>246</v>
      </c>
      <c r="B271" s="7">
        <v>852.8</v>
      </c>
      <c r="C271" s="8">
        <f>IFERROR(B271/B444, "NA")</f>
        <v>3.8223945526933314E-3</v>
      </c>
      <c r="D271" s="9"/>
      <c r="E271" s="7">
        <v>757.44</v>
      </c>
      <c r="F271" s="8">
        <f>IFERROR(E271/E444, "NA")</f>
        <v>4.0000014786655234E-3</v>
      </c>
      <c r="G271" s="9"/>
      <c r="H271" s="10">
        <f>IFERROR(-(B271-E271), "NA")</f>
        <v>-95.3599999999999</v>
      </c>
      <c r="I271" s="8">
        <f>IFERROR(H271/H444, "NA")</f>
        <v>-2.8257921092955662E-3</v>
      </c>
      <c r="J271" s="9"/>
      <c r="K271" s="7">
        <v>561.82000000000005</v>
      </c>
      <c r="L271" s="8">
        <f>IFERROR(K271/K444, "NA")</f>
        <v>3.3378103234714992E-3</v>
      </c>
      <c r="M271" s="9"/>
      <c r="N271" s="10">
        <f>IFERROR(-(B271-K271), "NA")</f>
        <v>-290.9799999999999</v>
      </c>
      <c r="O271" s="8">
        <f>IFERROR(N271/N444, "NA")</f>
        <v>-5.3111827794873473E-3</v>
      </c>
      <c r="P271" s="9"/>
      <c r="Q271" s="7">
        <v>2558.4</v>
      </c>
      <c r="R271" s="8">
        <f>IFERROR(Q271/Q444, "NA")</f>
        <v>5.0171413111658736E-3</v>
      </c>
      <c r="S271" s="9"/>
      <c r="T271" s="7">
        <v>1750.63</v>
      </c>
      <c r="U271" s="8">
        <f>IFERROR(T271/T444, "NA")</f>
        <v>4.0000053009558263E-3</v>
      </c>
      <c r="V271" s="9"/>
      <c r="W271" s="10">
        <f>IFERROR(-(Q271-T271), "NA")</f>
        <v>-807.77</v>
      </c>
      <c r="X271" s="8">
        <f>IFERROR(W271/W444, "NA")</f>
        <v>-1.1176355830308998E-2</v>
      </c>
      <c r="Y271" s="9"/>
      <c r="Z271" s="7">
        <v>1685.46</v>
      </c>
      <c r="AA271" s="8">
        <f>IFERROR(Z271/Z444, "NA")</f>
        <v>4.1824000478822348E-3</v>
      </c>
      <c r="AB271" s="9"/>
      <c r="AC271" s="10">
        <f>IFERROR(-(Q271-Z271), "NA")</f>
        <v>-872.94</v>
      </c>
      <c r="AD271" s="8">
        <f>IFERROR(AC271/AC444, "NA")</f>
        <v>-8.1626576971625397E-3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1082.5</v>
      </c>
      <c r="C273" s="15">
        <f>IFERROR(B273/B444, "NA")</f>
        <v>4.8519489954157264E-3</v>
      </c>
      <c r="D273" s="2"/>
      <c r="E273" s="14">
        <f>IFERROR(E269+E270+E271+E272, "NA")</f>
        <v>1112.1000000000001</v>
      </c>
      <c r="F273" s="15">
        <f>IFERROR(E273/E444, "NA")</f>
        <v>5.8729426019538565E-3</v>
      </c>
      <c r="G273" s="2"/>
      <c r="H273" s="14">
        <f>IFERROR(-(B273-E273), "NA")</f>
        <v>29.600000000000136</v>
      </c>
      <c r="I273" s="15">
        <f>IFERROR(H273/H444, "NA")</f>
        <v>8.7713345674443415E-4</v>
      </c>
      <c r="J273" s="2"/>
      <c r="K273" s="14">
        <f>IFERROR(K269+K270+K271+K272, "NA")</f>
        <v>725.1400000000001</v>
      </c>
      <c r="L273" s="15">
        <f>IFERROR(K273/K444, "NA")</f>
        <v>4.3081054037985888E-3</v>
      </c>
      <c r="M273" s="2"/>
      <c r="N273" s="14">
        <f>IFERROR(-(B273-K273), "NA")</f>
        <v>-357.3599999999999</v>
      </c>
      <c r="O273" s="15">
        <f>IFERROR(N273/N444, "NA")</f>
        <v>-6.5227997734469672E-3</v>
      </c>
      <c r="P273" s="2"/>
      <c r="Q273" s="14">
        <f>IFERROR(Q269+Q270+Q271+Q272, "NA")</f>
        <v>3247.5</v>
      </c>
      <c r="R273" s="15">
        <f>IFERROR(Q273/Q444, "NA")</f>
        <v>6.3684984396541484E-3</v>
      </c>
      <c r="S273" s="2"/>
      <c r="T273" s="14">
        <f>IFERROR(T269+T270+T271+T272, "NA")</f>
        <v>2648.6000000000004</v>
      </c>
      <c r="U273" s="15">
        <f>IFERROR(T273/T444, "NA")</f>
        <v>6.051772242056633E-3</v>
      </c>
      <c r="V273" s="2"/>
      <c r="W273" s="14">
        <f>IFERROR(-(Q273-T273), "NA")</f>
        <v>-598.89999999999964</v>
      </c>
      <c r="X273" s="15">
        <f>IFERROR(W273/W444, "NA")</f>
        <v>-8.2864175529817324E-3</v>
      </c>
      <c r="Y273" s="2"/>
      <c r="Z273" s="14">
        <f>IFERROR(Z269+Z270+Z271+Z272, "NA")</f>
        <v>2175.42</v>
      </c>
      <c r="AA273" s="15">
        <f>IFERROR(Z273/Z444, "NA")</f>
        <v>5.3982157465403934E-3</v>
      </c>
      <c r="AB273" s="2"/>
      <c r="AC273" s="14">
        <f>IFERROR(-(Q273-Z273), "NA")</f>
        <v>-1072.08</v>
      </c>
      <c r="AD273" s="15">
        <f>IFERROR(AC273/AC444, "NA")</f>
        <v>-1.0024769244133635E-2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1.92754612868731E-3</v>
      </c>
      <c r="G287" s="9"/>
      <c r="H287" s="10">
        <f t="shared" si="72"/>
        <v>365</v>
      </c>
      <c r="I287" s="8">
        <f>IFERROR(H287/H444, "NA")</f>
        <v>1.0816003774044493E-2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1095</v>
      </c>
      <c r="U287" s="8">
        <f>IFERROR(T287/T444, "NA")</f>
        <v>2.5019597542294087E-3</v>
      </c>
      <c r="V287" s="9"/>
      <c r="W287" s="10">
        <f t="shared" si="74"/>
        <v>1095</v>
      </c>
      <c r="X287" s="8">
        <f>IFERROR(W287/W444, "NA")</f>
        <v>1.5150487928727672E-2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144.65</v>
      </c>
      <c r="C288" s="8">
        <f>IFERROR(B288/B444, "NA")</f>
        <v>6.4834588654677581E-4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-144.65</v>
      </c>
      <c r="I288" s="8">
        <f>IFERROR(H288/H444, "NA")</f>
        <v>-4.2863971120973583E-3</v>
      </c>
      <c r="J288" s="9"/>
      <c r="K288" s="7">
        <v>144.65</v>
      </c>
      <c r="L288" s="8">
        <f>IFERROR(K288/K444, "NA")</f>
        <v>8.5937535739231833E-4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433.95</v>
      </c>
      <c r="R288" s="8">
        <f>IFERROR(Q288/Q444, "NA")</f>
        <v>8.5099611944200698E-4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-433.95</v>
      </c>
      <c r="X288" s="8">
        <f>IFERROR(W288/W444, "NA")</f>
        <v>-6.0041591202478293E-3</v>
      </c>
      <c r="Y288" s="9"/>
      <c r="Z288" s="7">
        <v>440.57</v>
      </c>
      <c r="AA288" s="8">
        <f>IFERROR(Z288/Z444, "NA")</f>
        <v>1.0932564339085329E-3</v>
      </c>
      <c r="AB288" s="9"/>
      <c r="AC288" s="10">
        <f t="shared" si="75"/>
        <v>6.6200000000000045</v>
      </c>
      <c r="AD288" s="8">
        <f>IFERROR(AC288/AC444, "NA")</f>
        <v>6.1902071110518533E-5</v>
      </c>
    </row>
    <row r="289" spans="1:30" ht="16.5" customHeight="1" x14ac:dyDescent="0.45">
      <c r="A289" s="6" t="s">
        <v>262</v>
      </c>
      <c r="B289" s="7">
        <v>220.99</v>
      </c>
      <c r="C289" s="8">
        <f>IFERROR(B289/B444, "NA")</f>
        <v>9.9051474226043547E-4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-220.99</v>
      </c>
      <c r="I289" s="8">
        <f>IFERROR(H289/H444, "NA")</f>
        <v>-6.548571709660527E-3</v>
      </c>
      <c r="J289" s="9"/>
      <c r="K289" s="7">
        <v>210.6</v>
      </c>
      <c r="L289" s="8">
        <f>IFERROR(K289/K444, "NA")</f>
        <v>1.2511887332652765E-3</v>
      </c>
      <c r="M289" s="9"/>
      <c r="N289" s="10">
        <f t="shared" si="73"/>
        <v>-10.390000000000015</v>
      </c>
      <c r="O289" s="8">
        <f>IFERROR(N289/N444, "NA")</f>
        <v>-1.8964598624947982E-4</v>
      </c>
      <c r="P289" s="9"/>
      <c r="Q289" s="7">
        <v>660.05</v>
      </c>
      <c r="R289" s="8">
        <f>IFERROR(Q289/Q444, "NA")</f>
        <v>1.294388728281361E-3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-660.05</v>
      </c>
      <c r="X289" s="8">
        <f>IFERROR(W289/W444, "NA")</f>
        <v>-9.1324927464444747E-3</v>
      </c>
      <c r="Y289" s="9"/>
      <c r="Z289" s="7">
        <v>665.02</v>
      </c>
      <c r="AA289" s="8">
        <f>IFERROR(Z289/Z444, "NA")</f>
        <v>1.6502199279974864E-3</v>
      </c>
      <c r="AB289" s="9"/>
      <c r="AC289" s="10">
        <f t="shared" si="75"/>
        <v>4.9700000000000273</v>
      </c>
      <c r="AD289" s="8">
        <f>IFERROR(AC289/AC444, "NA")</f>
        <v>4.6473307163033019E-5</v>
      </c>
    </row>
    <row r="290" spans="1:30" ht="16.5" customHeight="1" x14ac:dyDescent="0.45">
      <c r="A290" s="6" t="s">
        <v>263</v>
      </c>
      <c r="B290" s="7">
        <v>338.75</v>
      </c>
      <c r="C290" s="8">
        <f>IFERROR(B290/B444, "NA")</f>
        <v>1.5183350782421038E-3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-338.75</v>
      </c>
      <c r="I290" s="8">
        <f>IFERROR(H290/H444, "NA")</f>
        <v>-1.0038140488924855E-2</v>
      </c>
      <c r="J290" s="9"/>
      <c r="K290" s="7">
        <v>250</v>
      </c>
      <c r="L290" s="8">
        <f>IFERROR(K290/K444, "NA")</f>
        <v>1.4852667773804327E-3</v>
      </c>
      <c r="M290" s="9"/>
      <c r="N290" s="10">
        <f t="shared" si="73"/>
        <v>-88.75</v>
      </c>
      <c r="O290" s="8">
        <f>IFERROR(N290/N444, "NA")</f>
        <v>-1.6199308257595099E-3</v>
      </c>
      <c r="P290" s="9"/>
      <c r="Q290" s="7">
        <v>5173.18</v>
      </c>
      <c r="R290" s="8">
        <f>IFERROR(Q290/Q444, "NA")</f>
        <v>1.0144846422802171E-2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-5173.18</v>
      </c>
      <c r="X290" s="8">
        <f>IFERROR(W290/W444, "NA")</f>
        <v>-7.1576439400123676E-2</v>
      </c>
      <c r="Y290" s="9"/>
      <c r="Z290" s="7">
        <v>250</v>
      </c>
      <c r="AA290" s="8">
        <f>IFERROR(Z290/Z444, "NA")</f>
        <v>6.2036477399081478E-4</v>
      </c>
      <c r="AB290" s="9"/>
      <c r="AC290" s="10">
        <f t="shared" si="75"/>
        <v>-4923.18</v>
      </c>
      <c r="AD290" s="8">
        <f>IFERROR(AC290/AC444, "NA")</f>
        <v>-4.6035504297565324E-2</v>
      </c>
    </row>
    <row r="291" spans="1:30" ht="16.5" customHeight="1" x14ac:dyDescent="0.45">
      <c r="A291" s="6" t="s">
        <v>264</v>
      </c>
      <c r="B291" s="7">
        <v>1368.1</v>
      </c>
      <c r="C291" s="8">
        <f>IFERROR(B291/B444, "NA")</f>
        <v>6.1320567396103967E-3</v>
      </c>
      <c r="D291" s="9"/>
      <c r="E291" s="7">
        <v>2461.6799999999998</v>
      </c>
      <c r="F291" s="8">
        <f>IFERROR(E291/E444, "NA")</f>
        <v>1.300000480566295E-2</v>
      </c>
      <c r="G291" s="9"/>
      <c r="H291" s="10">
        <f t="shared" si="72"/>
        <v>1093.58</v>
      </c>
      <c r="I291" s="8">
        <f>IFERROR(H291/H444, "NA")</f>
        <v>3.2405932622519382E-2</v>
      </c>
      <c r="J291" s="9"/>
      <c r="K291" s="7">
        <v>614.79999999999995</v>
      </c>
      <c r="L291" s="8">
        <f>IFERROR(K291/K444, "NA")</f>
        <v>3.6525680589339598E-3</v>
      </c>
      <c r="M291" s="9"/>
      <c r="N291" s="10">
        <f t="shared" si="73"/>
        <v>-753.3</v>
      </c>
      <c r="O291" s="8">
        <f>IFERROR(N291/N444, "NA")</f>
        <v>-1.3749790321629733E-2</v>
      </c>
      <c r="P291" s="9"/>
      <c r="Q291" s="7">
        <v>6213.2</v>
      </c>
      <c r="R291" s="8">
        <f>IFERROR(Q291/Q444, "NA")</f>
        <v>1.218437398160405E-2</v>
      </c>
      <c r="S291" s="9"/>
      <c r="T291" s="7">
        <v>5689.54</v>
      </c>
      <c r="U291" s="8">
        <f>IFERROR(T291/T444, "NA")</f>
        <v>1.300000009139579E-2</v>
      </c>
      <c r="V291" s="9"/>
      <c r="W291" s="10">
        <f t="shared" si="74"/>
        <v>-523.65999999999985</v>
      </c>
      <c r="X291" s="8">
        <f>IFERROR(W291/W444, "NA")</f>
        <v>-7.2453922454406676E-3</v>
      </c>
      <c r="Y291" s="9"/>
      <c r="Z291" s="7">
        <v>2623.75</v>
      </c>
      <c r="AA291" s="8">
        <f>IFERROR(Z291/Z444, "NA")</f>
        <v>6.5107283030336012E-3</v>
      </c>
      <c r="AB291" s="9"/>
      <c r="AC291" s="10">
        <f t="shared" si="75"/>
        <v>-3589.45</v>
      </c>
      <c r="AD291" s="8">
        <f>IFERROR(AC291/AC444, "NA")</f>
        <v>-3.3564107122001599E-2</v>
      </c>
    </row>
    <row r="292" spans="1:30" ht="16.5" customHeight="1" x14ac:dyDescent="0.45">
      <c r="A292" s="6" t="s">
        <v>265</v>
      </c>
      <c r="B292" s="7">
        <v>681.63</v>
      </c>
      <c r="C292" s="8">
        <f>IFERROR(B292/B444, "NA")</f>
        <v>3.0551815184713363E-3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-681.63</v>
      </c>
      <c r="I292" s="8">
        <f>IFERROR(H292/H444, "NA")</f>
        <v>-2.0198664801375197E-2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-681.63</v>
      </c>
      <c r="O292" s="8">
        <f>IFERROR(N292/N444, "NA")</f>
        <v>-1.2441616324083998E-2</v>
      </c>
      <c r="P292" s="9"/>
      <c r="Q292" s="7">
        <v>681.63</v>
      </c>
      <c r="R292" s="8">
        <f>IFERROR(Q292/Q444, "NA")</f>
        <v>1.3367081112922116E-3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-9.4310749651677107E-3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-681.63</v>
      </c>
      <c r="AD292" s="8">
        <f>IFERROR(AC292/AC444, "NA")</f>
        <v>-6.3737626481967851E-3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538.98</v>
      </c>
      <c r="C294" s="8">
        <f>IFERROR(B294/B444, "NA")</f>
        <v>2.4157999718699011E-3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-538.98</v>
      </c>
      <c r="I294" s="8">
        <f>IFERROR(H294/H444, "NA")</f>
        <v>-1.5971533463382193E-2</v>
      </c>
      <c r="J294" s="9"/>
      <c r="K294" s="7">
        <v>244</v>
      </c>
      <c r="L294" s="8">
        <f>IFERROR(K294/K444, "NA")</f>
        <v>1.4496203747233023E-3</v>
      </c>
      <c r="M294" s="9"/>
      <c r="N294" s="10">
        <f t="shared" si="73"/>
        <v>-294.98</v>
      </c>
      <c r="O294" s="8">
        <f>IFERROR(N294/N444, "NA")</f>
        <v>-5.3841937462821444E-3</v>
      </c>
      <c r="P294" s="9"/>
      <c r="Q294" s="7">
        <v>1188.99</v>
      </c>
      <c r="R294" s="8">
        <f>IFERROR(Q294/Q444, "NA")</f>
        <v>2.3316646527373011E-3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-1188.99</v>
      </c>
      <c r="X294" s="8">
        <f>IFERROR(W294/W444, "NA")</f>
        <v>-1.6450939399431885E-2</v>
      </c>
      <c r="Y294" s="9"/>
      <c r="Z294" s="7">
        <v>732</v>
      </c>
      <c r="AA294" s="8">
        <f>IFERROR(Z294/Z444, "NA")</f>
        <v>1.8164280582451055E-3</v>
      </c>
      <c r="AB294" s="9"/>
      <c r="AC294" s="10">
        <f t="shared" si="75"/>
        <v>-456.99</v>
      </c>
      <c r="AD294" s="8">
        <f>IFERROR(AC294/AC444, "NA")</f>
        <v>-4.273206567491819E-3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3293.1</v>
      </c>
      <c r="C295" s="15">
        <f>IFERROR(B295/B444, "NA")</f>
        <v>1.4760233937000948E-2</v>
      </c>
      <c r="D295" s="2"/>
      <c r="E295" s="14">
        <f>IFERROR(E286+E287+E288+E289+E290+E291+E292+E293+E294, "NA")</f>
        <v>2826.68</v>
      </c>
      <c r="F295" s="15">
        <f>IFERROR(E295/E444, "NA")</f>
        <v>1.492755093435026E-2</v>
      </c>
      <c r="G295" s="2"/>
      <c r="H295" s="14">
        <f t="shared" si="72"/>
        <v>-466.42000000000007</v>
      </c>
      <c r="I295" s="15">
        <f>IFERROR(H295/H444, "NA")</f>
        <v>-1.3821371178876255E-2</v>
      </c>
      <c r="J295" s="2"/>
      <c r="K295" s="14">
        <f>IFERROR(K286+K287+K288+K289+K290+K291+K292+K293+K294, "NA")</f>
        <v>1464.05</v>
      </c>
      <c r="L295" s="15">
        <f>IFERROR(K295/K444, "NA")</f>
        <v>8.6980193016952898E-3</v>
      </c>
      <c r="M295" s="2"/>
      <c r="N295" s="14">
        <f t="shared" si="73"/>
        <v>-1829.05</v>
      </c>
      <c r="O295" s="15">
        <f>IFERROR(N295/N444, "NA")</f>
        <v>-3.3385177204004864E-2</v>
      </c>
      <c r="P295" s="2"/>
      <c r="Q295" s="14">
        <f>IFERROR(Q286+Q287+Q288+Q289+Q290+Q291+Q292+Q293+Q294, "NA")</f>
        <v>14351</v>
      </c>
      <c r="R295" s="15">
        <f>IFERROR(Q295/Q444, "NA")</f>
        <v>2.8142978016159101E-2</v>
      </c>
      <c r="S295" s="2"/>
      <c r="T295" s="14">
        <f>IFERROR(T286+T287+T288+T289+T290+T291+T292+T293+T294, "NA")</f>
        <v>6784.54</v>
      </c>
      <c r="U295" s="15">
        <f>IFERROR(T295/T444, "NA")</f>
        <v>1.5501959845625199E-2</v>
      </c>
      <c r="V295" s="2"/>
      <c r="W295" s="14">
        <f t="shared" si="74"/>
        <v>-7566.46</v>
      </c>
      <c r="X295" s="15">
        <f>IFERROR(W295/W444, "NA")</f>
        <v>-0.10469000994812858</v>
      </c>
      <c r="Y295" s="2"/>
      <c r="Z295" s="14">
        <f>IFERROR(Z286+Z287+Z288+Z289+Z290+Z291+Z292+Z293+Z294, "NA")</f>
        <v>4711.34</v>
      </c>
      <c r="AA295" s="15">
        <f>IFERROR(Z295/Z444, "NA")</f>
        <v>1.169099749717554E-2</v>
      </c>
      <c r="AB295" s="2"/>
      <c r="AC295" s="14">
        <f t="shared" si="75"/>
        <v>-9639.66</v>
      </c>
      <c r="AD295" s="15">
        <f>IFERROR(AC295/AC444, "NA")</f>
        <v>-9.0138205256981976E-2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2461.6799999999998</v>
      </c>
      <c r="F297" s="8">
        <f>IFERROR(E297/E444, "NA")</f>
        <v>1.300000480566295E-2</v>
      </c>
      <c r="G297" s="9"/>
      <c r="H297" s="10">
        <f t="shared" ref="H297:H325" si="76">IFERROR(-(B297-E297), "NA")</f>
        <v>2461.6799999999998</v>
      </c>
      <c r="I297" s="8">
        <f>IFERROR(H297/H444, "NA")</f>
        <v>7.2946685398602315E-2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5689.54</v>
      </c>
      <c r="U297" s="8">
        <f>IFERROR(T297/T444, "NA")</f>
        <v>1.300000009139579E-2</v>
      </c>
      <c r="V297" s="9"/>
      <c r="W297" s="10">
        <f t="shared" ref="W297:W325" si="78">IFERROR(-(Q297-T297), "NA")</f>
        <v>5689.54</v>
      </c>
      <c r="X297" s="8">
        <f>IFERROR(W297/W444, "NA")</f>
        <v>7.8720828392706152E-2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613.4</v>
      </c>
      <c r="C299" s="8">
        <f>IFERROR(B299/B444, "NA")</f>
        <v>2.7493630612360335E-3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-613.4</v>
      </c>
      <c r="I299" s="8">
        <f>IFERROR(H299/H444, "NA")</f>
        <v>-1.8176812917805183E-2</v>
      </c>
      <c r="J299" s="9"/>
      <c r="K299" s="7">
        <v>205.67</v>
      </c>
      <c r="L299" s="8">
        <f>IFERROR(K299/K444, "NA")</f>
        <v>1.2218992724153342E-3</v>
      </c>
      <c r="M299" s="9"/>
      <c r="N299" s="10">
        <f t="shared" si="77"/>
        <v>-407.73</v>
      </c>
      <c r="O299" s="8">
        <f>IFERROR(N299/N444, "NA")</f>
        <v>-7.4421903728104227E-3</v>
      </c>
      <c r="P299" s="9"/>
      <c r="Q299" s="7">
        <v>2027.91</v>
      </c>
      <c r="R299" s="8">
        <f>IFERROR(Q299/Q444, "NA")</f>
        <v>3.9768257646679121E-3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-2027.91</v>
      </c>
      <c r="X299" s="8">
        <f>IFERROR(W299/W444, "NA")</f>
        <v>-2.805828856214259E-2</v>
      </c>
      <c r="Y299" s="9"/>
      <c r="Z299" s="7">
        <v>617.01</v>
      </c>
      <c r="AA299" s="8">
        <f>IFERROR(Z299/Z444, "NA")</f>
        <v>1.5310850768002905E-3</v>
      </c>
      <c r="AB299" s="9"/>
      <c r="AC299" s="10">
        <f t="shared" si="79"/>
        <v>-1410.9</v>
      </c>
      <c r="AD299" s="8">
        <f>IFERROR(AC299/AC444, "NA")</f>
        <v>-1.3192995790004613E-2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158.9</v>
      </c>
      <c r="C310" s="8">
        <f>IFERROR(B310/B444, "NA")</f>
        <v>7.1221680865732925E-4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-158.9</v>
      </c>
      <c r="I310" s="8">
        <f>IFERROR(H310/H444, "NA")</f>
        <v>-4.7086657525908767E-3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-158.9</v>
      </c>
      <c r="O310" s="8">
        <f>IFERROR(N310/N444, "NA")</f>
        <v>-2.9003606559232244E-3</v>
      </c>
      <c r="P310" s="9"/>
      <c r="Q310" s="7">
        <v>158.9</v>
      </c>
      <c r="R310" s="8">
        <f>IFERROR(Q310/Q444, "NA")</f>
        <v>3.1161028546914369E-4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-158.9</v>
      </c>
      <c r="X310" s="8">
        <f>IFERROR(W310/W444, "NA")</f>
        <v>-2.1985502574199335E-3</v>
      </c>
      <c r="Y310" s="9"/>
      <c r="Z310" s="7">
        <v>51.77</v>
      </c>
      <c r="AA310" s="8">
        <f>IFERROR(Z310/Z444, "NA")</f>
        <v>1.2846513739801793E-4</v>
      </c>
      <c r="AB310" s="9"/>
      <c r="AC310" s="10">
        <f t="shared" si="79"/>
        <v>-107.13</v>
      </c>
      <c r="AD310" s="8">
        <f>IFERROR(AC310/AC444, "NA")</f>
        <v>-1.0017475646631187E-3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5.2418772376275715E-5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-3.6983793820537963E-4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-2.4994597594926878E-4</v>
      </c>
    </row>
    <row r="312" spans="1:30" ht="16.5" customHeight="1" x14ac:dyDescent="0.45">
      <c r="A312" s="6" t="s">
        <v>284</v>
      </c>
      <c r="B312" s="7">
        <v>271.11</v>
      </c>
      <c r="C312" s="8">
        <f>IFERROR(B312/B444, "NA")</f>
        <v>1.2151611012906768E-3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-271.11</v>
      </c>
      <c r="I312" s="8">
        <f>IFERROR(H312/H444, "NA")</f>
        <v>-8.0337720087156235E-3</v>
      </c>
      <c r="J312" s="9"/>
      <c r="K312" s="7">
        <v>200</v>
      </c>
      <c r="L312" s="8">
        <f>IFERROR(K312/K444, "NA")</f>
        <v>1.1882134219043461E-3</v>
      </c>
      <c r="M312" s="9"/>
      <c r="N312" s="10">
        <f t="shared" si="77"/>
        <v>-71.110000000000014</v>
      </c>
      <c r="O312" s="8">
        <f>IFERROR(N312/N444, "NA")</f>
        <v>-1.2979524621944652E-3</v>
      </c>
      <c r="P312" s="9"/>
      <c r="Q312" s="7">
        <v>678.7</v>
      </c>
      <c r="R312" s="8">
        <f>IFERROR(Q312/Q444, "NA")</f>
        <v>1.3309622451095522E-3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-678.7</v>
      </c>
      <c r="X312" s="8">
        <f>IFERROR(W312/W444, "NA")</f>
        <v>-9.3905353034040833E-3</v>
      </c>
      <c r="Y312" s="9"/>
      <c r="Z312" s="7">
        <v>628.16999999999996</v>
      </c>
      <c r="AA312" s="8">
        <f>IFERROR(Z312/Z444, "NA")</f>
        <v>1.5587781603112402E-3</v>
      </c>
      <c r="AB312" s="9"/>
      <c r="AC312" s="10">
        <f t="shared" si="79"/>
        <v>-50.530000000000086</v>
      </c>
      <c r="AD312" s="8">
        <f>IFERROR(AC312/AC444, "NA")</f>
        <v>-4.7249420743421521E-4</v>
      </c>
    </row>
    <row r="313" spans="1:30" ht="16.5" customHeight="1" x14ac:dyDescent="0.45">
      <c r="A313" s="6" t="s">
        <v>285</v>
      </c>
      <c r="B313" s="7">
        <v>200</v>
      </c>
      <c r="C313" s="8">
        <f>IFERROR(B313/B444, "NA")</f>
        <v>8.9643399453408332E-4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-200</v>
      </c>
      <c r="I313" s="8">
        <f>IFERROR(H313/H444, "NA")</f>
        <v>-5.9265774104353382E-3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-200</v>
      </c>
      <c r="O313" s="8">
        <f>IFERROR(N313/N444, "NA")</f>
        <v>-3.6505483397397411E-3</v>
      </c>
      <c r="P313" s="9"/>
      <c r="Q313" s="7">
        <v>696</v>
      </c>
      <c r="R313" s="8">
        <f>IFERROR(Q313/Q444, "NA")</f>
        <v>1.3648883491914664E-3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-696</v>
      </c>
      <c r="X313" s="8">
        <f>IFERROR(W313/W444, "NA")</f>
        <v>-9.6298991766159449E-3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-696</v>
      </c>
      <c r="AD313" s="8">
        <f>IFERROR(AC313/AC444, "NA")</f>
        <v>-6.5081331560303424E-3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3.6596971703570023E-3</v>
      </c>
      <c r="G318" s="9"/>
      <c r="H318" s="10">
        <f t="shared" si="76"/>
        <v>693</v>
      </c>
      <c r="I318" s="8">
        <f>IFERROR(H318/H444, "NA")</f>
        <v>2.0535590727158447E-2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2079</v>
      </c>
      <c r="U318" s="8">
        <f>IFERROR(T318/T444, "NA")</f>
        <v>4.7502961909067958E-3</v>
      </c>
      <c r="V318" s="9"/>
      <c r="W318" s="10">
        <f t="shared" si="78"/>
        <v>2079</v>
      </c>
      <c r="X318" s="8">
        <f>IFERROR(W318/W444, "NA")</f>
        <v>2.8765172971529526E-2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315.81</v>
      </c>
      <c r="C319" s="8">
        <f>IFERROR(B319/B444, "NA")</f>
        <v>1.4155140990690443E-3</v>
      </c>
      <c r="D319" s="9"/>
      <c r="E319" s="7">
        <v>294</v>
      </c>
      <c r="F319" s="8">
        <f>IFERROR(E319/E444, "NA")</f>
        <v>1.5525987995453948E-3</v>
      </c>
      <c r="G319" s="9"/>
      <c r="H319" s="10">
        <f t="shared" si="76"/>
        <v>-21.810000000000002</v>
      </c>
      <c r="I319" s="8">
        <f>IFERROR(H319/H444, "NA")</f>
        <v>-6.4629326660797369E-4</v>
      </c>
      <c r="J319" s="9"/>
      <c r="K319" s="7">
        <v>293.47000000000003</v>
      </c>
      <c r="L319" s="8">
        <f>IFERROR(K319/K444, "NA")</f>
        <v>1.7435249646313425E-3</v>
      </c>
      <c r="M319" s="9"/>
      <c r="N319" s="10">
        <f t="shared" si="77"/>
        <v>-22.339999999999975</v>
      </c>
      <c r="O319" s="8">
        <f>IFERROR(N319/N444, "NA")</f>
        <v>-4.0776624954892861E-4</v>
      </c>
      <c r="P319" s="9"/>
      <c r="Q319" s="7">
        <v>947.43</v>
      </c>
      <c r="R319" s="8">
        <f>IFERROR(Q319/Q444, "NA")</f>
        <v>1.8579542653368835E-3</v>
      </c>
      <c r="S319" s="9"/>
      <c r="T319" s="7">
        <v>882</v>
      </c>
      <c r="U319" s="8">
        <f>IFERROR(T319/T444, "NA")</f>
        <v>2.0152771718998526E-3</v>
      </c>
      <c r="V319" s="9"/>
      <c r="W319" s="10">
        <f t="shared" si="78"/>
        <v>-65.42999999999995</v>
      </c>
      <c r="X319" s="8">
        <f>IFERROR(W319/W444, "NA")</f>
        <v>-9.052935389741104E-4</v>
      </c>
      <c r="Y319" s="9"/>
      <c r="Z319" s="7">
        <v>839.4</v>
      </c>
      <c r="AA319" s="8">
        <f>IFERROR(Z319/Z444, "NA")</f>
        <v>2.0829367651515594E-3</v>
      </c>
      <c r="AB319" s="9"/>
      <c r="AC319" s="10">
        <f t="shared" si="79"/>
        <v>-108.02999999999997</v>
      </c>
      <c r="AD319" s="8">
        <f>IFERROR(AC319/AC444, "NA")</f>
        <v>-1.0101632540890197E-3</v>
      </c>
    </row>
    <row r="320" spans="1:30" ht="16.5" customHeight="1" x14ac:dyDescent="0.45">
      <c r="A320" s="6" t="s">
        <v>292</v>
      </c>
      <c r="B320" s="7">
        <v>993.76</v>
      </c>
      <c r="C320" s="8">
        <f>IFERROR(B320/B444, "NA")</f>
        <v>4.4542012320409529E-3</v>
      </c>
      <c r="D320" s="9"/>
      <c r="E320" s="7">
        <v>833</v>
      </c>
      <c r="F320" s="8">
        <f>IFERROR(E320/E444, "NA")</f>
        <v>4.3990299320452852E-3</v>
      </c>
      <c r="G320" s="9"/>
      <c r="H320" s="10">
        <f t="shared" si="76"/>
        <v>-160.76</v>
      </c>
      <c r="I320" s="8">
        <f>IFERROR(H320/H444, "NA")</f>
        <v>-4.7637829225079245E-3</v>
      </c>
      <c r="J320" s="9"/>
      <c r="K320" s="7">
        <v>834.03</v>
      </c>
      <c r="L320" s="8">
        <f>IFERROR(K320/K444, "NA")</f>
        <v>4.9550282013544091E-3</v>
      </c>
      <c r="M320" s="9"/>
      <c r="N320" s="10">
        <f t="shared" si="77"/>
        <v>-159.73000000000002</v>
      </c>
      <c r="O320" s="8">
        <f>IFERROR(N320/N444, "NA")</f>
        <v>-2.9155104315331444E-3</v>
      </c>
      <c r="P320" s="9"/>
      <c r="Q320" s="7">
        <v>2943.15</v>
      </c>
      <c r="R320" s="8">
        <f>IFERROR(Q320/Q444, "NA")</f>
        <v>5.7716539438546904E-3</v>
      </c>
      <c r="S320" s="9"/>
      <c r="T320" s="7">
        <v>2499</v>
      </c>
      <c r="U320" s="8">
        <f>IFERROR(T320/T444, "NA")</f>
        <v>5.7099519870495823E-3</v>
      </c>
      <c r="V320" s="9"/>
      <c r="W320" s="10">
        <f t="shared" si="78"/>
        <v>-444.15000000000009</v>
      </c>
      <c r="X320" s="8">
        <f>IFERROR(W320/W444, "NA")</f>
        <v>-6.1452869530085816E-3</v>
      </c>
      <c r="Y320" s="9"/>
      <c r="Z320" s="7">
        <v>2467.14</v>
      </c>
      <c r="AA320" s="8">
        <f>IFERROR(Z320/Z444, "NA")</f>
        <v>6.1221069940147945E-3</v>
      </c>
      <c r="AB320" s="9"/>
      <c r="AC320" s="10">
        <f t="shared" si="79"/>
        <v>-476.01000000000022</v>
      </c>
      <c r="AD320" s="8">
        <f>IFERROR(AC320/AC444, "NA")</f>
        <v>-4.4510581373592021E-3</v>
      </c>
    </row>
    <row r="321" spans="1:30" ht="16.5" customHeight="1" x14ac:dyDescent="0.45">
      <c r="A321" s="6" t="s">
        <v>293</v>
      </c>
      <c r="B321" s="7">
        <v>4576.1499999999996</v>
      </c>
      <c r="C321" s="8">
        <f>IFERROR(B321/B444, "NA")</f>
        <v>2.0511082120435727E-2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-4576.1499999999996</v>
      </c>
      <c r="I321" s="8">
        <f>IFERROR(H321/H444, "NA")</f>
        <v>-0.13560453608381837</v>
      </c>
      <c r="J321" s="9"/>
      <c r="K321" s="7">
        <v>2027.62</v>
      </c>
      <c r="L321" s="8">
        <f>IFERROR(K321/K444, "NA")</f>
        <v>1.2046226492608451E-2</v>
      </c>
      <c r="M321" s="9"/>
      <c r="N321" s="10">
        <f t="shared" si="77"/>
        <v>-2548.5299999999997</v>
      </c>
      <c r="O321" s="8">
        <f>IFERROR(N321/N444, "NA")</f>
        <v>-4.6517659801384607E-2</v>
      </c>
      <c r="P321" s="9"/>
      <c r="Q321" s="7">
        <v>8798.1299999999992</v>
      </c>
      <c r="R321" s="8">
        <f>IFERROR(Q321/Q444, "NA")</f>
        <v>1.7253541855850454E-2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-8798.1299999999992</v>
      </c>
      <c r="X321" s="8">
        <f>IFERROR(W321/W444, "NA")</f>
        <v>-0.12173147247522995</v>
      </c>
      <c r="Y321" s="9"/>
      <c r="Z321" s="7">
        <v>5212.3999999999996</v>
      </c>
      <c r="AA321" s="8">
        <f>IFERROR(Z321/Z444, "NA")</f>
        <v>1.2934357391798891E-2</v>
      </c>
      <c r="AB321" s="9"/>
      <c r="AC321" s="10">
        <f t="shared" si="79"/>
        <v>-3585.7299999999996</v>
      </c>
      <c r="AD321" s="8">
        <f>IFERROR(AC321/AC444, "NA")</f>
        <v>-3.352932227237454E-2</v>
      </c>
    </row>
    <row r="322" spans="1:30" ht="16.5" customHeight="1" x14ac:dyDescent="0.45">
      <c r="A322" s="6" t="s">
        <v>294</v>
      </c>
      <c r="B322" s="7">
        <v>224.6</v>
      </c>
      <c r="C322" s="8">
        <f>IFERROR(B322/B444, "NA")</f>
        <v>1.0066953758617757E-3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-224.6</v>
      </c>
      <c r="I322" s="8">
        <f>IFERROR(H322/H444, "NA")</f>
        <v>-6.6555464319188844E-3</v>
      </c>
      <c r="J322" s="9"/>
      <c r="K322" s="7">
        <v>156.87</v>
      </c>
      <c r="L322" s="8">
        <f>IFERROR(K322/K444, "NA")</f>
        <v>9.3197519747067396E-4</v>
      </c>
      <c r="M322" s="9"/>
      <c r="N322" s="10">
        <f t="shared" si="77"/>
        <v>-67.72999999999999</v>
      </c>
      <c r="O322" s="8">
        <f>IFERROR(N322/N444, "NA")</f>
        <v>-1.236258195252863E-3</v>
      </c>
      <c r="P322" s="9"/>
      <c r="Q322" s="7">
        <v>559.03</v>
      </c>
      <c r="R322" s="8">
        <f>IFERROR(Q322/Q444, "NA")</f>
        <v>1.0962838130007262E-3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-559.03</v>
      </c>
      <c r="X322" s="8">
        <f>IFERROR(W322/W444, "NA")</f>
        <v>-7.7347737596316262E-3</v>
      </c>
      <c r="Y322" s="9"/>
      <c r="Z322" s="7">
        <v>470.61</v>
      </c>
      <c r="AA322" s="8">
        <f>IFERROR(Z322/Z444, "NA")</f>
        <v>1.1677994651512692E-3</v>
      </c>
      <c r="AB322" s="9"/>
      <c r="AC322" s="10">
        <f t="shared" si="79"/>
        <v>-88.419999999999959</v>
      </c>
      <c r="AD322" s="8">
        <f>IFERROR(AC322/AC444, "NA")</f>
        <v>-8.267947322646589E-4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-7.7644855112690377E-5</v>
      </c>
      <c r="AB323" s="9"/>
      <c r="AC323" s="10">
        <f t="shared" si="79"/>
        <v>-31.29</v>
      </c>
      <c r="AD323" s="8">
        <f>IFERROR(AC323/AC444, "NA")</f>
        <v>-2.9258546904050201E-4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7353.73</v>
      </c>
      <c r="C324" s="15">
        <f>IFERROR(B324/B444, "NA")</f>
        <v>3.296066779312562E-2</v>
      </c>
      <c r="D324" s="2"/>
      <c r="E324" s="14">
        <f>IFERROR(E297+E298+E299+E300+E301+E302+E303+E304+E305+E306+E307+E308+E309+E310+E311+E312+E313+E314+E315+E316+E317+E318+E319+E320+E321+E322+E323, "NA")</f>
        <v>4281.68</v>
      </c>
      <c r="F324" s="15">
        <f>IFERROR(E324/E444, "NA")</f>
        <v>2.2611330707610636E-2</v>
      </c>
      <c r="G324" s="2"/>
      <c r="H324" s="14">
        <f t="shared" si="76"/>
        <v>-3072.0499999999993</v>
      </c>
      <c r="I324" s="15">
        <f>IFERROR(H324/H444, "NA")</f>
        <v>-9.1033710668639384E-2</v>
      </c>
      <c r="J324" s="2"/>
      <c r="K324" s="14">
        <f>IFERROR(K297+K298+K299+K300+K301+K302+K303+K304+K305+K306+K307+K308+K309+K310+K311+K312+K313+K314+K315+K316+K317+K318+K319+K320+K321+K322+K323, "NA")</f>
        <v>3717.66</v>
      </c>
      <c r="L324" s="15">
        <f>IFERROR(K324/K444, "NA")</f>
        <v>2.2086867550384557E-2</v>
      </c>
      <c r="M324" s="2"/>
      <c r="N324" s="14">
        <f t="shared" si="77"/>
        <v>-3636.0699999999997</v>
      </c>
      <c r="O324" s="15">
        <f>IFERROR(N324/N444, "NA")</f>
        <v>-6.6368246508387393E-2</v>
      </c>
      <c r="P324" s="2"/>
      <c r="Q324" s="14">
        <f>IFERROR(Q297+Q298+Q299+Q300+Q301+Q302+Q303+Q304+Q305+Q306+Q307+Q308+Q309+Q310+Q311+Q312+Q313+Q314+Q315+Q316+Q317+Q318+Q319+Q320+Q321+Q322+Q323, "NA")</f>
        <v>16835.98</v>
      </c>
      <c r="R324" s="15">
        <f>IFERROR(Q324/Q444, "NA")</f>
        <v>3.3016139294857104E-2</v>
      </c>
      <c r="S324" s="2"/>
      <c r="T324" s="14">
        <f>IFERROR(T297+T298+T299+T300+T301+T302+T303+T304+T305+T306+T307+T308+T309+T310+T311+T312+T313+T314+T315+T316+T317+T318+T319+T320+T321+T322+T323, "NA")</f>
        <v>11149.54</v>
      </c>
      <c r="U324" s="15">
        <f>IFERROR(T324/T444, "NA")</f>
        <v>2.5475525441252023E-2</v>
      </c>
      <c r="V324" s="2"/>
      <c r="W324" s="14">
        <f t="shared" si="78"/>
        <v>-5686.4399999999987</v>
      </c>
      <c r="X324" s="15">
        <f>IFERROR(W324/W444, "NA")</f>
        <v>-7.86779366003965E-2</v>
      </c>
      <c r="Y324" s="2"/>
      <c r="Z324" s="14">
        <f>IFERROR(Z297+Z298+Z299+Z300+Z301+Z302+Z303+Z304+Z305+Z306+Z307+Z308+Z309+Z310+Z311+Z312+Z313+Z314+Z315+Z316+Z317+Z318+Z319+Z320+Z321+Z322+Z323, "NA")</f>
        <v>10255.209999999999</v>
      </c>
      <c r="AA324" s="15">
        <f>IFERROR(Z324/Z444, "NA")</f>
        <v>2.5447884135513372E-2</v>
      </c>
      <c r="AB324" s="2"/>
      <c r="AC324" s="14">
        <f t="shared" si="79"/>
        <v>-6580.77</v>
      </c>
      <c r="AD324" s="15">
        <f>IFERROR(AC324/AC444, "NA")</f>
        <v>-6.1535240559209482E-2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61915.56</v>
      </c>
      <c r="C325" s="15">
        <f>IFERROR(B325/B444, "NA")</f>
        <v>0.27751606387307354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48110.560000000005</v>
      </c>
      <c r="F325" s="15">
        <f>IFERROR(E325/E444, "NA")</f>
        <v>0.25406937993692758</v>
      </c>
      <c r="G325" s="2"/>
      <c r="H325" s="14">
        <f t="shared" si="76"/>
        <v>-13804.999999999993</v>
      </c>
      <c r="I325" s="15">
        <f>IFERROR(H325/H444, "NA")</f>
        <v>-0.40908200575529902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37214.75</v>
      </c>
      <c r="L325" s="15">
        <f>IFERROR(K325/K444, "NA")</f>
        <v>0.22109532721407382</v>
      </c>
      <c r="M325" s="2"/>
      <c r="N325" s="14">
        <f t="shared" si="77"/>
        <v>-24700.809999999998</v>
      </c>
      <c r="O325" s="15">
        <f>IFERROR(N325/N444, "NA")</f>
        <v>-0.45085750467863389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149768.87</v>
      </c>
      <c r="R325" s="15">
        <f>IFERROR(Q325/Q444, "NA")</f>
        <v>0.29370371513587834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114307.48</v>
      </c>
      <c r="U325" s="15">
        <f>IFERROR(T325/T444, "NA")</f>
        <v>0.26118056124875166</v>
      </c>
      <c r="V325" s="2"/>
      <c r="W325" s="14">
        <f t="shared" si="78"/>
        <v>-35461.39</v>
      </c>
      <c r="X325" s="15">
        <f>IFERROR(W325/W444, "NA")</f>
        <v>-0.49064599190036912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92710.570000000022</v>
      </c>
      <c r="AA325" s="15">
        <f>IFERROR(Z325/Z444, "NA")</f>
        <v>0.23005748721843849</v>
      </c>
      <c r="AB325" s="2"/>
      <c r="AC325" s="14">
        <f t="shared" si="79"/>
        <v>-57058.299999999974</v>
      </c>
      <c r="AD325" s="15">
        <f>IFERROR(AC325/AC444, "NA")</f>
        <v>-0.53353881329989361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4.543306771097641E-2</v>
      </c>
      <c r="D329" s="9"/>
      <c r="E329" s="7">
        <v>11697</v>
      </c>
      <c r="F329" s="8">
        <f>IFERROR(E329/E444, "NA")</f>
        <v>6.1771252239056065E-2</v>
      </c>
      <c r="G329" s="9"/>
      <c r="H329" s="10">
        <f t="shared" si="80"/>
        <v>1560.6000000000004</v>
      </c>
      <c r="I329" s="8">
        <f>IFERROR(H329/H444, "NA")</f>
        <v>4.6245083533626954E-2</v>
      </c>
      <c r="J329" s="9"/>
      <c r="K329" s="7">
        <v>9841.17</v>
      </c>
      <c r="L329" s="8">
        <f>IFERROR(K329/K444, "NA")</f>
        <v>5.8467051406211973E-2</v>
      </c>
      <c r="M329" s="9"/>
      <c r="N329" s="10">
        <f t="shared" si="81"/>
        <v>-295.22999999999956</v>
      </c>
      <c r="O329" s="8">
        <f>IFERROR(N329/N444, "NA")</f>
        <v>-5.3887569317068104E-3</v>
      </c>
      <c r="P329" s="9"/>
      <c r="Q329" s="7">
        <v>30409.200000000001</v>
      </c>
      <c r="R329" s="8">
        <f>IFERROR(Q329/Q444, "NA")</f>
        <v>5.9633854580794746E-2</v>
      </c>
      <c r="S329" s="9"/>
      <c r="T329" s="7">
        <v>30407</v>
      </c>
      <c r="U329" s="8">
        <f>IFERROR(T329/T444, "NA")</f>
        <v>6.947679474598506E-2</v>
      </c>
      <c r="V329" s="9"/>
      <c r="W329" s="10">
        <f t="shared" si="82"/>
        <v>-2.2000000000007276</v>
      </c>
      <c r="X329" s="8">
        <f>IFERROR(W329/W444, "NA")</f>
        <v>-3.0439336477819089E-5</v>
      </c>
      <c r="Y329" s="9"/>
      <c r="Z329" s="7">
        <v>29523.51</v>
      </c>
      <c r="AA329" s="8">
        <f>IFERROR(Z329/Z444, "NA")</f>
        <v>7.3261382434262237E-2</v>
      </c>
      <c r="AB329" s="9"/>
      <c r="AC329" s="10">
        <f t="shared" si="83"/>
        <v>-885.69000000000233</v>
      </c>
      <c r="AD329" s="8">
        <f>IFERROR(AC329/AC444, "NA")</f>
        <v>-8.2818799640294958E-3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3.265933150586299E-3</v>
      </c>
      <c r="D330" s="9"/>
      <c r="E330" s="7">
        <v>728</v>
      </c>
      <c r="F330" s="8">
        <f>IFERROR(E330/E444, "NA")</f>
        <v>3.8445303607790729E-3</v>
      </c>
      <c r="G330" s="9"/>
      <c r="H330" s="10">
        <f t="shared" si="80"/>
        <v>-0.64999999999997726</v>
      </c>
      <c r="I330" s="8">
        <f>IFERROR(H330/H444, "NA")</f>
        <v>-1.9261376583914176E-5</v>
      </c>
      <c r="J330" s="9"/>
      <c r="K330" s="7">
        <v>728.65</v>
      </c>
      <c r="L330" s="8">
        <f>IFERROR(K330/K444, "NA")</f>
        <v>4.3289585493530092E-3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2185.9499999999998</v>
      </c>
      <c r="R330" s="8">
        <f>IFERROR(Q330/Q444, "NA")</f>
        <v>4.2867495501653528E-3</v>
      </c>
      <c r="S330" s="9"/>
      <c r="T330" s="7">
        <v>2184</v>
      </c>
      <c r="U330" s="8">
        <f>IFERROR(T330/T444, "NA")</f>
        <v>4.9902101399424918E-3</v>
      </c>
      <c r="V330" s="9"/>
      <c r="W330" s="10">
        <f t="shared" si="82"/>
        <v>-1.9499999999998181</v>
      </c>
      <c r="X330" s="8">
        <f>IFERROR(W330/W444, "NA")</f>
        <v>-2.6980320968964571E-5</v>
      </c>
      <c r="Y330" s="9"/>
      <c r="Z330" s="7">
        <v>2185.9499999999998</v>
      </c>
      <c r="AA330" s="8">
        <f>IFERROR(Z330/Z444, "NA")</f>
        <v>5.4243455108208853E-3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6.7949696785683523E-5</v>
      </c>
      <c r="D332" s="9"/>
      <c r="E332" s="7">
        <v>15</v>
      </c>
      <c r="F332" s="8">
        <f>IFERROR(E332/E444, "NA")</f>
        <v>7.9214224466601777E-5</v>
      </c>
      <c r="G332" s="9"/>
      <c r="H332" s="10">
        <f t="shared" si="80"/>
        <v>-0.16000000000000014</v>
      </c>
      <c r="I332" s="8">
        <f>IFERROR(H332/H444, "NA")</f>
        <v>-4.7412619283482752E-6</v>
      </c>
      <c r="J332" s="9"/>
      <c r="K332" s="7">
        <v>15.16</v>
      </c>
      <c r="L332" s="8">
        <f>IFERROR(K332/K444, "NA")</f>
        <v>9.0066577380349438E-5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45.48</v>
      </c>
      <c r="R332" s="8">
        <f>IFERROR(Q332/Q444, "NA")</f>
        <v>8.9188393852338913E-5</v>
      </c>
      <c r="S332" s="9"/>
      <c r="T332" s="7">
        <v>45</v>
      </c>
      <c r="U332" s="8">
        <f>IFERROR(T332/T444, "NA")</f>
        <v>1.0282026387244146E-4</v>
      </c>
      <c r="V332" s="9"/>
      <c r="W332" s="10">
        <f t="shared" si="82"/>
        <v>-0.47999999999999687</v>
      </c>
      <c r="X332" s="8">
        <f>IFERROR(W332/W444, "NA")</f>
        <v>-6.6413097769764707E-6</v>
      </c>
      <c r="Y332" s="9"/>
      <c r="Z332" s="7">
        <v>45.48</v>
      </c>
      <c r="AA332" s="8">
        <f>IFERROR(Z332/Z444, "NA")</f>
        <v>1.1285675968440901E-4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4.3214393574504554E-3</v>
      </c>
      <c r="D333" s="9"/>
      <c r="E333" s="7">
        <v>728</v>
      </c>
      <c r="F333" s="8">
        <f>IFERROR(E333/E444, "NA")</f>
        <v>3.8445303607790729E-3</v>
      </c>
      <c r="G333" s="9"/>
      <c r="H333" s="10">
        <f t="shared" si="80"/>
        <v>-236.14</v>
      </c>
      <c r="I333" s="8">
        <f>IFERROR(H333/H444, "NA")</f>
        <v>-6.9975099485010033E-3</v>
      </c>
      <c r="J333" s="9"/>
      <c r="K333" s="7">
        <v>964.14</v>
      </c>
      <c r="L333" s="8">
        <f>IFERROR(K333/K444, "NA")</f>
        <v>5.7280204429742817E-3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2892.42</v>
      </c>
      <c r="R333" s="8">
        <f>IFERROR(Q333/Q444, "NA")</f>
        <v>5.6721700559890535E-3</v>
      </c>
      <c r="S333" s="9"/>
      <c r="T333" s="7">
        <v>2184</v>
      </c>
      <c r="U333" s="8">
        <f>IFERROR(T333/T444, "NA")</f>
        <v>4.9902101399424918E-3</v>
      </c>
      <c r="V333" s="9"/>
      <c r="W333" s="10">
        <f t="shared" si="82"/>
        <v>-708.42000000000007</v>
      </c>
      <c r="X333" s="8">
        <f>IFERROR(W333/W444, "NA")</f>
        <v>-9.801743067095213E-3</v>
      </c>
      <c r="Y333" s="9"/>
      <c r="Z333" s="7">
        <v>2892.42</v>
      </c>
      <c r="AA333" s="8">
        <f>IFERROR(Z333/Z444, "NA")</f>
        <v>7.17742191834605E-3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1561</v>
      </c>
      <c r="C334" s="8">
        <f>IFERROR(B334/B444, "NA")</f>
        <v>6.9966673273385207E-3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-1561</v>
      </c>
      <c r="I334" s="8">
        <f>IFERROR(H334/H444, "NA")</f>
        <v>-4.6256936688447818E-2</v>
      </c>
      <c r="J334" s="9"/>
      <c r="K334" s="7">
        <v>1515.54</v>
      </c>
      <c r="L334" s="8">
        <f>IFERROR(K334/K444, "NA")</f>
        <v>9.0039248471645641E-3</v>
      </c>
      <c r="M334" s="9"/>
      <c r="N334" s="10">
        <f t="shared" si="81"/>
        <v>-45.460000000000036</v>
      </c>
      <c r="O334" s="8">
        <f>IFERROR(N334/N444, "NA")</f>
        <v>-8.297696376228438E-4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6.4903186469124439E-3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-4.579210763349377E-2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-3.0947482264168307E-2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3503.73</v>
      </c>
      <c r="F337" s="8">
        <f>IFERROR(E337/E444, "NA")</f>
        <v>1.8503016979357776E-2</v>
      </c>
      <c r="G337" s="9"/>
      <c r="H337" s="10">
        <f t="shared" ref="H337:H344" si="84">IFERROR(-(B337-E337), "NA")</f>
        <v>3503.73</v>
      </c>
      <c r="I337" s="8">
        <f>IFERROR(H337/H444, "NA")</f>
        <v>0.10382563535132304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12044.24</v>
      </c>
      <c r="U337" s="8">
        <f>IFERROR(T337/T444, "NA")</f>
        <v>2.7519820776511428E-2</v>
      </c>
      <c r="V337" s="9"/>
      <c r="W337" s="10">
        <f t="shared" ref="W337:W344" si="86">IFERROR(-(Q337-T337), "NA")</f>
        <v>12044.24</v>
      </c>
      <c r="X337" s="8">
        <f>IFERROR(W337/W444, "NA")</f>
        <v>0.16664485180885752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3984.79</v>
      </c>
      <c r="C338" s="8">
        <f>IFERROR(B338/B444, "NA")</f>
        <v>1.7860506085397351E-2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-3984.79</v>
      </c>
      <c r="I338" s="8">
        <f>IFERROR(H338/H444, "NA")</f>
        <v>-0.11808083199664315</v>
      </c>
      <c r="J338" s="9"/>
      <c r="K338" s="7">
        <v>2504.62</v>
      </c>
      <c r="L338" s="8">
        <f>IFERROR(K338/K444, "NA")</f>
        <v>1.4880115503850317E-2</v>
      </c>
      <c r="M338" s="9"/>
      <c r="N338" s="10">
        <f t="shared" si="85"/>
        <v>-1480.17</v>
      </c>
      <c r="O338" s="8">
        <f>IFERROR(N338/N444, "NA")</f>
        <v>-2.7017160680162862E-2</v>
      </c>
      <c r="P338" s="9"/>
      <c r="Q338" s="7">
        <v>13691.89</v>
      </c>
      <c r="R338" s="8">
        <f>IFERROR(Q338/Q444, "NA")</f>
        <v>2.6850432671567739E-2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-13691.89</v>
      </c>
      <c r="X338" s="8">
        <f>IFERROR(W338/W444, "NA")</f>
        <v>-0.18944183942143117</v>
      </c>
      <c r="Y338" s="9"/>
      <c r="Z338" s="7">
        <v>8176.35</v>
      </c>
      <c r="AA338" s="8">
        <f>IFERROR(Z338/Z444, "NA")</f>
        <v>2.0289278079279195E-2</v>
      </c>
      <c r="AB338" s="9"/>
      <c r="AC338" s="10">
        <f t="shared" si="87"/>
        <v>-5515.5399999999991</v>
      </c>
      <c r="AD338" s="8">
        <f>IFERROR(AC338/AC444, "NA")</f>
        <v>-5.1574524062372971E-2</v>
      </c>
    </row>
    <row r="339" spans="1:30" ht="16.5" customHeight="1" x14ac:dyDescent="0.45">
      <c r="A339" s="12" t="s">
        <v>309</v>
      </c>
      <c r="B339" s="7">
        <v>306.98</v>
      </c>
      <c r="C339" s="8">
        <f>IFERROR(B339/B444, "NA")</f>
        <v>1.3759365382103646E-3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-306.98</v>
      </c>
      <c r="I339" s="8">
        <f>IFERROR(H339/H444, "NA")</f>
        <v>-9.0967036672772016E-3</v>
      </c>
      <c r="J339" s="9"/>
      <c r="K339" s="7">
        <v>496.04</v>
      </c>
      <c r="L339" s="8">
        <f>IFERROR(K339/K444, "NA")</f>
        <v>2.9470069290071592E-3</v>
      </c>
      <c r="M339" s="9"/>
      <c r="N339" s="10">
        <f t="shared" si="85"/>
        <v>189.06</v>
      </c>
      <c r="O339" s="8">
        <f>IFERROR(N339/N444, "NA")</f>
        <v>3.4508633455559773E-3</v>
      </c>
      <c r="P339" s="9"/>
      <c r="Q339" s="7">
        <v>949.77</v>
      </c>
      <c r="R339" s="8">
        <f>IFERROR(Q339/Q444, "NA")</f>
        <v>1.8625431140970963E-3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-949.77</v>
      </c>
      <c r="X339" s="8">
        <f>IFERROR(W339/W444, "NA")</f>
        <v>-1.3141076639331216E-2</v>
      </c>
      <c r="Y339" s="9"/>
      <c r="Z339" s="7">
        <v>1555.73</v>
      </c>
      <c r="AA339" s="8">
        <f>IFERROR(Z339/Z444, "NA")</f>
        <v>3.8604803593629208E-3</v>
      </c>
      <c r="AB339" s="9"/>
      <c r="AC339" s="10">
        <f t="shared" si="87"/>
        <v>605.96</v>
      </c>
      <c r="AD339" s="8">
        <f>IFERROR(AC339/AC444, "NA")</f>
        <v>5.6661901827990612E-3</v>
      </c>
    </row>
    <row r="340" spans="1:30" ht="16.5" customHeight="1" x14ac:dyDescent="0.45">
      <c r="A340" s="12" t="s">
        <v>310</v>
      </c>
      <c r="B340" s="7">
        <v>537.78</v>
      </c>
      <c r="C340" s="8">
        <f>IFERROR(B340/B444, "NA")</f>
        <v>2.4104213679026964E-3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-537.78</v>
      </c>
      <c r="I340" s="8">
        <f>IFERROR(H340/H444, "NA")</f>
        <v>-1.5935973998919582E-2</v>
      </c>
      <c r="J340" s="9"/>
      <c r="K340" s="7">
        <v>446</v>
      </c>
      <c r="L340" s="8">
        <f>IFERROR(K340/K444, "NA")</f>
        <v>2.6497159308466918E-3</v>
      </c>
      <c r="M340" s="9"/>
      <c r="N340" s="10">
        <f t="shared" si="85"/>
        <v>-91.779999999999973</v>
      </c>
      <c r="O340" s="8">
        <f>IFERROR(N340/N444, "NA")</f>
        <v>-1.6752366331065666E-3</v>
      </c>
      <c r="P340" s="9"/>
      <c r="Q340" s="7">
        <v>1597.97</v>
      </c>
      <c r="R340" s="8">
        <f>IFERROR(Q340/Q444, "NA")</f>
        <v>3.1336934416055858E-3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-1597.97</v>
      </c>
      <c r="X340" s="8">
        <f>IFERROR(W340/W444, "NA")</f>
        <v>-2.2109612050656584E-2</v>
      </c>
      <c r="Y340" s="9"/>
      <c r="Z340" s="7">
        <v>1256.9000000000001</v>
      </c>
      <c r="AA340" s="8">
        <f>IFERROR(Z340/Z444, "NA")</f>
        <v>3.1189459377162203E-3</v>
      </c>
      <c r="AB340" s="9"/>
      <c r="AC340" s="10">
        <f t="shared" si="87"/>
        <v>-341.06999999999994</v>
      </c>
      <c r="AD340" s="8">
        <f>IFERROR(AC340/AC444, "NA")</f>
        <v>-3.1892657694357306E-3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1.7039865585101125E-3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-1.1265534670626014E-2</v>
      </c>
      <c r="J341" s="9"/>
      <c r="K341" s="7">
        <v>351.45</v>
      </c>
      <c r="L341" s="8">
        <f>IFERROR(K341/K444, "NA")</f>
        <v>2.0879880356414124E-3</v>
      </c>
      <c r="M341" s="9"/>
      <c r="N341" s="10">
        <f t="shared" si="85"/>
        <v>-28.720000000000027</v>
      </c>
      <c r="O341" s="8">
        <f>IFERROR(N341/N444, "NA")</f>
        <v>-5.242187415866273E-4</v>
      </c>
      <c r="P341" s="9"/>
      <c r="Q341" s="7">
        <v>1140.51</v>
      </c>
      <c r="R341" s="8">
        <f>IFERROR(Q341/Q444, "NA")</f>
        <v>2.2365931194487923E-3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-1140.51</v>
      </c>
      <c r="X341" s="8">
        <f>IFERROR(W341/W444, "NA")</f>
        <v>-1.5780167111957257E-2</v>
      </c>
      <c r="Y341" s="9"/>
      <c r="Z341" s="7">
        <v>1054.3499999999999</v>
      </c>
      <c r="AA341" s="8">
        <f>IFERROR(Z341/Z444, "NA")</f>
        <v>2.6163263978288618E-3</v>
      </c>
      <c r="AB341" s="9"/>
      <c r="AC341" s="10">
        <f t="shared" si="87"/>
        <v>-86.160000000000082</v>
      </c>
      <c r="AD341" s="8">
        <f>IFERROR(AC341/AC444, "NA")</f>
        <v>-8.0566200103961909E-4</v>
      </c>
    </row>
    <row r="342" spans="1:30" ht="16.5" customHeight="1" x14ac:dyDescent="0.45">
      <c r="A342" s="13" t="s">
        <v>312</v>
      </c>
      <c r="B342" s="14">
        <f>IFERROR(B337+B338+B339+B340+B341, "NA")</f>
        <v>5209.72</v>
      </c>
      <c r="C342" s="15">
        <f>IFERROR(B342/B444, "NA")</f>
        <v>2.3350850550020525E-2</v>
      </c>
      <c r="D342" s="2"/>
      <c r="E342" s="14">
        <f>IFERROR(E337+E338+E339+E340+E341, "NA")</f>
        <v>3503.73</v>
      </c>
      <c r="F342" s="15">
        <f>IFERROR(E342/E444, "NA")</f>
        <v>1.8503016979357776E-2</v>
      </c>
      <c r="G342" s="2"/>
      <c r="H342" s="14">
        <f t="shared" si="84"/>
        <v>-1705.9900000000002</v>
      </c>
      <c r="I342" s="15">
        <f>IFERROR(H342/H444, "NA")</f>
        <v>-5.0553408982142924E-2</v>
      </c>
      <c r="J342" s="2"/>
      <c r="K342" s="14">
        <f>IFERROR(K337+K338+K339+K340+K341, "NA")</f>
        <v>3798.1099999999997</v>
      </c>
      <c r="L342" s="15">
        <f>IFERROR(K342/K444, "NA")</f>
        <v>2.2564826399345577E-2</v>
      </c>
      <c r="M342" s="2"/>
      <c r="N342" s="14">
        <f t="shared" si="85"/>
        <v>-1411.6100000000006</v>
      </c>
      <c r="O342" s="15">
        <f>IFERROR(N342/N444, "NA")</f>
        <v>-2.576575270930009E-2</v>
      </c>
      <c r="P342" s="2"/>
      <c r="Q342" s="14">
        <f>IFERROR(Q337+Q338+Q339+Q340+Q341, "NA")</f>
        <v>17380.14</v>
      </c>
      <c r="R342" s="15">
        <f>IFERROR(Q342/Q444, "NA")</f>
        <v>3.4083262346719212E-2</v>
      </c>
      <c r="S342" s="2"/>
      <c r="T342" s="14">
        <f>IFERROR(T337+T338+T339+T340+T341, "NA")</f>
        <v>12044.24</v>
      </c>
      <c r="U342" s="15">
        <f>IFERROR(T342/T444, "NA")</f>
        <v>2.7519820776511428E-2</v>
      </c>
      <c r="V342" s="2"/>
      <c r="W342" s="14">
        <f t="shared" si="86"/>
        <v>-5335.9</v>
      </c>
      <c r="X342" s="15">
        <f>IFERROR(W342/W444, "NA")</f>
        <v>-7.3827843414518701E-2</v>
      </c>
      <c r="Y342" s="2"/>
      <c r="Z342" s="14">
        <f>IFERROR(Z337+Z338+Z339+Z340+Z341, "NA")</f>
        <v>12043.33</v>
      </c>
      <c r="AA342" s="15">
        <f>IFERROR(Z342/Z444, "NA")</f>
        <v>2.9885030774187197E-2</v>
      </c>
      <c r="AB342" s="2"/>
      <c r="AC342" s="14">
        <f t="shared" si="87"/>
        <v>-5336.8099999999995</v>
      </c>
      <c r="AD342" s="15">
        <f>IFERROR(AC342/AC444, "NA")</f>
        <v>-4.9903261650049269E-2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18615.069999999996</v>
      </c>
      <c r="C343" s="15">
        <f>IFERROR(B343/B444, "NA")</f>
        <v>8.3435907793157876E-2</v>
      </c>
      <c r="D343" s="2"/>
      <c r="E343" s="14">
        <f>IFERROR(E328+E329+E330+E331+E332+E333+E334+E335+E337+E338+E339+E340+E341, "NA")</f>
        <v>16671.73</v>
      </c>
      <c r="F343" s="15">
        <f>IFERROR(E343/E444, "NA")</f>
        <v>8.8042544164438588E-2</v>
      </c>
      <c r="G343" s="2"/>
      <c r="H343" s="14">
        <f t="shared" si="84"/>
        <v>-1943.3399999999965</v>
      </c>
      <c r="I343" s="15">
        <f>IFERROR(H343/H444, "NA")</f>
        <v>-5.7586774723976948E-2</v>
      </c>
      <c r="J343" s="2"/>
      <c r="K343" s="14">
        <f>IFERROR(K328+K329+K330+K331+K332+K333+K334+K335+K337+K338+K339+K340+K341, "NA")</f>
        <v>16862.77</v>
      </c>
      <c r="L343" s="15">
        <f>IFERROR(K343/K444, "NA")</f>
        <v>0.10018284822242976</v>
      </c>
      <c r="M343" s="2"/>
      <c r="N343" s="14">
        <f t="shared" si="85"/>
        <v>-1752.2999999999956</v>
      </c>
      <c r="O343" s="15">
        <f>IFERROR(N343/N444, "NA")</f>
        <v>-3.1984279278629658E-2</v>
      </c>
      <c r="P343" s="2"/>
      <c r="Q343" s="14">
        <f>IFERROR(Q328+Q329+Q330+Q331+Q332+Q333+Q334+Q335+Q337+Q338+Q339+Q340+Q341, "NA")</f>
        <v>56222.810000000005</v>
      </c>
      <c r="R343" s="15">
        <f>IFERROR(Q343/Q444, "NA")</f>
        <v>0.11025554357443315</v>
      </c>
      <c r="S343" s="2"/>
      <c r="T343" s="14">
        <f>IFERROR(T328+T329+T330+T331+T332+T333+T334+T335+T337+T338+T339+T340+T341, "NA")</f>
        <v>46864.24</v>
      </c>
      <c r="U343" s="15">
        <f>IFERROR(T343/T444, "NA")</f>
        <v>0.10707985606625391</v>
      </c>
      <c r="V343" s="2"/>
      <c r="W343" s="14">
        <f t="shared" si="86"/>
        <v>-9358.570000000007</v>
      </c>
      <c r="X343" s="15">
        <f>IFERROR(W343/W444, "NA")</f>
        <v>-0.12948575508233154</v>
      </c>
      <c r="Y343" s="2"/>
      <c r="Z343" s="14">
        <f>IFERROR(Z328+Z329+Z330+Z331+Z332+Z333+Z334+Z335+Z337+Z338+Z339+Z340+Z341, "NA")</f>
        <v>46690.69</v>
      </c>
      <c r="AA343" s="15">
        <f>IFERROR(Z343/Z444, "NA")</f>
        <v>0.11586103739730079</v>
      </c>
      <c r="AB343" s="2"/>
      <c r="AC343" s="14">
        <f t="shared" si="87"/>
        <v>-9532.1200000000026</v>
      </c>
      <c r="AD343" s="15">
        <f>IFERROR(AC343/AC444, "NA")</f>
        <v>-8.913262387824708E-2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18615.069999999996</v>
      </c>
      <c r="C344" s="15">
        <f>IFERROR(B344/B444, "NA")</f>
        <v>8.3435907793157876E-2</v>
      </c>
      <c r="D344" s="2"/>
      <c r="E344" s="14">
        <f>IFERROR(E328+E329+E330+E331+E332+E333+E334+E335+E337+E338+E339+E340+E341, "NA")</f>
        <v>16671.73</v>
      </c>
      <c r="F344" s="15">
        <f>IFERROR(E344/E444, "NA")</f>
        <v>8.8042544164438588E-2</v>
      </c>
      <c r="G344" s="2"/>
      <c r="H344" s="14">
        <f t="shared" si="84"/>
        <v>-1943.3399999999965</v>
      </c>
      <c r="I344" s="15">
        <f>IFERROR(H344/H444, "NA")</f>
        <v>-5.7586774723976948E-2</v>
      </c>
      <c r="J344" s="2"/>
      <c r="K344" s="14">
        <f>IFERROR(K328+K329+K330+K331+K332+K333+K334+K335+K337+K338+K339+K340+K341, "NA")</f>
        <v>16862.77</v>
      </c>
      <c r="L344" s="15">
        <f>IFERROR(K344/K444, "NA")</f>
        <v>0.10018284822242976</v>
      </c>
      <c r="M344" s="2"/>
      <c r="N344" s="14">
        <f t="shared" si="85"/>
        <v>-1752.2999999999956</v>
      </c>
      <c r="O344" s="15">
        <f>IFERROR(N344/N444, "NA")</f>
        <v>-3.1984279278629658E-2</v>
      </c>
      <c r="P344" s="2"/>
      <c r="Q344" s="14">
        <f>IFERROR(Q328+Q329+Q330+Q331+Q332+Q333+Q334+Q335+Q337+Q338+Q339+Q340+Q341, "NA")</f>
        <v>56222.810000000005</v>
      </c>
      <c r="R344" s="15">
        <f>IFERROR(Q344/Q444, "NA")</f>
        <v>0.11025554357443315</v>
      </c>
      <c r="S344" s="2"/>
      <c r="T344" s="14">
        <f>IFERROR(T328+T329+T330+T331+T332+T333+T334+T335+T337+T338+T339+T340+T341, "NA")</f>
        <v>46864.24</v>
      </c>
      <c r="U344" s="15">
        <f>IFERROR(T344/T444, "NA")</f>
        <v>0.10707985606625391</v>
      </c>
      <c r="V344" s="2"/>
      <c r="W344" s="14">
        <f t="shared" si="86"/>
        <v>-9358.570000000007</v>
      </c>
      <c r="X344" s="15">
        <f>IFERROR(W344/W444, "NA")</f>
        <v>-0.12948575508233154</v>
      </c>
      <c r="Y344" s="2"/>
      <c r="Z344" s="14">
        <f>IFERROR(Z328+Z329+Z330+Z331+Z332+Z333+Z334+Z335+Z337+Z338+Z339+Z340+Z341, "NA")</f>
        <v>46690.69</v>
      </c>
      <c r="AA344" s="15">
        <f>IFERROR(Z344/Z444, "NA")</f>
        <v>0.11586103739730079</v>
      </c>
      <c r="AB344" s="2"/>
      <c r="AC344" s="14">
        <f t="shared" si="87"/>
        <v>-9532.1200000000026</v>
      </c>
      <c r="AD344" s="15">
        <f>IFERROR(AC344/AC444, "NA")</f>
        <v>-8.913262387824708E-2</v>
      </c>
    </row>
    <row r="345" spans="1:30" ht="16.5" customHeight="1" x14ac:dyDescent="0.45">
      <c r="A345" s="22" t="s">
        <v>315</v>
      </c>
      <c r="B345" s="23">
        <f>IFERROR(B198-B325-B344, "NA")</f>
        <v>28069.920000000053</v>
      </c>
      <c r="C345" s="24">
        <f>IFERROR(B345/B444, "NA")</f>
        <v>0.12581415255926101</v>
      </c>
      <c r="D345" s="25"/>
      <c r="E345" s="23">
        <f>IFERROR(E198-E325-E344, "NA")</f>
        <v>29555.549999999963</v>
      </c>
      <c r="F345" s="24">
        <f>IFERROR(E345/E444, "NA")</f>
        <v>0.15608133146225794</v>
      </c>
      <c r="G345" s="25"/>
      <c r="H345" s="23">
        <f>IFERROR(B345-E345, "NA")</f>
        <v>-1485.6299999999101</v>
      </c>
      <c r="I345" s="24">
        <f>IFERROR(H345/H444, "NA")</f>
        <v>-4.4023505991322591E-2</v>
      </c>
      <c r="J345" s="25"/>
      <c r="K345" s="23">
        <f>IFERROR(K198-K325-K344, "NA")</f>
        <v>24508.349999999966</v>
      </c>
      <c r="L345" s="24">
        <f>IFERROR(K345/K444, "NA")</f>
        <v>0.14560575209364671</v>
      </c>
      <c r="M345" s="25"/>
      <c r="N345" s="23">
        <f>IFERROR(B345-K345, "NA")</f>
        <v>3561.570000000087</v>
      </c>
      <c r="O345" s="24">
        <f>IFERROR(N345/N444, "NA")</f>
        <v>6.500841725183594E-2</v>
      </c>
      <c r="P345" s="25"/>
      <c r="Q345" s="23">
        <f>IFERROR(Q198-Q325-Q344, "NA")</f>
        <v>38417.590000000106</v>
      </c>
      <c r="R345" s="24">
        <f>IFERROR(Q345/Q444, "NA")</f>
        <v>7.5338679590538402E-2</v>
      </c>
      <c r="S345" s="25"/>
      <c r="T345" s="23">
        <f>IFERROR(T198-T325-T344, "NA")</f>
        <v>39563.849999999984</v>
      </c>
      <c r="U345" s="24">
        <f>IFERROR(T345/T444, "NA")</f>
        <v>9.0399233262437581E-2</v>
      </c>
      <c r="V345" s="25"/>
      <c r="W345" s="23">
        <f>IFERROR(Q345-T345, "NA")</f>
        <v>-1146.2599999998783</v>
      </c>
      <c r="X345" s="24">
        <f>IFERROR(W345/W444, "NA")</f>
        <v>-1.585972446865894E-2</v>
      </c>
      <c r="Y345" s="25"/>
      <c r="Z345" s="23">
        <f>IFERROR(Z198-Z325-Z344, "NA")</f>
        <v>42983.599999999962</v>
      </c>
      <c r="AA345" s="24">
        <f>IFERROR(Z345/Z444, "NA")</f>
        <v>0.10666204519724624</v>
      </c>
      <c r="AB345" s="25"/>
      <c r="AC345" s="23">
        <f>IFERROR(Q345-Z345, "NA")</f>
        <v>-4566.0099999998565</v>
      </c>
      <c r="AD345" s="24">
        <f>IFERROR(AC345/AC444, "NA")</f>
        <v>-4.2695691195064903E-2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28069.920000000053</v>
      </c>
      <c r="C404" s="24">
        <f>IFERROR(B404/B444, "NA")</f>
        <v>0.12581415255926101</v>
      </c>
      <c r="D404" s="25"/>
      <c r="E404" s="23">
        <f>IFERROR(E345-E403, "NA")</f>
        <v>29555.549999999963</v>
      </c>
      <c r="F404" s="24">
        <f>IFERROR(E404/E444, "NA")</f>
        <v>0.15608133146225794</v>
      </c>
      <c r="G404" s="25"/>
      <c r="H404" s="23">
        <f>IFERROR(B404-E404, "NA")</f>
        <v>-1485.6299999999101</v>
      </c>
      <c r="I404" s="24">
        <f>IFERROR(H404/H444, "NA")</f>
        <v>-4.4023505991322591E-2</v>
      </c>
      <c r="J404" s="25"/>
      <c r="K404" s="23">
        <f>IFERROR(K345-K403, "NA")</f>
        <v>24508.349999999966</v>
      </c>
      <c r="L404" s="24">
        <f>IFERROR(K404/K444, "NA")</f>
        <v>0.14560575209364671</v>
      </c>
      <c r="M404" s="25"/>
      <c r="N404" s="23">
        <f>IFERROR(B404-K404, "NA")</f>
        <v>3561.570000000087</v>
      </c>
      <c r="O404" s="24">
        <f>IFERROR(N404/N444, "NA")</f>
        <v>6.500841725183594E-2</v>
      </c>
      <c r="P404" s="25"/>
      <c r="Q404" s="23">
        <f>IFERROR(Q345-Q403, "NA")</f>
        <v>38417.590000000106</v>
      </c>
      <c r="R404" s="24">
        <f>IFERROR(Q404/Q444, "NA")</f>
        <v>7.5338679590538402E-2</v>
      </c>
      <c r="S404" s="25"/>
      <c r="T404" s="23">
        <f>IFERROR(T345-T403, "NA")</f>
        <v>39563.849999999984</v>
      </c>
      <c r="U404" s="24">
        <f>IFERROR(T404/T444, "NA")</f>
        <v>9.0399233262437581E-2</v>
      </c>
      <c r="V404" s="25"/>
      <c r="W404" s="23">
        <f>IFERROR(Q404-T404, "NA")</f>
        <v>-1146.2599999998783</v>
      </c>
      <c r="X404" s="24">
        <f>IFERROR(W404/W444, "NA")</f>
        <v>-1.585972446865894E-2</v>
      </c>
      <c r="Y404" s="25"/>
      <c r="Z404" s="23">
        <f>IFERROR(Z345-Z403, "NA")</f>
        <v>42983.599999999962</v>
      </c>
      <c r="AA404" s="24">
        <f>IFERROR(Z404/Z444, "NA")</f>
        <v>0.10666204519724624</v>
      </c>
      <c r="AB404" s="25"/>
      <c r="AC404" s="23">
        <f>IFERROR(Q404-Z404, "NA")</f>
        <v>-4566.0099999998565</v>
      </c>
      <c r="AD404" s="24">
        <f>IFERROR(AC404/AC444, "NA")</f>
        <v>-4.2695691195064903E-2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-9.9258363838530353E-5</v>
      </c>
      <c r="AB407" s="9"/>
      <c r="AC407" s="10">
        <f t="shared" ref="AC407:AC429" si="103">IFERROR(-(Q407-Z407), "NA")</f>
        <v>-40</v>
      </c>
      <c r="AD407" s="8">
        <f>IFERROR(AC407/AC444, "NA")</f>
        <v>-3.7403064115116913E-4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3345.17</v>
      </c>
      <c r="C410" s="8">
        <f>IFERROR(B410/B444, "NA")</f>
        <v>1.4993620527477899E-2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-3345.17</v>
      </c>
      <c r="I410" s="8">
        <f>IFERROR(H410/H444, "NA")</f>
        <v>-9.9127044780329909E-2</v>
      </c>
      <c r="J410" s="9"/>
      <c r="K410" s="7">
        <v>4587.55</v>
      </c>
      <c r="L410" s="8">
        <f>IFERROR(K410/K444, "NA")</f>
        <v>2.7254942418286417E-2</v>
      </c>
      <c r="M410" s="9"/>
      <c r="N410" s="10">
        <f t="shared" si="101"/>
        <v>1242.3800000000001</v>
      </c>
      <c r="O410" s="8">
        <f>IFERROR(N410/N444, "NA")</f>
        <v>2.2676841231629299E-2</v>
      </c>
      <c r="P410" s="9"/>
      <c r="Q410" s="7">
        <v>9479.1</v>
      </c>
      <c r="R410" s="8">
        <f>IFERROR(Q410/Q444, "NA")</f>
        <v>1.858895567646671E-2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-9479.1</v>
      </c>
      <c r="X410" s="8">
        <f>IFERROR(W410/W444, "NA")</f>
        <v>-0.13115341563945432</v>
      </c>
      <c r="Y410" s="9"/>
      <c r="Z410" s="7">
        <v>13595.43</v>
      </c>
      <c r="AA410" s="8">
        <f>IFERROR(Z410/Z444, "NA")</f>
        <v>3.3736503437031773E-2</v>
      </c>
      <c r="AB410" s="9"/>
      <c r="AC410" s="10">
        <f t="shared" si="103"/>
        <v>4116.33</v>
      </c>
      <c r="AD410" s="8">
        <f>IFERROR(AC410/AC444, "NA")</f>
        <v>3.8490838727244799E-2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-54.49</v>
      </c>
      <c r="C417" s="8">
        <f>IFERROR(B417/B444, "NA")</f>
        <v>-2.4423344181081103E-4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54.49</v>
      </c>
      <c r="I417" s="8">
        <f>IFERROR(H417/H444, "NA")</f>
        <v>1.6146960154731079E-3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54.49</v>
      </c>
      <c r="O417" s="8">
        <f>IFERROR(N417/N444, "NA")</f>
        <v>9.9459189516209242E-4</v>
      </c>
      <c r="P417" s="9"/>
      <c r="Q417" s="7">
        <v>-139.33000000000001</v>
      </c>
      <c r="R417" s="8">
        <f>IFERROR(Q417/Q444, "NA")</f>
        <v>-2.7323260588052732E-4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139.33000000000001</v>
      </c>
      <c r="X417" s="8">
        <f>IFERROR(W417/W444, "NA")</f>
        <v>1.9277785233877871E-3</v>
      </c>
      <c r="Y417" s="9"/>
      <c r="Z417" s="7">
        <v>-28.35</v>
      </c>
      <c r="AA417" s="8">
        <f>IFERROR(Z417/Z444, "NA")</f>
        <v>-7.0349365370558394E-5</v>
      </c>
      <c r="AB417" s="9"/>
      <c r="AC417" s="10">
        <f t="shared" si="103"/>
        <v>110.98000000000002</v>
      </c>
      <c r="AD417" s="8">
        <f>IFERROR(AC417/AC444, "NA")</f>
        <v>1.037748013873919E-3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-20</v>
      </c>
      <c r="R421" s="8">
        <f>IFERROR(Q421/Q444, "NA")</f>
        <v>-3.9220929574467423E-5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20</v>
      </c>
      <c r="X421" s="8">
        <f>IFERROR(W421/W444, "NA")</f>
        <v>2.7672124070735472E-4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20</v>
      </c>
      <c r="AD421" s="8">
        <f>IFERROR(AC421/AC444, "NA")</f>
        <v>1.8701532057558456E-4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3290.6800000000003</v>
      </c>
      <c r="C428" s="15">
        <f>IFERROR(B428/B444, "NA")</f>
        <v>1.4749387085667089E-2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-3290.6800000000003</v>
      </c>
      <c r="I428" s="15">
        <f>IFERROR(H428/H444, "NA")</f>
        <v>-9.7512348764856802E-2</v>
      </c>
      <c r="J428" s="2"/>
      <c r="K428" s="14">
        <f>IFERROR(K407+K408+K409+K410+K411+K412+K413+K414+K415+K416+K417+K418+K419+K420+K421+K422+K423+K424+K425+K426+K427, "NA")</f>
        <v>4587.55</v>
      </c>
      <c r="L428" s="15">
        <f>IFERROR(K428/K444, "NA")</f>
        <v>2.7254942418286417E-2</v>
      </c>
      <c r="M428" s="2"/>
      <c r="N428" s="14">
        <f t="shared" si="101"/>
        <v>1296.8699999999999</v>
      </c>
      <c r="O428" s="15">
        <f>IFERROR(N428/N444, "NA")</f>
        <v>2.3671433126791389E-2</v>
      </c>
      <c r="P428" s="2"/>
      <c r="Q428" s="14">
        <f>IFERROR(Q407+Q408+Q409+Q410+Q411+Q412+Q413+Q414+Q415+Q416+Q417+Q418+Q419+Q420+Q421+Q422+Q423+Q424+Q425+Q426+Q427, "NA")</f>
        <v>9319.77</v>
      </c>
      <c r="R428" s="15">
        <f>IFERROR(Q428/Q444, "NA")</f>
        <v>1.8276502141011716E-2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-9319.77</v>
      </c>
      <c r="X428" s="15">
        <f>IFERROR(W428/W444, "NA")</f>
        <v>-0.12894891587535917</v>
      </c>
      <c r="Y428" s="2"/>
      <c r="Z428" s="14">
        <f>IFERROR(Z407+Z408+Z409+Z410+Z411+Z412+Z413+Z414+Z415+Z416+Z417+Z418+Z419+Z420+Z421+Z422+Z423+Z424+Z425+Z426+Z427, "NA")</f>
        <v>13527.08</v>
      </c>
      <c r="AA428" s="15">
        <f>IFERROR(Z428/Z444, "NA")</f>
        <v>3.3566895707822682E-2</v>
      </c>
      <c r="AB428" s="2"/>
      <c r="AC428" s="14">
        <f t="shared" si="103"/>
        <v>4207.3099999999995</v>
      </c>
      <c r="AD428" s="15">
        <f>IFERROR(AC428/AC444, "NA")</f>
        <v>3.9341571420543127E-2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3290.6800000000003</v>
      </c>
      <c r="C429" s="15">
        <f>IFERROR(B429/B444, "NA")</f>
        <v>1.4749387085667089E-2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-3290.6800000000003</v>
      </c>
      <c r="I429" s="15">
        <f>IFERROR(H429/H444, "NA")</f>
        <v>-9.7512348764856802E-2</v>
      </c>
      <c r="J429" s="2"/>
      <c r="K429" s="14">
        <f>IFERROR(K407+K408+K409+K410+K411+K412+K413+K414+K415+K416+K417+K418+K419+K420+K421+K422+K423+K424+K425+K426+K427, "NA")</f>
        <v>4587.55</v>
      </c>
      <c r="L429" s="15">
        <f>IFERROR(K429/K444, "NA")</f>
        <v>2.7254942418286417E-2</v>
      </c>
      <c r="M429" s="2"/>
      <c r="N429" s="14">
        <f t="shared" si="101"/>
        <v>1296.8699999999999</v>
      </c>
      <c r="O429" s="15">
        <f>IFERROR(N429/N444, "NA")</f>
        <v>2.3671433126791389E-2</v>
      </c>
      <c r="P429" s="2"/>
      <c r="Q429" s="14">
        <f>IFERROR(Q407+Q408+Q409+Q410+Q411+Q412+Q413+Q414+Q415+Q416+Q417+Q418+Q419+Q420+Q421+Q422+Q423+Q424+Q425+Q426+Q427, "NA")</f>
        <v>9319.77</v>
      </c>
      <c r="R429" s="15">
        <f>IFERROR(Q429/Q444, "NA")</f>
        <v>1.8276502141011716E-2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-9319.77</v>
      </c>
      <c r="X429" s="15">
        <f>IFERROR(W429/W444, "NA")</f>
        <v>-0.12894891587535917</v>
      </c>
      <c r="Y429" s="2"/>
      <c r="Z429" s="14">
        <f>IFERROR(Z407+Z408+Z409+Z410+Z411+Z412+Z413+Z414+Z415+Z416+Z417+Z418+Z419+Z420+Z421+Z422+Z423+Z424+Z425+Z426+Z427, "NA")</f>
        <v>13527.08</v>
      </c>
      <c r="AA429" s="15">
        <f>IFERROR(Z429/Z444, "NA")</f>
        <v>3.3566895707822682E-2</v>
      </c>
      <c r="AB429" s="2"/>
      <c r="AC429" s="14">
        <f t="shared" si="103"/>
        <v>4207.3099999999995</v>
      </c>
      <c r="AD429" s="15">
        <f>IFERROR(AC429/AC444, "NA")</f>
        <v>3.9341571420543127E-2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24779.240000000053</v>
      </c>
      <c r="C443" s="24">
        <f>IFERROR(B443/B444, "NA")</f>
        <v>0.11106476547359394</v>
      </c>
      <c r="D443" s="25"/>
      <c r="E443" s="23">
        <f>IFERROR(E404-E429-E442, "NA")</f>
        <v>29555.549999999963</v>
      </c>
      <c r="F443" s="24">
        <f>IFERROR(E443/E444, "NA")</f>
        <v>0.15608133146225794</v>
      </c>
      <c r="G443" s="25"/>
      <c r="H443" s="23">
        <f>IFERROR(B443-E443, "NA")</f>
        <v>-4776.3099999999104</v>
      </c>
      <c r="I443" s="24">
        <f>IFERROR(H443/H444, "NA")</f>
        <v>-0.14153585475617939</v>
      </c>
      <c r="J443" s="25"/>
      <c r="K443" s="23">
        <f>IFERROR(K404-K429-K442, "NA")</f>
        <v>19920.799999999967</v>
      </c>
      <c r="L443" s="24">
        <f>IFERROR(K443/K444, "NA")</f>
        <v>0.1183508096753603</v>
      </c>
      <c r="M443" s="25"/>
      <c r="N443" s="23">
        <f>IFERROR(B443-K443, "NA")</f>
        <v>4858.440000000086</v>
      </c>
      <c r="O443" s="24">
        <f>IFERROR(N443/N444, "NA")</f>
        <v>8.8679850378627301E-2</v>
      </c>
      <c r="P443" s="25"/>
      <c r="Q443" s="23">
        <f>IFERROR(Q404-Q429-Q442, "NA")</f>
        <v>29097.820000000105</v>
      </c>
      <c r="R443" s="24">
        <f>IFERROR(Q443/Q444, "NA")</f>
        <v>5.7062177449526692E-2</v>
      </c>
      <c r="S443" s="25"/>
      <c r="T443" s="23">
        <f>IFERROR(T404-T429-T442, "NA")</f>
        <v>39563.849999999984</v>
      </c>
      <c r="U443" s="24">
        <f>IFERROR(T443/T444, "NA")</f>
        <v>9.0399233262437581E-2</v>
      </c>
      <c r="V443" s="25"/>
      <c r="W443" s="23">
        <f>IFERROR(Q443-T443, "NA")</f>
        <v>-10466.029999999879</v>
      </c>
      <c r="X443" s="24">
        <f>IFERROR(W443/W444, "NA")</f>
        <v>-0.14480864034401814</v>
      </c>
      <c r="Y443" s="25"/>
      <c r="Z443" s="23">
        <f>IFERROR(Z404-Z429-Z442, "NA")</f>
        <v>29456.51999999996</v>
      </c>
      <c r="AA443" s="24">
        <f>IFERROR(Z443/Z444, "NA")</f>
        <v>7.3095149489423555E-2</v>
      </c>
      <c r="AB443" s="25"/>
      <c r="AC443" s="23">
        <f>IFERROR(Q443-Z443, "NA")</f>
        <v>-358.69999999985521</v>
      </c>
      <c r="AD443" s="24">
        <f>IFERROR(AC443/AC444, "NA")</f>
        <v>-3.3541197745217549E-3</v>
      </c>
    </row>
    <row r="444" spans="1:30" ht="15.75" hidden="1" x14ac:dyDescent="0.45">
      <c r="A444" s="26" t="s">
        <v>117</v>
      </c>
      <c r="B444" s="7">
        <v>223106.22</v>
      </c>
      <c r="C444" s="27"/>
      <c r="D444" s="9"/>
      <c r="E444" s="7">
        <v>189359.93</v>
      </c>
      <c r="F444" s="27"/>
      <c r="G444" s="9"/>
      <c r="H444" s="10">
        <f>IFERROR(B444-E444, "NA")</f>
        <v>33746.290000000008</v>
      </c>
      <c r="I444" s="27"/>
      <c r="J444" s="9"/>
      <c r="K444" s="7">
        <v>168319.93</v>
      </c>
      <c r="L444" s="27"/>
      <c r="M444" s="9"/>
      <c r="N444" s="10">
        <f>IFERROR(B444-K444, "NA")</f>
        <v>54786.290000000008</v>
      </c>
      <c r="O444" s="27"/>
      <c r="P444" s="9"/>
      <c r="Q444" s="7">
        <v>509931.82</v>
      </c>
      <c r="R444" s="27"/>
      <c r="S444" s="9"/>
      <c r="T444" s="7">
        <v>437656.92</v>
      </c>
      <c r="U444" s="27"/>
      <c r="V444" s="9"/>
      <c r="W444" s="10">
        <f>IFERROR(Q444-T444, "NA")</f>
        <v>72274.900000000023</v>
      </c>
      <c r="X444" s="27"/>
      <c r="Y444" s="9"/>
      <c r="Z444" s="7">
        <v>402988.71</v>
      </c>
      <c r="AA444" s="27"/>
      <c r="AB444" s="9"/>
      <c r="AC444" s="10">
        <f>IFERROR(Q444-Z444, "NA")</f>
        <v>106943.10999999999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51303.64</v>
      </c>
      <c r="F10" s="8">
        <f>IFERROR(E10/E444, "NA")</f>
        <v>0.49400005835142213</v>
      </c>
      <c r="G10" s="9"/>
      <c r="H10" s="10">
        <f t="shared" ref="H10:H19" si="0">IFERROR(B10-E10, "NA")</f>
        <v>-51303.64</v>
      </c>
      <c r="I10" s="8">
        <f>IFERROR(H10/H444, "NA")</f>
        <v>-3.1191434333313666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114357.08</v>
      </c>
      <c r="U10" s="8">
        <f>IFERROR(T10/T444, "NA")</f>
        <v>0.49400005287438825</v>
      </c>
      <c r="V10" s="9"/>
      <c r="W10" s="10">
        <f t="shared" ref="W10:W19" si="2">IFERROR(Q10-T10, "NA")</f>
        <v>-114357.08</v>
      </c>
      <c r="X10" s="8">
        <f>IFERROR(W10/W444, "NA")</f>
        <v>-3.2676765786244051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53448.3</v>
      </c>
      <c r="C11" s="8">
        <f>IFERROR(B11/B444, "NA")</f>
        <v>0.44428623084500196</v>
      </c>
      <c r="D11" s="9"/>
      <c r="E11" s="7">
        <v>0</v>
      </c>
      <c r="F11" s="8">
        <f>IFERROR(E11/E444, "NA")</f>
        <v>0</v>
      </c>
      <c r="G11" s="9"/>
      <c r="H11" s="10">
        <f t="shared" si="0"/>
        <v>53448.3</v>
      </c>
      <c r="I11" s="8">
        <f>IFERROR(H11/H444, "NA")</f>
        <v>3.2495338336173591</v>
      </c>
      <c r="J11" s="9"/>
      <c r="K11" s="7">
        <v>46924.71</v>
      </c>
      <c r="L11" s="8">
        <f>IFERROR(K11/K444, "NA")</f>
        <v>0.52638840356656291</v>
      </c>
      <c r="M11" s="9"/>
      <c r="N11" s="10">
        <f t="shared" si="1"/>
        <v>6523.5900000000038</v>
      </c>
      <c r="O11" s="8">
        <f>IFERROR(N11/N444, "NA")</f>
        <v>0.20937899691400133</v>
      </c>
      <c r="P11" s="9"/>
      <c r="Q11" s="7">
        <v>113220.69</v>
      </c>
      <c r="R11" s="8">
        <f>IFERROR(Q11/Q444, "NA")</f>
        <v>0.42486146399793856</v>
      </c>
      <c r="S11" s="9"/>
      <c r="T11" s="7">
        <v>0</v>
      </c>
      <c r="U11" s="8">
        <f>IFERROR(T11/T444, "NA")</f>
        <v>0</v>
      </c>
      <c r="V11" s="9"/>
      <c r="W11" s="10">
        <f t="shared" si="2"/>
        <v>113220.69</v>
      </c>
      <c r="X11" s="8">
        <f>IFERROR(W11/W444, "NA")</f>
        <v>3.2352049993642229</v>
      </c>
      <c r="Y11" s="9"/>
      <c r="Z11" s="7">
        <v>112141.34</v>
      </c>
      <c r="AA11" s="8">
        <f>IFERROR(Z11/Z444, "NA")</f>
        <v>0.55202057347331146</v>
      </c>
      <c r="AB11" s="9"/>
      <c r="AC11" s="10">
        <f t="shared" si="3"/>
        <v>1079.3500000000058</v>
      </c>
      <c r="AD11" s="8">
        <f>IFERROR(AC11/AC444, "NA")</f>
        <v>1.704018189665988E-2</v>
      </c>
    </row>
    <row r="12" spans="1:30" ht="16.5" customHeight="1" x14ac:dyDescent="0.45">
      <c r="A12" s="12" t="s">
        <v>14</v>
      </c>
      <c r="B12" s="7">
        <v>5594.5</v>
      </c>
      <c r="C12" s="8">
        <f>IFERROR(B12/B444, "NA")</f>
        <v>4.6503992053299421E-2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5594.5</v>
      </c>
      <c r="I12" s="8">
        <f>IFERROR(H12/H444, "NA")</f>
        <v>0.34013274570327429</v>
      </c>
      <c r="J12" s="9"/>
      <c r="K12" s="7">
        <v>5163.3500000000004</v>
      </c>
      <c r="L12" s="8">
        <f>IFERROR(K12/K444, "NA")</f>
        <v>5.7921030594657121E-2</v>
      </c>
      <c r="M12" s="9"/>
      <c r="N12" s="10">
        <f t="shared" si="1"/>
        <v>431.14999999999964</v>
      </c>
      <c r="O12" s="8">
        <f>IFERROR(N12/N444, "NA")</f>
        <v>1.3838048454834155E-2</v>
      </c>
      <c r="P12" s="9"/>
      <c r="Q12" s="7">
        <v>10544.25</v>
      </c>
      <c r="R12" s="8">
        <f>IFERROR(Q12/Q444, "NA")</f>
        <v>3.956737493615578E-2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10544.25</v>
      </c>
      <c r="X12" s="8">
        <f>IFERROR(W12/W444, "NA")</f>
        <v>0.30129484562005587</v>
      </c>
      <c r="Y12" s="9"/>
      <c r="Z12" s="7">
        <v>10709.65</v>
      </c>
      <c r="AA12" s="8">
        <f>IFERROR(Z12/Z444, "NA")</f>
        <v>5.2718713140920644E-2</v>
      </c>
      <c r="AB12" s="9"/>
      <c r="AC12" s="10">
        <f t="shared" si="3"/>
        <v>-165.39999999999964</v>
      </c>
      <c r="AD12" s="8">
        <f>IFERROR(AC12/AC444, "NA")</f>
        <v>-2.6112438835479901E-3</v>
      </c>
    </row>
    <row r="13" spans="1:30" ht="16.5" customHeight="1" x14ac:dyDescent="0.45">
      <c r="A13" s="12" t="s">
        <v>15</v>
      </c>
      <c r="B13" s="7">
        <v>242</v>
      </c>
      <c r="C13" s="8">
        <f>IFERROR(B13/B444, "NA")</f>
        <v>2.0116124902848261E-3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242</v>
      </c>
      <c r="I13" s="8">
        <f>IFERROR(H13/H444, "NA")</f>
        <v>1.4713043964642484E-2</v>
      </c>
      <c r="J13" s="9"/>
      <c r="K13" s="7">
        <v>136.5</v>
      </c>
      <c r="L13" s="8">
        <f>IFERROR(K13/K444, "NA")</f>
        <v>1.5312192038445382E-3</v>
      </c>
      <c r="M13" s="9"/>
      <c r="N13" s="10">
        <f t="shared" si="1"/>
        <v>105.5</v>
      </c>
      <c r="O13" s="8">
        <f>IFERROR(N13/N444, "NA")</f>
        <v>3.3860932668097056E-3</v>
      </c>
      <c r="P13" s="9"/>
      <c r="Q13" s="7">
        <v>308.5</v>
      </c>
      <c r="R13" s="8">
        <f>IFERROR(Q13/Q444, "NA")</f>
        <v>1.1576484973140867E-3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308.5</v>
      </c>
      <c r="X13" s="8">
        <f>IFERROR(W13/W444, "NA")</f>
        <v>8.8151798253822931E-3</v>
      </c>
      <c r="Y13" s="9"/>
      <c r="Z13" s="7">
        <v>234</v>
      </c>
      <c r="AA13" s="8">
        <f>IFERROR(Z13/Z444, "NA")</f>
        <v>1.1518750729459348E-3</v>
      </c>
      <c r="AB13" s="9"/>
      <c r="AC13" s="10">
        <f t="shared" si="3"/>
        <v>74.5</v>
      </c>
      <c r="AD13" s="8">
        <f>IFERROR(AC13/AC444, "NA")</f>
        <v>1.1761648689499738E-3</v>
      </c>
    </row>
    <row r="14" spans="1:30" ht="16.5" customHeight="1" x14ac:dyDescent="0.45">
      <c r="A14" s="12" t="s">
        <v>16</v>
      </c>
      <c r="B14" s="7">
        <v>550</v>
      </c>
      <c r="C14" s="8">
        <f>IFERROR(B14/B444, "NA")</f>
        <v>4.5718465688291505E-3</v>
      </c>
      <c r="D14" s="9"/>
      <c r="E14" s="7">
        <v>0</v>
      </c>
      <c r="F14" s="8">
        <f>IFERROR(E14/E444, "NA")</f>
        <v>0</v>
      </c>
      <c r="G14" s="9"/>
      <c r="H14" s="10">
        <f t="shared" si="0"/>
        <v>550</v>
      </c>
      <c r="I14" s="8">
        <f>IFERROR(H14/H444, "NA")</f>
        <v>3.343873628327837E-2</v>
      </c>
      <c r="J14" s="9"/>
      <c r="K14" s="7">
        <v>750</v>
      </c>
      <c r="L14" s="8">
        <f>IFERROR(K14/K444, "NA")</f>
        <v>8.4132923288161438E-3</v>
      </c>
      <c r="M14" s="9"/>
      <c r="N14" s="10">
        <f t="shared" si="1"/>
        <v>-200</v>
      </c>
      <c r="O14" s="8">
        <f>IFERROR(N14/N444, "NA")</f>
        <v>-6.4191341550894898E-3</v>
      </c>
      <c r="P14" s="9"/>
      <c r="Q14" s="7">
        <v>885</v>
      </c>
      <c r="R14" s="8">
        <f>IFERROR(Q14/Q444, "NA")</f>
        <v>3.3209689469139926E-3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885</v>
      </c>
      <c r="X14" s="8">
        <f>IFERROR(W14/W444, "NA")</f>
        <v>2.5288279239751472E-2</v>
      </c>
      <c r="Y14" s="9"/>
      <c r="Z14" s="7">
        <v>1745</v>
      </c>
      <c r="AA14" s="8">
        <f>IFERROR(Z14/Z444, "NA")</f>
        <v>8.5898376166267353E-3</v>
      </c>
      <c r="AB14" s="9"/>
      <c r="AC14" s="10">
        <f t="shared" si="3"/>
        <v>-860</v>
      </c>
      <c r="AD14" s="8">
        <f>IFERROR(AC14/AC444, "NA")</f>
        <v>-1.3577205198617147E-2</v>
      </c>
    </row>
    <row r="15" spans="1:30" ht="16.5" customHeight="1" x14ac:dyDescent="0.45">
      <c r="A15" s="12" t="s">
        <v>17</v>
      </c>
      <c r="B15" s="7">
        <v>20.5</v>
      </c>
      <c r="C15" s="8">
        <f>IFERROR(B15/B444, "NA")</f>
        <v>1.7040519029272287E-4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20.5</v>
      </c>
      <c r="I15" s="8">
        <f>IFERROR(H15/H444, "NA")</f>
        <v>1.2463528978312848E-3</v>
      </c>
      <c r="J15" s="9"/>
      <c r="K15" s="7">
        <v>16</v>
      </c>
      <c r="L15" s="8">
        <f>IFERROR(K15/K444, "NA")</f>
        <v>1.7948356968141107E-4</v>
      </c>
      <c r="M15" s="9"/>
      <c r="N15" s="10">
        <f t="shared" si="1"/>
        <v>4.5</v>
      </c>
      <c r="O15" s="8">
        <f>IFERROR(N15/N444, "NA")</f>
        <v>1.4443051848951353E-4</v>
      </c>
      <c r="P15" s="9"/>
      <c r="Q15" s="7">
        <v>51</v>
      </c>
      <c r="R15" s="8">
        <f>IFERROR(Q15/Q444, "NA")</f>
        <v>1.9137787151707753E-4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51</v>
      </c>
      <c r="X15" s="8">
        <f>IFERROR(W15/W444, "NA")</f>
        <v>1.4572906680534747E-3</v>
      </c>
      <c r="Y15" s="9"/>
      <c r="Z15" s="7">
        <v>143</v>
      </c>
      <c r="AA15" s="8">
        <f>IFERROR(Z15/Z444, "NA")</f>
        <v>7.0392365568918238E-4</v>
      </c>
      <c r="AB15" s="9"/>
      <c r="AC15" s="10">
        <f t="shared" si="3"/>
        <v>-92</v>
      </c>
      <c r="AD15" s="8">
        <f>IFERROR(AC15/AC444, "NA")</f>
        <v>-1.4524452072939274E-3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4.1277580131134378E-6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3.1431759507035732E-5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1.7366192695905655E-5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59855.3</v>
      </c>
      <c r="C18" s="15">
        <f>IFERROR(B18/B444, "NA")</f>
        <v>0.49754408714770809</v>
      </c>
      <c r="D18" s="2"/>
      <c r="E18" s="14">
        <f>IFERROR(E10+E11+E12+E13+E14+E15+E16+E17, "NA")</f>
        <v>51303.64</v>
      </c>
      <c r="F18" s="15">
        <f>IFERROR(E18/E444, "NA")</f>
        <v>0.49400005835142213</v>
      </c>
      <c r="G18" s="2"/>
      <c r="H18" s="14">
        <f t="shared" si="0"/>
        <v>8551.6600000000035</v>
      </c>
      <c r="I18" s="15">
        <f>IFERROR(H18/H444, "NA")</f>
        <v>0.51992127913501895</v>
      </c>
      <c r="J18" s="2"/>
      <c r="K18" s="14">
        <f>IFERROR(K10+K11+K12+K13+K14+K15+K16+K17, "NA")</f>
        <v>52990.559999999998</v>
      </c>
      <c r="L18" s="15">
        <f>IFERROR(K18/K444, "NA")</f>
        <v>0.59443342926356213</v>
      </c>
      <c r="M18" s="2"/>
      <c r="N18" s="14">
        <f t="shared" si="1"/>
        <v>6864.7400000000052</v>
      </c>
      <c r="O18" s="15">
        <f>IFERROR(N18/N444, "NA")</f>
        <v>0.22032843499904528</v>
      </c>
      <c r="P18" s="2"/>
      <c r="Q18" s="14">
        <f>IFERROR(Q10+Q11+Q12+Q13+Q14+Q15+Q16+Q17, "NA")</f>
        <v>125010.54000000001</v>
      </c>
      <c r="R18" s="15">
        <f>IFERROR(Q18/Q444, "NA")</f>
        <v>0.46910296200785262</v>
      </c>
      <c r="S18" s="2"/>
      <c r="T18" s="14">
        <f>IFERROR(T10+T11+T12+T13+T14+T15+T16+T17, "NA")</f>
        <v>114357.08</v>
      </c>
      <c r="U18" s="15">
        <f>IFERROR(T18/T444, "NA")</f>
        <v>0.49400005287438825</v>
      </c>
      <c r="V18" s="2"/>
      <c r="W18" s="14">
        <f t="shared" si="2"/>
        <v>10653.460000000006</v>
      </c>
      <c r="X18" s="15">
        <f>IFERROR(W18/W444, "NA")</f>
        <v>0.30441544785256824</v>
      </c>
      <c r="Y18" s="2"/>
      <c r="Z18" s="14">
        <f>IFERROR(Z10+Z11+Z12+Z13+Z14+Z15+Z16+Z17, "NA")</f>
        <v>124972.98999999999</v>
      </c>
      <c r="AA18" s="15">
        <f>IFERROR(Z18/Z444, "NA")</f>
        <v>0.6151849229594939</v>
      </c>
      <c r="AB18" s="2"/>
      <c r="AC18" s="14">
        <f t="shared" si="3"/>
        <v>37.550000000017462</v>
      </c>
      <c r="AD18" s="15">
        <f>IFERROR(AC18/AC444, "NA")</f>
        <v>5.9281866884687323E-4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8100.57</v>
      </c>
      <c r="F21" s="8">
        <f>IFERROR(E21/E444, "NA")</f>
        <v>7.7999963602578284E-2</v>
      </c>
      <c r="G21" s="9"/>
      <c r="H21" s="10">
        <f t="shared" ref="H21:H29" si="4">IFERROR(B21-E21, "NA")</f>
        <v>-8100.57</v>
      </c>
      <c r="I21" s="8">
        <f>IFERROR(H21/H444, "NA")</f>
        <v>-0.49249604358952048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18056.38</v>
      </c>
      <c r="U21" s="8">
        <f>IFERROR(T21/T444, "NA")</f>
        <v>7.8000003801426604E-2</v>
      </c>
      <c r="V21" s="9"/>
      <c r="W21" s="10">
        <f t="shared" ref="W21:W29" si="6">IFERROR(Q21-T21, "NA")</f>
        <v>-18056.38</v>
      </c>
      <c r="X21" s="8">
        <f>IFERROR(W21/W444, "NA")</f>
        <v>-0.51594890338877253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7394.5</v>
      </c>
      <c r="C22" s="8">
        <f>IFERROR(B22/B444, "NA")</f>
        <v>6.1466399005831181E-2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7394.5</v>
      </c>
      <c r="I22" s="8">
        <f>IFERROR(H22/H444, "NA")</f>
        <v>0.44956860990309438</v>
      </c>
      <c r="J22" s="9"/>
      <c r="K22" s="7">
        <v>5727.84</v>
      </c>
      <c r="L22" s="8">
        <f>IFERROR(K22/K444, "NA")</f>
        <v>6.4253323110248353E-2</v>
      </c>
      <c r="M22" s="9"/>
      <c r="N22" s="10">
        <f t="shared" si="5"/>
        <v>1666.6599999999999</v>
      </c>
      <c r="O22" s="8">
        <f>IFERROR(N22/N444, "NA")</f>
        <v>5.349257065460724E-2</v>
      </c>
      <c r="P22" s="9"/>
      <c r="Q22" s="7">
        <v>16681.900000000001</v>
      </c>
      <c r="R22" s="8">
        <f>IFERROR(Q22/Q444, "NA")</f>
        <v>6.2598951271779141E-2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16681.900000000001</v>
      </c>
      <c r="X22" s="8">
        <f>IFERROR(W22/W444, "NA")</f>
        <v>0.47667406265492673</v>
      </c>
      <c r="Y22" s="9"/>
      <c r="Z22" s="7">
        <v>14148.94</v>
      </c>
      <c r="AA22" s="8">
        <f>IFERROR(Z22/Z444, "NA")</f>
        <v>6.9648766216272029E-2</v>
      </c>
      <c r="AB22" s="9"/>
      <c r="AC22" s="10">
        <f t="shared" si="7"/>
        <v>2532.9600000000009</v>
      </c>
      <c r="AD22" s="8">
        <f>IFERROR(AC22/AC444, "NA")</f>
        <v>3.9988974046382908E-2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1621.03</v>
      </c>
      <c r="C24" s="8">
        <f>IFERROR(B24/B444, "NA")</f>
        <v>1.3474728079034758E-2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1621.03</v>
      </c>
      <c r="I24" s="8">
        <f>IFERROR(H24/H444, "NA")</f>
        <v>9.8554899413241345E-2</v>
      </c>
      <c r="J24" s="9"/>
      <c r="K24" s="7">
        <v>387.04</v>
      </c>
      <c r="L24" s="8">
        <f>IFERROR(K24/K444, "NA")</f>
        <v>4.3417075505933342E-3</v>
      </c>
      <c r="M24" s="9"/>
      <c r="N24" s="10">
        <f t="shared" si="5"/>
        <v>1233.99</v>
      </c>
      <c r="O24" s="8">
        <f>IFERROR(N24/N444, "NA")</f>
        <v>3.9605736780194398E-2</v>
      </c>
      <c r="P24" s="9"/>
      <c r="Q24" s="7">
        <v>3411.04</v>
      </c>
      <c r="R24" s="8">
        <f>IFERROR(Q24/Q444, "NA")</f>
        <v>1.2799952448227689E-2</v>
      </c>
      <c r="S24" s="9"/>
      <c r="T24" s="7">
        <v>0</v>
      </c>
      <c r="U24" s="8">
        <f>IFERROR(T24/T444, "NA")</f>
        <v>0</v>
      </c>
      <c r="V24" s="9"/>
      <c r="W24" s="10">
        <f t="shared" si="6"/>
        <v>3411.04</v>
      </c>
      <c r="X24" s="8">
        <f>IFERROR(W24/W444, "NA")</f>
        <v>9.7468171771708315E-2</v>
      </c>
      <c r="Y24" s="9"/>
      <c r="Z24" s="7">
        <v>920.32</v>
      </c>
      <c r="AA24" s="8">
        <f>IFERROR(Z24/Z444, "NA")</f>
        <v>4.5303148168102684E-3</v>
      </c>
      <c r="AB24" s="9"/>
      <c r="AC24" s="10">
        <f t="shared" si="7"/>
        <v>2490.7199999999998</v>
      </c>
      <c r="AD24" s="8">
        <f>IFERROR(AC24/AC444, "NA")</f>
        <v>3.9322112246860115E-2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201.8</v>
      </c>
      <c r="L27" s="8">
        <f>IFERROR(K27/K444, "NA")</f>
        <v>2.2637365226067974E-3</v>
      </c>
      <c r="M27" s="9"/>
      <c r="N27" s="10">
        <f t="shared" si="5"/>
        <v>-201.8</v>
      </c>
      <c r="O27" s="8">
        <f>IFERROR(N27/N444, "NA")</f>
        <v>-6.4769063624852954E-3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625.74</v>
      </c>
      <c r="AA27" s="8">
        <f>IFERROR(Z27/Z444, "NA")</f>
        <v>3.0802320860905522E-3</v>
      </c>
      <c r="AB27" s="9"/>
      <c r="AC27" s="10">
        <f t="shared" si="7"/>
        <v>-625.74</v>
      </c>
      <c r="AD27" s="8">
        <f>IFERROR(AC27/AC444, "NA")</f>
        <v>-9.8788376523054576E-3</v>
      </c>
    </row>
    <row r="28" spans="1:30" ht="16.5" customHeight="1" x14ac:dyDescent="0.45">
      <c r="A28" s="12" t="s">
        <v>29</v>
      </c>
      <c r="B28" s="7">
        <v>951.09</v>
      </c>
      <c r="C28" s="8">
        <f>IFERROR(B28/B444, "NA")</f>
        <v>7.9058864602685758E-3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951.09</v>
      </c>
      <c r="I28" s="8">
        <f>IFERROR(H28/H444, "NA")</f>
        <v>5.7824086712114961E-2</v>
      </c>
      <c r="J28" s="9"/>
      <c r="K28" s="7">
        <v>1713.4</v>
      </c>
      <c r="L28" s="8">
        <f>IFERROR(K28/K444, "NA")</f>
        <v>1.9220446768258109E-2</v>
      </c>
      <c r="M28" s="9"/>
      <c r="N28" s="10">
        <f t="shared" si="5"/>
        <v>-762.31000000000006</v>
      </c>
      <c r="O28" s="8">
        <f>IFERROR(N28/N444, "NA")</f>
        <v>-2.4466850788831346E-2</v>
      </c>
      <c r="P28" s="9"/>
      <c r="Q28" s="7">
        <v>2538.44</v>
      </c>
      <c r="R28" s="8">
        <f>IFERROR(Q28/Q444, "NA")</f>
        <v>9.525514591643339E-3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2538.44</v>
      </c>
      <c r="X28" s="8">
        <f>IFERROR(W28/W444, "NA")</f>
        <v>7.2534214184581614E-2</v>
      </c>
      <c r="Y28" s="9"/>
      <c r="Z28" s="7">
        <v>2282.54</v>
      </c>
      <c r="AA28" s="8">
        <f>IFERROR(Z28/Z444, "NA")</f>
        <v>1.1235901405991513E-2</v>
      </c>
      <c r="AB28" s="9"/>
      <c r="AC28" s="10">
        <f t="shared" si="7"/>
        <v>255.90000000000009</v>
      </c>
      <c r="AD28" s="8">
        <f>IFERROR(AC28/AC444, "NA")</f>
        <v>4.0400079189838716E-3</v>
      </c>
    </row>
    <row r="29" spans="1:30" ht="16.5" customHeight="1" x14ac:dyDescent="0.45">
      <c r="A29" s="13" t="s">
        <v>30</v>
      </c>
      <c r="B29" s="14">
        <f>IFERROR(B21+B22+B23+B24+B25+B26+B27+B28, "NA")</f>
        <v>9966.6200000000008</v>
      </c>
      <c r="C29" s="15">
        <f>IFERROR(B29/B444, "NA")</f>
        <v>8.2847013545134518E-2</v>
      </c>
      <c r="D29" s="2"/>
      <c r="E29" s="14">
        <f>IFERROR(E21+E22+E23+E24+E25+E26+E27+E28, "NA")</f>
        <v>8100.57</v>
      </c>
      <c r="F29" s="15">
        <f>IFERROR(E29/E444, "NA")</f>
        <v>7.7999963602578284E-2</v>
      </c>
      <c r="G29" s="2"/>
      <c r="H29" s="14">
        <f t="shared" si="4"/>
        <v>1866.0500000000011</v>
      </c>
      <c r="I29" s="15">
        <f>IFERROR(H29/H444, "NA")</f>
        <v>0.11345155243893026</v>
      </c>
      <c r="J29" s="2"/>
      <c r="K29" s="14">
        <f>IFERROR(K21+K22+K23+K24+K25+K26+K27+K28, "NA")</f>
        <v>8030.08</v>
      </c>
      <c r="L29" s="15">
        <f>IFERROR(K29/K444, "NA")</f>
        <v>9.007921395170658E-2</v>
      </c>
      <c r="M29" s="2"/>
      <c r="N29" s="14">
        <f t="shared" si="5"/>
        <v>1936.5400000000009</v>
      </c>
      <c r="O29" s="15">
        <f>IFERROR(N29/N444, "NA")</f>
        <v>6.215455028348503E-2</v>
      </c>
      <c r="P29" s="2"/>
      <c r="Q29" s="14">
        <f>IFERROR(Q21+Q22+Q23+Q24+Q25+Q26+Q27+Q28, "NA")</f>
        <v>22631.38</v>
      </c>
      <c r="R29" s="15">
        <f>IFERROR(Q29/Q444, "NA")</f>
        <v>8.4924418311650166E-2</v>
      </c>
      <c r="S29" s="2"/>
      <c r="T29" s="14">
        <f>IFERROR(T21+T22+T23+T24+T25+T26+T27+T28, "NA")</f>
        <v>18056.38</v>
      </c>
      <c r="U29" s="15">
        <f>IFERROR(T29/T444, "NA")</f>
        <v>7.8000003801426604E-2</v>
      </c>
      <c r="V29" s="2"/>
      <c r="W29" s="14">
        <f t="shared" si="6"/>
        <v>4575</v>
      </c>
      <c r="X29" s="15">
        <f>IFERROR(W29/W444, "NA")</f>
        <v>0.13072754522244406</v>
      </c>
      <c r="Y29" s="2"/>
      <c r="Z29" s="14">
        <f>IFERROR(Z21+Z22+Z23+Z24+Z25+Z26+Z27+Z28, "NA")</f>
        <v>17977.54</v>
      </c>
      <c r="AA29" s="15">
        <f>IFERROR(Z29/Z444, "NA")</f>
        <v>8.8495214525164359E-2</v>
      </c>
      <c r="AB29" s="2"/>
      <c r="AC29" s="14">
        <f t="shared" si="7"/>
        <v>4653.84</v>
      </c>
      <c r="AD29" s="15">
        <f>IFERROR(AC29/AC444, "NA")</f>
        <v>7.3472256559921428E-2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25236.400000000001</v>
      </c>
      <c r="F31" s="8">
        <f>IFERROR(E31/E444, "NA")</f>
        <v>0.24299997178718372</v>
      </c>
      <c r="G31" s="9"/>
      <c r="H31" s="10">
        <f t="shared" ref="H31:H40" si="8">IFERROR(B31-E31, "NA")</f>
        <v>-25236.400000000001</v>
      </c>
      <c r="I31" s="8">
        <f>IFERROR(H31/H444, "NA")</f>
        <v>-1.5343151351624116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56252.56</v>
      </c>
      <c r="U31" s="8">
        <f>IFERROR(T31/T444, "NA")</f>
        <v>0.24299997529072703</v>
      </c>
      <c r="V31" s="9"/>
      <c r="W31" s="10">
        <f t="shared" ref="W31:W40" si="10">IFERROR(Q31-T31, "NA")</f>
        <v>-56252.56</v>
      </c>
      <c r="X31" s="8">
        <f>IFERROR(W31/W444, "NA")</f>
        <v>-1.6073790341591798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13320.58</v>
      </c>
      <c r="C33" s="8">
        <f>IFERROR(B33/B444, "NA")</f>
        <v>0.11072663266875309</v>
      </c>
      <c r="D33" s="9"/>
      <c r="E33" s="7">
        <v>0</v>
      </c>
      <c r="F33" s="8">
        <f>IFERROR(E33/E444, "NA")</f>
        <v>0</v>
      </c>
      <c r="G33" s="9"/>
      <c r="H33" s="10">
        <f t="shared" si="8"/>
        <v>13320.58</v>
      </c>
      <c r="I33" s="8">
        <f>IFERROR(H33/H444, "NA")</f>
        <v>0.80986065774602223</v>
      </c>
      <c r="J33" s="9"/>
      <c r="K33" s="7">
        <v>9220.58</v>
      </c>
      <c r="L33" s="8">
        <f>IFERROR(K33/K444, "NA")</f>
        <v>0.10343391330831407</v>
      </c>
      <c r="M33" s="9"/>
      <c r="N33" s="10">
        <f t="shared" si="9"/>
        <v>4100</v>
      </c>
      <c r="O33" s="8">
        <f>IFERROR(N33/N444, "NA")</f>
        <v>0.13159225017933454</v>
      </c>
      <c r="P33" s="9"/>
      <c r="Q33" s="7">
        <v>33144.22</v>
      </c>
      <c r="R33" s="8">
        <f>IFERROR(Q33/Q444, "NA")</f>
        <v>0.12437392699399513</v>
      </c>
      <c r="S33" s="9"/>
      <c r="T33" s="7">
        <v>0</v>
      </c>
      <c r="U33" s="8">
        <f>IFERROR(T33/T444, "NA")</f>
        <v>0</v>
      </c>
      <c r="V33" s="9"/>
      <c r="W33" s="10">
        <f t="shared" si="10"/>
        <v>33144.22</v>
      </c>
      <c r="X33" s="8">
        <f>IFERROR(W33/W444, "NA")</f>
        <v>0.94707377462571252</v>
      </c>
      <c r="Y33" s="9"/>
      <c r="Z33" s="7">
        <v>19140.849999999999</v>
      </c>
      <c r="AA33" s="8">
        <f>IFERROR(Z33/Z444, "NA")</f>
        <v>9.4221658076911088E-2</v>
      </c>
      <c r="AB33" s="9"/>
      <c r="AC33" s="10">
        <f t="shared" si="11"/>
        <v>14003.370000000003</v>
      </c>
      <c r="AD33" s="8">
        <f>IFERROR(AC33/AC444, "NA")</f>
        <v>0.22107747437460401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1382.84</v>
      </c>
      <c r="C35" s="8">
        <f>IFERROR(B35/B444, "NA")</f>
        <v>1.1494786016799458E-2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1382.84</v>
      </c>
      <c r="I35" s="8">
        <f>IFERROR(H35/H444, "NA")</f>
        <v>8.4073494694488479E-2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1382.84</v>
      </c>
      <c r="O35" s="8">
        <f>IFERROR(N35/N444, "NA")</f>
        <v>4.4383177375119744E-2</v>
      </c>
      <c r="P35" s="9"/>
      <c r="Q35" s="7">
        <v>4258.53</v>
      </c>
      <c r="R35" s="8">
        <f>IFERROR(Q35/Q444, "NA")</f>
        <v>1.5980164846894514E-2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4258.53</v>
      </c>
      <c r="X35" s="8">
        <f>IFERROR(W35/W444, "NA")</f>
        <v>0.12168462801226987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4258.53</v>
      </c>
      <c r="AD35" s="8">
        <f>IFERROR(AC35/AC444, "NA")</f>
        <v>6.7231320528450086E-2</v>
      </c>
    </row>
    <row r="36" spans="1:30" ht="16.5" customHeight="1" x14ac:dyDescent="0.45">
      <c r="A36" s="12" t="s">
        <v>36</v>
      </c>
      <c r="B36" s="7">
        <v>23694.03</v>
      </c>
      <c r="C36" s="8">
        <f>IFERROR(B36/B444, "NA")</f>
        <v>0.196955399558609</v>
      </c>
      <c r="D36" s="9"/>
      <c r="E36" s="7">
        <v>0</v>
      </c>
      <c r="F36" s="8">
        <f>IFERROR(E36/E444, "NA")</f>
        <v>0</v>
      </c>
      <c r="G36" s="9"/>
      <c r="H36" s="10">
        <f t="shared" si="8"/>
        <v>23694.03</v>
      </c>
      <c r="I36" s="8">
        <f>IFERROR(H36/H444, "NA")</f>
        <v>1.4405425830147023</v>
      </c>
      <c r="J36" s="9"/>
      <c r="K36" s="7">
        <v>10939.39</v>
      </c>
      <c r="L36" s="8">
        <f>IFERROR(K36/K444, "NA")</f>
        <v>0.1227150479585707</v>
      </c>
      <c r="M36" s="9"/>
      <c r="N36" s="10">
        <f t="shared" si="9"/>
        <v>12754.64</v>
      </c>
      <c r="O36" s="8">
        <f>IFERROR(N36/N444, "NA")</f>
        <v>0.409368726299353</v>
      </c>
      <c r="P36" s="9"/>
      <c r="Q36" s="7">
        <v>54193.03</v>
      </c>
      <c r="R36" s="8">
        <f>IFERROR(Q36/Q444, "NA")</f>
        <v>0.20335973985217898</v>
      </c>
      <c r="S36" s="9"/>
      <c r="T36" s="7">
        <v>0</v>
      </c>
      <c r="U36" s="8">
        <f>IFERROR(T36/T444, "NA")</f>
        <v>0</v>
      </c>
      <c r="V36" s="9"/>
      <c r="W36" s="10">
        <f t="shared" si="10"/>
        <v>54193.03</v>
      </c>
      <c r="X36" s="8">
        <f>IFERROR(W36/W444, "NA")</f>
        <v>1.5485293508341569</v>
      </c>
      <c r="Y36" s="9"/>
      <c r="Z36" s="7">
        <v>26535.759999999998</v>
      </c>
      <c r="AA36" s="8">
        <f>IFERROR(Z36/Z444, "NA")</f>
        <v>0.13062342087895648</v>
      </c>
      <c r="AB36" s="9"/>
      <c r="AC36" s="10">
        <f t="shared" si="11"/>
        <v>27657.27</v>
      </c>
      <c r="AD36" s="8">
        <f>IFERROR(AC36/AC444, "NA")</f>
        <v>0.43663770932971868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1205.45</v>
      </c>
      <c r="C39" s="8">
        <f>IFERROR(B39/B444, "NA")</f>
        <v>1.0020240811627452E-2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1205.45</v>
      </c>
      <c r="I39" s="8">
        <f>IFERROR(H39/H444, "NA")</f>
        <v>7.3288590277596211E-2</v>
      </c>
      <c r="J39" s="9"/>
      <c r="K39" s="7">
        <v>1256.8</v>
      </c>
      <c r="L39" s="8">
        <f>IFERROR(K39/K444, "NA")</f>
        <v>1.4098434398474838E-2</v>
      </c>
      <c r="M39" s="9"/>
      <c r="N39" s="10">
        <f t="shared" si="9"/>
        <v>-51.349999999999909</v>
      </c>
      <c r="O39" s="8">
        <f>IFERROR(N39/N444, "NA")</f>
        <v>-1.6481126943192236E-3</v>
      </c>
      <c r="P39" s="9"/>
      <c r="Q39" s="7">
        <v>2289.58</v>
      </c>
      <c r="R39" s="8">
        <f>IFERROR(Q39/Q444, "NA")</f>
        <v>8.5916656287856937E-3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2289.58</v>
      </c>
      <c r="X39" s="8">
        <f>IFERROR(W39/W444, "NA")</f>
        <v>6.5423207211017145E-2</v>
      </c>
      <c r="Y39" s="9"/>
      <c r="Z39" s="7">
        <v>2745.49</v>
      </c>
      <c r="AA39" s="8">
        <f>IFERROR(Z39/Z444, "NA")</f>
        <v>1.3514792709497155E-2</v>
      </c>
      <c r="AB39" s="9"/>
      <c r="AC39" s="10">
        <f t="shared" si="11"/>
        <v>-455.90999999999985</v>
      </c>
      <c r="AD39" s="8">
        <f>IFERROR(AC39/AC444, "NA")</f>
        <v>-7.1976553745366767E-3</v>
      </c>
    </row>
    <row r="40" spans="1:30" ht="16.5" customHeight="1" x14ac:dyDescent="0.45">
      <c r="A40" s="13" t="s">
        <v>40</v>
      </c>
      <c r="B40" s="14">
        <f>IFERROR(B31+B32+B33+B34+B35+B36+B37+B38+B39, "NA")</f>
        <v>39602.899999999994</v>
      </c>
      <c r="C40" s="15">
        <f>IFERROR(B40/B444, "NA")</f>
        <v>0.32919705905578894</v>
      </c>
      <c r="D40" s="2"/>
      <c r="E40" s="14">
        <f>IFERROR(E31+E32+E33+E34+E35+E36+E37+E38+E39, "NA")</f>
        <v>25236.400000000001</v>
      </c>
      <c r="F40" s="15">
        <f>IFERROR(E40/E444, "NA")</f>
        <v>0.24299997178718372</v>
      </c>
      <c r="G40" s="2"/>
      <c r="H40" s="14">
        <f t="shared" si="8"/>
        <v>14366.499999999993</v>
      </c>
      <c r="I40" s="15">
        <f>IFERROR(H40/H444, "NA")</f>
        <v>0.87345019057039719</v>
      </c>
      <c r="J40" s="2"/>
      <c r="K40" s="14">
        <f>IFERROR(K31+K32+K33+K34+K35+K36+K37+K38+K39, "NA")</f>
        <v>21416.77</v>
      </c>
      <c r="L40" s="15">
        <f>IFERROR(K40/K444, "NA")</f>
        <v>0.24024739566535963</v>
      </c>
      <c r="M40" s="2"/>
      <c r="N40" s="14">
        <f t="shared" si="9"/>
        <v>18186.129999999994</v>
      </c>
      <c r="O40" s="15">
        <f>IFERROR(N40/N444, "NA")</f>
        <v>0.58369604115948792</v>
      </c>
      <c r="P40" s="2"/>
      <c r="Q40" s="14">
        <f>IFERROR(Q31+Q32+Q33+Q34+Q35+Q36+Q37+Q38+Q39, "NA")</f>
        <v>93885.36</v>
      </c>
      <c r="R40" s="15">
        <f>IFERROR(Q40/Q444, "NA")</f>
        <v>0.35230549732185434</v>
      </c>
      <c r="S40" s="2"/>
      <c r="T40" s="14">
        <f>IFERROR(T31+T32+T33+T34+T35+T36+T37+T38+T39, "NA")</f>
        <v>56252.56</v>
      </c>
      <c r="U40" s="15">
        <f>IFERROR(T40/T444, "NA")</f>
        <v>0.24299997529072703</v>
      </c>
      <c r="V40" s="2"/>
      <c r="W40" s="14">
        <f t="shared" si="10"/>
        <v>37632.800000000003</v>
      </c>
      <c r="X40" s="15">
        <f>IFERROR(W40/W444, "NA")</f>
        <v>1.0753319265239767</v>
      </c>
      <c r="Y40" s="2"/>
      <c r="Z40" s="14">
        <f>IFERROR(Z31+Z32+Z33+Z34+Z35+Z36+Z37+Z38+Z39, "NA")</f>
        <v>48422.1</v>
      </c>
      <c r="AA40" s="15">
        <f>IFERROR(Z40/Z444, "NA")</f>
        <v>0.23835987166536474</v>
      </c>
      <c r="AB40" s="2"/>
      <c r="AC40" s="14">
        <f t="shared" si="11"/>
        <v>45463.26</v>
      </c>
      <c r="AD40" s="15">
        <f>IFERROR(AC40/AC444, "NA")</f>
        <v>0.71774884885823609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6161.37</v>
      </c>
      <c r="C43" s="8">
        <f>IFERROR(B43/B444, "NA")</f>
        <v>5.1216069625067015E-2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6161.37</v>
      </c>
      <c r="I43" s="8">
        <f>IFERROR(H43/H444, "NA")</f>
        <v>0.37459713922491428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6161.37</v>
      </c>
      <c r="O43" s="8">
        <f>IFERROR(N43/N444, "NA")</f>
        <v>0.19775330304571864</v>
      </c>
      <c r="P43" s="9"/>
      <c r="Q43" s="7">
        <v>12144.89</v>
      </c>
      <c r="R43" s="8">
        <f>IFERROR(Q43/Q444, "NA")</f>
        <v>4.5573788196255682E-2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12144.89</v>
      </c>
      <c r="X43" s="8">
        <f>IFERROR(W43/W444, "NA")</f>
        <v>0.34703205610854831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12144.89</v>
      </c>
      <c r="AD43" s="8">
        <f>IFERROR(AC43/AC444, "NA")</f>
        <v>0.19173681819143418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21082.26</v>
      </c>
      <c r="F46" s="8">
        <f>IFERROR(E46/E444, "NA")</f>
        <v>0.20299997563876271</v>
      </c>
      <c r="G46" s="9"/>
      <c r="H46" s="10">
        <f t="shared" ref="H46:H62" si="12">IFERROR(B46-E46, "NA")</f>
        <v>-21082.26</v>
      </c>
      <c r="I46" s="8">
        <f>IFERROR(H46/H444, "NA")</f>
        <v>-1.2817529679918331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46992.88</v>
      </c>
      <c r="U46" s="8">
        <f>IFERROR(T46/T444, "NA")</f>
        <v>0.20299998220241178</v>
      </c>
      <c r="V46" s="9"/>
      <c r="W46" s="10">
        <f t="shared" ref="W46:W62" si="14">IFERROR(Q46-T46, "NA")</f>
        <v>-46992.88</v>
      </c>
      <c r="X46" s="8">
        <f>IFERROR(W46/W444, "NA")</f>
        <v>-1.3427899115481718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6595.22</v>
      </c>
      <c r="C48" s="8">
        <f>IFERROR(B48/B444, "NA")</f>
        <v>5.4822425323042524E-2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6595.22</v>
      </c>
      <c r="I48" s="8">
        <f>IFERROR(H48/H444, "NA")</f>
        <v>0.40097422238218761</v>
      </c>
      <c r="J48" s="9"/>
      <c r="K48" s="7">
        <v>6411.82</v>
      </c>
      <c r="L48" s="8">
        <f>IFERROR(K48/K444, "NA")</f>
        <v>7.1926021359666567E-2</v>
      </c>
      <c r="M48" s="9"/>
      <c r="N48" s="10">
        <f t="shared" si="13"/>
        <v>183.40000000000055</v>
      </c>
      <c r="O48" s="8">
        <f>IFERROR(N48/N444, "NA")</f>
        <v>5.8863460202170795E-3</v>
      </c>
      <c r="P48" s="9"/>
      <c r="Q48" s="7">
        <v>17236.400000000001</v>
      </c>
      <c r="R48" s="8">
        <f>IFERROR(Q48/Q444, "NA")</f>
        <v>6.4679716561116776E-2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17236.400000000001</v>
      </c>
      <c r="X48" s="8">
        <f>IFERROR(W48/W444, "NA")</f>
        <v>0.49251852687915515</v>
      </c>
      <c r="Y48" s="9"/>
      <c r="Z48" s="7">
        <v>18169.759999999998</v>
      </c>
      <c r="AA48" s="8">
        <f>IFERROR(Z48/Z444, "NA")</f>
        <v>8.944142574961593E-2</v>
      </c>
      <c r="AB48" s="9"/>
      <c r="AC48" s="10">
        <f t="shared" si="15"/>
        <v>-933.35999999999694</v>
      </c>
      <c r="AD48" s="8">
        <f>IFERROR(AC48/AC444, "NA")</f>
        <v>-1.4735372376954953E-2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410.02</v>
      </c>
      <c r="AA49" s="8">
        <f>IFERROR(Z49/Z444, "NA")</f>
        <v>2.0183411000397099E-3</v>
      </c>
      <c r="AB49" s="9"/>
      <c r="AC49" s="10">
        <f t="shared" si="15"/>
        <v>-410.02</v>
      </c>
      <c r="AD49" s="8">
        <f>IFERROR(AC49/AC444, "NA")</f>
        <v>-6.473169390159305E-3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467.61</v>
      </c>
      <c r="C55" s="8">
        <f>IFERROR(B55/B444, "NA")</f>
        <v>3.8869839528185434E-3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467.61</v>
      </c>
      <c r="I55" s="8">
        <f>IFERROR(H55/H444, "NA")</f>
        <v>2.8429613588043273E-2</v>
      </c>
      <c r="J55" s="9"/>
      <c r="K55" s="7">
        <v>621.30999999999995</v>
      </c>
      <c r="L55" s="8">
        <f>IFERROR(K55/K444, "NA")</f>
        <v>6.969683542422344E-3</v>
      </c>
      <c r="M55" s="9"/>
      <c r="N55" s="10">
        <f t="shared" si="13"/>
        <v>-153.69999999999993</v>
      </c>
      <c r="O55" s="8">
        <f>IFERROR(N55/N444, "NA")</f>
        <v>-4.9331045981862703E-3</v>
      </c>
      <c r="P55" s="9"/>
      <c r="Q55" s="7">
        <v>658.88</v>
      </c>
      <c r="R55" s="8">
        <f>IFERROR(Q55/Q444, "NA")</f>
        <v>2.472451999709256E-3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658.88</v>
      </c>
      <c r="X55" s="8">
        <f>IFERROR(W55/W444, "NA")</f>
        <v>1.8827052458177909E-2</v>
      </c>
      <c r="Y55" s="9"/>
      <c r="Z55" s="7">
        <v>1063.81</v>
      </c>
      <c r="AA55" s="8">
        <f>IFERROR(Z55/Z444, "NA")</f>
        <v>5.2366505185923711E-3</v>
      </c>
      <c r="AB55" s="9"/>
      <c r="AC55" s="10">
        <f t="shared" si="15"/>
        <v>-404.92999999999995</v>
      </c>
      <c r="AD55" s="8">
        <f>IFERROR(AC55/AC444, "NA")</f>
        <v>-6.3928112803209782E-3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1419.45</v>
      </c>
      <c r="L59" s="8">
        <f>IFERROR(K59/K444, "NA")</f>
        <v>1.5922997061517435E-2</v>
      </c>
      <c r="M59" s="9"/>
      <c r="N59" s="10">
        <f t="shared" si="13"/>
        <v>-1419.45</v>
      </c>
      <c r="O59" s="8">
        <f>IFERROR(N59/N444, "NA")</f>
        <v>-4.5558199882208883E-2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1419.45</v>
      </c>
      <c r="AA59" s="8">
        <f>IFERROR(Z59/Z444, "NA")</f>
        <v>6.9873037277483211E-3</v>
      </c>
      <c r="AB59" s="9"/>
      <c r="AC59" s="10">
        <f t="shared" si="15"/>
        <v>-1419.45</v>
      </c>
      <c r="AD59" s="8">
        <f>IFERROR(AC59/AC444, "NA")</f>
        <v>-2.2409492929275712E-2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102.86</v>
      </c>
      <c r="L60" s="8">
        <f>IFERROR(K60/K444, "NA")</f>
        <v>1.1538549985893713E-3</v>
      </c>
      <c r="M60" s="9"/>
      <c r="N60" s="10">
        <f t="shared" si="13"/>
        <v>-102.86</v>
      </c>
      <c r="O60" s="8">
        <f>IFERROR(N60/N444, "NA")</f>
        <v>-3.3013606959625243E-3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102.86</v>
      </c>
      <c r="AA60" s="8">
        <f>IFERROR(Z60/Z444, "NA")</f>
        <v>5.0633277779153351E-4</v>
      </c>
      <c r="AB60" s="9"/>
      <c r="AC60" s="10">
        <f t="shared" si="15"/>
        <v>-102.86</v>
      </c>
      <c r="AD60" s="8">
        <f>IFERROR(AC60/AC444, "NA")</f>
        <v>-1.6238968915462323E-3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7062.83</v>
      </c>
      <c r="C61" s="15">
        <f>IFERROR(B61/B444, "NA")</f>
        <v>5.8709409275861067E-2</v>
      </c>
      <c r="D61" s="2"/>
      <c r="E61" s="14">
        <f>IFERROR(E46+E47+E48+E49+E50+E51+E52+E53+E54+E55+E56+E57+E58+E59+E60, "NA")</f>
        <v>21082.26</v>
      </c>
      <c r="F61" s="15">
        <f>IFERROR(E61/E444, "NA")</f>
        <v>0.20299997563876271</v>
      </c>
      <c r="G61" s="2"/>
      <c r="H61" s="14">
        <f t="shared" si="12"/>
        <v>-14019.429999999998</v>
      </c>
      <c r="I61" s="15">
        <f>IFERROR(H61/H444, "NA")</f>
        <v>-0.85234913202160223</v>
      </c>
      <c r="J61" s="2"/>
      <c r="K61" s="14">
        <f>IFERROR(K46+K47+K48+K49+K50+K51+K52+K53+K54+K55+K56+K57+K58+K59+K60, "NA")</f>
        <v>8555.44</v>
      </c>
      <c r="L61" s="15">
        <f>IFERROR(K61/K444, "NA")</f>
        <v>9.5972556962195726E-2</v>
      </c>
      <c r="M61" s="2"/>
      <c r="N61" s="14">
        <f t="shared" si="13"/>
        <v>-1492.6100000000006</v>
      </c>
      <c r="O61" s="15">
        <f>IFERROR(N61/N444, "NA")</f>
        <v>-4.7906319156140631E-2</v>
      </c>
      <c r="P61" s="2"/>
      <c r="Q61" s="14">
        <f>IFERROR(Q46+Q47+Q48+Q49+Q50+Q51+Q52+Q53+Q54+Q55+Q56+Q57+Q58+Q59+Q60, "NA")</f>
        <v>17895.280000000002</v>
      </c>
      <c r="R61" s="15">
        <f>IFERROR(Q61/Q444, "NA")</f>
        <v>6.7152168560826037E-2</v>
      </c>
      <c r="S61" s="2"/>
      <c r="T61" s="14">
        <f>IFERROR(T46+T47+T48+T49+T50+T51+T52+T53+T54+T55+T56+T57+T58+T59+T60, "NA")</f>
        <v>46992.88</v>
      </c>
      <c r="U61" s="15">
        <f>IFERROR(T61/T444, "NA")</f>
        <v>0.20299998220241178</v>
      </c>
      <c r="V61" s="2"/>
      <c r="W61" s="14">
        <f t="shared" si="14"/>
        <v>-29097.599999999995</v>
      </c>
      <c r="X61" s="15">
        <f>IFERROR(W61/W444, "NA")</f>
        <v>-0.8314443322108388</v>
      </c>
      <c r="Y61" s="2"/>
      <c r="Z61" s="14">
        <f>IFERROR(Z46+Z47+Z48+Z49+Z50+Z51+Z52+Z53+Z54+Z55+Z56+Z57+Z58+Z59+Z60, "NA")</f>
        <v>21165.9</v>
      </c>
      <c r="AA61" s="15">
        <f>IFERROR(Z61/Z444, "NA")</f>
        <v>0.10419005387378788</v>
      </c>
      <c r="AB61" s="2"/>
      <c r="AC61" s="14">
        <f t="shared" si="15"/>
        <v>-3270.619999999999</v>
      </c>
      <c r="AD61" s="15">
        <f>IFERROR(AC61/AC444, "NA")</f>
        <v>-5.1634742868257213E-2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13224.2</v>
      </c>
      <c r="C62" s="15">
        <f>IFERROR(B62/B444, "NA")</f>
        <v>0.10992547890092809</v>
      </c>
      <c r="D62" s="2"/>
      <c r="E62" s="14">
        <f>IFERROR(E42+E43+E44+E46+E47+E48+E49+E50+E51+E52+E53+E54+E55+E56+E57+E58+E59+E60, "NA")</f>
        <v>21082.26</v>
      </c>
      <c r="F62" s="15">
        <f>IFERROR(E62/E444, "NA")</f>
        <v>0.20299997563876271</v>
      </c>
      <c r="G62" s="2"/>
      <c r="H62" s="14">
        <f t="shared" si="12"/>
        <v>-7858.0599999999977</v>
      </c>
      <c r="I62" s="15">
        <f>IFERROR(H62/H444, "NA")</f>
        <v>-0.47775199279668795</v>
      </c>
      <c r="J62" s="2"/>
      <c r="K62" s="14">
        <f>IFERROR(K42+K43+K44+K46+K47+K48+K49+K50+K51+K52+K53+K54+K55+K56+K57+K58+K59+K60, "NA")</f>
        <v>8555.44</v>
      </c>
      <c r="L62" s="15">
        <f>IFERROR(K62/K444, "NA")</f>
        <v>9.5972556962195726E-2</v>
      </c>
      <c r="M62" s="2"/>
      <c r="N62" s="14">
        <f t="shared" si="13"/>
        <v>4668.76</v>
      </c>
      <c r="O62" s="15">
        <f>IFERROR(N62/N444, "NA")</f>
        <v>0.14984698388957804</v>
      </c>
      <c r="P62" s="2"/>
      <c r="Q62" s="14">
        <f>IFERROR(Q42+Q43+Q44+Q46+Q47+Q48+Q49+Q50+Q51+Q52+Q53+Q54+Q55+Q56+Q57+Q58+Q59+Q60, "NA")</f>
        <v>30040.170000000002</v>
      </c>
      <c r="R62" s="15">
        <f>IFERROR(Q62/Q444, "NA")</f>
        <v>0.11272595675708172</v>
      </c>
      <c r="S62" s="2"/>
      <c r="T62" s="14">
        <f>IFERROR(T42+T43+T44+T46+T47+T48+T49+T50+T51+T52+T53+T54+T55+T56+T57+T58+T59+T60, "NA")</f>
        <v>46992.88</v>
      </c>
      <c r="U62" s="15">
        <f>IFERROR(T62/T444, "NA")</f>
        <v>0.20299998220241178</v>
      </c>
      <c r="V62" s="2"/>
      <c r="W62" s="14">
        <f t="shared" si="14"/>
        <v>-16952.709999999995</v>
      </c>
      <c r="X62" s="15">
        <f>IFERROR(W62/W444, "NA")</f>
        <v>-0.48441227610229048</v>
      </c>
      <c r="Y62" s="2"/>
      <c r="Z62" s="14">
        <f>IFERROR(Z42+Z43+Z44+Z46+Z47+Z48+Z49+Z50+Z51+Z52+Z53+Z54+Z55+Z56+Z57+Z58+Z59+Z60, "NA")</f>
        <v>21165.9</v>
      </c>
      <c r="AA62" s="15">
        <f>IFERROR(Z62/Z444, "NA")</f>
        <v>0.10419005387378788</v>
      </c>
      <c r="AB62" s="2"/>
      <c r="AC62" s="14">
        <f t="shared" si="15"/>
        <v>8874.27</v>
      </c>
      <c r="AD62" s="15">
        <f>IFERROR(AC62/AC444, "NA")</f>
        <v>0.14010207532317698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2241.36</v>
      </c>
      <c r="C65" s="8">
        <f>IFERROR(B65/B444, "NA")</f>
        <v>1.8631189137292555E-2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2241.36</v>
      </c>
      <c r="I65" s="8">
        <f>IFERROR(H65/H444, "NA")</f>
        <v>0.13626953810161602</v>
      </c>
      <c r="J65" s="9"/>
      <c r="K65" s="7">
        <v>0</v>
      </c>
      <c r="L65" s="8">
        <f>IFERROR(K65/K444, "NA")</f>
        <v>0</v>
      </c>
      <c r="M65" s="9"/>
      <c r="N65" s="10">
        <f t="shared" si="17"/>
        <v>2241.36</v>
      </c>
      <c r="O65" s="8">
        <f>IFERROR(N65/N444, "NA")</f>
        <v>7.1937952649256898E-2</v>
      </c>
      <c r="P65" s="9"/>
      <c r="Q65" s="7">
        <v>5701.07</v>
      </c>
      <c r="R65" s="8">
        <f>IFERROR(Q65/Q444, "NA")</f>
        <v>2.1393306705291475E-2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5701.07</v>
      </c>
      <c r="X65" s="8">
        <f>IFERROR(W65/W444, "NA")</f>
        <v>0.16290423742979651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5701.07</v>
      </c>
      <c r="AD65" s="8">
        <f>IFERROR(AC65/AC444, "NA")</f>
        <v>9.0005345629860761E-2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2241.36</v>
      </c>
      <c r="C73" s="15">
        <f>IFERROR(B73/B444, "NA")</f>
        <v>1.8631189137292555E-2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2241.36</v>
      </c>
      <c r="I73" s="15">
        <f>IFERROR(H73/H444, "NA")</f>
        <v>0.13626953810161602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2241.36</v>
      </c>
      <c r="O73" s="15">
        <f>IFERROR(N73/N444, "NA")</f>
        <v>7.1937952649256898E-2</v>
      </c>
      <c r="P73" s="2"/>
      <c r="Q73" s="14">
        <f>IFERROR(Q64+Q65+Q66+Q67+Q68+Q69+Q70+Q71+Q72, "NA")</f>
        <v>5701.07</v>
      </c>
      <c r="R73" s="15">
        <f>IFERROR(Q73/Q444, "NA")</f>
        <v>2.1393306705291475E-2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5701.07</v>
      </c>
      <c r="X73" s="15">
        <f>IFERROR(W73/W444, "NA")</f>
        <v>0.16290423742979651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5701.07</v>
      </c>
      <c r="AD73" s="15">
        <f>IFERROR(AC73/AC444, "NA")</f>
        <v>9.0005345629860761E-2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1765.51</v>
      </c>
      <c r="F75" s="8">
        <f>IFERROR(E75/E444, "NA")</f>
        <v>1.7000003177552691E-2</v>
      </c>
      <c r="G75" s="9"/>
      <c r="H75" s="10">
        <f t="shared" ref="H75:H92" si="20">IFERROR(B75-E75, "NA")</f>
        <v>-1765.51</v>
      </c>
      <c r="I75" s="8">
        <f>IFERROR(H75/H444, "NA")</f>
        <v>-0.10733895144634691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3935.36</v>
      </c>
      <c r="U75" s="8">
        <f>IFERROR(T75/T444, "NA")</f>
        <v>1.6999979783322138E-2</v>
      </c>
      <c r="V75" s="9"/>
      <c r="W75" s="10">
        <f t="shared" ref="W75:W92" si="22">IFERROR(Q75-T75, "NA")</f>
        <v>-3935.36</v>
      </c>
      <c r="X75" s="8">
        <f>IFERROR(W75/W444, "NA")</f>
        <v>-0.11245026281237103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634.66</v>
      </c>
      <c r="C77" s="8">
        <f>IFERROR(B77/B444, "NA")</f>
        <v>5.2755784424965606E-3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634.66</v>
      </c>
      <c r="I77" s="8">
        <f>IFERROR(H77/H444, "NA")</f>
        <v>3.8585869762809907E-2</v>
      </c>
      <c r="J77" s="9"/>
      <c r="K77" s="7">
        <v>140.53</v>
      </c>
      <c r="L77" s="8">
        <f>IFERROR(K77/K444, "NA")</f>
        <v>1.5764266279580435E-3</v>
      </c>
      <c r="M77" s="9"/>
      <c r="N77" s="10">
        <f t="shared" si="21"/>
        <v>494.13</v>
      </c>
      <c r="O77" s="8">
        <f>IFERROR(N77/N444, "NA")</f>
        <v>1.5859433800271848E-2</v>
      </c>
      <c r="P77" s="9"/>
      <c r="Q77" s="7">
        <v>1096.67</v>
      </c>
      <c r="R77" s="8">
        <f>IFERROR(Q77/Q444, "NA")</f>
        <v>4.1152621638555573E-3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1096.67</v>
      </c>
      <c r="X77" s="8">
        <f>IFERROR(W77/W444, "NA")</f>
        <v>3.1336606998709889E-2</v>
      </c>
      <c r="Y77" s="9"/>
      <c r="Z77" s="7">
        <v>278.07</v>
      </c>
      <c r="AA77" s="8">
        <f>IFERROR(Z77/Z444, "NA")</f>
        <v>1.3688115450174192E-3</v>
      </c>
      <c r="AB77" s="9"/>
      <c r="AC77" s="10">
        <f t="shared" si="23"/>
        <v>818.60000000000014</v>
      </c>
      <c r="AD77" s="8">
        <f>IFERROR(AC77/AC444, "NA")</f>
        <v>1.2923604855334883E-2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5.98</v>
      </c>
      <c r="L79" s="8">
        <f>IFERROR(K79/K444, "NA")</f>
        <v>6.7081984168427394E-5</v>
      </c>
      <c r="M79" s="9"/>
      <c r="N79" s="10">
        <f t="shared" si="21"/>
        <v>-5.98</v>
      </c>
      <c r="O79" s="8">
        <f>IFERROR(N79/N444, "NA")</f>
        <v>-1.9193211123717574E-4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35.880000000000003</v>
      </c>
      <c r="AA79" s="8">
        <f>IFERROR(Z79/Z444, "NA")</f>
        <v>1.7662084451837667E-4</v>
      </c>
      <c r="AB79" s="9"/>
      <c r="AC79" s="10">
        <f t="shared" si="23"/>
        <v>-35.880000000000003</v>
      </c>
      <c r="AD79" s="8">
        <f>IFERROR(AC79/AC444, "NA")</f>
        <v>-5.6645363084463171E-4</v>
      </c>
    </row>
    <row r="80" spans="1:30" ht="16.5" customHeight="1" x14ac:dyDescent="0.45">
      <c r="A80" s="12" t="s">
        <v>76</v>
      </c>
      <c r="B80" s="7">
        <v>535.94000000000005</v>
      </c>
      <c r="C80" s="8">
        <f>IFERROR(B80/B444, "NA")</f>
        <v>4.4549735456332635E-3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535.94000000000005</v>
      </c>
      <c r="I80" s="8">
        <f>IFERROR(H80/H444, "NA")</f>
        <v>3.2583920588473113E-2</v>
      </c>
      <c r="J80" s="9"/>
      <c r="K80" s="7">
        <v>570.34</v>
      </c>
      <c r="L80" s="8">
        <f>IFERROR(K80/K444, "NA")</f>
        <v>6.397916195756E-3</v>
      </c>
      <c r="M80" s="9"/>
      <c r="N80" s="10">
        <f t="shared" si="21"/>
        <v>-34.399999999999977</v>
      </c>
      <c r="O80" s="8">
        <f>IFERROR(N80/N444, "NA")</f>
        <v>-1.1040910746753915E-3</v>
      </c>
      <c r="P80" s="9"/>
      <c r="Q80" s="7">
        <v>2222.35</v>
      </c>
      <c r="R80" s="8">
        <f>IFERROR(Q80/Q444, "NA")</f>
        <v>8.3393845640387688E-3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2222.35</v>
      </c>
      <c r="X80" s="8">
        <f>IFERROR(W80/W444, "NA")</f>
        <v>6.3502155218600767E-2</v>
      </c>
      <c r="Y80" s="9"/>
      <c r="Z80" s="7">
        <v>965.34</v>
      </c>
      <c r="AA80" s="8">
        <f>IFERROR(Z80/Z444, "NA")</f>
        <v>4.7519277047761909E-3</v>
      </c>
      <c r="AB80" s="9"/>
      <c r="AC80" s="10">
        <f t="shared" si="23"/>
        <v>1257.0099999999998</v>
      </c>
      <c r="AD80" s="8">
        <f>IFERROR(AC80/AC444, "NA")</f>
        <v>1.98449798915276E-2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1.2306357616943749E-4</v>
      </c>
      <c r="AB82" s="9"/>
      <c r="AC82" s="10">
        <f t="shared" si="23"/>
        <v>-25</v>
      </c>
      <c r="AD82" s="8">
        <f>IFERROR(AC82/AC444, "NA")</f>
        <v>-3.9468619763421942E-4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1170.5999999999999</v>
      </c>
      <c r="C88" s="15">
        <f>IFERROR(B88/B444, "NA")</f>
        <v>9.7305519881298232E-3</v>
      </c>
      <c r="D88" s="2"/>
      <c r="E88" s="14">
        <f>IFERROR(E75+E76+E77+E78+E79+E80+E81+E82+E83+E84+E85+E86+E87, "NA")</f>
        <v>1765.51</v>
      </c>
      <c r="F88" s="15">
        <f>IFERROR(E88/E444, "NA")</f>
        <v>1.7000003177552691E-2</v>
      </c>
      <c r="G88" s="2"/>
      <c r="H88" s="14">
        <f t="shared" si="20"/>
        <v>-594.91000000000008</v>
      </c>
      <c r="I88" s="15">
        <f>IFERROR(H88/H444, "NA")</f>
        <v>-3.6169161095063886E-2</v>
      </c>
      <c r="J88" s="2"/>
      <c r="K88" s="14">
        <f>IFERROR(K75+K76+K77+K78+K79+K80+K81+K82+K83+K84+K85+K86+K87, "NA")</f>
        <v>716.85</v>
      </c>
      <c r="L88" s="15">
        <f>IFERROR(K88/K444, "NA")</f>
        <v>8.0414248078824711E-3</v>
      </c>
      <c r="M88" s="2"/>
      <c r="N88" s="14">
        <f t="shared" si="21"/>
        <v>453.74999999999989</v>
      </c>
      <c r="O88" s="15">
        <f>IFERROR(N88/N444, "NA")</f>
        <v>1.4563410614359276E-2</v>
      </c>
      <c r="P88" s="2"/>
      <c r="Q88" s="14">
        <f>IFERROR(Q75+Q76+Q77+Q78+Q79+Q80+Q81+Q82+Q83+Q84+Q85+Q86+Q87, "NA")</f>
        <v>3319.02</v>
      </c>
      <c r="R88" s="15">
        <f>IFERROR(Q88/Q444, "NA")</f>
        <v>1.2454646727894328E-2</v>
      </c>
      <c r="S88" s="2"/>
      <c r="T88" s="14">
        <f>IFERROR(T75+T76+T77+T78+T79+T80+T81+T82+T83+T84+T85+T86+T87, "NA")</f>
        <v>3935.36</v>
      </c>
      <c r="U88" s="15">
        <f>IFERROR(T88/T444, "NA")</f>
        <v>1.6999979783322138E-2</v>
      </c>
      <c r="V88" s="2"/>
      <c r="W88" s="14">
        <f t="shared" si="22"/>
        <v>-616.34000000000015</v>
      </c>
      <c r="X88" s="15">
        <f>IFERROR(W88/W444, "NA")</f>
        <v>-1.7611500595060368E-2</v>
      </c>
      <c r="Y88" s="2"/>
      <c r="Z88" s="14">
        <f>IFERROR(Z75+Z76+Z77+Z78+Z79+Z80+Z81+Z82+Z83+Z84+Z85+Z86+Z87, "NA")</f>
        <v>1304.29</v>
      </c>
      <c r="AA88" s="15">
        <f>IFERROR(Z88/Z444, "NA")</f>
        <v>6.4204236704814245E-3</v>
      </c>
      <c r="AB88" s="2"/>
      <c r="AC88" s="14">
        <f t="shared" si="23"/>
        <v>2014.73</v>
      </c>
      <c r="AD88" s="15">
        <f>IFERROR(AC88/AC444, "NA")</f>
        <v>3.1807444918383637E-2</v>
      </c>
    </row>
    <row r="89" spans="1:30" ht="16.5" customHeight="1" x14ac:dyDescent="0.45">
      <c r="A89" s="6" t="s">
        <v>85</v>
      </c>
      <c r="B89" s="7">
        <v>-72.290000000000006</v>
      </c>
      <c r="C89" s="8">
        <f>IFERROR(B89/B444, "NA")</f>
        <v>-6.0090688811028964E-4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-72.290000000000006</v>
      </c>
      <c r="I89" s="8">
        <f>IFERROR(H89/H444, "NA")</f>
        <v>-4.3950659016694432E-3</v>
      </c>
      <c r="J89" s="9"/>
      <c r="K89" s="7">
        <v>-130.13</v>
      </c>
      <c r="L89" s="8">
        <f>IFERROR(K89/K444, "NA")</f>
        <v>-1.4597623076651263E-3</v>
      </c>
      <c r="M89" s="9"/>
      <c r="N89" s="10">
        <f t="shared" si="21"/>
        <v>57.839999999999989</v>
      </c>
      <c r="O89" s="8">
        <f>IFERROR(N89/N444, "NA")</f>
        <v>1.8564135976518799E-3</v>
      </c>
      <c r="P89" s="9"/>
      <c r="Q89" s="7">
        <v>-79.349999999999994</v>
      </c>
      <c r="R89" s="8">
        <f>IFERROR(Q89/Q444, "NA")</f>
        <v>-2.9776145303686471E-4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-79.349999999999994</v>
      </c>
      <c r="X89" s="8">
        <f>IFERROR(W89/W444, "NA")</f>
        <v>-2.2673728335302588E-3</v>
      </c>
      <c r="Y89" s="9"/>
      <c r="Z89" s="7">
        <v>1281.17</v>
      </c>
      <c r="AA89" s="8">
        <f>IFERROR(Z89/Z444, "NA")</f>
        <v>6.3066144752399285E-3</v>
      </c>
      <c r="AB89" s="9"/>
      <c r="AC89" s="10">
        <f t="shared" si="23"/>
        <v>-1360.52</v>
      </c>
      <c r="AD89" s="8">
        <f>IFERROR(AC89/AC444, "NA")</f>
        <v>-2.1479138624212326E-2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-3634.87</v>
      </c>
      <c r="F94" s="8">
        <f>IFERROR(E94/E444, "NA")</f>
        <v>-3.4999972557499502E-2</v>
      </c>
      <c r="G94" s="9"/>
      <c r="H94" s="10">
        <f t="shared" ref="H94:H124" si="24">IFERROR(B94-E94, "NA")</f>
        <v>3634.87</v>
      </c>
      <c r="I94" s="8">
        <f>IFERROR(H94/H444, "NA")</f>
        <v>0.2209917442800001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-8102.22</v>
      </c>
      <c r="U94" s="8">
        <f>IFERROR(T94/T444, "NA")</f>
        <v>-3.4999993952275855E-2</v>
      </c>
      <c r="V94" s="9"/>
      <c r="W94" s="10">
        <f t="shared" ref="W94:W124" si="26">IFERROR(Q94-T94, "NA")</f>
        <v>8102.22</v>
      </c>
      <c r="X94" s="8">
        <f>IFERROR(W94/W444, "NA")</f>
        <v>0.23151548228463184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-2117.9</v>
      </c>
      <c r="C96" s="8">
        <f>IFERROR(B96/B444, "NA")</f>
        <v>-1.7604934269315014E-2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-2117.9</v>
      </c>
      <c r="I96" s="8">
        <f>IFERROR(H96/H444, "NA")</f>
        <v>-0.12876345377155504</v>
      </c>
      <c r="J96" s="9"/>
      <c r="K96" s="7">
        <v>-63.95</v>
      </c>
      <c r="L96" s="8">
        <f>IFERROR(K96/K444, "NA")</f>
        <v>-7.1737339257038992E-4</v>
      </c>
      <c r="M96" s="9"/>
      <c r="N96" s="10">
        <f t="shared" si="25"/>
        <v>-2053.9500000000003</v>
      </c>
      <c r="O96" s="8">
        <f>IFERROR(N96/N444, "NA")</f>
        <v>-6.59229029892303E-2</v>
      </c>
      <c r="P96" s="9"/>
      <c r="Q96" s="7">
        <v>-5454.95</v>
      </c>
      <c r="R96" s="8">
        <f>IFERROR(Q96/Q444, "NA")</f>
        <v>-2.0469739612393765E-2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-5454.95</v>
      </c>
      <c r="X96" s="8">
        <f>IFERROR(W96/W444, "NA")</f>
        <v>-0.15587152411173141</v>
      </c>
      <c r="Y96" s="9"/>
      <c r="Z96" s="7">
        <v>-151.58000000000001</v>
      </c>
      <c r="AA96" s="8">
        <f>IFERROR(Z96/Z444, "NA")</f>
        <v>-7.4615907503053336E-4</v>
      </c>
      <c r="AB96" s="9"/>
      <c r="AC96" s="10">
        <f t="shared" si="27"/>
        <v>-5303.37</v>
      </c>
      <c r="AD96" s="8">
        <f>IFERROR(AC96/AC444, "NA")</f>
        <v>-8.3726677597895607E-2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-1864.34</v>
      </c>
      <c r="C98" s="8">
        <f>IFERROR(B98/B444, "NA")</f>
        <v>-1.5497229876601704E-2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-1864.34</v>
      </c>
      <c r="I98" s="8">
        <f>IFERROR(H98/H444, "NA")</f>
        <v>-0.11334758836794036</v>
      </c>
      <c r="J98" s="9"/>
      <c r="K98" s="7">
        <v>-1384.95</v>
      </c>
      <c r="L98" s="8">
        <f>IFERROR(K98/K444, "NA")</f>
        <v>-1.5535985614391892E-2</v>
      </c>
      <c r="M98" s="9"/>
      <c r="N98" s="10">
        <f t="shared" si="25"/>
        <v>-479.38999999999987</v>
      </c>
      <c r="O98" s="8">
        <f>IFERROR(N98/N444, "NA")</f>
        <v>-1.5386343613041748E-2</v>
      </c>
      <c r="P98" s="9"/>
      <c r="Q98" s="7">
        <v>-4050.97</v>
      </c>
      <c r="R98" s="8">
        <f>IFERROR(Q98/Q444, "NA")</f>
        <v>-1.5201294434892853E-2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-4050.97</v>
      </c>
      <c r="X98" s="8">
        <f>IFERROR(W98/W444, "NA")</f>
        <v>-0.11575374073656047</v>
      </c>
      <c r="Y98" s="9"/>
      <c r="Z98" s="7">
        <v>-3345.18</v>
      </c>
      <c r="AA98" s="8">
        <f>IFERROR(Z98/Z444, "NA")</f>
        <v>-1.6466792549219154E-2</v>
      </c>
      <c r="AB98" s="9"/>
      <c r="AC98" s="10">
        <f t="shared" si="27"/>
        <v>-705.79</v>
      </c>
      <c r="AD98" s="8">
        <f>IFERROR(AC98/AC444, "NA")</f>
        <v>-1.1142622857130228E-2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-157.57</v>
      </c>
      <c r="C100" s="8">
        <f>IFERROR(B100/B444, "NA")</f>
        <v>-1.3097924797280166E-3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-157.57</v>
      </c>
      <c r="I100" s="8">
        <f>IFERROR(H100/H444, "NA")</f>
        <v>-9.5798939566475866E-3</v>
      </c>
      <c r="J100" s="9"/>
      <c r="K100" s="7">
        <v>-8.5</v>
      </c>
      <c r="L100" s="8">
        <f>IFERROR(K100/K444, "NA")</f>
        <v>-9.5350646393249636E-5</v>
      </c>
      <c r="M100" s="9"/>
      <c r="N100" s="10">
        <f t="shared" si="25"/>
        <v>-149.07</v>
      </c>
      <c r="O100" s="8">
        <f>IFERROR(N100/N444, "NA")</f>
        <v>-4.7845016424959506E-3</v>
      </c>
      <c r="P100" s="9"/>
      <c r="Q100" s="7">
        <v>-876.57</v>
      </c>
      <c r="R100" s="8">
        <f>IFERROR(Q100/Q444, "NA")</f>
        <v>-3.2893353105044052E-3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-876.57</v>
      </c>
      <c r="X100" s="8">
        <f>IFERROR(W100/W444, "NA")</f>
        <v>-2.5047397664620281E-2</v>
      </c>
      <c r="Y100" s="9"/>
      <c r="Z100" s="7">
        <v>-4303.55</v>
      </c>
      <c r="AA100" s="8">
        <f>IFERROR(Z100/Z444, "NA")</f>
        <v>-2.1184410128959306E-2</v>
      </c>
      <c r="AB100" s="9"/>
      <c r="AC100" s="10">
        <f t="shared" si="27"/>
        <v>3426.98</v>
      </c>
      <c r="AD100" s="8">
        <f>IFERROR(AC100/AC444, "NA")</f>
        <v>5.410326822274069E-2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-939.85</v>
      </c>
      <c r="C102" s="8">
        <f>IFERROR(B102/B444, "NA")</f>
        <v>-7.8124545412983212E-3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-939.85</v>
      </c>
      <c r="I102" s="8">
        <f>IFERROR(H102/H444, "NA")</f>
        <v>-5.7140720537889413E-2</v>
      </c>
      <c r="J102" s="9"/>
      <c r="K102" s="7">
        <v>-463.1</v>
      </c>
      <c r="L102" s="8">
        <f>IFERROR(K102/K444, "NA")</f>
        <v>-5.1949275699663417E-3</v>
      </c>
      <c r="M102" s="9"/>
      <c r="N102" s="10">
        <f t="shared" si="25"/>
        <v>-476.75</v>
      </c>
      <c r="O102" s="8">
        <f>IFERROR(N102/N444, "NA")</f>
        <v>-1.530161104219457E-2</v>
      </c>
      <c r="P102" s="9"/>
      <c r="Q102" s="7">
        <v>-2247.4499999999998</v>
      </c>
      <c r="R102" s="8">
        <f>IFERROR(Q102/Q444, "NA")</f>
        <v>-8.4335724968834479E-3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-2247.4499999999998</v>
      </c>
      <c r="X102" s="8">
        <f>IFERROR(W102/W444, "NA")</f>
        <v>-6.4219370821897673E-2</v>
      </c>
      <c r="Y102" s="9"/>
      <c r="Z102" s="7">
        <v>-664.65</v>
      </c>
      <c r="AA102" s="8">
        <f>IFERROR(Z102/Z444, "NA")</f>
        <v>-3.2717682360406644E-3</v>
      </c>
      <c r="AB102" s="9"/>
      <c r="AC102" s="10">
        <f t="shared" si="27"/>
        <v>-1582.7999999999997</v>
      </c>
      <c r="AD102" s="8">
        <f>IFERROR(AC102/AC444, "NA")</f>
        <v>-2.4988372544617696E-2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-607.53</v>
      </c>
      <c r="C104" s="8">
        <f>IFERROR(B104/B444, "NA")</f>
        <v>-5.050061719928679E-3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-607.53</v>
      </c>
      <c r="I104" s="8">
        <f>IFERROR(H104/H444, "NA")</f>
        <v>-3.6936428098509284E-2</v>
      </c>
      <c r="J104" s="9"/>
      <c r="K104" s="7">
        <v>-504.42</v>
      </c>
      <c r="L104" s="8">
        <f>IFERROR(K104/K444, "NA")</f>
        <v>-5.6584438886685857E-3</v>
      </c>
      <c r="M104" s="9"/>
      <c r="N104" s="10">
        <f t="shared" si="25"/>
        <v>-103.10999999999996</v>
      </c>
      <c r="O104" s="8">
        <f>IFERROR(N104/N444, "NA")</f>
        <v>-3.3093846136563851E-3</v>
      </c>
      <c r="P104" s="9"/>
      <c r="Q104" s="7">
        <v>-1389.76</v>
      </c>
      <c r="R104" s="8">
        <f>IFERROR(Q104/Q444, "NA")</f>
        <v>-5.2150845239132097E-3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-1389.76</v>
      </c>
      <c r="X104" s="8">
        <f>IFERROR(W104/W444, "NA")</f>
        <v>-3.9711456447725432E-2</v>
      </c>
      <c r="Y104" s="9"/>
      <c r="Z104" s="7">
        <v>-2788.96</v>
      </c>
      <c r="AA104" s="8">
        <f>IFERROR(Z104/Z444, "NA")</f>
        <v>-1.3728775655740573E-2</v>
      </c>
      <c r="AB104" s="9"/>
      <c r="AC104" s="10">
        <f t="shared" si="27"/>
        <v>1399.2</v>
      </c>
      <c r="AD104" s="8">
        <f>IFERROR(AC104/AC444, "NA")</f>
        <v>2.2089797109191994E-2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0</v>
      </c>
      <c r="R106" s="8">
        <f>IFERROR(Q106/Q444, "NA")</f>
        <v>0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0</v>
      </c>
      <c r="X106" s="8">
        <f>IFERROR(W106/W444, "NA")</f>
        <v>0</v>
      </c>
      <c r="Y106" s="9"/>
      <c r="Z106" s="7">
        <v>-713.04</v>
      </c>
      <c r="AA106" s="8">
        <f>IFERROR(Z106/Z444, "NA")</f>
        <v>-3.5099700940742279E-3</v>
      </c>
      <c r="AB106" s="9"/>
      <c r="AC106" s="10">
        <f t="shared" si="27"/>
        <v>713.04</v>
      </c>
      <c r="AD106" s="8">
        <f>IFERROR(AC106/AC444, "NA")</f>
        <v>1.1257081854444151E-2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-10</v>
      </c>
      <c r="L108" s="8">
        <f>IFERROR(K108/K444, "NA")</f>
        <v>-1.1217723105088191E-4</v>
      </c>
      <c r="M108" s="9"/>
      <c r="N108" s="10">
        <f t="shared" si="25"/>
        <v>10</v>
      </c>
      <c r="O108" s="8">
        <f>IFERROR(N108/N444, "NA")</f>
        <v>3.209567077544745E-4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-10</v>
      </c>
      <c r="AA108" s="8">
        <f>IFERROR(Z108/Z444, "NA")</f>
        <v>-4.9225430467774989E-5</v>
      </c>
      <c r="AB108" s="9"/>
      <c r="AC108" s="10">
        <f t="shared" si="27"/>
        <v>10</v>
      </c>
      <c r="AD108" s="8">
        <f>IFERROR(AC108/AC444, "NA")</f>
        <v>1.5787447905368776E-4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-5687.19</v>
      </c>
      <c r="C118" s="15">
        <f>IFERROR(B118/B444, "NA")</f>
        <v>-4.7274472886871734E-2</v>
      </c>
      <c r="D118" s="2"/>
      <c r="E118" s="14">
        <f>IFERROR(E94+E95+E96+E97+E98+E99+E100+E101+E102+E103+E104+E105+E106+E107+E108+E109+E110+E111+E112+E113+E114+E115+E116+E117, "NA")</f>
        <v>-3634.87</v>
      </c>
      <c r="F118" s="15">
        <f>IFERROR(E118/E444, "NA")</f>
        <v>-3.4999972557499502E-2</v>
      </c>
      <c r="G118" s="2"/>
      <c r="H118" s="14">
        <f t="shared" si="24"/>
        <v>-2052.3199999999997</v>
      </c>
      <c r="I118" s="15">
        <f>IFERROR(H118/H444, "NA")</f>
        <v>-0.12477634045254156</v>
      </c>
      <c r="J118" s="2"/>
      <c r="K118" s="14">
        <f>IFERROR(K94+K95+K96+K97+K98+K99+K100+K101+K102+K103+K104+K105+K106+K107+K108+K109+K110+K111+K112+K113+K114+K115+K116+K117, "NA")</f>
        <v>-2434.92</v>
      </c>
      <c r="L118" s="15">
        <f>IFERROR(K118/K444, "NA")</f>
        <v>-2.7314258343041339E-2</v>
      </c>
      <c r="M118" s="2"/>
      <c r="N118" s="14">
        <f t="shared" si="25"/>
        <v>-3252.2699999999995</v>
      </c>
      <c r="O118" s="15">
        <f>IFERROR(N118/N444, "NA")</f>
        <v>-0.10438378719286445</v>
      </c>
      <c r="P118" s="2"/>
      <c r="Q118" s="14">
        <f>IFERROR(Q94+Q95+Q96+Q97+Q98+Q99+Q100+Q101+Q102+Q103+Q104+Q105+Q106+Q107+Q108+Q109+Q110+Q111+Q112+Q113+Q114+Q115+Q116+Q117, "NA")</f>
        <v>-14019.699999999999</v>
      </c>
      <c r="R118" s="15">
        <f>IFERROR(Q118/Q444, "NA")</f>
        <v>-5.2609026378587678E-2</v>
      </c>
      <c r="S118" s="2"/>
      <c r="T118" s="14">
        <f>IFERROR(T94+T95+T96+T97+T98+T99+T100+T101+T102+T103+T104+T105+T106+T107+T108+T109+T110+T111+T112+T113+T114+T115+T116+T117, "NA")</f>
        <v>-8102.22</v>
      </c>
      <c r="U118" s="15">
        <f>IFERROR(T118/T444, "NA")</f>
        <v>-3.4999993952275855E-2</v>
      </c>
      <c r="V118" s="2"/>
      <c r="W118" s="14">
        <f t="shared" si="26"/>
        <v>-5917.4799999999987</v>
      </c>
      <c r="X118" s="15">
        <f>IFERROR(W118/W444, "NA")</f>
        <v>-0.1690880074979034</v>
      </c>
      <c r="Y118" s="2"/>
      <c r="Z118" s="14">
        <f>IFERROR(Z94+Z95+Z96+Z97+Z98+Z99+Z100+Z101+Z102+Z103+Z104+Z105+Z106+Z107+Z108+Z109+Z110+Z111+Z112+Z113+Z114+Z115+Z116+Z117, "NA")</f>
        <v>-11976.96</v>
      </c>
      <c r="AA118" s="15">
        <f>IFERROR(Z118/Z444, "NA")</f>
        <v>-5.8957101169532233E-2</v>
      </c>
      <c r="AB118" s="2"/>
      <c r="AC118" s="14">
        <f t="shared" si="27"/>
        <v>-2042.7399999999998</v>
      </c>
      <c r="AD118" s="15">
        <f>IFERROR(AC118/AC444, "NA")</f>
        <v>-3.2249651334213009E-2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120301.5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103853.51</v>
      </c>
      <c r="F122" s="15">
        <f>IFERROR(E122/E444, "NA")</f>
        <v>1</v>
      </c>
      <c r="G122" s="2"/>
      <c r="H122" s="14">
        <f t="shared" si="24"/>
        <v>16447.990000000005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89144.65</v>
      </c>
      <c r="L122" s="15">
        <f>IFERROR(K122/K444, "NA")</f>
        <v>1</v>
      </c>
      <c r="M122" s="2"/>
      <c r="N122" s="14">
        <f t="shared" si="25"/>
        <v>31156.850000000006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266488.49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231492.03999999998</v>
      </c>
      <c r="U122" s="15">
        <f>IFERROR(T122/T444, "NA")</f>
        <v>0.99999999999999989</v>
      </c>
      <c r="V122" s="2"/>
      <c r="W122" s="14">
        <f t="shared" si="26"/>
        <v>34996.450000000012</v>
      </c>
      <c r="X122" s="15">
        <f>IFERROR(W122/W444, "NA")</f>
        <v>1.0000000000000009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203147.03000000006</v>
      </c>
      <c r="AA122" s="15">
        <f>IFERROR(Z122/Z444, "NA")</f>
        <v>1.0000000000000002</v>
      </c>
      <c r="AB122" s="2"/>
      <c r="AC122" s="14">
        <f t="shared" si="27"/>
        <v>63341.459999999934</v>
      </c>
      <c r="AD122" s="15">
        <f>IFERROR(AC122/AC444, "NA")</f>
        <v>0.99999999999999911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120301.5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103853.51</v>
      </c>
      <c r="F124" s="15">
        <f>IFERROR(E124/E444, "NA")</f>
        <v>1</v>
      </c>
      <c r="G124" s="2"/>
      <c r="H124" s="14">
        <f t="shared" si="24"/>
        <v>16447.990000000005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89144.65</v>
      </c>
      <c r="L124" s="15">
        <f>IFERROR(K124/K444, "NA")</f>
        <v>1</v>
      </c>
      <c r="M124" s="2"/>
      <c r="N124" s="14">
        <f t="shared" si="25"/>
        <v>31156.850000000006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266488.49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231492.03999999998</v>
      </c>
      <c r="U124" s="15">
        <f>IFERROR(T124/T444, "NA")</f>
        <v>0.99999999999999989</v>
      </c>
      <c r="V124" s="2"/>
      <c r="W124" s="14">
        <f t="shared" si="26"/>
        <v>34996.450000000012</v>
      </c>
      <c r="X124" s="15">
        <f>IFERROR(W124/W444, "NA")</f>
        <v>1.0000000000000009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203147.03000000006</v>
      </c>
      <c r="AA124" s="15">
        <f>IFERROR(Z124/Z444, "NA")</f>
        <v>1.0000000000000002</v>
      </c>
      <c r="AB124" s="2"/>
      <c r="AC124" s="14">
        <f t="shared" si="27"/>
        <v>63341.459999999934</v>
      </c>
      <c r="AD124" s="15">
        <f>IFERROR(AC124/AC444, "NA")</f>
        <v>0.99999999999999911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23263.19</v>
      </c>
      <c r="F129" s="8">
        <f>IFERROR(E129/E444, "NA")</f>
        <v>0.22400003620484277</v>
      </c>
      <c r="G129" s="9"/>
      <c r="H129" s="10">
        <f t="shared" ref="H129:H141" si="28">IFERROR(-(B129-E129), "NA")</f>
        <v>23263.19</v>
      </c>
      <c r="I129" s="8">
        <f>IFERROR(H129/H444, "NA")</f>
        <v>1.4143485009414518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53997.19</v>
      </c>
      <c r="U129" s="8">
        <f>IFERROR(T129/T444, "NA")</f>
        <v>0.23325722128501697</v>
      </c>
      <c r="V129" s="9"/>
      <c r="W129" s="10">
        <f t="shared" ref="W129:W141" si="30">IFERROR(-(Q129-T129), "NA")</f>
        <v>53997.19</v>
      </c>
      <c r="X129" s="8">
        <f>IFERROR(W129/W444, "NA")</f>
        <v>1.5429333546688315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6100.37</v>
      </c>
      <c r="C130" s="8">
        <f>IFERROR(B130/B444, "NA")</f>
        <v>5.0709010278342334E-2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-6100.37</v>
      </c>
      <c r="I130" s="8">
        <f>IFERROR(H130/H444, "NA")</f>
        <v>-0.37088847938258707</v>
      </c>
      <c r="J130" s="9"/>
      <c r="K130" s="7">
        <v>5278.03</v>
      </c>
      <c r="L130" s="8">
        <f>IFERROR(K130/K444, "NA")</f>
        <v>5.9207479080348624E-2</v>
      </c>
      <c r="M130" s="9"/>
      <c r="N130" s="10">
        <f t="shared" si="29"/>
        <v>-822.34000000000015</v>
      </c>
      <c r="O130" s="8">
        <f>IFERROR(N130/N444, "NA")</f>
        <v>-2.6393553905481457E-2</v>
      </c>
      <c r="P130" s="9"/>
      <c r="Q130" s="7">
        <v>14342.47</v>
      </c>
      <c r="R130" s="8">
        <f>IFERROR(Q130/Q444, "NA")</f>
        <v>5.3820223154853707E-2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-14342.47</v>
      </c>
      <c r="X130" s="8">
        <f>IFERROR(W130/W444, "NA")</f>
        <v>-0.40982642525170426</v>
      </c>
      <c r="Y130" s="9"/>
      <c r="Z130" s="7">
        <v>12551.63</v>
      </c>
      <c r="AA130" s="8">
        <f>IFERROR(Z130/Z444, "NA")</f>
        <v>6.1785938982223856E-2</v>
      </c>
      <c r="AB130" s="9"/>
      <c r="AC130" s="10">
        <f t="shared" si="31"/>
        <v>-1790.8400000000001</v>
      </c>
      <c r="AD130" s="8">
        <f>IFERROR(AC130/AC444, "NA")</f>
        <v>-2.8272793206850621E-2</v>
      </c>
    </row>
    <row r="131" spans="1:30" ht="16.5" customHeight="1" x14ac:dyDescent="0.45">
      <c r="A131" s="12" t="s">
        <v>123</v>
      </c>
      <c r="B131" s="7">
        <v>3851.35</v>
      </c>
      <c r="C131" s="8">
        <f>IFERROR(B131/B444, "NA")</f>
        <v>3.201414778701845E-2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-3851.35</v>
      </c>
      <c r="I131" s="8">
        <f>IFERROR(H131/H444, "NA")</f>
        <v>-0.23415323088109846</v>
      </c>
      <c r="J131" s="9"/>
      <c r="K131" s="7">
        <v>2356.29</v>
      </c>
      <c r="L131" s="8">
        <f>IFERROR(K131/K444, "NA")</f>
        <v>2.6432208775288256E-2</v>
      </c>
      <c r="M131" s="9"/>
      <c r="N131" s="10">
        <f t="shared" si="29"/>
        <v>-1495.06</v>
      </c>
      <c r="O131" s="8">
        <f>IFERROR(N131/N444, "NA")</f>
        <v>-4.7984953549540459E-2</v>
      </c>
      <c r="P131" s="9"/>
      <c r="Q131" s="7">
        <v>8182.51</v>
      </c>
      <c r="R131" s="8">
        <f>IFERROR(Q131/Q444, "NA")</f>
        <v>3.0704928381709847E-2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-8182.51</v>
      </c>
      <c r="X131" s="8">
        <f>IFERROR(W131/W444, "NA")</f>
        <v>-0.2338097149853772</v>
      </c>
      <c r="Y131" s="9"/>
      <c r="Z131" s="7">
        <v>5974.71</v>
      </c>
      <c r="AA131" s="8">
        <f>IFERROR(Z131/Z444, "NA")</f>
        <v>2.9410767167011992E-2</v>
      </c>
      <c r="AB131" s="9"/>
      <c r="AC131" s="10">
        <f t="shared" si="31"/>
        <v>-2207.8000000000002</v>
      </c>
      <c r="AD131" s="8">
        <f>IFERROR(AC131/AC444, "NA")</f>
        <v>-3.4855527485473187E-2</v>
      </c>
    </row>
    <row r="132" spans="1:30" ht="16.5" customHeight="1" x14ac:dyDescent="0.45">
      <c r="A132" s="12" t="s">
        <v>124</v>
      </c>
      <c r="B132" s="7">
        <v>3846.3</v>
      </c>
      <c r="C132" s="8">
        <f>IFERROR(B132/B444, "NA")</f>
        <v>3.197216992306829E-2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-3846.3</v>
      </c>
      <c r="I132" s="8">
        <f>IFERROR(H132/H444, "NA")</f>
        <v>-0.23384620248431565</v>
      </c>
      <c r="J132" s="9"/>
      <c r="K132" s="7">
        <v>2837.44</v>
      </c>
      <c r="L132" s="8">
        <f>IFERROR(K132/K444, "NA")</f>
        <v>3.1829616247301441E-2</v>
      </c>
      <c r="M132" s="9"/>
      <c r="N132" s="10">
        <f t="shared" si="29"/>
        <v>-1008.8600000000001</v>
      </c>
      <c r="O132" s="8">
        <f>IFERROR(N132/N444, "NA")</f>
        <v>-3.2380038418517915E-2</v>
      </c>
      <c r="P132" s="9"/>
      <c r="Q132" s="7">
        <v>9329.2999999999993</v>
      </c>
      <c r="R132" s="8">
        <f>IFERROR(Q132/Q444, "NA")</f>
        <v>3.500826621067199E-2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-9329.2999999999993</v>
      </c>
      <c r="X132" s="8">
        <f>IFERROR(W132/W444, "NA")</f>
        <v>-0.26657846724453493</v>
      </c>
      <c r="Y132" s="9"/>
      <c r="Z132" s="7">
        <v>6778.08</v>
      </c>
      <c r="AA132" s="8">
        <f>IFERROR(Z132/Z444, "NA")</f>
        <v>3.3365390574501629E-2</v>
      </c>
      <c r="AB132" s="9"/>
      <c r="AC132" s="10">
        <f t="shared" si="31"/>
        <v>-2551.2199999999993</v>
      </c>
      <c r="AD132" s="8">
        <f>IFERROR(AC132/AC444, "NA")</f>
        <v>-4.027725284513492E-2</v>
      </c>
    </row>
    <row r="133" spans="1:30" ht="16.5" customHeight="1" x14ac:dyDescent="0.45">
      <c r="A133" s="12" t="s">
        <v>125</v>
      </c>
      <c r="B133" s="7">
        <v>2688.2</v>
      </c>
      <c r="C133" s="8">
        <f>IFERROR(B133/B444, "NA")</f>
        <v>2.2345523538775492E-2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-2688.2</v>
      </c>
      <c r="I133" s="8">
        <f>IFERROR(H133/H444, "NA")</f>
        <v>-0.16343638341219802</v>
      </c>
      <c r="J133" s="9"/>
      <c r="K133" s="7">
        <v>1789.7</v>
      </c>
      <c r="L133" s="8">
        <f>IFERROR(K133/K444, "NA")</f>
        <v>2.0076359041176339E-2</v>
      </c>
      <c r="M133" s="9"/>
      <c r="N133" s="10">
        <f t="shared" si="29"/>
        <v>-898.49999999999977</v>
      </c>
      <c r="O133" s="8">
        <f>IFERROR(N133/N444, "NA")</f>
        <v>-2.8837960191739523E-2</v>
      </c>
      <c r="P133" s="9"/>
      <c r="Q133" s="7">
        <v>6284.84</v>
      </c>
      <c r="R133" s="8">
        <f>IFERROR(Q133/Q444, "NA")</f>
        <v>2.3583907882850776E-2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-6284.84</v>
      </c>
      <c r="X133" s="8">
        <f>IFERROR(W133/W444, "NA")</f>
        <v>-0.17958507220018038</v>
      </c>
      <c r="Y133" s="9"/>
      <c r="Z133" s="7">
        <v>3919.49</v>
      </c>
      <c r="AA133" s="8">
        <f>IFERROR(Z133/Z444, "NA")</f>
        <v>1.9293858246413938E-2</v>
      </c>
      <c r="AB133" s="9"/>
      <c r="AC133" s="10">
        <f t="shared" si="31"/>
        <v>-2365.3500000000004</v>
      </c>
      <c r="AD133" s="8">
        <f>IFERROR(AC133/AC444, "NA")</f>
        <v>-3.734283990296404E-2</v>
      </c>
    </row>
    <row r="134" spans="1:30" ht="16.5" customHeight="1" x14ac:dyDescent="0.45">
      <c r="A134" s="12" t="s">
        <v>126</v>
      </c>
      <c r="B134" s="7">
        <v>936.11</v>
      </c>
      <c r="C134" s="8">
        <f>IFERROR(B134/B444, "NA")</f>
        <v>7.7813659846302828E-3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-936.11</v>
      </c>
      <c r="I134" s="8">
        <f>IFERROR(H134/H444, "NA")</f>
        <v>-5.6913337131163123E-2</v>
      </c>
      <c r="J134" s="9"/>
      <c r="K134" s="7">
        <v>1106.2</v>
      </c>
      <c r="L134" s="8">
        <f>IFERROR(K134/K444, "NA")</f>
        <v>1.2409045298848558E-2</v>
      </c>
      <c r="M134" s="9"/>
      <c r="N134" s="10">
        <f t="shared" si="29"/>
        <v>170.09000000000003</v>
      </c>
      <c r="O134" s="8">
        <f>IFERROR(N134/N444, "NA")</f>
        <v>5.4591526421958574E-3</v>
      </c>
      <c r="P134" s="9"/>
      <c r="Q134" s="7">
        <v>2227.3200000000002</v>
      </c>
      <c r="R134" s="8">
        <f>IFERROR(Q134/Q444, "NA")</f>
        <v>8.358034525243474E-3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-2227.3200000000002</v>
      </c>
      <c r="X134" s="8">
        <f>IFERROR(W134/W444, "NA")</f>
        <v>-6.3644169622918939E-2</v>
      </c>
      <c r="Y134" s="9"/>
      <c r="Z134" s="7">
        <v>2522.38</v>
      </c>
      <c r="AA134" s="8">
        <f>IFERROR(Z134/Z444, "NA")</f>
        <v>1.2416524130330628E-2</v>
      </c>
      <c r="AB134" s="9"/>
      <c r="AC134" s="10">
        <f t="shared" si="31"/>
        <v>295.05999999999995</v>
      </c>
      <c r="AD134" s="8">
        <f>IFERROR(AC134/AC444, "NA")</f>
        <v>4.6582443789581103E-3</v>
      </c>
    </row>
    <row r="135" spans="1:30" ht="16.5" customHeight="1" x14ac:dyDescent="0.45">
      <c r="A135" s="12" t="s">
        <v>127</v>
      </c>
      <c r="B135" s="7">
        <v>1017.48</v>
      </c>
      <c r="C135" s="8">
        <f>IFERROR(B135/B444, "NA")</f>
        <v>8.4577499033677891E-3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-1017.48</v>
      </c>
      <c r="I135" s="8">
        <f>IFERROR(H135/H444, "NA")</f>
        <v>-6.1860446170018325E-2</v>
      </c>
      <c r="J135" s="9"/>
      <c r="K135" s="7">
        <v>900.96</v>
      </c>
      <c r="L135" s="8">
        <f>IFERROR(K135/K444, "NA")</f>
        <v>1.0106719808760257E-2</v>
      </c>
      <c r="M135" s="9"/>
      <c r="N135" s="10">
        <f t="shared" si="29"/>
        <v>-116.51999999999998</v>
      </c>
      <c r="O135" s="8">
        <f>IFERROR(N135/N444, "NA")</f>
        <v>-3.739787558755136E-3</v>
      </c>
      <c r="P135" s="9"/>
      <c r="Q135" s="7">
        <v>2440.5300000000002</v>
      </c>
      <c r="R135" s="8">
        <f>IFERROR(Q135/Q444, "NA")</f>
        <v>9.1581066034033976E-3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-2440.5300000000002</v>
      </c>
      <c r="X135" s="8">
        <f>IFERROR(W135/W444, "NA")</f>
        <v>-6.973650184518719E-2</v>
      </c>
      <c r="Y135" s="9"/>
      <c r="Z135" s="7">
        <v>2028.26</v>
      </c>
      <c r="AA135" s="8">
        <f>IFERROR(Z135/Z444, "NA")</f>
        <v>9.9841971600569297E-3</v>
      </c>
      <c r="AB135" s="9"/>
      <c r="AC135" s="10">
        <f t="shared" si="31"/>
        <v>-412.27000000000021</v>
      </c>
      <c r="AD135" s="8">
        <f>IFERROR(AC135/AC444, "NA")</f>
        <v>-6.5086911479463891E-3</v>
      </c>
    </row>
    <row r="136" spans="1:30" ht="16.5" customHeight="1" x14ac:dyDescent="0.45">
      <c r="A136" s="12" t="s">
        <v>128</v>
      </c>
      <c r="B136" s="7">
        <v>1260.17</v>
      </c>
      <c r="C136" s="8">
        <f>IFERROR(B136/B444, "NA")</f>
        <v>1.0475097982984419E-2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-1260.17</v>
      </c>
      <c r="I136" s="8">
        <f>IFERROR(H136/H444, "NA")</f>
        <v>-7.6615440549270747E-2</v>
      </c>
      <c r="J136" s="9"/>
      <c r="K136" s="7">
        <v>684.42</v>
      </c>
      <c r="L136" s="8">
        <f>IFERROR(K136/K444, "NA")</f>
        <v>7.6776340475844598E-3</v>
      </c>
      <c r="M136" s="9"/>
      <c r="N136" s="10">
        <f t="shared" si="29"/>
        <v>-575.75000000000011</v>
      </c>
      <c r="O136" s="8">
        <f>IFERROR(N136/N444, "NA")</f>
        <v>-1.847908244896387E-2</v>
      </c>
      <c r="P136" s="9"/>
      <c r="Q136" s="7">
        <v>2277.38</v>
      </c>
      <c r="R136" s="8">
        <f>IFERROR(Q136/Q444, "NA")</f>
        <v>8.5458850399129822E-3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-2277.38</v>
      </c>
      <c r="X136" s="8">
        <f>IFERROR(W136/W444, "NA")</f>
        <v>-6.5074600423757303E-2</v>
      </c>
      <c r="Y136" s="9"/>
      <c r="Z136" s="7">
        <v>1821.56</v>
      </c>
      <c r="AA136" s="8">
        <f>IFERROR(Z136/Z444, "NA")</f>
        <v>8.9667075122880201E-3</v>
      </c>
      <c r="AB136" s="9"/>
      <c r="AC136" s="10">
        <f t="shared" si="31"/>
        <v>-455.82000000000016</v>
      </c>
      <c r="AD136" s="8">
        <f>IFERROR(AC136/AC444, "NA")</f>
        <v>-7.1962345042251982E-3</v>
      </c>
    </row>
    <row r="137" spans="1:30" ht="16.5" customHeight="1" x14ac:dyDescent="0.45">
      <c r="A137" s="12" t="s">
        <v>129</v>
      </c>
      <c r="B137" s="7">
        <v>309.02999999999997</v>
      </c>
      <c r="C137" s="8">
        <f>IFERROR(B137/B444, "NA")</f>
        <v>2.5687959003004948E-3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-309.02999999999997</v>
      </c>
      <c r="I137" s="8">
        <f>IFERROR(H137/H444, "NA")</f>
        <v>-1.8788313952039119E-2</v>
      </c>
      <c r="J137" s="9"/>
      <c r="K137" s="7">
        <v>885.95</v>
      </c>
      <c r="L137" s="8">
        <f>IFERROR(K137/K444, "NA")</f>
        <v>9.9383417849528838E-3</v>
      </c>
      <c r="M137" s="9"/>
      <c r="N137" s="10">
        <f t="shared" si="29"/>
        <v>576.92000000000007</v>
      </c>
      <c r="O137" s="8">
        <f>IFERROR(N137/N444, "NA")</f>
        <v>1.8516634383771144E-2</v>
      </c>
      <c r="P137" s="9"/>
      <c r="Q137" s="7">
        <v>984.88</v>
      </c>
      <c r="R137" s="8">
        <f>IFERROR(Q137/Q444, "NA")</f>
        <v>3.6957693745046927E-3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-984.88</v>
      </c>
      <c r="X137" s="8">
        <f>IFERROR(W137/W444, "NA")</f>
        <v>-2.8142283002990317E-2</v>
      </c>
      <c r="Y137" s="9"/>
      <c r="Z137" s="7">
        <v>1077.68</v>
      </c>
      <c r="AA137" s="8">
        <f>IFERROR(Z137/Z444, "NA")</f>
        <v>5.3049261906511751E-3</v>
      </c>
      <c r="AB137" s="9"/>
      <c r="AC137" s="10">
        <f t="shared" si="31"/>
        <v>92.800000000000068</v>
      </c>
      <c r="AD137" s="8">
        <f>IFERROR(AC137/AC444, "NA")</f>
        <v>1.4650751656182235E-3</v>
      </c>
    </row>
    <row r="138" spans="1:30" ht="16.5" customHeight="1" x14ac:dyDescent="0.45">
      <c r="A138" s="12" t="s">
        <v>130</v>
      </c>
      <c r="B138" s="7">
        <v>6538.82</v>
      </c>
      <c r="C138" s="8">
        <f>IFERROR(B138/B444, "NA")</f>
        <v>5.4353603238529856E-2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-6538.82</v>
      </c>
      <c r="I138" s="8">
        <f>IFERROR(H138/H444, "NA")</f>
        <v>-0.39754523197059322</v>
      </c>
      <c r="J138" s="9"/>
      <c r="K138" s="7">
        <v>4212.7</v>
      </c>
      <c r="L138" s="8">
        <f>IFERROR(K138/K444, "NA")</f>
        <v>4.7256902124805024E-2</v>
      </c>
      <c r="M138" s="9"/>
      <c r="N138" s="10">
        <f t="shared" si="29"/>
        <v>-2326.12</v>
      </c>
      <c r="O138" s="8">
        <f>IFERROR(N138/N444, "NA")</f>
        <v>-7.4658381704183818E-2</v>
      </c>
      <c r="P138" s="9"/>
      <c r="Q138" s="7">
        <v>14382.4</v>
      </c>
      <c r="R138" s="8">
        <f>IFERROR(Q138/Q444, "NA")</f>
        <v>5.3970060770729723E-2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-14382.4</v>
      </c>
      <c r="X138" s="8">
        <f>IFERROR(W138/W444, "NA")</f>
        <v>-0.41096739812180971</v>
      </c>
      <c r="Y138" s="9"/>
      <c r="Z138" s="7">
        <v>10287.629999999999</v>
      </c>
      <c r="AA138" s="8">
        <f>IFERROR(Z138/Z444, "NA")</f>
        <v>5.0641301524319601E-2</v>
      </c>
      <c r="AB138" s="9"/>
      <c r="AC138" s="10">
        <f t="shared" si="31"/>
        <v>-4094.7700000000004</v>
      </c>
      <c r="AD138" s="8">
        <f>IFERROR(AC138/AC444, "NA")</f>
        <v>-6.4645968059466916E-2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19.8</v>
      </c>
      <c r="C140" s="8">
        <f>IFERROR(B140/B444, "NA")</f>
        <v>1.645864764778494E-4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-19.8</v>
      </c>
      <c r="I140" s="8">
        <f>IFERROR(H140/H444, "NA")</f>
        <v>-1.2037945061980214E-3</v>
      </c>
      <c r="J140" s="9"/>
      <c r="K140" s="7">
        <v>22.77</v>
      </c>
      <c r="L140" s="8">
        <f>IFERROR(K140/K444, "NA")</f>
        <v>2.5542755510285812E-4</v>
      </c>
      <c r="M140" s="9"/>
      <c r="N140" s="10">
        <f t="shared" si="29"/>
        <v>2.9699999999999989</v>
      </c>
      <c r="O140" s="8">
        <f>IFERROR(N140/N444, "NA")</f>
        <v>9.5324142203078886E-5</v>
      </c>
      <c r="P140" s="9"/>
      <c r="Q140" s="7">
        <v>41.86</v>
      </c>
      <c r="R140" s="8">
        <f>IFERROR(Q140/Q444, "NA")</f>
        <v>1.5707995493538952E-4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-41.86</v>
      </c>
      <c r="X140" s="8">
        <f>IFERROR(W140/W444, "NA")</f>
        <v>-1.1961213208768323E-3</v>
      </c>
      <c r="Y140" s="9"/>
      <c r="Z140" s="7">
        <v>56.43</v>
      </c>
      <c r="AA140" s="8">
        <f>IFERROR(Z140/Z444, "NA")</f>
        <v>2.7777910412965425E-4</v>
      </c>
      <c r="AB140" s="9"/>
      <c r="AC140" s="10">
        <f t="shared" si="31"/>
        <v>14.57</v>
      </c>
      <c r="AD140" s="8">
        <f>IFERROR(AC140/AC444, "NA")</f>
        <v>2.3002311598122307E-4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26567.63</v>
      </c>
      <c r="C141" s="15">
        <f>IFERROR(B141/B444, "NA")</f>
        <v>0.22084205101349527</v>
      </c>
      <c r="D141" s="2"/>
      <c r="E141" s="14">
        <f>IFERROR(E129+E130+E131+E132+E133+E134+E135+E136+E137+E138+E139+E140, "NA")</f>
        <v>23263.19</v>
      </c>
      <c r="F141" s="15">
        <f>IFERROR(E141/E444, "NA")</f>
        <v>0.22400003620484277</v>
      </c>
      <c r="G141" s="2"/>
      <c r="H141" s="14">
        <f t="shared" si="28"/>
        <v>-3304.4400000000023</v>
      </c>
      <c r="I141" s="15">
        <f>IFERROR(H141/H444, "NA")</f>
        <v>-0.20090235949802993</v>
      </c>
      <c r="J141" s="2"/>
      <c r="K141" s="14">
        <f>IFERROR(K129+K130+K131+K132+K133+K134+K135+K136+K137+K138+K139+K140, "NA")</f>
        <v>20074.460000000003</v>
      </c>
      <c r="L141" s="15">
        <f>IFERROR(K141/K444, "NA")</f>
        <v>0.22518973376416873</v>
      </c>
      <c r="M141" s="2"/>
      <c r="N141" s="14">
        <f t="shared" si="29"/>
        <v>-6493.1699999999983</v>
      </c>
      <c r="O141" s="15">
        <f>IFERROR(N141/N444, "NA")</f>
        <v>-0.20840264660901206</v>
      </c>
      <c r="P141" s="2"/>
      <c r="Q141" s="14">
        <f>IFERROR(Q129+Q130+Q131+Q132+Q133+Q134+Q135+Q136+Q137+Q138+Q139+Q140, "NA")</f>
        <v>60493.489999999991</v>
      </c>
      <c r="R141" s="15">
        <f>IFERROR(Q141/Q444, "NA")</f>
        <v>0.22700226189881595</v>
      </c>
      <c r="S141" s="2"/>
      <c r="T141" s="14">
        <f>IFERROR(T129+T130+T131+T132+T133+T134+T135+T136+T137+T138+T139+T140, "NA")</f>
        <v>53997.19</v>
      </c>
      <c r="U141" s="15">
        <f>IFERROR(T141/T444, "NA")</f>
        <v>0.23325722128501697</v>
      </c>
      <c r="V141" s="2"/>
      <c r="W141" s="14">
        <f t="shared" si="30"/>
        <v>-6496.2999999999884</v>
      </c>
      <c r="X141" s="15">
        <f>IFERROR(W141/W444, "NA")</f>
        <v>-0.18562739935050532</v>
      </c>
      <c r="Y141" s="2"/>
      <c r="Z141" s="14">
        <f>IFERROR(Z129+Z130+Z131+Z132+Z133+Z134+Z135+Z136+Z137+Z138+Z139+Z140, "NA")</f>
        <v>47017.849999999991</v>
      </c>
      <c r="AA141" s="15">
        <f>IFERROR(Z141/Z444, "NA")</f>
        <v>0.2314473905919274</v>
      </c>
      <c r="AB141" s="2"/>
      <c r="AC141" s="14">
        <f t="shared" si="31"/>
        <v>-13475.64</v>
      </c>
      <c r="AD141" s="15">
        <f>IFERROR(AC141/AC444, "NA")</f>
        <v>-0.21274596449150368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2055.33</v>
      </c>
      <c r="C144" s="8">
        <f>IFERROR(B144/B444, "NA")</f>
        <v>1.7084824378748396E-2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-2055.33</v>
      </c>
      <c r="I144" s="8">
        <f>IFERROR(H144/H444, "NA")</f>
        <v>-0.1249593415365646</v>
      </c>
      <c r="J144" s="9"/>
      <c r="K144" s="7">
        <v>1330.57</v>
      </c>
      <c r="L144" s="8">
        <f>IFERROR(K144/K444, "NA")</f>
        <v>1.4925965831937194E-2</v>
      </c>
      <c r="M144" s="9"/>
      <c r="N144" s="10">
        <f t="shared" si="33"/>
        <v>-724.76</v>
      </c>
      <c r="O144" s="8">
        <f>IFERROR(N144/N444, "NA")</f>
        <v>-2.3261658351213292E-2</v>
      </c>
      <c r="P144" s="9"/>
      <c r="Q144" s="7">
        <v>3890.78</v>
      </c>
      <c r="R144" s="8">
        <f>IFERROR(Q144/Q444, "NA")</f>
        <v>1.4600180292965E-2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-3890.78</v>
      </c>
      <c r="X144" s="8">
        <f>IFERROR(W144/W444, "NA")</f>
        <v>-0.11117641932253135</v>
      </c>
      <c r="Y144" s="9"/>
      <c r="Z144" s="7">
        <v>2452.8000000000002</v>
      </c>
      <c r="AA144" s="8">
        <f>IFERROR(Z144/Z444, "NA")</f>
        <v>1.2074013585135851E-2</v>
      </c>
      <c r="AB144" s="9"/>
      <c r="AC144" s="10">
        <f t="shared" si="35"/>
        <v>-1437.98</v>
      </c>
      <c r="AD144" s="8">
        <f>IFERROR(AC144/AC444, "NA")</f>
        <v>-2.2702034338962195E-2</v>
      </c>
    </row>
    <row r="145" spans="1:30" ht="16.5" customHeight="1" x14ac:dyDescent="0.45">
      <c r="A145" s="12" t="s">
        <v>136</v>
      </c>
      <c r="B145" s="7">
        <v>125.8</v>
      </c>
      <c r="C145" s="8">
        <f>IFERROR(B145/B444, "NA")</f>
        <v>1.0457059970158311E-3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-125.8</v>
      </c>
      <c r="I145" s="8">
        <f>IFERROR(H145/H444, "NA")</f>
        <v>-7.6483509535207623E-3</v>
      </c>
      <c r="J145" s="9"/>
      <c r="K145" s="7">
        <v>37.31</v>
      </c>
      <c r="L145" s="8">
        <f>IFERROR(K145/K444, "NA")</f>
        <v>4.1853324905084046E-4</v>
      </c>
      <c r="M145" s="9"/>
      <c r="N145" s="10">
        <f t="shared" si="33"/>
        <v>-88.49</v>
      </c>
      <c r="O145" s="8">
        <f>IFERROR(N145/N444, "NA")</f>
        <v>-2.8401459069193444E-3</v>
      </c>
      <c r="P145" s="9"/>
      <c r="Q145" s="7">
        <v>242.39</v>
      </c>
      <c r="R145" s="8">
        <f>IFERROR(Q145/Q444, "NA")</f>
        <v>9.0957024072596906E-4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-242.39</v>
      </c>
      <c r="X145" s="8">
        <f>IFERROR(W145/W444, "NA")</f>
        <v>-6.9261310790094451E-3</v>
      </c>
      <c r="Y145" s="9"/>
      <c r="Z145" s="7">
        <v>61.27</v>
      </c>
      <c r="AA145" s="8">
        <f>IFERROR(Z145/Z444, "NA")</f>
        <v>3.0160421247605739E-4</v>
      </c>
      <c r="AB145" s="9"/>
      <c r="AC145" s="10">
        <f t="shared" si="35"/>
        <v>-181.11999999999998</v>
      </c>
      <c r="AD145" s="8">
        <f>IFERROR(AC145/AC444, "NA")</f>
        <v>-2.8594225646203925E-3</v>
      </c>
    </row>
    <row r="146" spans="1:30" ht="16.5" customHeight="1" x14ac:dyDescent="0.45">
      <c r="A146" s="12" t="s">
        <v>137</v>
      </c>
      <c r="B146" s="7">
        <v>-1211.1500000000001</v>
      </c>
      <c r="C146" s="8">
        <f>IFERROR(B146/B444, "NA")</f>
        <v>-1.0067621766977137E-2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1211.1500000000001</v>
      </c>
      <c r="I146" s="8">
        <f>IFERROR(H146/H444, "NA")</f>
        <v>7.3635137180895635E-2</v>
      </c>
      <c r="J146" s="9"/>
      <c r="K146" s="7">
        <v>238.4</v>
      </c>
      <c r="L146" s="8">
        <f>IFERROR(K146/K444, "NA")</f>
        <v>2.6743051882530248E-3</v>
      </c>
      <c r="M146" s="9"/>
      <c r="N146" s="10">
        <f t="shared" si="33"/>
        <v>1449.5500000000002</v>
      </c>
      <c r="O146" s="8">
        <f>IFERROR(N146/N444, "NA")</f>
        <v>4.6524279572549856E-2</v>
      </c>
      <c r="P146" s="9"/>
      <c r="Q146" s="7">
        <v>-871.57</v>
      </c>
      <c r="R146" s="8">
        <f>IFERROR(Q146/Q444, "NA")</f>
        <v>-3.2705727740811623E-3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871.57</v>
      </c>
      <c r="X146" s="8">
        <f>IFERROR(W146/W444, "NA")</f>
        <v>2.4904526030497393E-2</v>
      </c>
      <c r="Y146" s="9"/>
      <c r="Z146" s="7">
        <v>982.63</v>
      </c>
      <c r="AA146" s="8">
        <f>IFERROR(Z146/Z444, "NA")</f>
        <v>4.8370384740549742E-3</v>
      </c>
      <c r="AB146" s="9"/>
      <c r="AC146" s="10">
        <f t="shared" si="35"/>
        <v>1854.2</v>
      </c>
      <c r="AD146" s="8">
        <f>IFERROR(AC146/AC444, "NA")</f>
        <v>2.9273085906134786E-2</v>
      </c>
    </row>
    <row r="147" spans="1:30" ht="16.5" customHeight="1" x14ac:dyDescent="0.45">
      <c r="A147" s="12" t="s">
        <v>138</v>
      </c>
      <c r="B147" s="7">
        <v>11.58</v>
      </c>
      <c r="C147" s="8">
        <f>IFERROR(B147/B444, "NA")</f>
        <v>9.6258151394621014E-5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-11.58</v>
      </c>
      <c r="I147" s="8">
        <f>IFERROR(H147/H444, "NA")</f>
        <v>-7.0403739301884286E-4</v>
      </c>
      <c r="J147" s="9"/>
      <c r="K147" s="7">
        <v>7.16</v>
      </c>
      <c r="L147" s="8">
        <f>IFERROR(K147/K444, "NA")</f>
        <v>8.0318897432431454E-5</v>
      </c>
      <c r="M147" s="9"/>
      <c r="N147" s="10">
        <f t="shared" si="33"/>
        <v>-4.42</v>
      </c>
      <c r="O147" s="8">
        <f>IFERROR(N147/N444, "NA")</f>
        <v>-1.4186286482747773E-4</v>
      </c>
      <c r="P147" s="9"/>
      <c r="Q147" s="7">
        <v>22.21</v>
      </c>
      <c r="R147" s="8">
        <f>IFERROR(Q147/Q444, "NA")</f>
        <v>8.3343186792044944E-5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-22.21</v>
      </c>
      <c r="X147" s="8">
        <f>IFERROR(W147/W444, "NA")</f>
        <v>-6.3463579877387597E-4</v>
      </c>
      <c r="Y147" s="9"/>
      <c r="Z147" s="7">
        <v>-212.76</v>
      </c>
      <c r="AA147" s="8">
        <f>IFERROR(Z147/Z444, "NA")</f>
        <v>-1.0473202586323807E-3</v>
      </c>
      <c r="AB147" s="9"/>
      <c r="AC147" s="10">
        <f t="shared" si="35"/>
        <v>-234.97</v>
      </c>
      <c r="AD147" s="8">
        <f>IFERROR(AC147/AC444, "NA")</f>
        <v>-3.7095766343245014E-3</v>
      </c>
    </row>
    <row r="148" spans="1:30" ht="16.5" customHeight="1" x14ac:dyDescent="0.45">
      <c r="A148" s="13" t="s">
        <v>139</v>
      </c>
      <c r="B148" s="14">
        <f>IFERROR(B143+B144+B145+B146+B147, "NA")</f>
        <v>981.56000000000006</v>
      </c>
      <c r="C148" s="15">
        <f>IFERROR(B148/B444, "NA")</f>
        <v>8.1591667601817099E-3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-981.56000000000006</v>
      </c>
      <c r="I148" s="15">
        <f>IFERROR(H148/H444, "NA")</f>
        <v>-5.9676592702208583E-2</v>
      </c>
      <c r="J148" s="2"/>
      <c r="K148" s="14">
        <f>IFERROR(K143+K144+K145+K146+K147, "NA")</f>
        <v>1613.44</v>
      </c>
      <c r="L148" s="15">
        <f>IFERROR(K148/K444, "NA")</f>
        <v>1.8099123166673493E-2</v>
      </c>
      <c r="M148" s="2"/>
      <c r="N148" s="14">
        <f t="shared" si="33"/>
        <v>631.88</v>
      </c>
      <c r="O148" s="15">
        <f>IFERROR(N148/N444, "NA")</f>
        <v>2.0280612449589733E-2</v>
      </c>
      <c r="P148" s="2"/>
      <c r="Q148" s="14">
        <f>IFERROR(Q143+Q144+Q145+Q146+Q147, "NA")</f>
        <v>3283.81</v>
      </c>
      <c r="R148" s="15">
        <f>IFERROR(Q148/Q444, "NA")</f>
        <v>1.2322520946401851E-2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-3283.81</v>
      </c>
      <c r="X148" s="15">
        <f>IFERROR(W148/W444, "NA")</f>
        <v>-9.383266016981727E-2</v>
      </c>
      <c r="Y148" s="2"/>
      <c r="Z148" s="14">
        <f>IFERROR(Z143+Z144+Z145+Z146+Z147, "NA")</f>
        <v>3283.9400000000005</v>
      </c>
      <c r="AA148" s="15">
        <f>IFERROR(Z148/Z444, "NA")</f>
        <v>1.6165336013034503E-2</v>
      </c>
      <c r="AB148" s="2"/>
      <c r="AC148" s="14">
        <f t="shared" si="35"/>
        <v>0.13000000000056389</v>
      </c>
      <c r="AD148" s="15">
        <f>IFERROR(AC148/AC444, "NA")</f>
        <v>2.0523682277068431E-6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27549.19</v>
      </c>
      <c r="C149" s="15">
        <f>IFERROR(B149/B444, "NA")</f>
        <v>0.22900121777367696</v>
      </c>
      <c r="D149" s="2"/>
      <c r="E149" s="14">
        <f>IFERROR(E127+E129+E130+E131+E132+E133+E134+E135+E136+E137+E138+E139+E140+E143+E144+E145+E146+E147, "NA")</f>
        <v>23263.19</v>
      </c>
      <c r="F149" s="15">
        <f>IFERROR(E149/E444, "NA")</f>
        <v>0.22400003620484277</v>
      </c>
      <c r="G149" s="2"/>
      <c r="H149" s="14">
        <f t="shared" si="32"/>
        <v>-4286</v>
      </c>
      <c r="I149" s="15">
        <f>IFERROR(H149/H444, "NA")</f>
        <v>-0.26057895220023836</v>
      </c>
      <c r="J149" s="2"/>
      <c r="K149" s="14">
        <f>IFERROR(K127+K129+K130+K131+K132+K133+K134+K135+K136+K137+K138+K139+K140+K143+K144+K145+K146+K147, "NA")</f>
        <v>21687.900000000005</v>
      </c>
      <c r="L149" s="15">
        <f>IFERROR(K149/K444, "NA")</f>
        <v>0.24328885693084226</v>
      </c>
      <c r="M149" s="2"/>
      <c r="N149" s="14">
        <f t="shared" si="33"/>
        <v>-5861.2899999999936</v>
      </c>
      <c r="O149" s="15">
        <f>IFERROR(N149/N444, "NA")</f>
        <v>-0.18812203415942216</v>
      </c>
      <c r="P149" s="2"/>
      <c r="Q149" s="14">
        <f>IFERROR(Q127+Q129+Q130+Q131+Q132+Q133+Q134+Q135+Q136+Q137+Q138+Q139+Q140+Q143+Q144+Q145+Q146+Q147, "NA")</f>
        <v>63777.299999999988</v>
      </c>
      <c r="R149" s="15">
        <f>IFERROR(Q149/Q444, "NA")</f>
        <v>0.23932478284521777</v>
      </c>
      <c r="S149" s="2"/>
      <c r="T149" s="14">
        <f>IFERROR(T127+T129+T130+T131+T132+T133+T134+T135+T136+T137+T138+T139+T140+T143+T144+T145+T146+T147, "NA")</f>
        <v>53997.19</v>
      </c>
      <c r="U149" s="15">
        <f>IFERROR(T149/T444, "NA")</f>
        <v>0.23325722128501697</v>
      </c>
      <c r="V149" s="2"/>
      <c r="W149" s="14">
        <f t="shared" si="34"/>
        <v>-9780.109999999986</v>
      </c>
      <c r="X149" s="15">
        <f>IFERROR(W149/W444, "NA")</f>
        <v>-0.27946005952032249</v>
      </c>
      <c r="Y149" s="2"/>
      <c r="Z149" s="14">
        <f>IFERROR(Z127+Z129+Z130+Z131+Z132+Z133+Z134+Z135+Z136+Z137+Z138+Z139+Z140+Z143+Z144+Z145+Z146+Z147, "NA")</f>
        <v>50301.789999999986</v>
      </c>
      <c r="AA149" s="15">
        <f>IFERROR(Z149/Z444, "NA")</f>
        <v>0.24761272660496186</v>
      </c>
      <c r="AB149" s="2"/>
      <c r="AC149" s="14">
        <f t="shared" si="35"/>
        <v>-13475.510000000002</v>
      </c>
      <c r="AD149" s="15">
        <f>IFERROR(AC149/AC444, "NA")</f>
        <v>-0.21274391212327604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1869.36</v>
      </c>
      <c r="F153" s="8">
        <f>IFERROR(E153/E444, "NA")</f>
        <v>1.7999969379946811E-2</v>
      </c>
      <c r="G153" s="9"/>
      <c r="H153" s="10">
        <f t="shared" ref="H153:H158" si="36">IFERROR(-(B153-E153), "NA")</f>
        <v>1869.36</v>
      </c>
      <c r="I153" s="8">
        <f>IFERROR(H153/H444, "NA")</f>
        <v>0.11365279283365319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5315.6</v>
      </c>
      <c r="U153" s="8">
        <f>IFERROR(T153/T444, "NA")</f>
        <v>2.2962344623167173E-2</v>
      </c>
      <c r="V153" s="9"/>
      <c r="W153" s="10">
        <f t="shared" ref="W153:W158" si="38">IFERROR(-(Q153-T153), "NA")</f>
        <v>5315.6</v>
      </c>
      <c r="X153" s="8">
        <f>IFERROR(W153/W444, "NA")</f>
        <v>0.15188969166872648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4446.7299999999996</v>
      </c>
      <c r="C154" s="8">
        <f>IFERROR(B154/B444, "NA")</f>
        <v>3.6963213260017537E-2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-4446.7299999999996</v>
      </c>
      <c r="I154" s="8">
        <f>IFERROR(H154/H444, "NA")</f>
        <v>-0.27035096689625893</v>
      </c>
      <c r="J154" s="9"/>
      <c r="K154" s="7">
        <v>3514.4</v>
      </c>
      <c r="L154" s="8">
        <f>IFERROR(K154/K444, "NA")</f>
        <v>3.9423566080521943E-2</v>
      </c>
      <c r="M154" s="9"/>
      <c r="N154" s="10">
        <f t="shared" si="37"/>
        <v>-932.32999999999947</v>
      </c>
      <c r="O154" s="8">
        <f>IFERROR(N154/N444, "NA")</f>
        <v>-2.9923756734072902E-2</v>
      </c>
      <c r="P154" s="9"/>
      <c r="Q154" s="7">
        <v>9520.1</v>
      </c>
      <c r="R154" s="8">
        <f>IFERROR(Q154/Q444, "NA")</f>
        <v>3.572424460058294E-2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-9520.1</v>
      </c>
      <c r="X154" s="8">
        <f>IFERROR(W154/W444, "NA")</f>
        <v>-0.27203044880266442</v>
      </c>
      <c r="Y154" s="9"/>
      <c r="Z154" s="7">
        <v>8303.44</v>
      </c>
      <c r="AA154" s="8">
        <f>IFERROR(Z154/Z444, "NA")</f>
        <v>4.0874040836334162E-2</v>
      </c>
      <c r="AB154" s="9"/>
      <c r="AC154" s="10">
        <f t="shared" si="39"/>
        <v>-1216.6599999999999</v>
      </c>
      <c r="AD154" s="8">
        <f>IFERROR(AC154/AC444, "NA")</f>
        <v>-1.9207956368545973E-2</v>
      </c>
    </row>
    <row r="155" spans="1:30" ht="16.5" customHeight="1" x14ac:dyDescent="0.45">
      <c r="A155" s="12" t="s">
        <v>144</v>
      </c>
      <c r="B155" s="7">
        <v>865.97</v>
      </c>
      <c r="C155" s="8">
        <f>IFERROR(B155/B444, "NA")</f>
        <v>7.1983308603799619E-3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-865.97</v>
      </c>
      <c r="I155" s="8">
        <f>IFERROR(H155/H444, "NA")</f>
        <v>-5.2648986289510133E-2</v>
      </c>
      <c r="J155" s="9"/>
      <c r="K155" s="7">
        <v>405.99</v>
      </c>
      <c r="L155" s="8">
        <f>IFERROR(K155/K444, "NA")</f>
        <v>4.5542834034347553E-3</v>
      </c>
      <c r="M155" s="9"/>
      <c r="N155" s="10">
        <f t="shared" si="37"/>
        <v>-459.98</v>
      </c>
      <c r="O155" s="8">
        <f>IFERROR(N155/N444, "NA")</f>
        <v>-1.4763366643290317E-2</v>
      </c>
      <c r="P155" s="9"/>
      <c r="Q155" s="7">
        <v>1910.82</v>
      </c>
      <c r="R155" s="8">
        <f>IFERROR(Q155/Q444, "NA")</f>
        <v>7.1703659696521977E-3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-1910.82</v>
      </c>
      <c r="X155" s="8">
        <f>IFERROR(W155/W444, "NA")</f>
        <v>-5.4600395182940006E-2</v>
      </c>
      <c r="Y155" s="9"/>
      <c r="Z155" s="7">
        <v>1357.89</v>
      </c>
      <c r="AA155" s="8">
        <f>IFERROR(Z155/Z444, "NA")</f>
        <v>6.6842719777886984E-3</v>
      </c>
      <c r="AB155" s="9"/>
      <c r="AC155" s="10">
        <f t="shared" si="39"/>
        <v>-552.92999999999984</v>
      </c>
      <c r="AD155" s="8">
        <f>IFERROR(AC155/AC444, "NA")</f>
        <v>-8.7293535703155557E-3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6.4500081541925573E-4</v>
      </c>
      <c r="AB156" s="9"/>
      <c r="AC156" s="10">
        <f t="shared" si="39"/>
        <v>131.03</v>
      </c>
      <c r="AD156" s="8">
        <f>IFERROR(AC156/AC444, "NA")</f>
        <v>2.068629299040471E-3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5312.7</v>
      </c>
      <c r="C158" s="15">
        <f>IFERROR(B158/B444, "NA")</f>
        <v>4.4161544120397501E-2</v>
      </c>
      <c r="D158" s="2"/>
      <c r="E158" s="14">
        <f>IFERROR(E153+E154+E155+E156+E157, "NA")</f>
        <v>1869.36</v>
      </c>
      <c r="F158" s="15">
        <f>IFERROR(E158/E444, "NA")</f>
        <v>1.7999969379946811E-2</v>
      </c>
      <c r="G158" s="2"/>
      <c r="H158" s="14">
        <f t="shared" si="36"/>
        <v>-3443.34</v>
      </c>
      <c r="I158" s="15">
        <f>IFERROR(H158/H444, "NA")</f>
        <v>-0.20934716035211592</v>
      </c>
      <c r="J158" s="2"/>
      <c r="K158" s="14">
        <f>IFERROR(K153+K154+K155+K156+K157, "NA")</f>
        <v>3920.3900000000003</v>
      </c>
      <c r="L158" s="15">
        <f>IFERROR(K158/K444, "NA")</f>
        <v>4.3977849483956701E-2</v>
      </c>
      <c r="M158" s="2"/>
      <c r="N158" s="14">
        <f t="shared" si="37"/>
        <v>-1392.3099999999995</v>
      </c>
      <c r="O158" s="15">
        <f>IFERROR(N158/N444, "NA")</f>
        <v>-4.4687123377363219E-2</v>
      </c>
      <c r="P158" s="2"/>
      <c r="Q158" s="14">
        <f>IFERROR(Q153+Q154+Q155+Q156+Q157, "NA")</f>
        <v>11430.92</v>
      </c>
      <c r="R158" s="15">
        <f>IFERROR(Q158/Q444, "NA")</f>
        <v>4.2894610570235137E-2</v>
      </c>
      <c r="S158" s="2"/>
      <c r="T158" s="14">
        <f>IFERROR(T153+T154+T155+T156+T157, "NA")</f>
        <v>5315.6</v>
      </c>
      <c r="U158" s="15">
        <f>IFERROR(T158/T444, "NA")</f>
        <v>2.2962344623167173E-2</v>
      </c>
      <c r="V158" s="2"/>
      <c r="W158" s="14">
        <f t="shared" si="38"/>
        <v>-6115.32</v>
      </c>
      <c r="X158" s="15">
        <f>IFERROR(W158/W444, "NA")</f>
        <v>-0.17474115231687792</v>
      </c>
      <c r="Y158" s="2"/>
      <c r="Z158" s="14">
        <f>IFERROR(Z153+Z154+Z155+Z156+Z157, "NA")</f>
        <v>9792.36</v>
      </c>
      <c r="AA158" s="15">
        <f>IFERROR(Z158/Z444, "NA")</f>
        <v>4.8203313629542111E-2</v>
      </c>
      <c r="AB158" s="2"/>
      <c r="AC158" s="14">
        <f t="shared" si="39"/>
        <v>-1638.5599999999995</v>
      </c>
      <c r="AD158" s="15">
        <f>IFERROR(AC158/AC444, "NA")</f>
        <v>-2.5868680639821055E-2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306.29000000000002</v>
      </c>
      <c r="C161" s="8">
        <f>IFERROR(B161/B444, "NA")</f>
        <v>2.5460197919394191E-3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-306.29000000000002</v>
      </c>
      <c r="I161" s="8">
        <f>IFERROR(H161/H444, "NA")</f>
        <v>-1.862172824764606E-2</v>
      </c>
      <c r="J161" s="9"/>
      <c r="K161" s="7">
        <v>490.87</v>
      </c>
      <c r="L161" s="8">
        <f>IFERROR(K161/K444, "NA")</f>
        <v>5.5064437405946409E-3</v>
      </c>
      <c r="M161" s="9"/>
      <c r="N161" s="10">
        <f t="shared" si="41"/>
        <v>184.57999999999998</v>
      </c>
      <c r="O161" s="8">
        <f>IFERROR(N161/N444, "NA")</f>
        <v>5.9242189117320893E-3</v>
      </c>
      <c r="P161" s="9"/>
      <c r="Q161" s="7">
        <v>841.01</v>
      </c>
      <c r="R161" s="8">
        <f>IFERROR(Q161/Q444, "NA")</f>
        <v>3.1558961514623015E-3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-841.01</v>
      </c>
      <c r="X161" s="8">
        <f>IFERROR(W161/W444, "NA")</f>
        <v>-2.4031294602738288E-2</v>
      </c>
      <c r="Y161" s="9"/>
      <c r="Z161" s="7">
        <v>1164.1300000000001</v>
      </c>
      <c r="AA161" s="8">
        <f>IFERROR(Z161/Z444, "NA")</f>
        <v>5.7304800370450906E-3</v>
      </c>
      <c r="AB161" s="9"/>
      <c r="AC161" s="10">
        <f t="shared" si="43"/>
        <v>323.12000000000012</v>
      </c>
      <c r="AD161" s="8">
        <f>IFERROR(AC161/AC444, "NA")</f>
        <v>5.1012401671827606E-3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306.29000000000002</v>
      </c>
      <c r="C166" s="15">
        <f>IFERROR(B166/B444, "NA")</f>
        <v>2.5460197919394191E-3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-306.29000000000002</v>
      </c>
      <c r="I166" s="15">
        <f>IFERROR(H166/H444, "NA")</f>
        <v>-1.862172824764606E-2</v>
      </c>
      <c r="J166" s="2"/>
      <c r="K166" s="14">
        <f>IFERROR(K160+K161+K162+K163+K164+K165, "NA")</f>
        <v>490.87</v>
      </c>
      <c r="L166" s="15">
        <f>IFERROR(K166/K444, "NA")</f>
        <v>5.5064437405946409E-3</v>
      </c>
      <c r="M166" s="2"/>
      <c r="N166" s="14">
        <f t="shared" si="41"/>
        <v>184.57999999999998</v>
      </c>
      <c r="O166" s="15">
        <f>IFERROR(N166/N444, "NA")</f>
        <v>5.9242189117320893E-3</v>
      </c>
      <c r="P166" s="2"/>
      <c r="Q166" s="14">
        <f>IFERROR(Q160+Q161+Q162+Q163+Q164+Q165, "NA")</f>
        <v>841.01</v>
      </c>
      <c r="R166" s="15">
        <f>IFERROR(Q166/Q444, "NA")</f>
        <v>3.1558961514623015E-3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-841.01</v>
      </c>
      <c r="X166" s="15">
        <f>IFERROR(W166/W444, "NA")</f>
        <v>-2.4031294602738288E-2</v>
      </c>
      <c r="Y166" s="2"/>
      <c r="Z166" s="14">
        <f>IFERROR(Z160+Z161+Z162+Z163+Z164+Z165, "NA")</f>
        <v>1164.1300000000001</v>
      </c>
      <c r="AA166" s="15">
        <f>IFERROR(Z166/Z444, "NA")</f>
        <v>5.7304800370450906E-3</v>
      </c>
      <c r="AB166" s="2"/>
      <c r="AC166" s="14">
        <f t="shared" si="43"/>
        <v>323.12000000000012</v>
      </c>
      <c r="AD166" s="15">
        <f>IFERROR(AC166/AC444, "NA")</f>
        <v>5.1012401671827606E-3</v>
      </c>
    </row>
    <row r="167" spans="1:30" ht="16.5" customHeight="1" x14ac:dyDescent="0.45">
      <c r="A167" s="6" t="s">
        <v>155</v>
      </c>
      <c r="B167" s="7">
        <v>379.75</v>
      </c>
      <c r="C167" s="8">
        <f>IFERROR(B167/B444, "NA")</f>
        <v>3.1566522445688541E-3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-379.75</v>
      </c>
      <c r="I167" s="8">
        <f>IFERROR(H167/H444, "NA")</f>
        <v>-2.3087927461045384E-2</v>
      </c>
      <c r="J167" s="9"/>
      <c r="K167" s="7">
        <v>382.27</v>
      </c>
      <c r="L167" s="8">
        <f>IFERROR(K167/K444, "NA")</f>
        <v>4.2881990113820632E-3</v>
      </c>
      <c r="M167" s="9"/>
      <c r="N167" s="10">
        <f t="shared" si="41"/>
        <v>2.5199999999999818</v>
      </c>
      <c r="O167" s="8">
        <f>IFERROR(N167/N444, "NA")</f>
        <v>8.0881090354126986E-5</v>
      </c>
      <c r="P167" s="9"/>
      <c r="Q167" s="7">
        <v>901.5</v>
      </c>
      <c r="R167" s="8">
        <f>IFERROR(Q167/Q444, "NA")</f>
        <v>3.382885317110694E-3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-901.5</v>
      </c>
      <c r="X167" s="8">
        <f>IFERROR(W167/W444, "NA")</f>
        <v>-2.5759755632357009E-2</v>
      </c>
      <c r="Y167" s="9"/>
      <c r="Z167" s="7">
        <v>992.55</v>
      </c>
      <c r="AA167" s="8">
        <f>IFERROR(Z167/Z444, "NA")</f>
        <v>4.8858701010790068E-3</v>
      </c>
      <c r="AB167" s="9"/>
      <c r="AC167" s="10">
        <f t="shared" si="43"/>
        <v>91.049999999999955</v>
      </c>
      <c r="AD167" s="8">
        <f>IFERROR(AC167/AC444, "NA")</f>
        <v>1.4374471317838264E-3</v>
      </c>
    </row>
    <row r="168" spans="1:30" ht="16.5" customHeight="1" x14ac:dyDescent="0.45">
      <c r="A168" s="6" t="s">
        <v>156</v>
      </c>
      <c r="B168" s="7">
        <v>35.799999999999997</v>
      </c>
      <c r="C168" s="8">
        <f>IFERROR(B168/B444, "NA")</f>
        <v>2.9758564938924285E-4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-35.799999999999997</v>
      </c>
      <c r="I168" s="8">
        <f>IFERROR(H168/H444, "NA")</f>
        <v>-2.1765577435297555E-3</v>
      </c>
      <c r="J168" s="9"/>
      <c r="K168" s="7">
        <v>49.4</v>
      </c>
      <c r="L168" s="8">
        <f>IFERROR(K168/K444, "NA")</f>
        <v>5.541555213913566E-4</v>
      </c>
      <c r="M168" s="9"/>
      <c r="N168" s="10">
        <f t="shared" si="41"/>
        <v>13.600000000000001</v>
      </c>
      <c r="O168" s="8">
        <f>IFERROR(N168/N444, "NA")</f>
        <v>4.3650112254608531E-4</v>
      </c>
      <c r="P168" s="9"/>
      <c r="Q168" s="7">
        <v>101.2</v>
      </c>
      <c r="R168" s="8">
        <f>IFERROR(Q168/Q444, "NA")</f>
        <v>3.7975373720643623E-4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-101.2</v>
      </c>
      <c r="X168" s="8">
        <f>IFERROR(W168/W444, "NA")</f>
        <v>-2.8917218746472872E-3</v>
      </c>
      <c r="Y168" s="9"/>
      <c r="Z168" s="7">
        <v>108.6</v>
      </c>
      <c r="AA168" s="8">
        <f>IFERROR(Z168/Z444, "NA")</f>
        <v>5.3458817488003635E-4</v>
      </c>
      <c r="AB168" s="9"/>
      <c r="AC168" s="10">
        <f t="shared" si="43"/>
        <v>7.3999999999999915</v>
      </c>
      <c r="AD168" s="8">
        <f>IFERROR(AC168/AC444, "NA")</f>
        <v>1.1682711449972882E-4</v>
      </c>
    </row>
    <row r="169" spans="1:30" ht="16.5" customHeight="1" x14ac:dyDescent="0.45">
      <c r="A169" s="6" t="s">
        <v>157</v>
      </c>
      <c r="B169" s="7">
        <v>-2437.16</v>
      </c>
      <c r="C169" s="8">
        <f>IFERROR(B169/B444, "NA")</f>
        <v>-2.025876651579573E-2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2437.16</v>
      </c>
      <c r="I169" s="8">
        <f>IFERROR(H169/H444, "NA")</f>
        <v>0.14817372821846311</v>
      </c>
      <c r="J169" s="9"/>
      <c r="K169" s="7">
        <v>-1322.56</v>
      </c>
      <c r="L169" s="8">
        <f>IFERROR(K169/K444, "NA")</f>
        <v>-1.4836111869865437E-2</v>
      </c>
      <c r="M169" s="9"/>
      <c r="N169" s="10">
        <f t="shared" si="41"/>
        <v>1114.5999999999999</v>
      </c>
      <c r="O169" s="8">
        <f>IFERROR(N169/N444, "NA")</f>
        <v>3.5773834646313722E-2</v>
      </c>
      <c r="P169" s="9"/>
      <c r="Q169" s="7">
        <v>-6002.03</v>
      </c>
      <c r="R169" s="8">
        <f>IFERROR(Q169/Q444, "NA")</f>
        <v>-2.2522661297679311E-2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6002.03</v>
      </c>
      <c r="X169" s="8">
        <f>IFERROR(W169/W444, "NA")</f>
        <v>0.17150396683092151</v>
      </c>
      <c r="Y169" s="9"/>
      <c r="Z169" s="7">
        <v>-5193.79</v>
      </c>
      <c r="AA169" s="8">
        <f>IFERROR(Z169/Z444, "NA")</f>
        <v>-2.5566654850922507E-2</v>
      </c>
      <c r="AB169" s="9"/>
      <c r="AC169" s="10">
        <f t="shared" si="43"/>
        <v>808.23999999999978</v>
      </c>
      <c r="AD169" s="8">
        <f>IFERROR(AC169/AC444, "NA")</f>
        <v>1.2760046895035257E-2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3597.38</v>
      </c>
      <c r="C170" s="15">
        <f>IFERROR(B170/B444, "NA")</f>
        <v>2.9903035290499289E-2</v>
      </c>
      <c r="D170" s="2"/>
      <c r="E170" s="14">
        <f>IFERROR(E151+E153+E154+E155+E156+E157+E160+E161+E162+E163+E164+E165+E167+E168+E169, "NA")</f>
        <v>1869.36</v>
      </c>
      <c r="F170" s="15">
        <f>IFERROR(E170/E444, "NA")</f>
        <v>1.7999969379946811E-2</v>
      </c>
      <c r="G170" s="2"/>
      <c r="H170" s="14">
        <f t="shared" si="40"/>
        <v>-1728.0200000000002</v>
      </c>
      <c r="I170" s="15">
        <f>IFERROR(H170/H444, "NA")</f>
        <v>-0.105059645585874</v>
      </c>
      <c r="J170" s="2"/>
      <c r="K170" s="14">
        <f>IFERROR(K151+K153+K154+K155+K156+K157+K160+K161+K162+K163+K164+K165+K167+K168+K169, "NA")</f>
        <v>3520.3700000000003</v>
      </c>
      <c r="L170" s="15">
        <f>IFERROR(K170/K444, "NA")</f>
        <v>3.9490535887459322E-2</v>
      </c>
      <c r="M170" s="2"/>
      <c r="N170" s="14">
        <f t="shared" si="41"/>
        <v>-77.009999999999764</v>
      </c>
      <c r="O170" s="15">
        <f>IFERROR(N170/N444, "NA")</f>
        <v>-2.4716876064172005E-3</v>
      </c>
      <c r="P170" s="2"/>
      <c r="Q170" s="14">
        <f>IFERROR(Q151+Q153+Q154+Q155+Q156+Q157+Q160+Q161+Q162+Q163+Q164+Q165+Q167+Q168+Q169, "NA")</f>
        <v>7272.6000000000013</v>
      </c>
      <c r="R170" s="15">
        <f>IFERROR(Q170/Q444, "NA")</f>
        <v>2.7290484478335261E-2</v>
      </c>
      <c r="S170" s="2"/>
      <c r="T170" s="14">
        <f>IFERROR(T151+T153+T154+T155+T156+T157+T160+T161+T162+T163+T164+T165+T167+T168+T169, "NA")</f>
        <v>5315.6</v>
      </c>
      <c r="U170" s="15">
        <f>IFERROR(T170/T444, "NA")</f>
        <v>2.2962344623167173E-2</v>
      </c>
      <c r="V170" s="2"/>
      <c r="W170" s="14">
        <f t="shared" si="42"/>
        <v>-1957.0000000000009</v>
      </c>
      <c r="X170" s="15">
        <f>IFERROR(W170/W444, "NA")</f>
        <v>-5.5919957595699045E-2</v>
      </c>
      <c r="Y170" s="2"/>
      <c r="Z170" s="14">
        <f>IFERROR(Z151+Z153+Z154+Z155+Z156+Z157+Z160+Z161+Z162+Z163+Z164+Z165+Z167+Z168+Z169, "NA")</f>
        <v>6863.8500000000013</v>
      </c>
      <c r="AA170" s="15">
        <f>IFERROR(Z170/Z444, "NA")</f>
        <v>3.3787597091623746E-2</v>
      </c>
      <c r="AB170" s="2"/>
      <c r="AC170" s="14">
        <f t="shared" si="43"/>
        <v>-408.75</v>
      </c>
      <c r="AD170" s="15">
        <f>IFERROR(AC170/AC444, "NA")</f>
        <v>-6.4531193313194877E-3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31146.570000000003</v>
      </c>
      <c r="C171" s="15">
        <f>IFERROR(B171/B444, "NA")</f>
        <v>0.2589042530641763</v>
      </c>
      <c r="D171" s="2"/>
      <c r="E171" s="14">
        <f>IFERROR(E127+E129+E130+E131+E132+E133+E134+E135+E136+E137+E138+E139+E140+E143+E144+E145+E146+E147+E151+E153+E154+E155+E156+E157+E160+E161+E162+E163+E164+E165+E167+E168+E169, "NA")</f>
        <v>25132.55</v>
      </c>
      <c r="F171" s="15">
        <f>IFERROR(E171/E444, "NA")</f>
        <v>0.24200000558478957</v>
      </c>
      <c r="G171" s="2"/>
      <c r="H171" s="14">
        <f t="shared" si="40"/>
        <v>-6014.0200000000041</v>
      </c>
      <c r="I171" s="15">
        <f>IFERROR(H171/H444, "NA")</f>
        <v>-0.36563859778611257</v>
      </c>
      <c r="J171" s="2"/>
      <c r="K171" s="14">
        <f>IFERROR(K127+K129+K130+K131+K132+K133+K134+K135+K136+K137+K138+K139+K140+K143+K144+K145+K146+K147+K151+K153+K154+K155+K156+K157+K160+K161+K162+K163+K164+K165+K167+K168+K169, "NA")</f>
        <v>25208.270000000008</v>
      </c>
      <c r="L171" s="15">
        <f>IFERROR(K171/K444, "NA")</f>
        <v>0.28277939281830161</v>
      </c>
      <c r="M171" s="2"/>
      <c r="N171" s="14">
        <f t="shared" si="41"/>
        <v>-5938.2999999999956</v>
      </c>
      <c r="O171" s="15">
        <f>IFERROR(N171/N444, "NA")</f>
        <v>-0.19059372176583944</v>
      </c>
      <c r="P171" s="2"/>
      <c r="Q171" s="14">
        <f>IFERROR(Q127+Q129+Q130+Q131+Q132+Q133+Q134+Q135+Q136+Q137+Q138+Q139+Q140+Q143+Q144+Q145+Q146+Q147+Q151+Q153+Q154+Q155+Q156+Q157+Q160+Q161+Q162+Q163+Q164+Q165+Q167+Q168+Q169, "NA")</f>
        <v>71049.899999999994</v>
      </c>
      <c r="R171" s="15">
        <f>IFERROR(Q171/Q444, "NA")</f>
        <v>0.26661526732355306</v>
      </c>
      <c r="S171" s="2"/>
      <c r="T171" s="14">
        <f>IFERROR(T127+T129+T130+T131+T132+T133+T134+T135+T136+T137+T138+T139+T140+T143+T144+T145+T146+T147+T151+T153+T154+T155+T156+T157+T160+T161+T162+T163+T164+T165+T167+T168+T169, "NA")</f>
        <v>59312.79</v>
      </c>
      <c r="U171" s="15">
        <f>IFERROR(T171/T444, "NA")</f>
        <v>0.25621956590818412</v>
      </c>
      <c r="V171" s="2"/>
      <c r="W171" s="14">
        <f t="shared" si="42"/>
        <v>-11737.109999999993</v>
      </c>
      <c r="X171" s="15">
        <f>IFERROR(W171/W444, "NA")</f>
        <v>-0.33538001711602172</v>
      </c>
      <c r="Y171" s="2"/>
      <c r="Z171" s="14">
        <f>IFERROR(Z127+Z129+Z130+Z131+Z132+Z133+Z134+Z135+Z136+Z137+Z138+Z139+Z140+Z143+Z144+Z145+Z146+Z147+Z151+Z153+Z154+Z155+Z156+Z157+Z160+Z161+Z162+Z163+Z164+Z165+Z167+Z168+Z169, "NA")</f>
        <v>57165.639999999985</v>
      </c>
      <c r="AA171" s="15">
        <f>IFERROR(Z171/Z444, "NA")</f>
        <v>0.28140032369658557</v>
      </c>
      <c r="AB171" s="2"/>
      <c r="AC171" s="14">
        <f t="shared" si="43"/>
        <v>-13884.260000000009</v>
      </c>
      <c r="AD171" s="15">
        <f>IFERROR(AC171/AC444, "NA")</f>
        <v>-0.21919703145459563</v>
      </c>
    </row>
    <row r="172" spans="1:30" ht="16.5" customHeight="1" x14ac:dyDescent="0.45">
      <c r="A172" s="22" t="s">
        <v>160</v>
      </c>
      <c r="B172" s="23">
        <f>IFERROR(B124-B171, "NA")</f>
        <v>89154.93</v>
      </c>
      <c r="C172" s="24">
        <f>IFERROR(B172/B444, "NA")</f>
        <v>0.7410957469358237</v>
      </c>
      <c r="D172" s="25"/>
      <c r="E172" s="23">
        <f>IFERROR(E124-E171, "NA")</f>
        <v>78720.959999999992</v>
      </c>
      <c r="F172" s="24">
        <f>IFERROR(E172/E444, "NA")</f>
        <v>0.75799999441521038</v>
      </c>
      <c r="G172" s="25"/>
      <c r="H172" s="23">
        <f>IFERROR(B172-E172, "NA")</f>
        <v>10433.970000000001</v>
      </c>
      <c r="I172" s="24">
        <f>IFERROR(H172/H444, "NA")</f>
        <v>0.63436140221388737</v>
      </c>
      <c r="J172" s="25"/>
      <c r="K172" s="23">
        <f>IFERROR(K124-K171, "NA")</f>
        <v>63936.37999999999</v>
      </c>
      <c r="L172" s="24">
        <f>IFERROR(K172/K444, "NA")</f>
        <v>0.71722060718169844</v>
      </c>
      <c r="M172" s="25"/>
      <c r="N172" s="23">
        <f>IFERROR(B172-K172, "NA")</f>
        <v>25218.550000000003</v>
      </c>
      <c r="O172" s="24">
        <f>IFERROR(N172/N444, "NA")</f>
        <v>0.80940627823416034</v>
      </c>
      <c r="P172" s="25"/>
      <c r="Q172" s="23">
        <f>IFERROR(Q124-Q171, "NA")</f>
        <v>195438.59</v>
      </c>
      <c r="R172" s="24">
        <f>IFERROR(Q172/Q444, "NA")</f>
        <v>0.73338473267644699</v>
      </c>
      <c r="S172" s="25"/>
      <c r="T172" s="23">
        <f>IFERROR(T124-T171, "NA")</f>
        <v>172179.24999999997</v>
      </c>
      <c r="U172" s="24">
        <f>IFERROR(T172/T444, "NA")</f>
        <v>0.74378043409181571</v>
      </c>
      <c r="V172" s="25"/>
      <c r="W172" s="23">
        <f>IFERROR(Q172-T172, "NA")</f>
        <v>23259.340000000026</v>
      </c>
      <c r="X172" s="24">
        <f>IFERROR(W172/W444, "NA")</f>
        <v>0.66461998288397928</v>
      </c>
      <c r="Y172" s="25"/>
      <c r="Z172" s="23">
        <f>IFERROR(Z124-Z171, "NA")</f>
        <v>145981.39000000007</v>
      </c>
      <c r="AA172" s="24">
        <f>IFERROR(Z172/Z444, "NA")</f>
        <v>0.7185996763034147</v>
      </c>
      <c r="AB172" s="25"/>
      <c r="AC172" s="23">
        <f>IFERROR(Q172-Z172, "NA")</f>
        <v>49457.199999999924</v>
      </c>
      <c r="AD172" s="24">
        <f>IFERROR(AC172/AC444, "NA")</f>
        <v>0.78080296854540343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7050</v>
      </c>
      <c r="C178" s="8">
        <f>IFERROR(B178/B444, "NA")</f>
        <v>5.8602760564082743E-2</v>
      </c>
      <c r="D178" s="9"/>
      <c r="E178" s="7">
        <v>6971.15</v>
      </c>
      <c r="F178" s="8">
        <f>IFERROR(E178/E444, "NA")</f>
        <v>6.7124837667980594E-2</v>
      </c>
      <c r="G178" s="9"/>
      <c r="H178" s="10">
        <f t="shared" si="44"/>
        <v>-78.850000000000364</v>
      </c>
      <c r="I178" s="8">
        <f>IFERROR(H178/H444, "NA")</f>
        <v>-4.7938988289754764E-3</v>
      </c>
      <c r="J178" s="9"/>
      <c r="K178" s="7">
        <v>6778.85</v>
      </c>
      <c r="L178" s="8">
        <f>IFERROR(K178/K444, "NA")</f>
        <v>7.6043262270927087E-2</v>
      </c>
      <c r="M178" s="9"/>
      <c r="N178" s="10">
        <f t="shared" si="45"/>
        <v>-271.14999999999964</v>
      </c>
      <c r="O178" s="8">
        <f>IFERROR(N178/N444, "NA")</f>
        <v>-8.7027411307625639E-3</v>
      </c>
      <c r="P178" s="9"/>
      <c r="Q178" s="7">
        <v>18330</v>
      </c>
      <c r="R178" s="8">
        <f>IFERROR(Q178/Q444, "NA")</f>
        <v>6.8783458527608449E-2</v>
      </c>
      <c r="S178" s="9"/>
      <c r="T178" s="7">
        <v>18124.990000000002</v>
      </c>
      <c r="U178" s="8">
        <f>IFERROR(T178/T444, "NA")</f>
        <v>7.8296385482628267E-2</v>
      </c>
      <c r="V178" s="9"/>
      <c r="W178" s="10">
        <f t="shared" si="46"/>
        <v>-205.0099999999984</v>
      </c>
      <c r="X178" s="8">
        <f>IFERROR(W178/W444, "NA")</f>
        <v>-5.8580227423066771E-3</v>
      </c>
      <c r="Y178" s="9"/>
      <c r="Z178" s="7">
        <v>17625.009999999998</v>
      </c>
      <c r="AA178" s="8">
        <f>IFERROR(Z178/Z444, "NA")</f>
        <v>8.6759870424883881E-2</v>
      </c>
      <c r="AB178" s="9"/>
      <c r="AC178" s="10">
        <f t="shared" si="47"/>
        <v>-704.9900000000016</v>
      </c>
      <c r="AD178" s="8">
        <f>IFERROR(AC178/AC444, "NA")</f>
        <v>-1.1129992898805958E-2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22479.89</v>
      </c>
      <c r="C180" s="8">
        <f>IFERROR(B180/B444, "NA")</f>
        <v>0.18686292357119405</v>
      </c>
      <c r="D180" s="9"/>
      <c r="E180" s="7">
        <v>21289.97</v>
      </c>
      <c r="F180" s="8">
        <f>IFERROR(E180/E444, "NA")</f>
        <v>0.20500000433302643</v>
      </c>
      <c r="G180" s="9"/>
      <c r="H180" s="10">
        <f t="shared" si="44"/>
        <v>-1189.9199999999983</v>
      </c>
      <c r="I180" s="8">
        <f>IFERROR(H180/H444, "NA")</f>
        <v>-7.2344401960360988E-2</v>
      </c>
      <c r="J180" s="9"/>
      <c r="K180" s="7">
        <v>19625.62</v>
      </c>
      <c r="L180" s="8">
        <f>IFERROR(K180/K444, "NA")</f>
        <v>0.22015477092568089</v>
      </c>
      <c r="M180" s="9"/>
      <c r="N180" s="10">
        <f t="shared" si="45"/>
        <v>-2854.2700000000004</v>
      </c>
      <c r="O180" s="8">
        <f>IFERROR(N180/N444, "NA")</f>
        <v>-9.1609710224236404E-2</v>
      </c>
      <c r="P180" s="9"/>
      <c r="Q180" s="7">
        <v>53166.92</v>
      </c>
      <c r="R180" s="8">
        <f>IFERROR(Q180/Q444, "NA")</f>
        <v>0.19950925460232824</v>
      </c>
      <c r="S180" s="9"/>
      <c r="T180" s="7">
        <v>49707.01</v>
      </c>
      <c r="U180" s="8">
        <f>IFERROR(T180/T444, "NA")</f>
        <v>0.21472448901482746</v>
      </c>
      <c r="V180" s="9"/>
      <c r="W180" s="10">
        <f t="shared" si="46"/>
        <v>-3459.9099999999962</v>
      </c>
      <c r="X180" s="8">
        <f>IFERROR(W180/W444, "NA")</f>
        <v>-9.8864599123625344E-2</v>
      </c>
      <c r="Y180" s="9"/>
      <c r="Z180" s="7">
        <v>47628.12</v>
      </c>
      <c r="AA180" s="8">
        <f>IFERROR(Z180/Z444, "NA")</f>
        <v>0.23445147093708435</v>
      </c>
      <c r="AB180" s="9"/>
      <c r="AC180" s="10">
        <f t="shared" si="47"/>
        <v>-5538.7999999999956</v>
      </c>
      <c r="AD180" s="8">
        <f>IFERROR(AC180/AC444, "NA")</f>
        <v>-8.7443516458256515E-2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0</v>
      </c>
      <c r="O181" s="8">
        <f>IFERROR(N181/N444, "NA")</f>
        <v>0</v>
      </c>
      <c r="P181" s="9"/>
      <c r="Q181" s="7">
        <v>0</v>
      </c>
      <c r="R181" s="8">
        <f>IFERROR(Q181/Q444, "NA")</f>
        <v>0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0</v>
      </c>
      <c r="X181" s="8">
        <f>IFERROR(W181/W444, "NA")</f>
        <v>0</v>
      </c>
      <c r="Y181" s="9"/>
      <c r="Z181" s="7">
        <v>152.47</v>
      </c>
      <c r="AA181" s="8">
        <f>IFERROR(Z181/Z444, "NA")</f>
        <v>7.5054013834216526E-4</v>
      </c>
      <c r="AB181" s="9"/>
      <c r="AC181" s="10">
        <f t="shared" si="47"/>
        <v>152.47</v>
      </c>
      <c r="AD181" s="8">
        <f>IFERROR(AC181/AC444, "NA")</f>
        <v>2.4071121821315775E-3</v>
      </c>
    </row>
    <row r="182" spans="1:30" ht="16.5" customHeight="1" x14ac:dyDescent="0.45">
      <c r="A182" s="13" t="s">
        <v>167</v>
      </c>
      <c r="B182" s="14">
        <f>IFERROR(B177+B178+B179+B180+B181, "NA")</f>
        <v>29529.89</v>
      </c>
      <c r="C182" s="15">
        <f>IFERROR(B182/B444, "NA")</f>
        <v>0.24546568413527678</v>
      </c>
      <c r="D182" s="2"/>
      <c r="E182" s="14">
        <f>IFERROR(E177+E178+E179+E180+E181, "NA")</f>
        <v>28261.120000000003</v>
      </c>
      <c r="F182" s="15">
        <f>IFERROR(E182/E444, "NA")</f>
        <v>0.27212484200100706</v>
      </c>
      <c r="G182" s="2"/>
      <c r="H182" s="14">
        <f t="shared" si="44"/>
        <v>-1268.7699999999968</v>
      </c>
      <c r="I182" s="15">
        <f>IFERROR(H182/H444, "NA")</f>
        <v>-7.7138300789336353E-2</v>
      </c>
      <c r="J182" s="2"/>
      <c r="K182" s="14">
        <f>IFERROR(K177+K178+K179+K180+K181, "NA")</f>
        <v>26404.47</v>
      </c>
      <c r="L182" s="15">
        <f>IFERROR(K182/K444, "NA")</f>
        <v>0.29619803319660803</v>
      </c>
      <c r="M182" s="2"/>
      <c r="N182" s="14">
        <f t="shared" si="45"/>
        <v>-3125.4199999999983</v>
      </c>
      <c r="O182" s="15">
        <f>IFERROR(N182/N444, "NA")</f>
        <v>-0.1003124513549989</v>
      </c>
      <c r="P182" s="2"/>
      <c r="Q182" s="14">
        <f>IFERROR(Q177+Q178+Q179+Q180+Q181, "NA")</f>
        <v>71496.92</v>
      </c>
      <c r="R182" s="15">
        <f>IFERROR(Q182/Q444, "NA")</f>
        <v>0.26829271312993669</v>
      </c>
      <c r="S182" s="2"/>
      <c r="T182" s="14">
        <f>IFERROR(T177+T178+T179+T180+T181, "NA")</f>
        <v>67832</v>
      </c>
      <c r="U182" s="15">
        <f>IFERROR(T182/T444, "NA")</f>
        <v>0.29302087449745573</v>
      </c>
      <c r="V182" s="2"/>
      <c r="W182" s="14">
        <f t="shared" si="46"/>
        <v>-3664.9199999999983</v>
      </c>
      <c r="X182" s="15">
        <f>IFERROR(W182/W444, "NA")</f>
        <v>-0.10472262186593212</v>
      </c>
      <c r="Y182" s="2"/>
      <c r="Z182" s="14">
        <f>IFERROR(Z177+Z178+Z179+Z180+Z181, "NA")</f>
        <v>65405.600000000006</v>
      </c>
      <c r="AA182" s="15">
        <f>IFERROR(Z182/Z444, "NA")</f>
        <v>0.32196188150031041</v>
      </c>
      <c r="AB182" s="2"/>
      <c r="AC182" s="14">
        <f t="shared" si="47"/>
        <v>-6091.3199999999924</v>
      </c>
      <c r="AD182" s="15">
        <f>IFERROR(AC182/AC444, "NA")</f>
        <v>-9.6166397174930821E-2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4.1562241534810456E-3</v>
      </c>
      <c r="D184" s="9"/>
      <c r="E184" s="7">
        <v>500</v>
      </c>
      <c r="F184" s="8">
        <f>IFERROR(E184/E444, "NA")</f>
        <v>4.8144737717579315E-3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3.3653169315264577E-3</v>
      </c>
      <c r="M184" s="9"/>
      <c r="N184" s="10">
        <f t="shared" si="45"/>
        <v>-200</v>
      </c>
      <c r="O184" s="8">
        <f>IFERROR(N184/N444, "NA")</f>
        <v>-6.4191341550894898E-3</v>
      </c>
      <c r="P184" s="9"/>
      <c r="Q184" s="7">
        <v>1500</v>
      </c>
      <c r="R184" s="8">
        <f>IFERROR(Q184/Q444, "NA")</f>
        <v>5.6287609269728691E-3</v>
      </c>
      <c r="S184" s="9"/>
      <c r="T184" s="7">
        <v>1500</v>
      </c>
      <c r="U184" s="8">
        <f>IFERROR(T184/T444, "NA")</f>
        <v>6.4797044425372033E-3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900</v>
      </c>
      <c r="AA184" s="8">
        <f>IFERROR(Z184/Z444, "NA")</f>
        <v>4.4302887420997489E-3</v>
      </c>
      <c r="AB184" s="9"/>
      <c r="AC184" s="10">
        <f t="shared" si="47"/>
        <v>-600</v>
      </c>
      <c r="AD184" s="8">
        <f>IFERROR(AC184/AC444, "NA")</f>
        <v>-9.4724687432212653E-3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2804.18</v>
      </c>
      <c r="C186" s="8">
        <f>IFERROR(B186/B444, "NA")</f>
        <v>2.3309601293416957E-2</v>
      </c>
      <c r="D186" s="9"/>
      <c r="E186" s="7">
        <v>3417.4</v>
      </c>
      <c r="F186" s="8">
        <f>IFERROR(E186/E444, "NA")</f>
        <v>3.2905965335211111E-2</v>
      </c>
      <c r="G186" s="9"/>
      <c r="H186" s="10">
        <f t="shared" ref="H186:H197" si="48">IFERROR(-(B186-E186), "NA")</f>
        <v>613.22000000000025</v>
      </c>
      <c r="I186" s="8">
        <f>IFERROR(H186/H444, "NA")</f>
        <v>3.72823670247854E-2</v>
      </c>
      <c r="J186" s="9"/>
      <c r="K186" s="7">
        <v>2453.14</v>
      </c>
      <c r="L186" s="8">
        <f>IFERROR(K186/K444, "NA")</f>
        <v>2.7518645258016044E-2</v>
      </c>
      <c r="M186" s="9"/>
      <c r="N186" s="10">
        <f t="shared" ref="N186:N197" si="49">IFERROR(-(B186-K186), "NA")</f>
        <v>-351.03999999999996</v>
      </c>
      <c r="O186" s="8">
        <f>IFERROR(N186/N444, "NA")</f>
        <v>-1.126686426901307E-2</v>
      </c>
      <c r="P186" s="9"/>
      <c r="Q186" s="7">
        <v>6692.19</v>
      </c>
      <c r="R186" s="8">
        <f>IFERROR(Q186/Q444, "NA")</f>
        <v>2.5112491725252373E-2</v>
      </c>
      <c r="S186" s="9"/>
      <c r="T186" s="7">
        <v>8602.77</v>
      </c>
      <c r="U186" s="8">
        <f>IFERROR(T186/T444, "NA")</f>
        <v>3.7162271324750522E-2</v>
      </c>
      <c r="V186" s="9"/>
      <c r="W186" s="10">
        <f t="shared" ref="W186:W197" si="50">IFERROR(-(Q186-T186), "NA")</f>
        <v>1910.5800000000008</v>
      </c>
      <c r="X186" s="8">
        <f>IFERROR(W186/W444, "NA")</f>
        <v>5.459353734450214E-2</v>
      </c>
      <c r="Y186" s="9"/>
      <c r="Z186" s="7">
        <v>6147.51</v>
      </c>
      <c r="AA186" s="8">
        <f>IFERROR(Z186/Z444, "NA")</f>
        <v>3.0261382605495143E-2</v>
      </c>
      <c r="AB186" s="9"/>
      <c r="AC186" s="10">
        <f t="shared" ref="AC186:AC197" si="51">IFERROR(-(Q186-Z186), "NA")</f>
        <v>-544.67999999999938</v>
      </c>
      <c r="AD186" s="8">
        <f>IFERROR(AC186/AC444, "NA")</f>
        <v>-8.5991071250962545E-3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0.02</v>
      </c>
      <c r="L187" s="8">
        <f>IFERROR(K187/K444, "NA")</f>
        <v>2.2435446210176384E-7</v>
      </c>
      <c r="M187" s="9"/>
      <c r="N187" s="10">
        <f t="shared" si="49"/>
        <v>0.02</v>
      </c>
      <c r="O187" s="8">
        <f>IFERROR(N187/N444, "NA")</f>
        <v>6.4191341550894897E-7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9.8450860935549989E-8</v>
      </c>
      <c r="AB187" s="9"/>
      <c r="AC187" s="10">
        <f t="shared" si="51"/>
        <v>0.02</v>
      </c>
      <c r="AD187" s="8">
        <f>IFERROR(AC187/AC444, "NA")</f>
        <v>3.1574895810737554E-7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2804.18</v>
      </c>
      <c r="C193" s="15">
        <f>IFERROR(B193/B444, "NA")</f>
        <v>2.3309601293416957E-2</v>
      </c>
      <c r="D193" s="2"/>
      <c r="E193" s="14">
        <f>IFERROR(E186+E187+E188+E189+E190+E191+E192, "NA")</f>
        <v>3417.4</v>
      </c>
      <c r="F193" s="15">
        <f>IFERROR(E193/E444, "NA")</f>
        <v>3.2905965335211111E-2</v>
      </c>
      <c r="G193" s="2"/>
      <c r="H193" s="14">
        <f t="shared" si="48"/>
        <v>613.22000000000025</v>
      </c>
      <c r="I193" s="15">
        <f>IFERROR(H193/H444, "NA")</f>
        <v>3.72823670247854E-2</v>
      </c>
      <c r="J193" s="2"/>
      <c r="K193" s="14">
        <f>IFERROR(K186+K187+K188+K189+K190+K191+K192, "NA")</f>
        <v>2453.16</v>
      </c>
      <c r="L193" s="15">
        <f>IFERROR(K193/K444, "NA")</f>
        <v>2.7518869612478146E-2</v>
      </c>
      <c r="M193" s="2"/>
      <c r="N193" s="14">
        <f t="shared" si="49"/>
        <v>-351.02</v>
      </c>
      <c r="O193" s="15">
        <f>IFERROR(N193/N444, "NA")</f>
        <v>-1.1266222355597563E-2</v>
      </c>
      <c r="P193" s="2"/>
      <c r="Q193" s="14">
        <f>IFERROR(Q186+Q187+Q188+Q189+Q190+Q191+Q192, "NA")</f>
        <v>6692.19</v>
      </c>
      <c r="R193" s="15">
        <f>IFERROR(Q193/Q444, "NA")</f>
        <v>2.5112491725252373E-2</v>
      </c>
      <c r="S193" s="2"/>
      <c r="T193" s="14">
        <f>IFERROR(T186+T187+T188+T189+T190+T191+T192, "NA")</f>
        <v>8602.77</v>
      </c>
      <c r="U193" s="15">
        <f>IFERROR(T193/T444, "NA")</f>
        <v>3.7162271324750522E-2</v>
      </c>
      <c r="V193" s="2"/>
      <c r="W193" s="14">
        <f t="shared" si="50"/>
        <v>1910.5800000000008</v>
      </c>
      <c r="X193" s="15">
        <f>IFERROR(W193/W444, "NA")</f>
        <v>5.459353734450214E-2</v>
      </c>
      <c r="Y193" s="2"/>
      <c r="Z193" s="14">
        <f>IFERROR(Z186+Z187+Z188+Z189+Z190+Z191+Z192, "NA")</f>
        <v>6147.5300000000007</v>
      </c>
      <c r="AA193" s="15">
        <f>IFERROR(Z193/Z444, "NA")</f>
        <v>3.0261481056356083E-2</v>
      </c>
      <c r="AB193" s="2"/>
      <c r="AC193" s="14">
        <f t="shared" si="51"/>
        <v>-544.65999999999894</v>
      </c>
      <c r="AD193" s="15">
        <f>IFERROR(AC193/AC444, "NA")</f>
        <v>-8.5987913761381412E-3</v>
      </c>
    </row>
    <row r="194" spans="1:30" ht="16.5" customHeight="1" x14ac:dyDescent="0.45">
      <c r="A194" s="6" t="s">
        <v>178</v>
      </c>
      <c r="B194" s="7">
        <v>248</v>
      </c>
      <c r="C194" s="8">
        <f>IFERROR(B194/B444, "NA")</f>
        <v>2.0614871801265984E-3</v>
      </c>
      <c r="D194" s="9"/>
      <c r="E194" s="7">
        <v>230.09</v>
      </c>
      <c r="F194" s="8">
        <f>IFERROR(E194/E444, "NA")</f>
        <v>2.2155245402875647E-3</v>
      </c>
      <c r="G194" s="9"/>
      <c r="H194" s="10">
        <f t="shared" si="48"/>
        <v>-17.909999999999997</v>
      </c>
      <c r="I194" s="8">
        <f>IFERROR(H194/H444, "NA")</f>
        <v>-1.0888868487882101E-3</v>
      </c>
      <c r="J194" s="9"/>
      <c r="K194" s="7">
        <v>400</v>
      </c>
      <c r="L194" s="8">
        <f>IFERROR(K194/K444, "NA")</f>
        <v>4.4870892420352769E-3</v>
      </c>
      <c r="M194" s="9"/>
      <c r="N194" s="10">
        <f t="shared" si="49"/>
        <v>152</v>
      </c>
      <c r="O194" s="8">
        <f>IFERROR(N194/N444, "NA")</f>
        <v>4.8785419578680125E-3</v>
      </c>
      <c r="P194" s="9"/>
      <c r="Q194" s="7">
        <v>854</v>
      </c>
      <c r="R194" s="8">
        <f>IFERROR(Q194/Q444, "NA")</f>
        <v>3.2046412210898867E-3</v>
      </c>
      <c r="S194" s="9"/>
      <c r="T194" s="7">
        <v>554.66</v>
      </c>
      <c r="U194" s="8">
        <f>IFERROR(T194/T444, "NA")</f>
        <v>2.3960219107317898E-3</v>
      </c>
      <c r="V194" s="9"/>
      <c r="W194" s="10">
        <f t="shared" si="50"/>
        <v>-299.34000000000003</v>
      </c>
      <c r="X194" s="8">
        <f>IFERROR(W194/W444, "NA")</f>
        <v>-8.55343899166916E-3</v>
      </c>
      <c r="Y194" s="9"/>
      <c r="Z194" s="7">
        <v>657</v>
      </c>
      <c r="AA194" s="8">
        <f>IFERROR(Z194/Z444, "NA")</f>
        <v>3.234110781732817E-3</v>
      </c>
      <c r="AB194" s="9"/>
      <c r="AC194" s="10">
        <f t="shared" si="51"/>
        <v>-197</v>
      </c>
      <c r="AD194" s="8">
        <f>IFERROR(AC194/AC444, "NA")</f>
        <v>-3.110127237357649E-3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33082.07</v>
      </c>
      <c r="C196" s="15">
        <f>IFERROR(B196/B444, "NA")</f>
        <v>0.27499299676230138</v>
      </c>
      <c r="D196" s="2"/>
      <c r="E196" s="14">
        <f>IFERROR(E175+E177+E178+E179+E180+E181+E183+E184+E186+E187+E188+E189+E190+E191+E192+E194+E195, "NA")</f>
        <v>32408.610000000004</v>
      </c>
      <c r="F196" s="15">
        <f>IFERROR(E196/E444, "NA")</f>
        <v>0.31206080564826366</v>
      </c>
      <c r="G196" s="2"/>
      <c r="H196" s="14">
        <f t="shared" si="48"/>
        <v>-673.45999999999549</v>
      </c>
      <c r="I196" s="15">
        <f>IFERROR(H196/H444, "NA")</f>
        <v>-4.0944820613339095E-2</v>
      </c>
      <c r="J196" s="2"/>
      <c r="K196" s="14">
        <f>IFERROR(K175+K177+K178+K179+K180+K181+K183+K184+K186+K187+K188+K189+K190+K191+K192+K194+K195, "NA")</f>
        <v>29557.63</v>
      </c>
      <c r="L196" s="15">
        <f>IFERROR(K196/K444, "NA")</f>
        <v>0.33156930898264791</v>
      </c>
      <c r="M196" s="2"/>
      <c r="N196" s="14">
        <f t="shared" si="49"/>
        <v>-3524.4399999999987</v>
      </c>
      <c r="O196" s="15">
        <f>IFERROR(N196/N444, "NA")</f>
        <v>-0.11311926590781796</v>
      </c>
      <c r="P196" s="2"/>
      <c r="Q196" s="14">
        <f>IFERROR(Q175+Q177+Q178+Q179+Q180+Q181+Q183+Q184+Q186+Q187+Q188+Q189+Q190+Q191+Q192+Q194+Q195, "NA")</f>
        <v>80543.11</v>
      </c>
      <c r="R196" s="15">
        <f>IFERROR(Q196/Q444, "NA")</f>
        <v>0.30223860700325184</v>
      </c>
      <c r="S196" s="2"/>
      <c r="T196" s="14">
        <f>IFERROR(T175+T177+T178+T179+T180+T181+T183+T184+T186+T187+T188+T189+T190+T191+T192+T194+T195, "NA")</f>
        <v>78489.430000000008</v>
      </c>
      <c r="U196" s="15">
        <f>IFERROR(T196/T444, "NA")</f>
        <v>0.33905887217547526</v>
      </c>
      <c r="V196" s="2"/>
      <c r="W196" s="14">
        <f t="shared" si="50"/>
        <v>-2053.679999999993</v>
      </c>
      <c r="X196" s="15">
        <f>IFERROR(W196/W444, "NA")</f>
        <v>-5.8682523513099015E-2</v>
      </c>
      <c r="Y196" s="2"/>
      <c r="Z196" s="14">
        <f>IFERROR(Z175+Z177+Z178+Z179+Z180+Z181+Z183+Z184+Z186+Z187+Z188+Z189+Z190+Z191+Z192+Z194+Z195, "NA")</f>
        <v>73110.13</v>
      </c>
      <c r="AA196" s="15">
        <f>IFERROR(Z196/Z444, "NA")</f>
        <v>0.35988776208049905</v>
      </c>
      <c r="AB196" s="2"/>
      <c r="AC196" s="14">
        <f t="shared" si="51"/>
        <v>-7432.9799999999959</v>
      </c>
      <c r="AD196" s="15">
        <f>IFERROR(AC196/AC444, "NA")</f>
        <v>-0.11734778453164794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33082.07</v>
      </c>
      <c r="C197" s="15">
        <f>IFERROR(B197/B444, "NA")</f>
        <v>0.27499299676230138</v>
      </c>
      <c r="D197" s="2"/>
      <c r="E197" s="14">
        <f>IFERROR(E175+E177+E178+E179+E180+E181+E183+E184+E186+E187+E188+E189+E190+E191+E192+E194+E195, "NA")</f>
        <v>32408.610000000004</v>
      </c>
      <c r="F197" s="15">
        <f>IFERROR(E197/E444, "NA")</f>
        <v>0.31206080564826366</v>
      </c>
      <c r="G197" s="2"/>
      <c r="H197" s="14">
        <f t="shared" si="48"/>
        <v>-673.45999999999549</v>
      </c>
      <c r="I197" s="15">
        <f>IFERROR(H197/H444, "NA")</f>
        <v>-4.0944820613339095E-2</v>
      </c>
      <c r="J197" s="2"/>
      <c r="K197" s="14">
        <f>IFERROR(K175+K177+K178+K179+K180+K181+K183+K184+K186+K187+K188+K189+K190+K191+K192+K194+K195, "NA")</f>
        <v>29557.63</v>
      </c>
      <c r="L197" s="15">
        <f>IFERROR(K197/K444, "NA")</f>
        <v>0.33156930898264791</v>
      </c>
      <c r="M197" s="2"/>
      <c r="N197" s="14">
        <f t="shared" si="49"/>
        <v>-3524.4399999999987</v>
      </c>
      <c r="O197" s="15">
        <f>IFERROR(N197/N444, "NA")</f>
        <v>-0.11311926590781796</v>
      </c>
      <c r="P197" s="2"/>
      <c r="Q197" s="14">
        <f>IFERROR(Q175+Q177+Q178+Q179+Q180+Q181+Q183+Q184+Q186+Q187+Q188+Q189+Q190+Q191+Q192+Q194+Q195, "NA")</f>
        <v>80543.11</v>
      </c>
      <c r="R197" s="15">
        <f>IFERROR(Q197/Q444, "NA")</f>
        <v>0.30223860700325184</v>
      </c>
      <c r="S197" s="2"/>
      <c r="T197" s="14">
        <f>IFERROR(T175+T177+T178+T179+T180+T181+T183+T184+T186+T187+T188+T189+T190+T191+T192+T194+T195, "NA")</f>
        <v>78489.430000000008</v>
      </c>
      <c r="U197" s="15">
        <f>IFERROR(T197/T444, "NA")</f>
        <v>0.33905887217547526</v>
      </c>
      <c r="V197" s="2"/>
      <c r="W197" s="14">
        <f t="shared" si="50"/>
        <v>-2053.679999999993</v>
      </c>
      <c r="X197" s="15">
        <f>IFERROR(W197/W444, "NA")</f>
        <v>-5.8682523513099015E-2</v>
      </c>
      <c r="Y197" s="2"/>
      <c r="Z197" s="14">
        <f>IFERROR(Z175+Z177+Z178+Z179+Z180+Z181+Z183+Z184+Z186+Z187+Z188+Z189+Z190+Z191+Z192+Z194+Z195, "NA")</f>
        <v>73110.13</v>
      </c>
      <c r="AA197" s="15">
        <f>IFERROR(Z197/Z444, "NA")</f>
        <v>0.35988776208049905</v>
      </c>
      <c r="AB197" s="2"/>
      <c r="AC197" s="14">
        <f t="shared" si="51"/>
        <v>-7432.9799999999959</v>
      </c>
      <c r="AD197" s="15">
        <f>IFERROR(AC197/AC444, "NA")</f>
        <v>-0.11734778453164794</v>
      </c>
    </row>
    <row r="198" spans="1:30" ht="16.5" customHeight="1" x14ac:dyDescent="0.45">
      <c r="A198" s="22" t="s">
        <v>181</v>
      </c>
      <c r="B198" s="23">
        <f>IFERROR(B172-B197, "NA")</f>
        <v>56072.859999999993</v>
      </c>
      <c r="C198" s="24">
        <f>IFERROR(B198/B444, "NA")</f>
        <v>0.46610275017352232</v>
      </c>
      <c r="D198" s="25"/>
      <c r="E198" s="23">
        <f>IFERROR(E172-E197, "NA")</f>
        <v>46312.349999999991</v>
      </c>
      <c r="F198" s="24">
        <f>IFERROR(E198/E444, "NA")</f>
        <v>0.44593918876694677</v>
      </c>
      <c r="G198" s="25"/>
      <c r="H198" s="23">
        <f>IFERROR(B198-E198, "NA")</f>
        <v>9760.510000000002</v>
      </c>
      <c r="I198" s="24">
        <f>IFERROR(H198/H444, "NA")</f>
        <v>0.59341658160054811</v>
      </c>
      <c r="J198" s="25"/>
      <c r="K198" s="23">
        <f>IFERROR(K172-K197, "NA")</f>
        <v>34378.749999999985</v>
      </c>
      <c r="L198" s="24">
        <f>IFERROR(K198/K444, "NA")</f>
        <v>0.38565129819905053</v>
      </c>
      <c r="M198" s="25"/>
      <c r="N198" s="23">
        <f>IFERROR(B198-K198, "NA")</f>
        <v>21694.110000000008</v>
      </c>
      <c r="O198" s="24">
        <f>IFERROR(N198/N444, "NA")</f>
        <v>0.69628701232634249</v>
      </c>
      <c r="P198" s="25"/>
      <c r="Q198" s="23">
        <f>IFERROR(Q172-Q197, "NA")</f>
        <v>114895.48</v>
      </c>
      <c r="R198" s="24">
        <f>IFERROR(Q198/Q444, "NA")</f>
        <v>0.4311461256731951</v>
      </c>
      <c r="S198" s="25"/>
      <c r="T198" s="23">
        <f>IFERROR(T172-T197, "NA")</f>
        <v>93689.819999999963</v>
      </c>
      <c r="U198" s="24">
        <f>IFERROR(T198/T444, "NA")</f>
        <v>0.40472156191634046</v>
      </c>
      <c r="V198" s="25"/>
      <c r="W198" s="23">
        <f>IFERROR(Q198-T198, "NA")</f>
        <v>21205.660000000033</v>
      </c>
      <c r="X198" s="24">
        <f>IFERROR(W198/W444, "NA")</f>
        <v>0.60593745937088028</v>
      </c>
      <c r="Y198" s="25"/>
      <c r="Z198" s="23">
        <f>IFERROR(Z172-Z197, "NA")</f>
        <v>72871.260000000068</v>
      </c>
      <c r="AA198" s="24">
        <f>IFERROR(Z198/Z444, "NA")</f>
        <v>0.35871191422291565</v>
      </c>
      <c r="AB198" s="25"/>
      <c r="AC198" s="23">
        <f>IFERROR(Q198-Z198, "NA")</f>
        <v>42024.219999999928</v>
      </c>
      <c r="AD198" s="24">
        <f>IFERROR(AC198/AC444, "NA")</f>
        <v>0.66345518401375547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1869.36</v>
      </c>
      <c r="F201" s="8">
        <f>IFERROR(E201/E444, "NA")</f>
        <v>1.7999969379946811E-2</v>
      </c>
      <c r="G201" s="9"/>
      <c r="H201" s="10">
        <f t="shared" ref="H201:H209" si="52">IFERROR(-(B201-E201), "NA")</f>
        <v>1869.36</v>
      </c>
      <c r="I201" s="8">
        <f>IFERROR(H201/H444, "NA")</f>
        <v>0.11365279283365319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4422.13</v>
      </c>
      <c r="U201" s="8">
        <f>IFERROR(T201/T444, "NA")</f>
        <v>1.9102730270984695E-2</v>
      </c>
      <c r="V201" s="9"/>
      <c r="W201" s="10">
        <f t="shared" ref="W201:W209" si="54">IFERROR(-(Q201-T201), "NA")</f>
        <v>4422.13</v>
      </c>
      <c r="X201" s="8">
        <f>IFERROR(W201/W444, "NA")</f>
        <v>0.12635938788077083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1189.26</v>
      </c>
      <c r="C202" s="8">
        <f>IFERROR(B202/B444, "NA")</f>
        <v>9.8856622735377358E-3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-1189.26</v>
      </c>
      <c r="I202" s="8">
        <f>IFERROR(H202/H444, "NA")</f>
        <v>-7.2304275476821153E-2</v>
      </c>
      <c r="J202" s="9"/>
      <c r="K202" s="7">
        <v>888.11</v>
      </c>
      <c r="L202" s="8">
        <f>IFERROR(K202/K444, "NA")</f>
        <v>9.9625720668598747E-3</v>
      </c>
      <c r="M202" s="9"/>
      <c r="N202" s="10">
        <f t="shared" si="53"/>
        <v>-301.14999999999998</v>
      </c>
      <c r="O202" s="8">
        <f>IFERROR(N202/N444, "NA")</f>
        <v>-9.6656112540259975E-3</v>
      </c>
      <c r="P202" s="9"/>
      <c r="Q202" s="7">
        <v>2988.07</v>
      </c>
      <c r="R202" s="8">
        <f>IFERROR(Q202/Q444, "NA")</f>
        <v>1.1212754442039881E-2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-2988.07</v>
      </c>
      <c r="X202" s="8">
        <f>IFERROR(W202/W444, "NA")</f>
        <v>-8.5382088754716604E-2</v>
      </c>
      <c r="Y202" s="9"/>
      <c r="Z202" s="7">
        <v>2547.0500000000002</v>
      </c>
      <c r="AA202" s="8">
        <f>IFERROR(Z202/Z444, "NA")</f>
        <v>1.253796326729463E-2</v>
      </c>
      <c r="AB202" s="9"/>
      <c r="AC202" s="10">
        <f t="shared" si="55"/>
        <v>-441.02</v>
      </c>
      <c r="AD202" s="8">
        <f>IFERROR(AC202/AC444, "NA")</f>
        <v>-6.9625802752257375E-3</v>
      </c>
    </row>
    <row r="203" spans="1:30" ht="16.5" customHeight="1" x14ac:dyDescent="0.45">
      <c r="A203" s="6" t="s">
        <v>185</v>
      </c>
      <c r="B203" s="7">
        <v>1128.23</v>
      </c>
      <c r="C203" s="8">
        <f>IFERROR(B203/B444, "NA")</f>
        <v>9.3783535533638399E-3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-1128.23</v>
      </c>
      <c r="I203" s="8">
        <f>IFERROR(H203/H444, "NA")</f>
        <v>-6.8593791703423918E-2</v>
      </c>
      <c r="J203" s="9"/>
      <c r="K203" s="7">
        <v>351.02</v>
      </c>
      <c r="L203" s="8">
        <f>IFERROR(K203/K444, "NA")</f>
        <v>3.9376451643480569E-3</v>
      </c>
      <c r="M203" s="9"/>
      <c r="N203" s="10">
        <f t="shared" si="53"/>
        <v>-777.21</v>
      </c>
      <c r="O203" s="8">
        <f>IFERROR(N203/N444, "NA")</f>
        <v>-2.4945076283385513E-2</v>
      </c>
      <c r="P203" s="9"/>
      <c r="Q203" s="7">
        <v>2042.1</v>
      </c>
      <c r="R203" s="8">
        <f>IFERROR(Q203/Q444, "NA")</f>
        <v>7.6629951259808635E-3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-2042.1</v>
      </c>
      <c r="X203" s="8">
        <f>IFERROR(W203/W444, "NA")</f>
        <v>-5.8351632808470597E-2</v>
      </c>
      <c r="Y203" s="9"/>
      <c r="Z203" s="7">
        <v>1071.95</v>
      </c>
      <c r="AA203" s="8">
        <f>IFERROR(Z203/Z444, "NA")</f>
        <v>5.2767200189931408E-3</v>
      </c>
      <c r="AB203" s="9"/>
      <c r="AC203" s="10">
        <f t="shared" si="55"/>
        <v>-970.14999999999986</v>
      </c>
      <c r="AD203" s="8">
        <f>IFERROR(AC203/AC444, "NA")</f>
        <v>-1.5316192585393516E-2</v>
      </c>
    </row>
    <row r="204" spans="1:30" ht="16.5" customHeight="1" x14ac:dyDescent="0.45">
      <c r="A204" s="6" t="s">
        <v>186</v>
      </c>
      <c r="B204" s="7">
        <v>21.07</v>
      </c>
      <c r="C204" s="8">
        <f>IFERROR(B204/B444, "NA")</f>
        <v>1.7514328582769127E-4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-21.07</v>
      </c>
      <c r="I204" s="8">
        <f>IFERROR(H204/H444, "NA")</f>
        <v>-1.2810075881612279E-3</v>
      </c>
      <c r="J204" s="9"/>
      <c r="K204" s="7">
        <v>16.850000000000001</v>
      </c>
      <c r="L204" s="8">
        <f>IFERROR(K204/K444, "NA")</f>
        <v>1.8901863432073605E-4</v>
      </c>
      <c r="M204" s="9"/>
      <c r="N204" s="10">
        <f t="shared" si="53"/>
        <v>-4.2199999999999989</v>
      </c>
      <c r="O204" s="8">
        <f>IFERROR(N204/N444, "NA")</f>
        <v>-1.3544373067238819E-4</v>
      </c>
      <c r="P204" s="9"/>
      <c r="Q204" s="7">
        <v>261.51</v>
      </c>
      <c r="R204" s="8">
        <f>IFERROR(Q204/Q444, "NA")</f>
        <v>9.8131818000844989E-4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-261.51</v>
      </c>
      <c r="X204" s="8">
        <f>IFERROR(W204/W444, "NA")</f>
        <v>-7.4724722078953754E-3</v>
      </c>
      <c r="Y204" s="9"/>
      <c r="Z204" s="7">
        <v>43.08</v>
      </c>
      <c r="AA204" s="8">
        <f>IFERROR(Z204/Z444, "NA")</f>
        <v>2.1206315445517466E-4</v>
      </c>
      <c r="AB204" s="9"/>
      <c r="AC204" s="10">
        <f t="shared" si="55"/>
        <v>-218.43</v>
      </c>
      <c r="AD204" s="8">
        <f>IFERROR(AC204/AC444, "NA")</f>
        <v>-3.4484522459697019E-3</v>
      </c>
    </row>
    <row r="205" spans="1:30" ht="16.5" customHeight="1" x14ac:dyDescent="0.45">
      <c r="A205" s="6" t="s">
        <v>187</v>
      </c>
      <c r="B205" s="7">
        <v>436.2</v>
      </c>
      <c r="C205" s="8">
        <f>IFERROR(B205/B444, "NA")</f>
        <v>3.6258899514968641E-3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-436.2</v>
      </c>
      <c r="I205" s="8">
        <f>IFERROR(H205/H444, "NA")</f>
        <v>-2.651995775775641E-2</v>
      </c>
      <c r="J205" s="9"/>
      <c r="K205" s="7">
        <v>385.31</v>
      </c>
      <c r="L205" s="8">
        <f>IFERROR(K205/K444, "NA")</f>
        <v>4.3223008896215312E-3</v>
      </c>
      <c r="M205" s="9"/>
      <c r="N205" s="10">
        <f t="shared" si="53"/>
        <v>-50.889999999999986</v>
      </c>
      <c r="O205" s="8">
        <f>IFERROR(N205/N444, "NA")</f>
        <v>-1.6333486857625201E-3</v>
      </c>
      <c r="P205" s="9"/>
      <c r="Q205" s="7">
        <v>1041.94</v>
      </c>
      <c r="R205" s="8">
        <f>IFERROR(Q205/Q444, "NA")</f>
        <v>3.9098874401667406E-3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-1041.94</v>
      </c>
      <c r="X205" s="8">
        <f>IFERROR(W205/W444, "NA")</f>
        <v>-2.9772734091600736E-2</v>
      </c>
      <c r="Y205" s="9"/>
      <c r="Z205" s="7">
        <v>977.25</v>
      </c>
      <c r="AA205" s="8">
        <f>IFERROR(Z205/Z444, "NA")</f>
        <v>4.8105551924633111E-3</v>
      </c>
      <c r="AB205" s="9"/>
      <c r="AC205" s="10">
        <f t="shared" si="55"/>
        <v>-64.690000000000055</v>
      </c>
      <c r="AD205" s="8">
        <f>IFERROR(AC205/AC444, "NA")</f>
        <v>-1.0212900049983069E-3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10.8</v>
      </c>
      <c r="R206" s="8">
        <f>IFERROR(Q206/Q444, "NA")</f>
        <v>4.0527078674204657E-5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-10.8</v>
      </c>
      <c r="X206" s="8">
        <f>IFERROR(W206/W444, "NA")</f>
        <v>-3.0860272970544174E-4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-10.8</v>
      </c>
      <c r="AD206" s="8">
        <f>IFERROR(AC206/AC444, "NA")</f>
        <v>-1.705044373779828E-4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99.6</v>
      </c>
      <c r="R207" s="8">
        <f>IFERROR(Q207/Q444, "NA")</f>
        <v>3.7374972555099845E-4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-2.8460029517279623E-3</v>
      </c>
      <c r="Y207" s="9"/>
      <c r="Z207" s="7">
        <v>154.15</v>
      </c>
      <c r="AA207" s="8">
        <f>IFERROR(Z207/Z444, "NA")</f>
        <v>7.5881001066075153E-4</v>
      </c>
      <c r="AB207" s="9"/>
      <c r="AC207" s="10">
        <f t="shared" si="55"/>
        <v>54.550000000000011</v>
      </c>
      <c r="AD207" s="8">
        <f>IFERROR(AC207/AC444, "NA")</f>
        <v>8.6120528323786695E-4</v>
      </c>
    </row>
    <row r="208" spans="1:30" ht="16.5" customHeight="1" x14ac:dyDescent="0.45">
      <c r="A208" s="6" t="s">
        <v>190</v>
      </c>
      <c r="B208" s="7">
        <v>95.98</v>
      </c>
      <c r="C208" s="8">
        <f>IFERROR(B208/B444, "NA")</f>
        <v>7.9782878850222152E-4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-95.98</v>
      </c>
      <c r="I208" s="8">
        <f>IFERROR(H208/H444, "NA")</f>
        <v>-5.8353634699437424E-3</v>
      </c>
      <c r="J208" s="9"/>
      <c r="K208" s="7">
        <v>154.91999999999999</v>
      </c>
      <c r="L208" s="8">
        <f>IFERROR(K208/K444, "NA")</f>
        <v>1.7378496634402624E-3</v>
      </c>
      <c r="M208" s="9"/>
      <c r="N208" s="10">
        <f t="shared" si="53"/>
        <v>58.939999999999984</v>
      </c>
      <c r="O208" s="8">
        <f>IFERROR(N208/N444, "NA")</f>
        <v>1.891718835504872E-3</v>
      </c>
      <c r="P208" s="9"/>
      <c r="Q208" s="7">
        <v>487.92</v>
      </c>
      <c r="R208" s="8">
        <f>IFERROR(Q208/Q444, "NA")</f>
        <v>1.8309233543257347E-3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-487.92</v>
      </c>
      <c r="X208" s="8">
        <f>IFERROR(W208/W444, "NA")</f>
        <v>-1.3941985544248067E-2</v>
      </c>
      <c r="Y208" s="9"/>
      <c r="Z208" s="7">
        <v>287.81</v>
      </c>
      <c r="AA208" s="8">
        <f>IFERROR(Z208/Z444, "NA")</f>
        <v>1.4167571142930321E-3</v>
      </c>
      <c r="AB208" s="9"/>
      <c r="AC208" s="10">
        <f t="shared" si="55"/>
        <v>-200.11</v>
      </c>
      <c r="AD208" s="8">
        <f>IFERROR(AC208/AC444, "NA")</f>
        <v>-3.1592262003433459E-3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2870.74</v>
      </c>
      <c r="C209" s="15">
        <f>IFERROR(B209/B444, "NA")</f>
        <v>2.3862877852728351E-2</v>
      </c>
      <c r="D209" s="2"/>
      <c r="E209" s="14">
        <f>IFERROR(E201+E202+E203+E204+E205+E206+E207+E208, "NA")</f>
        <v>1869.36</v>
      </c>
      <c r="F209" s="15">
        <f>IFERROR(E209/E444, "NA")</f>
        <v>1.7999969379946811E-2</v>
      </c>
      <c r="G209" s="2"/>
      <c r="H209" s="14">
        <f t="shared" si="52"/>
        <v>-1001.3799999999999</v>
      </c>
      <c r="I209" s="15">
        <f>IFERROR(H209/H444, "NA")</f>
        <v>-6.0881603162453259E-2</v>
      </c>
      <c r="J209" s="2"/>
      <c r="K209" s="14">
        <f>IFERROR(K201+K202+K203+K204+K205+K206+K207+K208, "NA")</f>
        <v>1796.21</v>
      </c>
      <c r="L209" s="15">
        <f>IFERROR(K209/K444, "NA")</f>
        <v>2.0149386418590463E-2</v>
      </c>
      <c r="M209" s="2"/>
      <c r="N209" s="14">
        <f t="shared" si="53"/>
        <v>-1074.5299999999997</v>
      </c>
      <c r="O209" s="15">
        <f>IFERROR(N209/N444, "NA")</f>
        <v>-3.4487761118341537E-2</v>
      </c>
      <c r="P209" s="2"/>
      <c r="Q209" s="14">
        <f>IFERROR(Q201+Q202+Q203+Q204+Q205+Q206+Q207+Q208, "NA")</f>
        <v>6931.9400000000014</v>
      </c>
      <c r="R209" s="15">
        <f>IFERROR(Q209/Q444, "NA")</f>
        <v>2.6012155346746876E-2</v>
      </c>
      <c r="S209" s="2"/>
      <c r="T209" s="14">
        <f>IFERROR(T201+T202+T203+T204+T205+T206+T207+T208, "NA")</f>
        <v>4422.13</v>
      </c>
      <c r="U209" s="15">
        <f>IFERROR(T209/T444, "NA")</f>
        <v>1.9102730270984695E-2</v>
      </c>
      <c r="V209" s="2"/>
      <c r="W209" s="14">
        <f t="shared" si="54"/>
        <v>-2509.8100000000013</v>
      </c>
      <c r="X209" s="15">
        <f>IFERROR(W209/W444, "NA")</f>
        <v>-7.1716131207593986E-2</v>
      </c>
      <c r="Y209" s="2"/>
      <c r="Z209" s="14">
        <f>IFERROR(Z201+Z202+Z203+Z204+Z205+Z206+Z207+Z208, "NA")</f>
        <v>5081.29</v>
      </c>
      <c r="AA209" s="15">
        <f>IFERROR(Z209/Z444, "NA")</f>
        <v>2.5012868758160039E-2</v>
      </c>
      <c r="AB209" s="2"/>
      <c r="AC209" s="14">
        <f t="shared" si="55"/>
        <v>-1850.6500000000015</v>
      </c>
      <c r="AD209" s="15">
        <f>IFERROR(AC209/AC444, "NA")</f>
        <v>-2.9217040466070748E-2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3974.19</v>
      </c>
      <c r="F213" s="8">
        <f>IFERROR(E213/E444, "NA")</f>
        <v>3.8267267037965305E-2</v>
      </c>
      <c r="G213" s="9"/>
      <c r="H213" s="10">
        <f t="shared" ref="H213:H227" si="56">IFERROR(-(B213-E213), "NA")</f>
        <v>3974.19</v>
      </c>
      <c r="I213" s="8">
        <f>IFERROR(H213/H444, "NA")</f>
        <v>0.24162162063571285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9056.57</v>
      </c>
      <c r="U213" s="8">
        <f>IFERROR(T213/T444, "NA")</f>
        <v>3.9122597908766106E-2</v>
      </c>
      <c r="V213" s="9"/>
      <c r="W213" s="10">
        <f t="shared" ref="W213:W227" si="58">IFERROR(-(Q213-T213), "NA")</f>
        <v>9056.57</v>
      </c>
      <c r="X213" s="8">
        <f>IFERROR(W213/W444, "NA")</f>
        <v>0.2587853910896678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4354.91</v>
      </c>
      <c r="C214" s="8">
        <f>IFERROR(B214/B444, "NA")</f>
        <v>3.6199964256472282E-2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-4354.91</v>
      </c>
      <c r="I214" s="8">
        <f>IFERROR(H214/H444, "NA")</f>
        <v>-0.26476852186802147</v>
      </c>
      <c r="J214" s="9"/>
      <c r="K214" s="7">
        <v>615</v>
      </c>
      <c r="L214" s="8">
        <f>IFERROR(K214/K444, "NA")</f>
        <v>6.8988997096292382E-3</v>
      </c>
      <c r="M214" s="9"/>
      <c r="N214" s="10">
        <f t="shared" si="57"/>
        <v>-3739.91</v>
      </c>
      <c r="O214" s="8">
        <f>IFERROR(N214/N444, "NA")</f>
        <v>-0.12003492008980365</v>
      </c>
      <c r="P214" s="9"/>
      <c r="Q214" s="7">
        <v>10359.39</v>
      </c>
      <c r="R214" s="8">
        <f>IFERROR(Q214/Q444, "NA")</f>
        <v>3.8873686439515644E-2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-10359.39</v>
      </c>
      <c r="X214" s="8">
        <f>IFERROR(W214/W444, "NA")</f>
        <v>-0.29601259556326442</v>
      </c>
      <c r="Y214" s="9"/>
      <c r="Z214" s="7">
        <v>1140</v>
      </c>
      <c r="AA214" s="8">
        <f>IFERROR(Z214/Z444, "NA")</f>
        <v>5.6116990733263488E-3</v>
      </c>
      <c r="AB214" s="9"/>
      <c r="AC214" s="10">
        <f t="shared" si="59"/>
        <v>-9219.39</v>
      </c>
      <c r="AD214" s="8">
        <f>IFERROR(AC214/AC444, "NA")</f>
        <v>-0.14555063934427784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5.73</v>
      </c>
      <c r="C216" s="8">
        <f>IFERROR(B216/B444, "NA")</f>
        <v>4.7630328798892785E-5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-5.73</v>
      </c>
      <c r="I216" s="8">
        <f>IFERROR(H216/H444, "NA")</f>
        <v>-3.4837083436942742E-4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-5.73</v>
      </c>
      <c r="O216" s="8">
        <f>IFERROR(N216/N444, "NA")</f>
        <v>-1.8390819354331388E-4</v>
      </c>
      <c r="P216" s="9"/>
      <c r="Q216" s="7">
        <v>5.73</v>
      </c>
      <c r="R216" s="8">
        <f>IFERROR(Q216/Q444, "NA")</f>
        <v>2.1501866741036361E-5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-1.6373089270483159E-4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-5.73</v>
      </c>
      <c r="AD216" s="8">
        <f>IFERROR(AC216/AC444, "NA")</f>
        <v>-9.0462076497763096E-5</v>
      </c>
    </row>
    <row r="217" spans="1:30" ht="16.5" customHeight="1" x14ac:dyDescent="0.45">
      <c r="A217" s="12" t="s">
        <v>197</v>
      </c>
      <c r="B217" s="7">
        <v>4990.09</v>
      </c>
      <c r="C217" s="8">
        <f>IFERROR(B217/B444, "NA")</f>
        <v>4.1479865172088459E-2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-4990.09</v>
      </c>
      <c r="I217" s="8">
        <f>IFERROR(H217/H444, "NA")</f>
        <v>-0.30338600643604469</v>
      </c>
      <c r="J217" s="9"/>
      <c r="K217" s="7">
        <v>236.5</v>
      </c>
      <c r="L217" s="8">
        <f>IFERROR(K217/K444, "NA")</f>
        <v>2.6529915143533572E-3</v>
      </c>
      <c r="M217" s="9"/>
      <c r="N217" s="10">
        <f t="shared" si="57"/>
        <v>-4753.59</v>
      </c>
      <c r="O217" s="8">
        <f>IFERROR(N217/N444, "NA")</f>
        <v>-0.15256965964145924</v>
      </c>
      <c r="P217" s="9"/>
      <c r="Q217" s="7">
        <v>11265.22</v>
      </c>
      <c r="R217" s="8">
        <f>IFERROR(Q217/Q444, "NA")</f>
        <v>4.2272820113168866E-2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-11265.22</v>
      </c>
      <c r="X217" s="8">
        <f>IFERROR(W217/W444, "NA")</f>
        <v>-0.32189607803077186</v>
      </c>
      <c r="Y217" s="9"/>
      <c r="Z217" s="7">
        <v>754.97</v>
      </c>
      <c r="AA217" s="8">
        <f>IFERROR(Z217/Z444, "NA")</f>
        <v>3.7163723240256088E-3</v>
      </c>
      <c r="AB217" s="9"/>
      <c r="AC217" s="10">
        <f t="shared" si="59"/>
        <v>-10510.25</v>
      </c>
      <c r="AD217" s="8">
        <f>IFERROR(AC217/AC444, "NA")</f>
        <v>-0.16593002434740217</v>
      </c>
    </row>
    <row r="218" spans="1:30" ht="16.5" customHeight="1" x14ac:dyDescent="0.45">
      <c r="A218" s="13" t="s">
        <v>198</v>
      </c>
      <c r="B218" s="14">
        <f>IFERROR(B213+B214+B215+B216+B217, "NA")</f>
        <v>9350.73</v>
      </c>
      <c r="C218" s="15">
        <f>IFERROR(B218/B444, "NA")</f>
        <v>7.7727459757359632E-2</v>
      </c>
      <c r="D218" s="2"/>
      <c r="E218" s="14">
        <f>IFERROR(E213+E214+E215+E216+E217, "NA")</f>
        <v>3974.19</v>
      </c>
      <c r="F218" s="15">
        <f>IFERROR(E218/E444, "NA")</f>
        <v>3.8267267037965305E-2</v>
      </c>
      <c r="G218" s="2"/>
      <c r="H218" s="14">
        <f t="shared" si="56"/>
        <v>-5376.5399999999991</v>
      </c>
      <c r="I218" s="15">
        <f>IFERROR(H218/H444, "NA")</f>
        <v>-0.32688127850272264</v>
      </c>
      <c r="J218" s="2"/>
      <c r="K218" s="14">
        <f>IFERROR(K213+K214+K215+K216+K217, "NA")</f>
        <v>851.5</v>
      </c>
      <c r="L218" s="15">
        <f>IFERROR(K218/K444, "NA")</f>
        <v>9.5518912239825945E-3</v>
      </c>
      <c r="M218" s="2"/>
      <c r="N218" s="14">
        <f t="shared" si="57"/>
        <v>-8499.23</v>
      </c>
      <c r="O218" s="15">
        <f>IFERROR(N218/N444, "NA")</f>
        <v>-0.2727884879248062</v>
      </c>
      <c r="P218" s="2"/>
      <c r="Q218" s="14">
        <f>IFERROR(Q213+Q214+Q215+Q216+Q217, "NA")</f>
        <v>21630.339999999997</v>
      </c>
      <c r="R218" s="15">
        <f>IFERROR(Q218/Q444, "NA")</f>
        <v>8.1168008419425536E-2</v>
      </c>
      <c r="S218" s="2"/>
      <c r="T218" s="14">
        <f>IFERROR(T213+T214+T215+T216+T217, "NA")</f>
        <v>9056.57</v>
      </c>
      <c r="U218" s="15">
        <f>IFERROR(T218/T444, "NA")</f>
        <v>3.9122597908766106E-2</v>
      </c>
      <c r="V218" s="2"/>
      <c r="W218" s="14">
        <f t="shared" si="58"/>
        <v>-12573.769999999997</v>
      </c>
      <c r="X218" s="15">
        <f>IFERROR(W218/W444, "NA")</f>
        <v>-0.3592870133970732</v>
      </c>
      <c r="Y218" s="2"/>
      <c r="Z218" s="14">
        <f>IFERROR(Z213+Z214+Z215+Z216+Z217, "NA")</f>
        <v>1894.97</v>
      </c>
      <c r="AA218" s="15">
        <f>IFERROR(Z218/Z444, "NA")</f>
        <v>9.3280713973519572E-3</v>
      </c>
      <c r="AB218" s="2"/>
      <c r="AC218" s="14">
        <f t="shared" si="59"/>
        <v>-19735.369999999995</v>
      </c>
      <c r="AD218" s="15">
        <f>IFERROR(AC218/AC444, "NA")</f>
        <v>-0.31157112576817769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480.73</v>
      </c>
      <c r="C222" s="8">
        <f>IFERROR(B222/B444, "NA")</f>
        <v>3.9960432746058861E-3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-480.73</v>
      </c>
      <c r="I222" s="8">
        <f>IFERROR(H222/H444, "NA")</f>
        <v>-2.9227279442655296E-2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-480.73</v>
      </c>
      <c r="O222" s="8">
        <f>IFERROR(N222/N444, "NA")</f>
        <v>-1.5429351811880852E-2</v>
      </c>
      <c r="P222" s="9"/>
      <c r="Q222" s="7">
        <v>611.91</v>
      </c>
      <c r="R222" s="8">
        <f>IFERROR(Q222/Q444, "NA")</f>
        <v>2.2961967325493119E-3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-611.91</v>
      </c>
      <c r="X222" s="8">
        <f>IFERROR(W222/W444, "NA")</f>
        <v>-1.7484916327227484E-2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-611.91</v>
      </c>
      <c r="AD222" s="8">
        <f>IFERROR(AC222/AC444, "NA")</f>
        <v>-9.6604972477742079E-3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103.85</v>
      </c>
      <c r="F226" s="8">
        <f>IFERROR(E226/E444, "NA")</f>
        <v>9.9996620239412221E-4</v>
      </c>
      <c r="G226" s="9"/>
      <c r="H226" s="10">
        <f t="shared" si="56"/>
        <v>103.85</v>
      </c>
      <c r="I226" s="8">
        <f>IFERROR(H226/H444, "NA")</f>
        <v>6.3138413873062883E-3</v>
      </c>
      <c r="J226" s="9"/>
      <c r="K226" s="7">
        <v>444.12</v>
      </c>
      <c r="L226" s="8">
        <f>IFERROR(K226/K444, "NA")</f>
        <v>4.9820151854317674E-3</v>
      </c>
      <c r="M226" s="9"/>
      <c r="N226" s="10">
        <f t="shared" si="57"/>
        <v>444.12</v>
      </c>
      <c r="O226" s="8">
        <f>IFERROR(N226/N444, "NA")</f>
        <v>1.4254329304791721E-2</v>
      </c>
      <c r="P226" s="9"/>
      <c r="Q226" s="7">
        <v>0</v>
      </c>
      <c r="R226" s="8">
        <f>IFERROR(Q226/Q444, "NA")</f>
        <v>0</v>
      </c>
      <c r="S226" s="9"/>
      <c r="T226" s="7">
        <v>231.49</v>
      </c>
      <c r="U226" s="8">
        <f>IFERROR(T226/T444, "NA")</f>
        <v>9.9999118760195826E-4</v>
      </c>
      <c r="V226" s="9"/>
      <c r="W226" s="10">
        <f t="shared" si="58"/>
        <v>231.49</v>
      </c>
      <c r="X226" s="8">
        <f>IFERROR(W226/W444, "NA")</f>
        <v>6.6146709166215465E-3</v>
      </c>
      <c r="Y226" s="9"/>
      <c r="Z226" s="7">
        <v>1218.83</v>
      </c>
      <c r="AA226" s="8">
        <f>IFERROR(Z226/Z444, "NA")</f>
        <v>5.9997431417038189E-3</v>
      </c>
      <c r="AB226" s="9"/>
      <c r="AC226" s="10">
        <f t="shared" si="59"/>
        <v>1218.83</v>
      </c>
      <c r="AD226" s="8">
        <f>IFERROR(AC226/AC444, "NA")</f>
        <v>1.9242215130500624E-2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9831.4599999999991</v>
      </c>
      <c r="C227" s="15">
        <f>IFERROR(B227/B444, "NA")</f>
        <v>8.1723503031965516E-2</v>
      </c>
      <c r="D227" s="2"/>
      <c r="E227" s="14">
        <f>IFERROR(E211+E213+E214+E215+E216+E217+E219+E220+E221+E222+E223+E224+E225+E226, "NA")</f>
        <v>4078.04</v>
      </c>
      <c r="F227" s="15">
        <f>IFERROR(E227/E444, "NA")</f>
        <v>3.9267233240359425E-2</v>
      </c>
      <c r="G227" s="2"/>
      <c r="H227" s="14">
        <f t="shared" si="56"/>
        <v>-5753.4199999999992</v>
      </c>
      <c r="I227" s="15">
        <f>IFERROR(H227/H444, "NA")</f>
        <v>-0.34979471655807165</v>
      </c>
      <c r="J227" s="2"/>
      <c r="K227" s="14">
        <f>IFERROR(K211+K213+K214+K215+K216+K217+K219+K220+K221+K222+K223+K224+K225+K226, "NA")</f>
        <v>1295.6199999999999</v>
      </c>
      <c r="L227" s="15">
        <f>IFERROR(K227/K444, "NA")</f>
        <v>1.4533906409414361E-2</v>
      </c>
      <c r="M227" s="2"/>
      <c r="N227" s="14">
        <f t="shared" si="57"/>
        <v>-8535.84</v>
      </c>
      <c r="O227" s="15">
        <f>IFERROR(N227/N444, "NA")</f>
        <v>-0.27396351043189537</v>
      </c>
      <c r="P227" s="2"/>
      <c r="Q227" s="14">
        <f>IFERROR(Q211+Q213+Q214+Q215+Q216+Q217+Q219+Q220+Q221+Q222+Q223+Q224+Q225+Q226, "NA")</f>
        <v>22242.249999999996</v>
      </c>
      <c r="R227" s="15">
        <f>IFERROR(Q227/Q444, "NA")</f>
        <v>8.3464205151974849E-2</v>
      </c>
      <c r="S227" s="2"/>
      <c r="T227" s="14">
        <f>IFERROR(T211+T213+T214+T215+T216+T217+T219+T220+T221+T222+T223+T224+T225+T226, "NA")</f>
        <v>9288.06</v>
      </c>
      <c r="U227" s="15">
        <f>IFERROR(T227/T444, "NA")</f>
        <v>4.012258909636806E-2</v>
      </c>
      <c r="V227" s="2"/>
      <c r="W227" s="14">
        <f t="shared" si="58"/>
        <v>-12954.189999999997</v>
      </c>
      <c r="X227" s="15">
        <f>IFERROR(W227/W444, "NA")</f>
        <v>-0.37015725880767913</v>
      </c>
      <c r="Y227" s="2"/>
      <c r="Z227" s="14">
        <f>IFERROR(Z211+Z213+Z214+Z215+Z216+Z217+Z219+Z220+Z221+Z222+Z223+Z224+Z225+Z226, "NA")</f>
        <v>3113.8</v>
      </c>
      <c r="AA227" s="15">
        <f>IFERROR(Z227/Z444, "NA")</f>
        <v>1.5327814539055778E-2</v>
      </c>
      <c r="AB227" s="2"/>
      <c r="AC227" s="14">
        <f t="shared" si="59"/>
        <v>-19128.449999999997</v>
      </c>
      <c r="AD227" s="15">
        <f>IFERROR(AC227/AC444, "NA")</f>
        <v>-0.30198940788545131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1370.87</v>
      </c>
      <c r="F229" s="8">
        <f>IFERROR(E229/E444, "NA")</f>
        <v>1.320003531897959E-2</v>
      </c>
      <c r="G229" s="9"/>
      <c r="H229" s="10">
        <f t="shared" ref="H229:H236" si="60">IFERROR(-(B229-E229), "NA")</f>
        <v>1370.87</v>
      </c>
      <c r="I229" s="8">
        <f>IFERROR(H229/H444, "NA")</f>
        <v>8.3345746197559675E-2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3055.7</v>
      </c>
      <c r="U229" s="8">
        <f>IFERROR(T229/T444, "NA")</f>
        <v>1.320002191004062E-2</v>
      </c>
      <c r="V229" s="9"/>
      <c r="W229" s="10">
        <f t="shared" ref="W229:W236" si="62">IFERROR(-(Q229-T229), "NA")</f>
        <v>3055.7</v>
      </c>
      <c r="X229" s="8">
        <f>IFERROR(W229/W444, "NA")</f>
        <v>8.7314570477862799E-2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-2.2151443710498745E-4</v>
      </c>
      <c r="AB230" s="9"/>
      <c r="AC230" s="10">
        <f t="shared" si="63"/>
        <v>-45</v>
      </c>
      <c r="AD230" s="8">
        <f>IFERROR(AC230/AC444, "NA")</f>
        <v>-7.104351557415949E-4</v>
      </c>
    </row>
    <row r="231" spans="1:30" ht="16.5" customHeight="1" x14ac:dyDescent="0.45">
      <c r="A231" s="6" t="s">
        <v>210</v>
      </c>
      <c r="B231" s="7">
        <v>313.58999999999997</v>
      </c>
      <c r="C231" s="8">
        <f>IFERROR(B231/B444, "NA")</f>
        <v>2.606700664580242E-3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-313.58999999999997</v>
      </c>
      <c r="I231" s="8">
        <f>IFERROR(H231/H444, "NA")</f>
        <v>-1.9065551474678661E-2</v>
      </c>
      <c r="J231" s="9"/>
      <c r="K231" s="7">
        <v>546.66999999999996</v>
      </c>
      <c r="L231" s="8">
        <f>IFERROR(K231/K444, "NA")</f>
        <v>6.1323926898585613E-3</v>
      </c>
      <c r="M231" s="9"/>
      <c r="N231" s="10">
        <f t="shared" si="61"/>
        <v>233.07999999999998</v>
      </c>
      <c r="O231" s="8">
        <f>IFERROR(N231/N444, "NA")</f>
        <v>7.4808589443412909E-3</v>
      </c>
      <c r="P231" s="9"/>
      <c r="Q231" s="7">
        <v>717.13</v>
      </c>
      <c r="R231" s="8">
        <f>IFERROR(Q231/Q444, "NA")</f>
        <v>2.6910355490400357E-3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-717.13</v>
      </c>
      <c r="X231" s="8">
        <f>IFERROR(W231/W444, "NA")</f>
        <v>-2.0491506995709573E-2</v>
      </c>
      <c r="Y231" s="9"/>
      <c r="Z231" s="7">
        <v>844.06</v>
      </c>
      <c r="AA231" s="8">
        <f>IFERROR(Z231/Z444, "NA")</f>
        <v>4.1549216840630152E-3</v>
      </c>
      <c r="AB231" s="9"/>
      <c r="AC231" s="10">
        <f t="shared" si="63"/>
        <v>126.92999999999995</v>
      </c>
      <c r="AD231" s="8">
        <f>IFERROR(AC231/AC444, "NA")</f>
        <v>2.0039007626284581E-3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1209.33</v>
      </c>
      <c r="C234" s="8">
        <f>IFERROR(B234/B444, "NA")</f>
        <v>1.0052493111058465E-2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-1209.33</v>
      </c>
      <c r="I234" s="8">
        <f>IFERROR(H234/H444, "NA")</f>
        <v>-7.3524485362649147E-2</v>
      </c>
      <c r="J234" s="9"/>
      <c r="K234" s="7">
        <v>535.89</v>
      </c>
      <c r="L234" s="8">
        <f>IFERROR(K234/K444, "NA")</f>
        <v>6.0114656347857107E-3</v>
      </c>
      <c r="M234" s="9"/>
      <c r="N234" s="10">
        <f t="shared" si="61"/>
        <v>-673.43999999999994</v>
      </c>
      <c r="O234" s="8">
        <f>IFERROR(N234/N444, "NA")</f>
        <v>-2.1614508527017327E-2</v>
      </c>
      <c r="P234" s="9"/>
      <c r="Q234" s="7">
        <v>2995.59</v>
      </c>
      <c r="R234" s="8">
        <f>IFERROR(Q234/Q444, "NA")</f>
        <v>1.1240973296820438E-2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-2995.59</v>
      </c>
      <c r="X234" s="8">
        <f>IFERROR(W234/W444, "NA")</f>
        <v>-8.5596967692437423E-2</v>
      </c>
      <c r="Y234" s="9"/>
      <c r="Z234" s="7">
        <v>1368.5</v>
      </c>
      <c r="AA234" s="8">
        <f>IFERROR(Z234/Z444, "NA")</f>
        <v>6.7365001595150074E-3</v>
      </c>
      <c r="AB234" s="9"/>
      <c r="AC234" s="10">
        <f t="shared" si="63"/>
        <v>-1627.0900000000001</v>
      </c>
      <c r="AD234" s="8">
        <f>IFERROR(AC234/AC444, "NA")</f>
        <v>-2.5687598612346485E-2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1522.9199999999998</v>
      </c>
      <c r="C236" s="15">
        <f>IFERROR(B236/B444, "NA")</f>
        <v>1.2659193775638707E-2</v>
      </c>
      <c r="D236" s="2"/>
      <c r="E236" s="14">
        <f>IFERROR(E229+E230+E231+E232+E233+E234+E235, "NA")</f>
        <v>1370.87</v>
      </c>
      <c r="F236" s="15">
        <f>IFERROR(E236/E444, "NA")</f>
        <v>1.320003531897959E-2</v>
      </c>
      <c r="G236" s="2"/>
      <c r="H236" s="14">
        <f t="shared" si="60"/>
        <v>-152.04999999999995</v>
      </c>
      <c r="I236" s="15">
        <f>IFERROR(H236/H444, "NA")</f>
        <v>-9.2442906397681365E-3</v>
      </c>
      <c r="J236" s="2"/>
      <c r="K236" s="14">
        <f>IFERROR(K229+K230+K231+K232+K233+K234+K235, "NA")</f>
        <v>1082.56</v>
      </c>
      <c r="L236" s="15">
        <f>IFERROR(K236/K444, "NA")</f>
        <v>1.2143858324644272E-2</v>
      </c>
      <c r="M236" s="2"/>
      <c r="N236" s="14">
        <f t="shared" si="61"/>
        <v>-440.3599999999999</v>
      </c>
      <c r="O236" s="15">
        <f>IFERROR(N236/N444, "NA")</f>
        <v>-1.4133649582676034E-2</v>
      </c>
      <c r="P236" s="2"/>
      <c r="Q236" s="14">
        <f>IFERROR(Q229+Q230+Q231+Q232+Q233+Q234+Q235, "NA")</f>
        <v>3712.7200000000003</v>
      </c>
      <c r="R236" s="15">
        <f>IFERROR(Q236/Q444, "NA")</f>
        <v>1.3932008845860473E-2</v>
      </c>
      <c r="S236" s="2"/>
      <c r="T236" s="14">
        <f>IFERROR(T229+T230+T231+T232+T233+T234+T235, "NA")</f>
        <v>3055.7</v>
      </c>
      <c r="U236" s="15">
        <f>IFERROR(T236/T444, "NA")</f>
        <v>1.320002191004062E-2</v>
      </c>
      <c r="V236" s="2"/>
      <c r="W236" s="14">
        <f t="shared" si="62"/>
        <v>-657.02000000000044</v>
      </c>
      <c r="X236" s="15">
        <f>IFERROR(W236/W444, "NA")</f>
        <v>-1.8773904210284208E-2</v>
      </c>
      <c r="Y236" s="2"/>
      <c r="Z236" s="14">
        <f>IFERROR(Z229+Z230+Z231+Z232+Z233+Z234+Z235, "NA")</f>
        <v>2167.56</v>
      </c>
      <c r="AA236" s="15">
        <f>IFERROR(Z236/Z444, "NA")</f>
        <v>1.0669907406473035E-2</v>
      </c>
      <c r="AB236" s="2"/>
      <c r="AC236" s="14">
        <f t="shared" si="63"/>
        <v>-1545.1600000000003</v>
      </c>
      <c r="AD236" s="15">
        <f>IFERROR(AC236/AC444, "NA")</f>
        <v>-2.4394133005459624E-2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6419.81</v>
      </c>
      <c r="F240" s="8">
        <f>IFERROR(E240/E444, "NA")</f>
        <v>6.1816013729338572E-2</v>
      </c>
      <c r="G240" s="9"/>
      <c r="H240" s="10">
        <f t="shared" ref="H240:H263" si="64">IFERROR(-(B240-E240), "NA")</f>
        <v>6419.81</v>
      </c>
      <c r="I240" s="8">
        <f>IFERROR(H240/H444, "NA")</f>
        <v>0.39030969741591515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14415.21</v>
      </c>
      <c r="U240" s="8">
        <f>IFERROR(T240/T444, "NA")</f>
        <v>6.2270866851404476E-2</v>
      </c>
      <c r="V240" s="9"/>
      <c r="W240" s="10">
        <f t="shared" ref="W240:W263" si="66">IFERROR(-(Q240-T240), "NA")</f>
        <v>14415.21</v>
      </c>
      <c r="X240" s="8">
        <f>IFERROR(W240/W444, "NA")</f>
        <v>0.41190492178492411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1627.98</v>
      </c>
      <c r="C242" s="8">
        <f>IFERROR(B242/B444, "NA")</f>
        <v>1.3532499594768144E-2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-1627.98</v>
      </c>
      <c r="I242" s="8">
        <f>IFERROR(H242/H444, "NA")</f>
        <v>-9.8977443444457316E-2</v>
      </c>
      <c r="J242" s="9"/>
      <c r="K242" s="7">
        <v>1393.53</v>
      </c>
      <c r="L242" s="8">
        <f>IFERROR(K242/K444, "NA")</f>
        <v>1.5632233678633548E-2</v>
      </c>
      <c r="M242" s="9"/>
      <c r="N242" s="10">
        <f t="shared" si="65"/>
        <v>-234.45000000000005</v>
      </c>
      <c r="O242" s="8">
        <f>IFERROR(N242/N444, "NA")</f>
        <v>-7.5248300133036556E-3</v>
      </c>
      <c r="P242" s="9"/>
      <c r="Q242" s="7">
        <v>4074.72</v>
      </c>
      <c r="R242" s="8">
        <f>IFERROR(Q242/Q444, "NA")</f>
        <v>1.5290416482903258E-2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-4074.72</v>
      </c>
      <c r="X242" s="8">
        <f>IFERROR(W242/W444, "NA")</f>
        <v>-0.1164323809986442</v>
      </c>
      <c r="Y242" s="9"/>
      <c r="Z242" s="7">
        <v>2919.31</v>
      </c>
      <c r="AA242" s="8">
        <f>IFERROR(Z242/Z444, "NA")</f>
        <v>1.4370429141888021E-2</v>
      </c>
      <c r="AB242" s="9"/>
      <c r="AC242" s="10">
        <f t="shared" si="67"/>
        <v>-1155.4099999999999</v>
      </c>
      <c r="AD242" s="8">
        <f>IFERROR(AC242/AC444, "NA")</f>
        <v>-1.8240975184342135E-2</v>
      </c>
    </row>
    <row r="243" spans="1:30" ht="16.5" customHeight="1" x14ac:dyDescent="0.45">
      <c r="A243" s="12" t="s">
        <v>220</v>
      </c>
      <c r="B243" s="7">
        <v>1100.01</v>
      </c>
      <c r="C243" s="8">
        <f>IFERROR(B243/B444, "NA")</f>
        <v>9.1437762621413704E-3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-1100.01</v>
      </c>
      <c r="I243" s="8">
        <f>IFERROR(H243/H444, "NA")</f>
        <v>-6.6878080543580076E-2</v>
      </c>
      <c r="J243" s="9"/>
      <c r="K243" s="7">
        <v>911.93</v>
      </c>
      <c r="L243" s="8">
        <f>IFERROR(K243/K444, "NA")</f>
        <v>1.0229778231223074E-2</v>
      </c>
      <c r="M243" s="9"/>
      <c r="N243" s="10">
        <f t="shared" si="65"/>
        <v>-188.08000000000004</v>
      </c>
      <c r="O243" s="8">
        <f>IFERROR(N243/N444, "NA")</f>
        <v>-6.0365537594461571E-3</v>
      </c>
      <c r="P243" s="9"/>
      <c r="Q243" s="7">
        <v>3843.72</v>
      </c>
      <c r="R243" s="8">
        <f>IFERROR(Q243/Q444, "NA")</f>
        <v>1.4423587300149436E-2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-3843.72</v>
      </c>
      <c r="X243" s="8">
        <f>IFERROR(W243/W444, "NA")</f>
        <v>-0.1098317115021667</v>
      </c>
      <c r="Y243" s="9"/>
      <c r="Z243" s="7">
        <v>1262.24</v>
      </c>
      <c r="AA243" s="8">
        <f>IFERROR(Z243/Z444, "NA")</f>
        <v>6.2134307353644306E-3</v>
      </c>
      <c r="AB243" s="9"/>
      <c r="AC243" s="10">
        <f t="shared" si="67"/>
        <v>-2581.4799999999996</v>
      </c>
      <c r="AD243" s="8">
        <f>IFERROR(AC243/AC444, "NA")</f>
        <v>-4.0754981018751385E-2</v>
      </c>
    </row>
    <row r="244" spans="1:30" ht="16.5" customHeight="1" x14ac:dyDescent="0.45">
      <c r="A244" s="12" t="s">
        <v>221</v>
      </c>
      <c r="B244" s="7">
        <v>559.58000000000004</v>
      </c>
      <c r="C244" s="8">
        <f>IFERROR(B244/B444, "NA")</f>
        <v>4.651479823609847E-3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-559.58000000000004</v>
      </c>
      <c r="I244" s="8">
        <f>IFERROR(H244/H444, "NA")</f>
        <v>-3.4021178271630752E-2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-559.58000000000004</v>
      </c>
      <c r="O244" s="8">
        <f>IFERROR(N244/N444, "NA")</f>
        <v>-1.7960095452524884E-2</v>
      </c>
      <c r="P244" s="9"/>
      <c r="Q244" s="7">
        <v>1296.83</v>
      </c>
      <c r="R244" s="8">
        <f>IFERROR(Q244/Q444, "NA")</f>
        <v>4.8663640219508168E-3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-1296.83</v>
      </c>
      <c r="X244" s="8">
        <f>IFERROR(W244/W444, "NA")</f>
        <v>-3.7056044255917402E-2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-1296.83</v>
      </c>
      <c r="AD244" s="8">
        <f>IFERROR(AC244/AC444, "NA")</f>
        <v>-2.047363606711939E-2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397.64</v>
      </c>
      <c r="C246" s="8">
        <f>IFERROR(B246/B444, "NA")</f>
        <v>3.305361944780406E-3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-397.64</v>
      </c>
      <c r="I246" s="8">
        <f>IFERROR(H246/H444, "NA")</f>
        <v>-2.4175598355786931E-2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-397.64</v>
      </c>
      <c r="O246" s="8">
        <f>IFERROR(N246/N444, "NA")</f>
        <v>-1.2762522527148922E-2</v>
      </c>
      <c r="P246" s="9"/>
      <c r="Q246" s="7">
        <v>1219.06</v>
      </c>
      <c r="R246" s="8">
        <f>IFERROR(Q246/Q444, "NA")</f>
        <v>4.5745315304236969E-3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-1219.06</v>
      </c>
      <c r="X246" s="8">
        <f>IFERROR(W246/W444, "NA")</f>
        <v>-3.4833818858769974E-2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-1219.06</v>
      </c>
      <c r="AD246" s="8">
        <f>IFERROR(AC246/AC444, "NA")</f>
        <v>-1.9245846243518858E-2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19.98</v>
      </c>
      <c r="L247" s="8">
        <f>IFERROR(K247/K444, "NA")</f>
        <v>2.2413010763966209E-4</v>
      </c>
      <c r="M247" s="9"/>
      <c r="N247" s="10">
        <f t="shared" si="65"/>
        <v>19.98</v>
      </c>
      <c r="O247" s="8">
        <f>IFERROR(N247/N444, "NA")</f>
        <v>6.4127150209344007E-4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61.95</v>
      </c>
      <c r="AA247" s="8">
        <f>IFERROR(Z247/Z444, "NA")</f>
        <v>3.0495154174786611E-4</v>
      </c>
      <c r="AB247" s="9"/>
      <c r="AC247" s="10">
        <f t="shared" si="67"/>
        <v>61.95</v>
      </c>
      <c r="AD247" s="8">
        <f>IFERROR(AC247/AC444, "NA")</f>
        <v>9.7803239773759567E-4</v>
      </c>
    </row>
    <row r="248" spans="1:30" ht="16.5" customHeight="1" x14ac:dyDescent="0.45">
      <c r="A248" s="12" t="s">
        <v>225</v>
      </c>
      <c r="B248" s="7">
        <v>322.13</v>
      </c>
      <c r="C248" s="8">
        <f>IFERROR(B248/B444, "NA")</f>
        <v>2.6776889731216984E-3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-322.13</v>
      </c>
      <c r="I248" s="8">
        <f>IFERROR(H248/H444, "NA")</f>
        <v>-1.9584763852604475E-2</v>
      </c>
      <c r="J248" s="9"/>
      <c r="K248" s="7">
        <v>501.74</v>
      </c>
      <c r="L248" s="8">
        <f>IFERROR(K248/K444, "NA")</f>
        <v>5.6283803907469492E-3</v>
      </c>
      <c r="M248" s="9"/>
      <c r="N248" s="10">
        <f t="shared" si="65"/>
        <v>179.61</v>
      </c>
      <c r="O248" s="8">
        <f>IFERROR(N248/N444, "NA")</f>
        <v>5.7647034279781168E-3</v>
      </c>
      <c r="P248" s="9"/>
      <c r="Q248" s="7">
        <v>796.48</v>
      </c>
      <c r="R248" s="8">
        <f>IFERROR(Q248/Q444, "NA")</f>
        <v>2.9887970020769004E-3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-796.48</v>
      </c>
      <c r="X248" s="8">
        <f>IFERROR(W248/W444, "NA")</f>
        <v>-2.2758879829239836E-2</v>
      </c>
      <c r="Y248" s="9"/>
      <c r="Z248" s="7">
        <v>633.79</v>
      </c>
      <c r="AA248" s="8">
        <f>IFERROR(Z248/Z444, "NA")</f>
        <v>3.119858557617111E-3</v>
      </c>
      <c r="AB248" s="9"/>
      <c r="AC248" s="10">
        <f t="shared" si="67"/>
        <v>-162.69000000000005</v>
      </c>
      <c r="AD248" s="8">
        <f>IFERROR(AC248/AC444, "NA")</f>
        <v>-2.5684598997244472E-3</v>
      </c>
    </row>
    <row r="249" spans="1:30" ht="16.5" customHeight="1" x14ac:dyDescent="0.45">
      <c r="A249" s="12" t="s">
        <v>226</v>
      </c>
      <c r="B249" s="7">
        <v>3215.83</v>
      </c>
      <c r="C249" s="8">
        <f>IFERROR(B249/B444, "NA")</f>
        <v>2.6731420638977901E-2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-3215.83</v>
      </c>
      <c r="I249" s="8">
        <f>IFERROR(H249/H444, "NA")</f>
        <v>-0.19551507509428198</v>
      </c>
      <c r="J249" s="9"/>
      <c r="K249" s="7">
        <v>1574.96</v>
      </c>
      <c r="L249" s="8">
        <f>IFERROR(K249/K444, "NA")</f>
        <v>1.7667465181589698E-2</v>
      </c>
      <c r="M249" s="9"/>
      <c r="N249" s="10">
        <f t="shared" si="65"/>
        <v>-1640.87</v>
      </c>
      <c r="O249" s="8">
        <f>IFERROR(N249/N444, "NA")</f>
        <v>-5.2664823305308452E-2</v>
      </c>
      <c r="P249" s="9"/>
      <c r="Q249" s="7">
        <v>6615.76</v>
      </c>
      <c r="R249" s="8">
        <f>IFERROR(Q249/Q444, "NA")</f>
        <v>2.4825687593486686E-2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-6615.76</v>
      </c>
      <c r="X249" s="8">
        <f>IFERROR(W249/W444, "NA")</f>
        <v>-0.18904088843296973</v>
      </c>
      <c r="Y249" s="9"/>
      <c r="Z249" s="7">
        <v>3759.08</v>
      </c>
      <c r="AA249" s="8">
        <f>IFERROR(Z249/Z444, "NA")</f>
        <v>1.8504233116280362E-2</v>
      </c>
      <c r="AB249" s="9"/>
      <c r="AC249" s="10">
        <f t="shared" si="67"/>
        <v>-2856.6800000000003</v>
      </c>
      <c r="AD249" s="8">
        <f>IFERROR(AC249/AC444, "NA")</f>
        <v>-4.5099686682308883E-2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2.9535258280664991E-6</v>
      </c>
      <c r="AB250" s="9"/>
      <c r="AC250" s="10">
        <f t="shared" si="67"/>
        <v>0.6</v>
      </c>
      <c r="AD250" s="8">
        <f>IFERROR(AC250/AC444, "NA")</f>
        <v>9.4724687432212655E-6</v>
      </c>
    </row>
    <row r="251" spans="1:30" ht="16.5" customHeight="1" x14ac:dyDescent="0.45">
      <c r="A251" s="12" t="s">
        <v>228</v>
      </c>
      <c r="B251" s="7">
        <v>71.27</v>
      </c>
      <c r="C251" s="8">
        <f>IFERROR(B251/B444, "NA")</f>
        <v>5.9242819083718816E-4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-71.27</v>
      </c>
      <c r="I251" s="8">
        <f>IFERROR(H251/H444, "NA")</f>
        <v>-4.3330522452895443E-3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-71.27</v>
      </c>
      <c r="O251" s="8">
        <f>IFERROR(N251/N444, "NA")</f>
        <v>-2.2874584561661396E-3</v>
      </c>
      <c r="P251" s="9"/>
      <c r="Q251" s="7">
        <v>137.46</v>
      </c>
      <c r="R251" s="8">
        <f>IFERROR(Q251/Q444, "NA")</f>
        <v>5.1581965134779367E-4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-137.46</v>
      </c>
      <c r="X251" s="8">
        <f>IFERROR(W251/W444, "NA")</f>
        <v>-3.9278269653064829E-3</v>
      </c>
      <c r="Y251" s="9"/>
      <c r="Z251" s="7">
        <v>69.53</v>
      </c>
      <c r="AA251" s="8">
        <f>IFERROR(Z251/Z444, "NA")</f>
        <v>3.4226441804243953E-4</v>
      </c>
      <c r="AB251" s="9"/>
      <c r="AC251" s="10">
        <f t="shared" si="67"/>
        <v>-67.930000000000007</v>
      </c>
      <c r="AD251" s="8">
        <f>IFERROR(AC251/AC444, "NA")</f>
        <v>-1.072441336211701E-3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68.03</v>
      </c>
      <c r="L255" s="8">
        <f>IFERROR(K255/K444, "NA")</f>
        <v>7.6314170283914968E-4</v>
      </c>
      <c r="M255" s="9"/>
      <c r="N255" s="10">
        <f t="shared" si="65"/>
        <v>68.03</v>
      </c>
      <c r="O255" s="8">
        <f>IFERROR(N255/N444, "NA")</f>
        <v>2.1834684828536898E-3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68.03</v>
      </c>
      <c r="AA255" s="8">
        <f>IFERROR(Z255/Z444, "NA")</f>
        <v>3.3488060347227326E-4</v>
      </c>
      <c r="AB255" s="9"/>
      <c r="AC255" s="10">
        <f t="shared" si="67"/>
        <v>68.03</v>
      </c>
      <c r="AD255" s="8">
        <f>IFERROR(AC255/AC444, "NA")</f>
        <v>1.0740200810022379E-3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31.38</v>
      </c>
      <c r="L256" s="8">
        <f>IFERROR(K256/K444, "NA")</f>
        <v>3.5201215103766747E-4</v>
      </c>
      <c r="M256" s="9"/>
      <c r="N256" s="10">
        <f t="shared" si="65"/>
        <v>31.38</v>
      </c>
      <c r="O256" s="8">
        <f>IFERROR(N256/N444, "NA")</f>
        <v>1.0071621489335409E-3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31.38</v>
      </c>
      <c r="AA256" s="8">
        <f>IFERROR(Z256/Z444, "NA")</f>
        <v>1.5446940080787792E-4</v>
      </c>
      <c r="AB256" s="9"/>
      <c r="AC256" s="10">
        <f t="shared" si="67"/>
        <v>31.38</v>
      </c>
      <c r="AD256" s="8">
        <f>IFERROR(AC256/AC444, "NA")</f>
        <v>4.9541011527047215E-4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7294.4400000000005</v>
      </c>
      <c r="C262" s="15">
        <f>IFERROR(B262/B444, "NA")</f>
        <v>6.063465542823656E-2</v>
      </c>
      <c r="D262" s="2"/>
      <c r="E262" s="14">
        <f>IFERROR(E240+E241+E242+E243+E244+E245+E246+E247+E248+E249+E250+E251+E252+E253+E254+E255+E256+E257+E258+E259+E260+E261, "NA")</f>
        <v>6419.81</v>
      </c>
      <c r="F262" s="15">
        <f>IFERROR(E262/E444, "NA")</f>
        <v>6.1816013729338572E-2</v>
      </c>
      <c r="G262" s="2"/>
      <c r="H262" s="14">
        <f t="shared" si="64"/>
        <v>-874.63000000000011</v>
      </c>
      <c r="I262" s="15">
        <f>IFERROR(H262/H444, "NA")</f>
        <v>-5.3175494391715941E-2</v>
      </c>
      <c r="J262" s="2"/>
      <c r="K262" s="14">
        <f>IFERROR(K240+K241+K242+K243+K244+K245+K246+K247+K248+K249+K250+K251+K252+K253+K254+K255+K256+K257+K258+K259+K260+K261, "NA")</f>
        <v>4501.55</v>
      </c>
      <c r="L262" s="15">
        <f>IFERROR(K262/K444, "NA")</f>
        <v>5.0497141443709752E-2</v>
      </c>
      <c r="M262" s="2"/>
      <c r="N262" s="14">
        <f t="shared" si="65"/>
        <v>-2792.8900000000003</v>
      </c>
      <c r="O262" s="15">
        <f>IFERROR(N262/N444, "NA")</f>
        <v>-8.9639677952039434E-2</v>
      </c>
      <c r="P262" s="2"/>
      <c r="Q262" s="14">
        <f>IFERROR(Q240+Q241+Q242+Q243+Q244+Q245+Q246+Q247+Q248+Q249+Q250+Q251+Q252+Q253+Q254+Q255+Q256+Q257+Q258+Q259+Q260+Q261, "NA")</f>
        <v>17984.03</v>
      </c>
      <c r="R262" s="15">
        <f>IFERROR(Q262/Q444, "NA")</f>
        <v>6.7485203582338588E-2</v>
      </c>
      <c r="S262" s="2"/>
      <c r="T262" s="14">
        <f>IFERROR(T240+T241+T242+T243+T244+T245+T246+T247+T248+T249+T250+T251+T252+T253+T254+T255+T256+T257+T258+T259+T260+T261, "NA")</f>
        <v>14415.21</v>
      </c>
      <c r="U262" s="15">
        <f>IFERROR(T262/T444, "NA")</f>
        <v>6.2270866851404476E-2</v>
      </c>
      <c r="V262" s="2"/>
      <c r="W262" s="14">
        <f t="shared" si="66"/>
        <v>-3568.8199999999997</v>
      </c>
      <c r="X262" s="15">
        <f>IFERROR(W262/W444, "NA")</f>
        <v>-0.10197662905809023</v>
      </c>
      <c r="Y262" s="2"/>
      <c r="Z262" s="14">
        <f>IFERROR(Z240+Z241+Z242+Z243+Z244+Z245+Z246+Z247+Z248+Z249+Z250+Z251+Z252+Z253+Z254+Z255+Z256+Z257+Z258+Z259+Z260+Z261, "NA")</f>
        <v>8805.91</v>
      </c>
      <c r="AA262" s="15">
        <f>IFERROR(Z262/Z444, "NA")</f>
        <v>4.3347471041048448E-2</v>
      </c>
      <c r="AB262" s="2"/>
      <c r="AC262" s="14">
        <f t="shared" si="67"/>
        <v>-9178.119999999999</v>
      </c>
      <c r="AD262" s="15">
        <f>IFERROR(AC262/AC444, "NA")</f>
        <v>-0.14489909136922327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7294.4400000000005</v>
      </c>
      <c r="C263" s="15">
        <f>IFERROR(B263/B444, "NA")</f>
        <v>6.063465542823656E-2</v>
      </c>
      <c r="D263" s="2"/>
      <c r="E263" s="14">
        <f>IFERROR(E238+E240+E241+E242+E243+E244+E245+E246+E247+E248+E249+E250+E251+E252+E253+E254+E255+E256+E257+E258+E259+E260+E261, "NA")</f>
        <v>6419.81</v>
      </c>
      <c r="F263" s="15">
        <f>IFERROR(E263/E444, "NA")</f>
        <v>6.1816013729338572E-2</v>
      </c>
      <c r="G263" s="2"/>
      <c r="H263" s="14">
        <f t="shared" si="64"/>
        <v>-874.63000000000011</v>
      </c>
      <c r="I263" s="15">
        <f>IFERROR(H263/H444, "NA")</f>
        <v>-5.3175494391715941E-2</v>
      </c>
      <c r="J263" s="2"/>
      <c r="K263" s="14">
        <f>IFERROR(K238+K240+K241+K242+K243+K244+K245+K246+K247+K248+K249+K250+K251+K252+K253+K254+K255+K256+K257+K258+K259+K260+K261, "NA")</f>
        <v>4501.55</v>
      </c>
      <c r="L263" s="15">
        <f>IFERROR(K263/K444, "NA")</f>
        <v>5.0497141443709752E-2</v>
      </c>
      <c r="M263" s="2"/>
      <c r="N263" s="14">
        <f t="shared" si="65"/>
        <v>-2792.8900000000003</v>
      </c>
      <c r="O263" s="15">
        <f>IFERROR(N263/N444, "NA")</f>
        <v>-8.9639677952039434E-2</v>
      </c>
      <c r="P263" s="2"/>
      <c r="Q263" s="14">
        <f>IFERROR(Q238+Q240+Q241+Q242+Q243+Q244+Q245+Q246+Q247+Q248+Q249+Q250+Q251+Q252+Q253+Q254+Q255+Q256+Q257+Q258+Q259+Q260+Q261, "NA")</f>
        <v>17984.03</v>
      </c>
      <c r="R263" s="15">
        <f>IFERROR(Q263/Q444, "NA")</f>
        <v>6.7485203582338588E-2</v>
      </c>
      <c r="S263" s="2"/>
      <c r="T263" s="14">
        <f>IFERROR(T238+T240+T241+T242+T243+T244+T245+T246+T247+T248+T249+T250+T251+T252+T253+T254+T255+T256+T257+T258+T259+T260+T261, "NA")</f>
        <v>14415.21</v>
      </c>
      <c r="U263" s="15">
        <f>IFERROR(T263/T444, "NA")</f>
        <v>6.2270866851404476E-2</v>
      </c>
      <c r="V263" s="2"/>
      <c r="W263" s="14">
        <f t="shared" si="66"/>
        <v>-3568.8199999999997</v>
      </c>
      <c r="X263" s="15">
        <f>IFERROR(W263/W444, "NA")</f>
        <v>-0.10197662905809023</v>
      </c>
      <c r="Y263" s="2"/>
      <c r="Z263" s="14">
        <f>IFERROR(Z238+Z240+Z241+Z242+Z243+Z244+Z245+Z246+Z247+Z248+Z249+Z250+Z251+Z252+Z253+Z254+Z255+Z256+Z257+Z258+Z259+Z260+Z261, "NA")</f>
        <v>8805.91</v>
      </c>
      <c r="AA263" s="15">
        <f>IFERROR(Z263/Z444, "NA")</f>
        <v>4.3347471041048448E-2</v>
      </c>
      <c r="AB263" s="2"/>
      <c r="AC263" s="14">
        <f t="shared" si="67"/>
        <v>-9178.119999999999</v>
      </c>
      <c r="AD263" s="15">
        <f>IFERROR(AC263/AC444, "NA")</f>
        <v>-0.14489909136922327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2772.9</v>
      </c>
      <c r="C265" s="8">
        <f>IFERROR(B265/B444, "NA")</f>
        <v>2.3049587910375185E-2</v>
      </c>
      <c r="D265" s="9"/>
      <c r="E265" s="7">
        <v>2700.19</v>
      </c>
      <c r="F265" s="8">
        <f>IFERROR(E265/E444, "NA")</f>
        <v>2.5999987867526098E-2</v>
      </c>
      <c r="G265" s="9"/>
      <c r="H265" s="10">
        <f>IFERROR(-(B265-E265), "NA")</f>
        <v>-72.710000000000036</v>
      </c>
      <c r="I265" s="8">
        <f>IFERROR(H265/H444, "NA")</f>
        <v>-4.4206009366494032E-3</v>
      </c>
      <c r="J265" s="9"/>
      <c r="K265" s="7">
        <v>2293.9</v>
      </c>
      <c r="L265" s="8">
        <f>IFERROR(K265/K444, "NA")</f>
        <v>2.5732335030761805E-2</v>
      </c>
      <c r="M265" s="9"/>
      <c r="N265" s="10">
        <f>IFERROR(-(B265-K265), "NA")</f>
        <v>-479</v>
      </c>
      <c r="O265" s="8">
        <f>IFERROR(N265/N444, "NA")</f>
        <v>-1.5373826301439327E-2</v>
      </c>
      <c r="P265" s="9"/>
      <c r="Q265" s="7">
        <v>5977.34</v>
      </c>
      <c r="R265" s="8">
        <f>IFERROR(Q265/Q444, "NA")</f>
        <v>2.2430011892821337E-2</v>
      </c>
      <c r="S265" s="9"/>
      <c r="T265" s="7">
        <v>6146.43</v>
      </c>
      <c r="U265" s="8">
        <f>IFERROR(T265/T444, "NA")</f>
        <v>2.6551366517829297E-2</v>
      </c>
      <c r="V265" s="9"/>
      <c r="W265" s="10">
        <f>IFERROR(-(Q265-T265), "NA")</f>
        <v>169.09000000000015</v>
      </c>
      <c r="X265" s="8">
        <f>IFERROR(W265/W444, "NA")</f>
        <v>4.831632922767887E-3</v>
      </c>
      <c r="Y265" s="9"/>
      <c r="Z265" s="7">
        <v>5169.49</v>
      </c>
      <c r="AA265" s="8">
        <f>IFERROR(Z265/Z444, "NA")</f>
        <v>2.5447037054885813E-2</v>
      </c>
      <c r="AB265" s="9"/>
      <c r="AC265" s="10">
        <f>IFERROR(-(Q265-Z265), "NA")</f>
        <v>-807.85000000000036</v>
      </c>
      <c r="AD265" s="8">
        <f>IFERROR(AC265/AC444, "NA")</f>
        <v>-1.2753889790352172E-2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2772.9</v>
      </c>
      <c r="C267" s="15">
        <f>IFERROR(B267/B444, "NA")</f>
        <v>2.3049587910375185E-2</v>
      </c>
      <c r="D267" s="2"/>
      <c r="E267" s="14">
        <f>IFERROR(E265+E266, "NA")</f>
        <v>2700.19</v>
      </c>
      <c r="F267" s="15">
        <f>IFERROR(E267/E444, "NA")</f>
        <v>2.5999987867526098E-2</v>
      </c>
      <c r="G267" s="2"/>
      <c r="H267" s="14">
        <f>IFERROR(-(B267-E267), "NA")</f>
        <v>-72.710000000000036</v>
      </c>
      <c r="I267" s="15">
        <f>IFERROR(H267/H444, "NA")</f>
        <v>-4.4206009366494032E-3</v>
      </c>
      <c r="J267" s="2"/>
      <c r="K267" s="14">
        <f>IFERROR(K265+K266, "NA")</f>
        <v>2293.9</v>
      </c>
      <c r="L267" s="15">
        <f>IFERROR(K267/K444, "NA")</f>
        <v>2.5732335030761805E-2</v>
      </c>
      <c r="M267" s="2"/>
      <c r="N267" s="14">
        <f>IFERROR(-(B267-K267), "NA")</f>
        <v>-479</v>
      </c>
      <c r="O267" s="15">
        <f>IFERROR(N267/N444, "NA")</f>
        <v>-1.5373826301439327E-2</v>
      </c>
      <c r="P267" s="2"/>
      <c r="Q267" s="14">
        <f>IFERROR(Q265+Q266, "NA")</f>
        <v>5977.34</v>
      </c>
      <c r="R267" s="15">
        <f>IFERROR(Q267/Q444, "NA")</f>
        <v>2.2430011892821337E-2</v>
      </c>
      <c r="S267" s="2"/>
      <c r="T267" s="14">
        <f>IFERROR(T265+T266, "NA")</f>
        <v>6146.43</v>
      </c>
      <c r="U267" s="15">
        <f>IFERROR(T267/T444, "NA")</f>
        <v>2.6551366517829297E-2</v>
      </c>
      <c r="V267" s="2"/>
      <c r="W267" s="14">
        <f>IFERROR(-(Q267-T267), "NA")</f>
        <v>169.09000000000015</v>
      </c>
      <c r="X267" s="15">
        <f>IFERROR(W267/W444, "NA")</f>
        <v>4.831632922767887E-3</v>
      </c>
      <c r="Y267" s="2"/>
      <c r="Z267" s="14">
        <f>IFERROR(Z265+Z266, "NA")</f>
        <v>5169.49</v>
      </c>
      <c r="AA267" s="15">
        <f>IFERROR(Z267/Z444, "NA")</f>
        <v>2.5447037054885813E-2</v>
      </c>
      <c r="AB267" s="2"/>
      <c r="AC267" s="14">
        <f>IFERROR(-(Q267-Z267), "NA")</f>
        <v>-807.85000000000036</v>
      </c>
      <c r="AD267" s="15">
        <f>IFERROR(AC267/AC444, "NA")</f>
        <v>-1.2753889790352172E-2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429.37</v>
      </c>
      <c r="C270" s="8">
        <f>IFERROR(B270/B444, "NA")</f>
        <v>3.5691159295603131E-3</v>
      </c>
      <c r="D270" s="9"/>
      <c r="E270" s="7">
        <v>230.09</v>
      </c>
      <c r="F270" s="8">
        <f>IFERROR(E270/E444, "NA")</f>
        <v>2.2155245402875647E-3</v>
      </c>
      <c r="G270" s="9"/>
      <c r="H270" s="10">
        <f>IFERROR(-(B270-E270), "NA")</f>
        <v>-199.28</v>
      </c>
      <c r="I270" s="8">
        <f>IFERROR(H270/H444, "NA")</f>
        <v>-1.2115766120966752E-2</v>
      </c>
      <c r="J270" s="9"/>
      <c r="K270" s="7">
        <v>296.5</v>
      </c>
      <c r="L270" s="8">
        <f>IFERROR(K270/K444, "NA")</f>
        <v>3.326054900658649E-3</v>
      </c>
      <c r="M270" s="9"/>
      <c r="N270" s="10">
        <f>IFERROR(-(B270-K270), "NA")</f>
        <v>-132.87</v>
      </c>
      <c r="O270" s="8">
        <f>IFERROR(N270/N444, "NA")</f>
        <v>-4.2645517759337028E-3</v>
      </c>
      <c r="P270" s="9"/>
      <c r="Q270" s="7">
        <v>1113.8699999999999</v>
      </c>
      <c r="R270" s="8">
        <f>IFERROR(Q270/Q444, "NA")</f>
        <v>4.1798052891515126E-3</v>
      </c>
      <c r="S270" s="9"/>
      <c r="T270" s="7">
        <v>554.66</v>
      </c>
      <c r="U270" s="8">
        <f>IFERROR(T270/T444, "NA")</f>
        <v>2.3960219107317898E-3</v>
      </c>
      <c r="V270" s="9"/>
      <c r="W270" s="10">
        <f>IFERROR(-(Q270-T270), "NA")</f>
        <v>-559.20999999999992</v>
      </c>
      <c r="X270" s="8">
        <f>IFERROR(W270/W444, "NA")</f>
        <v>-1.5979049303572225E-2</v>
      </c>
      <c r="Y270" s="9"/>
      <c r="Z270" s="7">
        <v>889.5</v>
      </c>
      <c r="AA270" s="8">
        <f>IFERROR(Z270/Z444, "NA")</f>
        <v>4.3786020401085854E-3</v>
      </c>
      <c r="AB270" s="9"/>
      <c r="AC270" s="10">
        <f>IFERROR(-(Q270-Z270), "NA")</f>
        <v>-224.36999999999989</v>
      </c>
      <c r="AD270" s="8">
        <f>IFERROR(AC270/AC444, "NA")</f>
        <v>-3.5422296865275905E-3</v>
      </c>
    </row>
    <row r="271" spans="1:30" ht="16.5" customHeight="1" x14ac:dyDescent="0.45">
      <c r="A271" s="6" t="s">
        <v>246</v>
      </c>
      <c r="B271" s="7">
        <v>952.74</v>
      </c>
      <c r="C271" s="8">
        <f>IFERROR(B271/B444, "NA")</f>
        <v>7.9196019999750629E-3</v>
      </c>
      <c r="D271" s="9"/>
      <c r="E271" s="7">
        <v>623.12</v>
      </c>
      <c r="F271" s="8">
        <f>IFERROR(E271/E444, "NA")</f>
        <v>5.999989793315604E-3</v>
      </c>
      <c r="G271" s="9"/>
      <c r="H271" s="10">
        <f>IFERROR(-(B271-E271), "NA")</f>
        <v>-329.62</v>
      </c>
      <c r="I271" s="8">
        <f>IFERROR(H271/H444, "NA")</f>
        <v>-2.0040138643080393E-2</v>
      </c>
      <c r="J271" s="9"/>
      <c r="K271" s="7">
        <v>762.02</v>
      </c>
      <c r="L271" s="8">
        <f>IFERROR(K271/K444, "NA")</f>
        <v>8.5481293605393031E-3</v>
      </c>
      <c r="M271" s="9"/>
      <c r="N271" s="10">
        <f>IFERROR(-(B271-K271), "NA")</f>
        <v>-190.72000000000003</v>
      </c>
      <c r="O271" s="8">
        <f>IFERROR(N271/N444, "NA")</f>
        <v>-6.1212863302933379E-3</v>
      </c>
      <c r="P271" s="9"/>
      <c r="Q271" s="7">
        <v>2858.22</v>
      </c>
      <c r="R271" s="8">
        <f>IFERROR(Q271/Q444, "NA")</f>
        <v>1.072549137112826E-2</v>
      </c>
      <c r="S271" s="9"/>
      <c r="T271" s="7">
        <v>1388.95</v>
      </c>
      <c r="U271" s="8">
        <f>IFERROR(T271/T444, "NA")</f>
        <v>5.9999903236413656E-3</v>
      </c>
      <c r="V271" s="9"/>
      <c r="W271" s="10">
        <f>IFERROR(-(Q271-T271), "NA")</f>
        <v>-1469.2699999999998</v>
      </c>
      <c r="X271" s="8">
        <f>IFERROR(W271/W444, "NA")</f>
        <v>-4.1983401173547617E-2</v>
      </c>
      <c r="Y271" s="9"/>
      <c r="Z271" s="7">
        <v>2286.06</v>
      </c>
      <c r="AA271" s="8">
        <f>IFERROR(Z271/Z444, "NA")</f>
        <v>1.1253228757516168E-2</v>
      </c>
      <c r="AB271" s="9"/>
      <c r="AC271" s="10">
        <f>IFERROR(-(Q271-Z271), "NA")</f>
        <v>-572.15999999999985</v>
      </c>
      <c r="AD271" s="8">
        <f>IFERROR(AC271/AC444, "NA")</f>
        <v>-9.0329461935357968E-3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1382.1100000000001</v>
      </c>
      <c r="C273" s="15">
        <f>IFERROR(B273/B444, "NA")</f>
        <v>1.1488717929535376E-2</v>
      </c>
      <c r="D273" s="2"/>
      <c r="E273" s="14">
        <f>IFERROR(E269+E270+E271+E272, "NA")</f>
        <v>853.21</v>
      </c>
      <c r="F273" s="15">
        <f>IFERROR(E273/E444, "NA")</f>
        <v>8.2155143336031695E-3</v>
      </c>
      <c r="G273" s="2"/>
      <c r="H273" s="14">
        <f>IFERROR(-(B273-E273), "NA")</f>
        <v>-528.90000000000009</v>
      </c>
      <c r="I273" s="15">
        <f>IFERROR(H273/H444, "NA")</f>
        <v>-3.2155904764047151E-2</v>
      </c>
      <c r="J273" s="2"/>
      <c r="K273" s="14">
        <f>IFERROR(K269+K270+K271+K272, "NA")</f>
        <v>1058.52</v>
      </c>
      <c r="L273" s="15">
        <f>IFERROR(K273/K444, "NA")</f>
        <v>1.1874184261197952E-2</v>
      </c>
      <c r="M273" s="2"/>
      <c r="N273" s="14">
        <f>IFERROR(-(B273-K273), "NA")</f>
        <v>-323.59000000000015</v>
      </c>
      <c r="O273" s="15">
        <f>IFERROR(N273/N444, "NA")</f>
        <v>-1.0385838106227044E-2</v>
      </c>
      <c r="P273" s="2"/>
      <c r="Q273" s="14">
        <f>IFERROR(Q269+Q270+Q271+Q272, "NA")</f>
        <v>3972.0899999999997</v>
      </c>
      <c r="R273" s="15">
        <f>IFERROR(Q273/Q444, "NA")</f>
        <v>1.4905296660279774E-2</v>
      </c>
      <c r="S273" s="2"/>
      <c r="T273" s="14">
        <f>IFERROR(T269+T270+T271+T272, "NA")</f>
        <v>1943.6100000000001</v>
      </c>
      <c r="U273" s="15">
        <f>IFERROR(T273/T444, "NA")</f>
        <v>8.3960122343731559E-3</v>
      </c>
      <c r="V273" s="2"/>
      <c r="W273" s="14">
        <f>IFERROR(-(Q273-T273), "NA")</f>
        <v>-2028.4799999999996</v>
      </c>
      <c r="X273" s="15">
        <f>IFERROR(W273/W444, "NA")</f>
        <v>-5.7962450477119835E-2</v>
      </c>
      <c r="Y273" s="2"/>
      <c r="Z273" s="14">
        <f>IFERROR(Z269+Z270+Z271+Z272, "NA")</f>
        <v>3175.56</v>
      </c>
      <c r="AA273" s="15">
        <f>IFERROR(Z273/Z444, "NA")</f>
        <v>1.5631830797624754E-2</v>
      </c>
      <c r="AB273" s="2"/>
      <c r="AC273" s="14">
        <f>IFERROR(-(Q273-Z273), "NA")</f>
        <v>-796.52999999999975</v>
      </c>
      <c r="AD273" s="15">
        <f>IFERROR(AC273/AC444, "NA")</f>
        <v>-1.2575175880063388E-2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3.1871816369037505E-3</v>
      </c>
      <c r="G287" s="9"/>
      <c r="H287" s="10">
        <f t="shared" si="72"/>
        <v>331</v>
      </c>
      <c r="I287" s="8">
        <f>IFERROR(H287/H444, "NA")</f>
        <v>2.0124039472300258E-2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993</v>
      </c>
      <c r="U287" s="8">
        <f>IFERROR(T287/T444, "NA")</f>
        <v>4.2895643409596286E-3</v>
      </c>
      <c r="V287" s="9"/>
      <c r="W287" s="10">
        <f t="shared" si="74"/>
        <v>993</v>
      </c>
      <c r="X287" s="8">
        <f>IFERROR(W287/W444, "NA")</f>
        <v>2.837430653680589E-2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1.1429616422072876E-3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-8.3596840708195924E-3</v>
      </c>
      <c r="J288" s="9"/>
      <c r="K288" s="7">
        <v>137.5</v>
      </c>
      <c r="L288" s="8">
        <f>IFERROR(K288/K444, "NA")</f>
        <v>1.5424369269496263E-3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412.5</v>
      </c>
      <c r="R288" s="8">
        <f>IFERROR(Q288/Q444, "NA")</f>
        <v>1.547909254917539E-3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-412.5</v>
      </c>
      <c r="X288" s="8">
        <f>IFERROR(W288/W444, "NA")</f>
        <v>-1.1786909815138398E-2</v>
      </c>
      <c r="Y288" s="9"/>
      <c r="Z288" s="7">
        <v>412.5</v>
      </c>
      <c r="AA288" s="8">
        <f>IFERROR(Z288/Z444, "NA")</f>
        <v>2.0305490067957185E-3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220.88</v>
      </c>
      <c r="C289" s="8">
        <f>IFERROR(B289/B444, "NA")</f>
        <v>1.8360535820417865E-3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-220.88</v>
      </c>
      <c r="I289" s="8">
        <f>IFERROR(H289/H444, "NA")</f>
        <v>-1.3428996491364593E-2</v>
      </c>
      <c r="J289" s="9"/>
      <c r="K289" s="7">
        <v>198.58</v>
      </c>
      <c r="L289" s="8">
        <f>IFERROR(K289/K444, "NA")</f>
        <v>2.2276154542084131E-3</v>
      </c>
      <c r="M289" s="9"/>
      <c r="N289" s="10">
        <f t="shared" si="73"/>
        <v>-22.299999999999983</v>
      </c>
      <c r="O289" s="8">
        <f>IFERROR(N289/N444, "NA")</f>
        <v>-7.1573345829247751E-4</v>
      </c>
      <c r="P289" s="9"/>
      <c r="Q289" s="7">
        <v>659.73</v>
      </c>
      <c r="R289" s="8">
        <f>IFERROR(Q289/Q444, "NA")</f>
        <v>2.4756416309012074E-3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-659.73</v>
      </c>
      <c r="X289" s="8">
        <f>IFERROR(W289/W444, "NA")</f>
        <v>-1.8851340635978802E-2</v>
      </c>
      <c r="Y289" s="9"/>
      <c r="Z289" s="7">
        <v>595.74</v>
      </c>
      <c r="AA289" s="8">
        <f>IFERROR(Z289/Z444, "NA")</f>
        <v>2.9325557946872274E-3</v>
      </c>
      <c r="AB289" s="9"/>
      <c r="AC289" s="10">
        <f t="shared" si="75"/>
        <v>-63.990000000000009</v>
      </c>
      <c r="AD289" s="8">
        <f>IFERROR(AC289/AC444, "NA")</f>
        <v>-1.0102387914645481E-3</v>
      </c>
    </row>
    <row r="290" spans="1:30" ht="16.5" customHeight="1" x14ac:dyDescent="0.45">
      <c r="A290" s="6" t="s">
        <v>263</v>
      </c>
      <c r="B290" s="7">
        <v>790</v>
      </c>
      <c r="C290" s="8">
        <f>IFERROR(B290/B444, "NA")</f>
        <v>6.5668341625000522E-3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-790</v>
      </c>
      <c r="I290" s="8">
        <f>IFERROR(H290/H444, "NA")</f>
        <v>-4.8030184843254387E-2</v>
      </c>
      <c r="J290" s="9"/>
      <c r="K290" s="7">
        <v>1252.42</v>
      </c>
      <c r="L290" s="8">
        <f>IFERROR(K290/K444, "NA")</f>
        <v>1.4049300771274554E-2</v>
      </c>
      <c r="M290" s="9"/>
      <c r="N290" s="10">
        <f t="shared" si="73"/>
        <v>462.42000000000007</v>
      </c>
      <c r="O290" s="8">
        <f>IFERROR(N290/N444, "NA")</f>
        <v>1.4841680079982411E-2</v>
      </c>
      <c r="P290" s="9"/>
      <c r="Q290" s="7">
        <v>2415.3200000000002</v>
      </c>
      <c r="R290" s="8">
        <f>IFERROR(Q290/Q444, "NA")</f>
        <v>9.0635058947574065E-3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-2415.3200000000002</v>
      </c>
      <c r="X290" s="8">
        <f>IFERROR(W290/W444, "NA")</f>
        <v>-6.9016143065939589E-2</v>
      </c>
      <c r="Y290" s="9"/>
      <c r="Z290" s="7">
        <v>3583.9</v>
      </c>
      <c r="AA290" s="8">
        <f>IFERROR(Z290/Z444, "NA")</f>
        <v>1.7641902025345879E-2</v>
      </c>
      <c r="AB290" s="9"/>
      <c r="AC290" s="10">
        <f t="shared" si="75"/>
        <v>1168.58</v>
      </c>
      <c r="AD290" s="8">
        <f>IFERROR(AC290/AC444, "NA")</f>
        <v>1.8448895873255843E-2</v>
      </c>
    </row>
    <row r="291" spans="1:30" ht="16.5" customHeight="1" x14ac:dyDescent="0.45">
      <c r="A291" s="6" t="s">
        <v>264</v>
      </c>
      <c r="B291" s="7">
        <v>1910.72</v>
      </c>
      <c r="C291" s="8">
        <f>IFERROR(B291/B444, "NA")</f>
        <v>1.5882761229078605E-2</v>
      </c>
      <c r="D291" s="9"/>
      <c r="E291" s="7">
        <v>1246.24</v>
      </c>
      <c r="F291" s="8">
        <f>IFERROR(E291/E444, "NA")</f>
        <v>1.1999979586631208E-2</v>
      </c>
      <c r="G291" s="9"/>
      <c r="H291" s="10">
        <f t="shared" si="72"/>
        <v>-664.48</v>
      </c>
      <c r="I291" s="8">
        <f>IFERROR(H291/H444, "NA")</f>
        <v>-4.0398857246386935E-2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-1910.72</v>
      </c>
      <c r="O291" s="8">
        <f>IFERROR(N291/N444, "NA")</f>
        <v>-6.1325840064062949E-2</v>
      </c>
      <c r="P291" s="9"/>
      <c r="Q291" s="7">
        <v>6479.22</v>
      </c>
      <c r="R291" s="8">
        <f>IFERROR(Q291/Q444, "NA")</f>
        <v>2.4313320248840767E-2</v>
      </c>
      <c r="S291" s="9"/>
      <c r="T291" s="7">
        <v>2777.91</v>
      </c>
      <c r="U291" s="8">
        <f>IFERROR(T291/T444, "NA")</f>
        <v>1.2000023845312348E-2</v>
      </c>
      <c r="V291" s="9"/>
      <c r="W291" s="10">
        <f t="shared" si="74"/>
        <v>-3701.3100000000004</v>
      </c>
      <c r="X291" s="8">
        <f>IFERROR(W291/W444, "NA")</f>
        <v>-0.10576244161907856</v>
      </c>
      <c r="Y291" s="9"/>
      <c r="Z291" s="7">
        <v>1439.45</v>
      </c>
      <c r="AA291" s="8">
        <f>IFERROR(Z291/Z444, "NA")</f>
        <v>7.0857545886838713E-3</v>
      </c>
      <c r="AB291" s="9"/>
      <c r="AC291" s="10">
        <f t="shared" si="75"/>
        <v>-5039.7700000000004</v>
      </c>
      <c r="AD291" s="8">
        <f>IFERROR(AC291/AC444, "NA")</f>
        <v>-7.9565106330040408E-2</v>
      </c>
    </row>
    <row r="292" spans="1:30" ht="16.5" customHeight="1" x14ac:dyDescent="0.45">
      <c r="A292" s="6" t="s">
        <v>265</v>
      </c>
      <c r="B292" s="7">
        <v>1038.82</v>
      </c>
      <c r="C292" s="8">
        <f>IFERROR(B292/B444, "NA")</f>
        <v>8.6351375502383594E-3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-1038.82</v>
      </c>
      <c r="I292" s="8">
        <f>IFERROR(H292/H444, "NA")</f>
        <v>-6.3157869137809519E-2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-1038.82</v>
      </c>
      <c r="O292" s="8">
        <f>IFERROR(N292/N444, "NA")</f>
        <v>-3.3341624714950314E-2</v>
      </c>
      <c r="P292" s="9"/>
      <c r="Q292" s="7">
        <v>1038.82</v>
      </c>
      <c r="R292" s="8">
        <f>IFERROR(Q292/Q444, "NA")</f>
        <v>3.8981796174386366E-3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-1038.82</v>
      </c>
      <c r="X292" s="8">
        <f>IFERROR(W292/W444, "NA")</f>
        <v>-2.9683582191908049E-2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-1038.82</v>
      </c>
      <c r="AD292" s="8">
        <f>IFERROR(AC292/AC444, "NA")</f>
        <v>-1.640031663305519E-2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722.97</v>
      </c>
      <c r="C294" s="8">
        <f>IFERROR(B294/B444, "NA")</f>
        <v>6.009650752484383E-3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-722.97</v>
      </c>
      <c r="I294" s="8">
        <f>IFERROR(H294/H444, "NA")</f>
        <v>-4.3954914855857757E-2</v>
      </c>
      <c r="J294" s="9"/>
      <c r="K294" s="7">
        <v>345</v>
      </c>
      <c r="L294" s="8">
        <f>IFERROR(K294/K444, "NA")</f>
        <v>3.8701144712554262E-3</v>
      </c>
      <c r="M294" s="9"/>
      <c r="N294" s="10">
        <f t="shared" si="73"/>
        <v>-377.97</v>
      </c>
      <c r="O294" s="8">
        <f>IFERROR(N294/N444, "NA")</f>
        <v>-1.2131200682995873E-2</v>
      </c>
      <c r="P294" s="9"/>
      <c r="Q294" s="7">
        <v>1372.96</v>
      </c>
      <c r="R294" s="8">
        <f>IFERROR(Q294/Q444, "NA")</f>
        <v>5.152042401531113E-3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-1372.96</v>
      </c>
      <c r="X294" s="8">
        <f>IFERROR(W294/W444, "NA")</f>
        <v>-3.9231407757072526E-2</v>
      </c>
      <c r="Y294" s="9"/>
      <c r="Z294" s="7">
        <v>1035</v>
      </c>
      <c r="AA294" s="8">
        <f>IFERROR(Z294/Z444, "NA")</f>
        <v>5.0948320534147115E-3</v>
      </c>
      <c r="AB294" s="9"/>
      <c r="AC294" s="10">
        <f t="shared" si="75"/>
        <v>-337.96000000000004</v>
      </c>
      <c r="AD294" s="8">
        <f>IFERROR(AC294/AC444, "NA")</f>
        <v>-5.3355258940984323E-3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4820.8900000000003</v>
      </c>
      <c r="C295" s="15">
        <f>IFERROR(B295/B444, "NA")</f>
        <v>4.0073398918550475E-2</v>
      </c>
      <c r="D295" s="2"/>
      <c r="E295" s="14">
        <f>IFERROR(E286+E287+E288+E289+E290+E291+E292+E293+E294, "NA")</f>
        <v>1577.24</v>
      </c>
      <c r="F295" s="15">
        <f>IFERROR(E295/E444, "NA")</f>
        <v>1.5187161223534959E-2</v>
      </c>
      <c r="G295" s="2"/>
      <c r="H295" s="14">
        <f t="shared" si="72"/>
        <v>-3243.6500000000005</v>
      </c>
      <c r="I295" s="15">
        <f>IFERROR(H295/H444, "NA")</f>
        <v>-0.19720646717319257</v>
      </c>
      <c r="J295" s="2"/>
      <c r="K295" s="14">
        <f>IFERROR(K286+K287+K288+K289+K290+K291+K292+K293+K294, "NA")</f>
        <v>1933.5</v>
      </c>
      <c r="L295" s="15">
        <f>IFERROR(K295/K444, "NA")</f>
        <v>2.1689467623688018E-2</v>
      </c>
      <c r="M295" s="2"/>
      <c r="N295" s="14">
        <f t="shared" si="73"/>
        <v>-2887.3900000000003</v>
      </c>
      <c r="O295" s="15">
        <f>IFERROR(N295/N444, "NA")</f>
        <v>-9.2672718840319218E-2</v>
      </c>
      <c r="P295" s="2"/>
      <c r="Q295" s="14">
        <f>IFERROR(Q286+Q287+Q288+Q289+Q290+Q291+Q292+Q293+Q294, "NA")</f>
        <v>12378.55</v>
      </c>
      <c r="R295" s="15">
        <f>IFERROR(Q295/Q444, "NA")</f>
        <v>4.6450599048386665E-2</v>
      </c>
      <c r="S295" s="2"/>
      <c r="T295" s="14">
        <f>IFERROR(T286+T287+T288+T289+T290+T291+T292+T293+T294, "NA")</f>
        <v>3770.91</v>
      </c>
      <c r="U295" s="15">
        <f>IFERROR(T295/T444, "NA")</f>
        <v>1.6289588186271978E-2</v>
      </c>
      <c r="V295" s="2"/>
      <c r="W295" s="14">
        <f t="shared" si="74"/>
        <v>-8607.64</v>
      </c>
      <c r="X295" s="15">
        <f>IFERROR(W295/W444, "NA")</f>
        <v>-0.24595751854830999</v>
      </c>
      <c r="Y295" s="2"/>
      <c r="Z295" s="14">
        <f>IFERROR(Z286+Z287+Z288+Z289+Z290+Z291+Z292+Z293+Z294, "NA")</f>
        <v>7066.59</v>
      </c>
      <c r="AA295" s="15">
        <f>IFERROR(Z295/Z444, "NA")</f>
        <v>3.4785593468927407E-2</v>
      </c>
      <c r="AB295" s="2"/>
      <c r="AC295" s="14">
        <f t="shared" si="75"/>
        <v>-5311.9599999999991</v>
      </c>
      <c r="AD295" s="15">
        <f>IFERROR(AC295/AC444, "NA")</f>
        <v>-8.3862291775402706E-2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1350.1</v>
      </c>
      <c r="F297" s="8">
        <f>IFERROR(E297/E444, "NA")</f>
        <v>1.3000042078500765E-2</v>
      </c>
      <c r="G297" s="9"/>
      <c r="H297" s="10">
        <f t="shared" ref="H297:H325" si="76">IFERROR(-(B297-E297), "NA")</f>
        <v>1350.1</v>
      </c>
      <c r="I297" s="8">
        <f>IFERROR(H297/H444, "NA")</f>
        <v>8.2082977920098416E-2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3009.4</v>
      </c>
      <c r="U297" s="8">
        <f>IFERROR(T297/T444, "NA")</f>
        <v>1.3000015032914307E-2</v>
      </c>
      <c r="V297" s="9"/>
      <c r="W297" s="10">
        <f t="shared" ref="W297:W325" si="78">IFERROR(-(Q297-T297), "NA")</f>
        <v>3009.4</v>
      </c>
      <c r="X297" s="8">
        <f>IFERROR(W297/W444, "NA")</f>
        <v>8.5991579145884844E-2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0</v>
      </c>
      <c r="R299" s="8">
        <f>IFERROR(Q299/Q444, "NA")</f>
        <v>0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0</v>
      </c>
      <c r="X299" s="8">
        <f>IFERROR(W299/W444, "NA")</f>
        <v>0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0</v>
      </c>
      <c r="AD299" s="8">
        <f>IFERROR(AC299/AC444, "NA")</f>
        <v>0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5.59</v>
      </c>
      <c r="R305" s="8">
        <f>IFERROR(Q305/Q444, "NA")</f>
        <v>2.0976515721185558E-5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-5.59</v>
      </c>
      <c r="X305" s="8">
        <f>IFERROR(W305/W444, "NA")</f>
        <v>-1.5973048694939066E-4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-5.59</v>
      </c>
      <c r="AD305" s="8">
        <f>IFERROR(AC305/AC444, "NA")</f>
        <v>-8.825183379101146E-5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40.119999999999997</v>
      </c>
      <c r="AA310" s="8">
        <f>IFERROR(Z310/Z444, "NA")</f>
        <v>1.9749242703671324E-4</v>
      </c>
      <c r="AB310" s="9"/>
      <c r="AC310" s="10">
        <f t="shared" si="79"/>
        <v>40.119999999999997</v>
      </c>
      <c r="AD310" s="8">
        <f>IFERROR(AC310/AC444, "NA")</f>
        <v>6.3339240996339525E-4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2.2747699159539686E-4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-1.7321756921059143E-3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-9.5703509202345522E-4</v>
      </c>
    </row>
    <row r="312" spans="1:30" ht="16.5" customHeight="1" x14ac:dyDescent="0.45">
      <c r="A312" s="6" t="s">
        <v>284</v>
      </c>
      <c r="B312" s="7">
        <v>0</v>
      </c>
      <c r="C312" s="8">
        <f>IFERROR(B312/B444, "NA")</f>
        <v>0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0</v>
      </c>
      <c r="I312" s="8">
        <f>IFERROR(H312/H444, "NA")</f>
        <v>0</v>
      </c>
      <c r="J312" s="9"/>
      <c r="K312" s="7">
        <v>46</v>
      </c>
      <c r="L312" s="8">
        <f>IFERROR(K312/K444, "NA")</f>
        <v>5.160152628340568E-4</v>
      </c>
      <c r="M312" s="9"/>
      <c r="N312" s="10">
        <f t="shared" si="77"/>
        <v>46</v>
      </c>
      <c r="O312" s="8">
        <f>IFERROR(N312/N444, "NA")</f>
        <v>1.4764008556705827E-3</v>
      </c>
      <c r="P312" s="9"/>
      <c r="Q312" s="7">
        <v>0</v>
      </c>
      <c r="R312" s="8">
        <f>IFERROR(Q312/Q444, "NA")</f>
        <v>0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0</v>
      </c>
      <c r="X312" s="8">
        <f>IFERROR(W312/W444, "NA")</f>
        <v>0</v>
      </c>
      <c r="Y312" s="9"/>
      <c r="Z312" s="7">
        <v>46</v>
      </c>
      <c r="AA312" s="8">
        <f>IFERROR(Z312/Z444, "NA")</f>
        <v>2.2643698015176495E-4</v>
      </c>
      <c r="AB312" s="9"/>
      <c r="AC312" s="10">
        <f t="shared" si="79"/>
        <v>46</v>
      </c>
      <c r="AD312" s="8">
        <f>IFERROR(AC312/AC444, "NA")</f>
        <v>7.2622260364696369E-4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24</v>
      </c>
      <c r="R313" s="8">
        <f>IFERROR(Q313/Q444, "NA")</f>
        <v>9.0060174831565893E-5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-24</v>
      </c>
      <c r="X313" s="8">
        <f>IFERROR(W313/W444, "NA")</f>
        <v>-6.8578384378987047E-4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-24</v>
      </c>
      <c r="AD313" s="8">
        <f>IFERROR(AC313/AC444, "NA")</f>
        <v>-3.7889874972885063E-4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455.52</v>
      </c>
      <c r="C315" s="8">
        <f>IFERROR(B315/B444, "NA")</f>
        <v>3.7864864527873718E-3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-455.52</v>
      </c>
      <c r="I315" s="8">
        <f>IFERROR(H315/H444, "NA")</f>
        <v>-2.7694569366834478E-2</v>
      </c>
      <c r="J315" s="9"/>
      <c r="K315" s="7">
        <v>605.44000000000005</v>
      </c>
      <c r="L315" s="8">
        <f>IFERROR(K315/K444, "NA")</f>
        <v>6.791658276744595E-3</v>
      </c>
      <c r="M315" s="9"/>
      <c r="N315" s="10">
        <f t="shared" si="77"/>
        <v>149.92000000000007</v>
      </c>
      <c r="O315" s="8">
        <f>IFERROR(N315/N444, "NA")</f>
        <v>4.8117829626550838E-3</v>
      </c>
      <c r="P315" s="9"/>
      <c r="Q315" s="7">
        <v>1366.56</v>
      </c>
      <c r="R315" s="8">
        <f>IFERROR(Q315/Q444, "NA")</f>
        <v>5.1280263549093623E-3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-1366.56</v>
      </c>
      <c r="X315" s="8">
        <f>IFERROR(W315/W444, "NA")</f>
        <v>-3.9048532065395221E-2</v>
      </c>
      <c r="Y315" s="9"/>
      <c r="Z315" s="7">
        <v>1816.32</v>
      </c>
      <c r="AA315" s="8">
        <f>IFERROR(Z315/Z444, "NA")</f>
        <v>8.9409133867229072E-3</v>
      </c>
      <c r="AB315" s="9"/>
      <c r="AC315" s="10">
        <f t="shared" si="79"/>
        <v>449.76</v>
      </c>
      <c r="AD315" s="8">
        <f>IFERROR(AC315/AC444, "NA")</f>
        <v>7.1005625699186604E-3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3.4461748191003437E-3</v>
      </c>
      <c r="D318" s="9"/>
      <c r="E318" s="7">
        <v>415</v>
      </c>
      <c r="F318" s="8">
        <f>IFERROR(E318/E444, "NA")</f>
        <v>3.9960132305590828E-3</v>
      </c>
      <c r="G318" s="9"/>
      <c r="H318" s="10">
        <f t="shared" si="76"/>
        <v>0.42000000000001592</v>
      </c>
      <c r="I318" s="8">
        <f>IFERROR(H318/H444, "NA")</f>
        <v>2.5535034979958998E-5</v>
      </c>
      <c r="J318" s="9"/>
      <c r="K318" s="7">
        <v>414.58</v>
      </c>
      <c r="L318" s="8">
        <f>IFERROR(K318/K444, "NA")</f>
        <v>4.6506436449074619E-3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1243.74</v>
      </c>
      <c r="R318" s="8">
        <f>IFERROR(Q318/Q444, "NA")</f>
        <v>4.6671434102088238E-3</v>
      </c>
      <c r="S318" s="9"/>
      <c r="T318" s="7">
        <v>1245</v>
      </c>
      <c r="U318" s="8">
        <f>IFERROR(T318/T444, "NA")</f>
        <v>5.3781546873058785E-3</v>
      </c>
      <c r="V318" s="9"/>
      <c r="W318" s="10">
        <f t="shared" si="78"/>
        <v>1.2599999999999909</v>
      </c>
      <c r="X318" s="8">
        <f>IFERROR(W318/W444, "NA")</f>
        <v>3.6003651798967942E-5</v>
      </c>
      <c r="Y318" s="9"/>
      <c r="Z318" s="7">
        <v>1243.74</v>
      </c>
      <c r="AA318" s="8">
        <f>IFERROR(Z318/Z444, "NA")</f>
        <v>6.1223636889990466E-3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268.01</v>
      </c>
      <c r="C319" s="8">
        <f>IFERROR(B319/B444, "NA")</f>
        <v>2.2278192707489101E-3</v>
      </c>
      <c r="D319" s="9"/>
      <c r="E319" s="7">
        <v>249</v>
      </c>
      <c r="F319" s="8">
        <f>IFERROR(E319/E444, "NA")</f>
        <v>2.3976079383354497E-3</v>
      </c>
      <c r="G319" s="9"/>
      <c r="H319" s="10">
        <f t="shared" si="76"/>
        <v>-19.009999999999991</v>
      </c>
      <c r="I319" s="8">
        <f>IFERROR(H319/H444, "NA")</f>
        <v>-1.1557643213547665E-3</v>
      </c>
      <c r="J319" s="9"/>
      <c r="K319" s="7">
        <v>218.5</v>
      </c>
      <c r="L319" s="8">
        <f>IFERROR(K319/K444, "NA")</f>
        <v>2.45107249846177E-3</v>
      </c>
      <c r="M319" s="9"/>
      <c r="N319" s="10">
        <f t="shared" si="77"/>
        <v>-49.509999999999991</v>
      </c>
      <c r="O319" s="8">
        <f>IFERROR(N319/N444, "NA")</f>
        <v>-1.5890566600924028E-3</v>
      </c>
      <c r="P319" s="9"/>
      <c r="Q319" s="7">
        <v>785.15</v>
      </c>
      <c r="R319" s="8">
        <f>IFERROR(Q319/Q444, "NA")</f>
        <v>2.9462810945418316E-3</v>
      </c>
      <c r="S319" s="9"/>
      <c r="T319" s="7">
        <v>747</v>
      </c>
      <c r="U319" s="8">
        <f>IFERROR(T319/T444, "NA")</f>
        <v>3.2268928123835271E-3</v>
      </c>
      <c r="V319" s="9"/>
      <c r="W319" s="10">
        <f t="shared" si="78"/>
        <v>-38.149999999999977</v>
      </c>
      <c r="X319" s="8">
        <f>IFERROR(W319/W444, "NA")</f>
        <v>-1.0901105683576477E-3</v>
      </c>
      <c r="Y319" s="9"/>
      <c r="Z319" s="7">
        <v>663.09</v>
      </c>
      <c r="AA319" s="8">
        <f>IFERROR(Z319/Z444, "NA")</f>
        <v>3.264089068887692E-3</v>
      </c>
      <c r="AB319" s="9"/>
      <c r="AC319" s="10">
        <f t="shared" si="79"/>
        <v>-122.05999999999995</v>
      </c>
      <c r="AD319" s="8">
        <f>IFERROR(AC319/AC444, "NA")</f>
        <v>-1.927015891329312E-3</v>
      </c>
    </row>
    <row r="320" spans="1:30" ht="16.5" customHeight="1" x14ac:dyDescent="0.45">
      <c r="A320" s="6" t="s">
        <v>292</v>
      </c>
      <c r="B320" s="7">
        <v>1379.47</v>
      </c>
      <c r="C320" s="8">
        <f>IFERROR(B320/B444, "NA")</f>
        <v>1.1466773066004996E-2</v>
      </c>
      <c r="D320" s="9"/>
      <c r="E320" s="7">
        <v>878</v>
      </c>
      <c r="F320" s="8">
        <f>IFERROR(E320/E444, "NA")</f>
        <v>8.4542159432069268E-3</v>
      </c>
      <c r="G320" s="9"/>
      <c r="H320" s="10">
        <f t="shared" si="76"/>
        <v>-501.47</v>
      </c>
      <c r="I320" s="8">
        <f>IFERROR(H320/H444, "NA")</f>
        <v>-3.0488223789046556E-2</v>
      </c>
      <c r="J320" s="9"/>
      <c r="K320" s="7">
        <v>894.4</v>
      </c>
      <c r="L320" s="8">
        <f>IFERROR(K320/K444, "NA")</f>
        <v>1.0033131545190878E-2</v>
      </c>
      <c r="M320" s="9"/>
      <c r="N320" s="10">
        <f t="shared" si="77"/>
        <v>-485.07000000000005</v>
      </c>
      <c r="O320" s="8">
        <f>IFERROR(N320/N444, "NA")</f>
        <v>-1.5568647023046295E-2</v>
      </c>
      <c r="P320" s="9"/>
      <c r="Q320" s="7">
        <v>3491.61</v>
      </c>
      <c r="R320" s="8">
        <f>IFERROR(Q320/Q444, "NA")</f>
        <v>1.3102291960151826E-2</v>
      </c>
      <c r="S320" s="9"/>
      <c r="T320" s="7">
        <v>2634</v>
      </c>
      <c r="U320" s="8">
        <f>IFERROR(T320/T444, "NA")</f>
        <v>1.1378361001095329E-2</v>
      </c>
      <c r="V320" s="9"/>
      <c r="W320" s="10">
        <f t="shared" si="78"/>
        <v>-857.61000000000013</v>
      </c>
      <c r="X320" s="8">
        <f>IFERROR(W320/W444, "NA")</f>
        <v>-2.4505628428026286E-2</v>
      </c>
      <c r="Y320" s="9"/>
      <c r="Z320" s="7">
        <v>2683.2</v>
      </c>
      <c r="AA320" s="8">
        <f>IFERROR(Z320/Z444, "NA")</f>
        <v>1.3208167503113384E-2</v>
      </c>
      <c r="AB320" s="9"/>
      <c r="AC320" s="10">
        <f t="shared" si="79"/>
        <v>-808.41000000000031</v>
      </c>
      <c r="AD320" s="8">
        <f>IFERROR(AC320/AC444, "NA")</f>
        <v>-1.2762730761179177E-2</v>
      </c>
    </row>
    <row r="321" spans="1:30" ht="16.5" customHeight="1" x14ac:dyDescent="0.45">
      <c r="A321" s="6" t="s">
        <v>293</v>
      </c>
      <c r="B321" s="7">
        <v>2437.16</v>
      </c>
      <c r="C321" s="8">
        <f>IFERROR(B321/B444, "NA")</f>
        <v>2.025876651579573E-2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-2437.16</v>
      </c>
      <c r="I321" s="8">
        <f>IFERROR(H321/H444, "NA")</f>
        <v>-0.14817372821846311</v>
      </c>
      <c r="J321" s="9"/>
      <c r="K321" s="7">
        <v>1322.56</v>
      </c>
      <c r="L321" s="8">
        <f>IFERROR(K321/K444, "NA")</f>
        <v>1.4836111869865437E-2</v>
      </c>
      <c r="M321" s="9"/>
      <c r="N321" s="10">
        <f t="shared" si="77"/>
        <v>-1114.5999999999999</v>
      </c>
      <c r="O321" s="8">
        <f>IFERROR(N321/N444, "NA")</f>
        <v>-3.5773834646313722E-2</v>
      </c>
      <c r="P321" s="9"/>
      <c r="Q321" s="7">
        <v>6002.03</v>
      </c>
      <c r="R321" s="8">
        <f>IFERROR(Q321/Q444, "NA")</f>
        <v>2.2522661297679311E-2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-6002.03</v>
      </c>
      <c r="X321" s="8">
        <f>IFERROR(W321/W444, "NA")</f>
        <v>-0.17150396683092151</v>
      </c>
      <c r="Y321" s="9"/>
      <c r="Z321" s="7">
        <v>5193.79</v>
      </c>
      <c r="AA321" s="8">
        <f>IFERROR(Z321/Z444, "NA")</f>
        <v>2.5566654850922507E-2</v>
      </c>
      <c r="AB321" s="9"/>
      <c r="AC321" s="10">
        <f t="shared" si="79"/>
        <v>-808.23999999999978</v>
      </c>
      <c r="AD321" s="8">
        <f>IFERROR(AC321/AC444, "NA")</f>
        <v>-1.2760046895035257E-2</v>
      </c>
    </row>
    <row r="322" spans="1:30" ht="16.5" customHeight="1" x14ac:dyDescent="0.45">
      <c r="A322" s="6" t="s">
        <v>294</v>
      </c>
      <c r="B322" s="7">
        <v>331.33</v>
      </c>
      <c r="C322" s="8">
        <f>IFERROR(B322/B444, "NA")</f>
        <v>2.7541634975457494E-3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-331.33</v>
      </c>
      <c r="I322" s="8">
        <f>IFERROR(H322/H444, "NA")</f>
        <v>-2.0144102714070224E-2</v>
      </c>
      <c r="J322" s="9"/>
      <c r="K322" s="7">
        <v>579.29999999999995</v>
      </c>
      <c r="L322" s="8">
        <f>IFERROR(K322/K444, "NA")</f>
        <v>6.4984269947775892E-3</v>
      </c>
      <c r="M322" s="9"/>
      <c r="N322" s="10">
        <f t="shared" si="77"/>
        <v>247.96999999999997</v>
      </c>
      <c r="O322" s="8">
        <f>IFERROR(N322/N444, "NA")</f>
        <v>7.9587634821877019E-3</v>
      </c>
      <c r="P322" s="9"/>
      <c r="Q322" s="7">
        <v>1167.97</v>
      </c>
      <c r="R322" s="8">
        <f>IFERROR(Q322/Q444, "NA")</f>
        <v>4.3828159332510008E-3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-1167.97</v>
      </c>
      <c r="X322" s="8">
        <f>IFERROR(W322/W444, "NA")</f>
        <v>-3.3373956501302295E-2</v>
      </c>
      <c r="Y322" s="9"/>
      <c r="Z322" s="7">
        <v>1371.47</v>
      </c>
      <c r="AA322" s="8">
        <f>IFERROR(Z322/Z444, "NA")</f>
        <v>6.7511201123639369E-3</v>
      </c>
      <c r="AB322" s="9"/>
      <c r="AC322" s="10">
        <f t="shared" si="79"/>
        <v>203.5</v>
      </c>
      <c r="AD322" s="8">
        <f>IFERROR(AC322/AC444, "NA")</f>
        <v>3.2127456487425462E-3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5286.07</v>
      </c>
      <c r="C324" s="15">
        <f>IFERROR(B324/B444, "NA")</f>
        <v>4.3940183621983098E-2</v>
      </c>
      <c r="D324" s="2"/>
      <c r="E324" s="14">
        <f>IFERROR(E297+E298+E299+E300+E301+E302+E303+E304+E305+E306+E307+E308+E309+E310+E311+E312+E313+E314+E315+E316+E317+E318+E319+E320+E321+E322+E323, "NA")</f>
        <v>2892.1</v>
      </c>
      <c r="F324" s="15">
        <f>IFERROR(E324/E444, "NA")</f>
        <v>2.7847879190602224E-2</v>
      </c>
      <c r="G324" s="2"/>
      <c r="H324" s="14">
        <f t="shared" si="76"/>
        <v>-2393.9699999999998</v>
      </c>
      <c r="I324" s="15">
        <f>IFERROR(H324/H444, "NA")</f>
        <v>-0.14554787545469075</v>
      </c>
      <c r="J324" s="2"/>
      <c r="K324" s="14">
        <f>IFERROR(K297+K298+K299+K300+K301+K302+K303+K304+K305+K306+K307+K308+K309+K310+K311+K312+K313+K314+K315+K316+K317+K318+K319+K320+K321+K322+K323, "NA")</f>
        <v>4080.7799999999997</v>
      </c>
      <c r="L324" s="15">
        <f>IFERROR(K324/K444, "NA")</f>
        <v>4.5777060092781791E-2</v>
      </c>
      <c r="M324" s="2"/>
      <c r="N324" s="14">
        <f t="shared" si="77"/>
        <v>-1205.29</v>
      </c>
      <c r="O324" s="15">
        <f>IFERROR(N324/N444, "NA")</f>
        <v>-3.868459102893905E-2</v>
      </c>
      <c r="P324" s="2"/>
      <c r="Q324" s="14">
        <f>IFERROR(Q297+Q298+Q299+Q300+Q301+Q302+Q303+Q304+Q305+Q306+Q307+Q308+Q309+Q310+Q311+Q312+Q313+Q314+Q315+Q316+Q317+Q318+Q319+Q320+Q321+Q322+Q323, "NA")</f>
        <v>14147.269999999999</v>
      </c>
      <c r="R324" s="15">
        <f>IFERROR(Q324/Q444, "NA")</f>
        <v>5.3087733732890302E-2</v>
      </c>
      <c r="S324" s="2"/>
      <c r="T324" s="14">
        <f>IFERROR(T297+T298+T299+T300+T301+T302+T303+T304+T305+T306+T307+T308+T309+T310+T311+T312+T313+T314+T315+T316+T317+T318+T319+T320+T321+T322+T323, "NA")</f>
        <v>7635.4</v>
      </c>
      <c r="U324" s="15">
        <f>IFERROR(T324/T444, "NA")</f>
        <v>3.2983423533699041E-2</v>
      </c>
      <c r="V324" s="2"/>
      <c r="W324" s="14">
        <f t="shared" si="78"/>
        <v>-6511.869999999999</v>
      </c>
      <c r="X324" s="15">
        <f>IFERROR(W324/W444, "NA")</f>
        <v>-0.1860723016191643</v>
      </c>
      <c r="Y324" s="2"/>
      <c r="Z324" s="14">
        <f>IFERROR(Z297+Z298+Z299+Z300+Z301+Z302+Z303+Z304+Z305+Z306+Z307+Z308+Z309+Z310+Z311+Z312+Z313+Z314+Z315+Z316+Z317+Z318+Z319+Z320+Z321+Z322+Z323, "NA")</f>
        <v>13057.73</v>
      </c>
      <c r="AA324" s="15">
        <f>IFERROR(Z324/Z444, "NA")</f>
        <v>6.4277238018197957E-2</v>
      </c>
      <c r="AB324" s="2"/>
      <c r="AC324" s="14">
        <f t="shared" si="79"/>
        <v>-1089.5399999999991</v>
      </c>
      <c r="AD324" s="15">
        <f>IFERROR(AC324/AC444, "NA")</f>
        <v>-1.7201055990815482E-2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35781.530000000013</v>
      </c>
      <c r="C325" s="15">
        <f>IFERROR(B325/B444, "NA")</f>
        <v>0.29743211846901341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21760.82</v>
      </c>
      <c r="F325" s="15">
        <f>IFERROR(E325/E444, "NA")</f>
        <v>0.20953379428389085</v>
      </c>
      <c r="G325" s="2"/>
      <c r="H325" s="14">
        <f t="shared" si="76"/>
        <v>-14020.710000000014</v>
      </c>
      <c r="I325" s="15">
        <f>IFERROR(H325/H444, "NA")</f>
        <v>-0.85242695308058969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18042.64</v>
      </c>
      <c r="L325" s="15">
        <f>IFERROR(K325/K444, "NA")</f>
        <v>0.2023973396047884</v>
      </c>
      <c r="M325" s="2"/>
      <c r="N325" s="14">
        <f t="shared" si="77"/>
        <v>-17738.890000000014</v>
      </c>
      <c r="O325" s="15">
        <f>IFERROR(N325/N444, "NA")</f>
        <v>-0.56934157336187741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87346.190000000017</v>
      </c>
      <c r="R325" s="15">
        <f>IFERROR(Q325/Q444, "NA")</f>
        <v>0.32776721426129896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50677.450000000004</v>
      </c>
      <c r="U325" s="15">
        <f>IFERROR(T325/T444, "NA")</f>
        <v>0.21891659860097135</v>
      </c>
      <c r="V325" s="2"/>
      <c r="W325" s="14">
        <f t="shared" si="78"/>
        <v>-36668.740000000013</v>
      </c>
      <c r="X325" s="15">
        <f>IFERROR(W325/W444, "NA")</f>
        <v>-1.0477845610054743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47637.929999999993</v>
      </c>
      <c r="AA325" s="15">
        <f>IFERROR(Z325/Z444, "NA")</f>
        <v>0.2344997610843732</v>
      </c>
      <c r="AB325" s="2"/>
      <c r="AC325" s="14">
        <f t="shared" si="79"/>
        <v>-39708.260000000024</v>
      </c>
      <c r="AD325" s="15">
        <f>IFERROR(AC325/AC444, "NA")</f>
        <v>-0.62689208616283909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5393.13</v>
      </c>
      <c r="C329" s="8">
        <f>IFERROR(B329/B444, "NA")</f>
        <v>4.4830114337726462E-2</v>
      </c>
      <c r="D329" s="9"/>
      <c r="E329" s="7">
        <v>6223</v>
      </c>
      <c r="F329" s="8">
        <f>IFERROR(E329/E444, "NA")</f>
        <v>5.9920940563299212E-2</v>
      </c>
      <c r="G329" s="9"/>
      <c r="H329" s="10">
        <f t="shared" si="80"/>
        <v>829.86999999999989</v>
      </c>
      <c r="I329" s="8">
        <f>IFERROR(H329/H444, "NA")</f>
        <v>5.0454189235280396E-2</v>
      </c>
      <c r="J329" s="9"/>
      <c r="K329" s="7">
        <v>4125.3</v>
      </c>
      <c r="L329" s="8">
        <f>IFERROR(K329/K444, "NA")</f>
        <v>4.6276473125420318E-2</v>
      </c>
      <c r="M329" s="9"/>
      <c r="N329" s="10">
        <f t="shared" si="81"/>
        <v>-1267.83</v>
      </c>
      <c r="O329" s="8">
        <f>IFERROR(N329/N444, "NA")</f>
        <v>-4.0691854279235537E-2</v>
      </c>
      <c r="P329" s="9"/>
      <c r="Q329" s="7">
        <v>16179.39</v>
      </c>
      <c r="R329" s="8">
        <f>IFERROR(Q329/Q444, "NA")</f>
        <v>6.0713278836170372E-2</v>
      </c>
      <c r="S329" s="9"/>
      <c r="T329" s="7">
        <v>16177</v>
      </c>
      <c r="U329" s="8">
        <f>IFERROR(T329/T444, "NA")</f>
        <v>6.9881452511282888E-2</v>
      </c>
      <c r="V329" s="9"/>
      <c r="W329" s="10">
        <f t="shared" si="82"/>
        <v>-2.3899999999994179</v>
      </c>
      <c r="X329" s="8">
        <f>IFERROR(W329/W444, "NA")</f>
        <v>-6.8292641110724638E-5</v>
      </c>
      <c r="Y329" s="9"/>
      <c r="Z329" s="7">
        <v>12375.9</v>
      </c>
      <c r="AA329" s="8">
        <f>IFERROR(Z329/Z444, "NA")</f>
        <v>6.0920900492613651E-2</v>
      </c>
      <c r="AB329" s="9"/>
      <c r="AC329" s="10">
        <f t="shared" si="83"/>
        <v>-3803.49</v>
      </c>
      <c r="AD329" s="8">
        <f>IFERROR(AC329/AC444, "NA")</f>
        <v>-6.0047400233591085E-2</v>
      </c>
    </row>
    <row r="330" spans="1:30" ht="16.5" customHeight="1" x14ac:dyDescent="0.45">
      <c r="A330" s="6" t="s">
        <v>301</v>
      </c>
      <c r="B330" s="7">
        <v>-1183.27</v>
      </c>
      <c r="C330" s="8">
        <f>IFERROR(B330/B444, "NA")</f>
        <v>-9.8358707081790328E-3</v>
      </c>
      <c r="D330" s="9"/>
      <c r="E330" s="7">
        <v>1117</v>
      </c>
      <c r="F330" s="8">
        <f>IFERROR(E330/E444, "NA")</f>
        <v>1.0755534406107218E-2</v>
      </c>
      <c r="G330" s="9"/>
      <c r="H330" s="10">
        <f t="shared" si="80"/>
        <v>2300.27</v>
      </c>
      <c r="I330" s="8">
        <f>IFERROR(H330/H444, "NA")</f>
        <v>0.13985113074606681</v>
      </c>
      <c r="J330" s="9"/>
      <c r="K330" s="7">
        <v>144.76</v>
      </c>
      <c r="L330" s="8">
        <f>IFERROR(K330/K444, "NA")</f>
        <v>1.6238775966925666E-3</v>
      </c>
      <c r="M330" s="9"/>
      <c r="N330" s="10">
        <f t="shared" si="81"/>
        <v>1328.03</v>
      </c>
      <c r="O330" s="8">
        <f>IFERROR(N330/N444, "NA")</f>
        <v>4.262401365991747E-2</v>
      </c>
      <c r="P330" s="9"/>
      <c r="Q330" s="7">
        <v>869.59</v>
      </c>
      <c r="R330" s="8">
        <f>IFERROR(Q330/Q444, "NA")</f>
        <v>3.2631428096575581E-3</v>
      </c>
      <c r="S330" s="9"/>
      <c r="T330" s="7">
        <v>3351</v>
      </c>
      <c r="U330" s="8">
        <f>IFERROR(T330/T444, "NA")</f>
        <v>1.4475659724628113E-2</v>
      </c>
      <c r="V330" s="9"/>
      <c r="W330" s="10">
        <f t="shared" si="82"/>
        <v>2481.41</v>
      </c>
      <c r="X330" s="8">
        <f>IFERROR(W330/W444, "NA")</f>
        <v>7.0904620325775936E-2</v>
      </c>
      <c r="Y330" s="9"/>
      <c r="Z330" s="7">
        <v>2379.7199999999998</v>
      </c>
      <c r="AA330" s="8">
        <f>IFERROR(Z330/Z444, "NA")</f>
        <v>1.1714274139277349E-2</v>
      </c>
      <c r="AB330" s="9"/>
      <c r="AC330" s="10">
        <f t="shared" si="83"/>
        <v>1510.1299999999997</v>
      </c>
      <c r="AD330" s="8">
        <f>IFERROR(AC330/AC444, "NA")</f>
        <v>2.3841098705334546E-2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2149.19</v>
      </c>
      <c r="C333" s="8">
        <f>IFERROR(B333/B444, "NA")</f>
        <v>1.7865030776839857E-2</v>
      </c>
      <c r="D333" s="9"/>
      <c r="E333" s="7">
        <v>726</v>
      </c>
      <c r="F333" s="8">
        <f>IFERROR(E333/E444, "NA")</f>
        <v>6.9906159165925158E-3</v>
      </c>
      <c r="G333" s="9"/>
      <c r="H333" s="10">
        <f t="shared" si="80"/>
        <v>-1423.19</v>
      </c>
      <c r="I333" s="8">
        <f>IFERROR(H333/H444, "NA")</f>
        <v>-8.6526681983634446E-2</v>
      </c>
      <c r="J333" s="9"/>
      <c r="K333" s="7">
        <v>517.02</v>
      </c>
      <c r="L333" s="8">
        <f>IFERROR(K333/K444, "NA")</f>
        <v>5.799787199792697E-3</v>
      </c>
      <c r="M333" s="9"/>
      <c r="N333" s="10">
        <f t="shared" si="81"/>
        <v>-1632.17</v>
      </c>
      <c r="O333" s="8">
        <f>IFERROR(N333/N444, "NA")</f>
        <v>-5.2385590969562065E-2</v>
      </c>
      <c r="P333" s="9"/>
      <c r="Q333" s="7">
        <v>3869.51</v>
      </c>
      <c r="R333" s="8">
        <f>IFERROR(Q333/Q444, "NA")</f>
        <v>1.4520364463020524E-2</v>
      </c>
      <c r="S333" s="9"/>
      <c r="T333" s="7">
        <v>2178</v>
      </c>
      <c r="U333" s="8">
        <f>IFERROR(T333/T444, "NA")</f>
        <v>9.4085308505640185E-3</v>
      </c>
      <c r="V333" s="9"/>
      <c r="W333" s="10">
        <f t="shared" si="82"/>
        <v>-1691.5100000000002</v>
      </c>
      <c r="X333" s="8">
        <f>IFERROR(W333/W444, "NA")</f>
        <v>-4.8333759567041827E-2</v>
      </c>
      <c r="Y333" s="9"/>
      <c r="Z333" s="7">
        <v>1969.72</v>
      </c>
      <c r="AA333" s="8">
        <f>IFERROR(Z333/Z444, "NA")</f>
        <v>9.6960314900985754E-3</v>
      </c>
      <c r="AB333" s="9"/>
      <c r="AC333" s="10">
        <f t="shared" si="83"/>
        <v>-1899.7900000000002</v>
      </c>
      <c r="AD333" s="8">
        <f>IFERROR(AC333/AC444, "NA")</f>
        <v>-2.9992835656140551E-2</v>
      </c>
    </row>
    <row r="334" spans="1:30" ht="16.5" customHeight="1" x14ac:dyDescent="0.45">
      <c r="A334" s="6" t="s">
        <v>305</v>
      </c>
      <c r="B334" s="7">
        <v>830.54</v>
      </c>
      <c r="C334" s="8">
        <f>IFERROR(B334/B444, "NA")</f>
        <v>6.9038208168642947E-3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-830.54</v>
      </c>
      <c r="I334" s="8">
        <f>IFERROR(H334/H444, "NA")</f>
        <v>-5.0494923695843671E-2</v>
      </c>
      <c r="J334" s="9"/>
      <c r="K334" s="7">
        <v>635.29999999999995</v>
      </c>
      <c r="L334" s="8">
        <f>IFERROR(K334/K444, "NA")</f>
        <v>7.1266194886625278E-3</v>
      </c>
      <c r="M334" s="9"/>
      <c r="N334" s="10">
        <f t="shared" si="81"/>
        <v>-195.24</v>
      </c>
      <c r="O334" s="8">
        <f>IFERROR(N334/N444, "NA")</f>
        <v>-6.2663587621983596E-3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1246.5999999999999</v>
      </c>
      <c r="F337" s="8">
        <f>IFERROR(E337/E444, "NA")</f>
        <v>1.2003446007746874E-2</v>
      </c>
      <c r="G337" s="9"/>
      <c r="H337" s="10">
        <f t="shared" ref="H337:H344" si="84">IFERROR(-(B337-E337), "NA")</f>
        <v>1246.5999999999999</v>
      </c>
      <c r="I337" s="8">
        <f>IFERROR(H337/H444, "NA")</f>
        <v>7.5790415728608757E-2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4846.6400000000003</v>
      </c>
      <c r="U337" s="8">
        <f>IFERROR(T337/T444, "NA")</f>
        <v>2.0936529826252343E-2</v>
      </c>
      <c r="V337" s="9"/>
      <c r="W337" s="10">
        <f t="shared" ref="W337:W344" si="86">IFERROR(-(Q337-T337), "NA")</f>
        <v>4846.6400000000003</v>
      </c>
      <c r="X337" s="8">
        <f>IFERROR(W337/W444, "NA")</f>
        <v>0.13848947536107242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820.75</v>
      </c>
      <c r="C338" s="8">
        <f>IFERROR(B338/B444, "NA")</f>
        <v>6.8224419479391363E-3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-820.75</v>
      </c>
      <c r="I338" s="8">
        <f>IFERROR(H338/H444, "NA")</f>
        <v>-4.9899714190001318E-2</v>
      </c>
      <c r="J338" s="9"/>
      <c r="K338" s="7">
        <v>881.55</v>
      </c>
      <c r="L338" s="8">
        <f>IFERROR(K338/K444, "NA")</f>
        <v>9.8889838032904954E-3</v>
      </c>
      <c r="M338" s="9"/>
      <c r="N338" s="10">
        <f t="shared" si="85"/>
        <v>60.799999999999955</v>
      </c>
      <c r="O338" s="8">
        <f>IFERROR(N338/N444, "NA")</f>
        <v>1.9514167831472034E-3</v>
      </c>
      <c r="P338" s="9"/>
      <c r="Q338" s="7">
        <v>2651.87</v>
      </c>
      <c r="R338" s="8">
        <f>IFERROR(Q338/Q444, "NA")</f>
        <v>9.9511614929410266E-3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-2651.87</v>
      </c>
      <c r="X338" s="8">
        <f>IFERROR(W338/W444, "NA")</f>
        <v>-7.5775400076293492E-2</v>
      </c>
      <c r="Y338" s="9"/>
      <c r="Z338" s="7">
        <v>2371.58</v>
      </c>
      <c r="AA338" s="8">
        <f>IFERROR(Z338/Z444, "NA")</f>
        <v>1.1674204638876581E-2</v>
      </c>
      <c r="AB338" s="9"/>
      <c r="AC338" s="10">
        <f t="shared" si="87"/>
        <v>-280.28999999999996</v>
      </c>
      <c r="AD338" s="8">
        <f>IFERROR(AC338/AC444, "NA")</f>
        <v>-4.4250637733958135E-3</v>
      </c>
    </row>
    <row r="339" spans="1:30" ht="16.5" customHeight="1" x14ac:dyDescent="0.45">
      <c r="A339" s="12" t="s">
        <v>309</v>
      </c>
      <c r="B339" s="7">
        <v>396.07</v>
      </c>
      <c r="C339" s="8">
        <f>IFERROR(B339/B444, "NA")</f>
        <v>3.2923114009384752E-3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-396.07</v>
      </c>
      <c r="I339" s="8">
        <f>IFERROR(H339/H444, "NA")</f>
        <v>-2.4080145963123755E-2</v>
      </c>
      <c r="J339" s="9"/>
      <c r="K339" s="7">
        <v>599.72</v>
      </c>
      <c r="L339" s="8">
        <f>IFERROR(K339/K444, "NA")</f>
        <v>6.7274929005834904E-3</v>
      </c>
      <c r="M339" s="9"/>
      <c r="N339" s="10">
        <f t="shared" si="85"/>
        <v>203.65000000000003</v>
      </c>
      <c r="O339" s="8">
        <f>IFERROR(N339/N444, "NA")</f>
        <v>6.5362833534198736E-3</v>
      </c>
      <c r="P339" s="9"/>
      <c r="Q339" s="7">
        <v>2041.05</v>
      </c>
      <c r="R339" s="8">
        <f>IFERROR(Q339/Q444, "NA")</f>
        <v>7.659054993331982E-3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-2041.05</v>
      </c>
      <c r="X339" s="8">
        <f>IFERROR(W339/W444, "NA")</f>
        <v>-5.8321629765304792E-2</v>
      </c>
      <c r="Y339" s="9"/>
      <c r="Z339" s="7">
        <v>1536.7</v>
      </c>
      <c r="AA339" s="8">
        <f>IFERROR(Z339/Z444, "NA")</f>
        <v>7.5644718999829828E-3</v>
      </c>
      <c r="AB339" s="9"/>
      <c r="AC339" s="10">
        <f t="shared" si="87"/>
        <v>-504.34999999999991</v>
      </c>
      <c r="AD339" s="8">
        <f>IFERROR(AC339/AC444, "NA")</f>
        <v>-7.9623993510727405E-3</v>
      </c>
    </row>
    <row r="340" spans="1:30" ht="16.5" customHeight="1" x14ac:dyDescent="0.45">
      <c r="A340" s="12" t="s">
        <v>310</v>
      </c>
      <c r="B340" s="7">
        <v>293.82</v>
      </c>
      <c r="C340" s="8">
        <f>IFERROR(B340/B444, "NA")</f>
        <v>2.4423635615516016E-3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-293.82</v>
      </c>
      <c r="I340" s="8">
        <f>IFERROR(H340/H444, "NA")</f>
        <v>-1.7863580899550639E-2</v>
      </c>
      <c r="J340" s="9"/>
      <c r="K340" s="7">
        <v>350</v>
      </c>
      <c r="L340" s="8">
        <f>IFERROR(K340/K444, "NA")</f>
        <v>3.9262030867808669E-3</v>
      </c>
      <c r="M340" s="9"/>
      <c r="N340" s="10">
        <f t="shared" si="85"/>
        <v>56.180000000000007</v>
      </c>
      <c r="O340" s="8">
        <f>IFERROR(N340/N444, "NA")</f>
        <v>1.8031347841646378E-3</v>
      </c>
      <c r="P340" s="9"/>
      <c r="Q340" s="7">
        <v>1068.82</v>
      </c>
      <c r="R340" s="8">
        <f>IFERROR(Q340/Q444, "NA")</f>
        <v>4.0107548359780941E-3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-1068.82</v>
      </c>
      <c r="X340" s="8">
        <f>IFERROR(W340/W444, "NA")</f>
        <v>-3.0540811996645389E-2</v>
      </c>
      <c r="Y340" s="9"/>
      <c r="Z340" s="7">
        <v>982.5</v>
      </c>
      <c r="AA340" s="8">
        <f>IFERROR(Z340/Z444, "NA")</f>
        <v>4.8363985434588929E-3</v>
      </c>
      <c r="AB340" s="9"/>
      <c r="AC340" s="10">
        <f t="shared" si="87"/>
        <v>-86.319999999999936</v>
      </c>
      <c r="AD340" s="8">
        <f>IFERROR(AC340/AC444, "NA")</f>
        <v>-1.3627725031914318E-3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1510.6399999999999</v>
      </c>
      <c r="C342" s="15">
        <f>IFERROR(B342/B444, "NA")</f>
        <v>1.2557116910429213E-2</v>
      </c>
      <c r="D342" s="2"/>
      <c r="E342" s="14">
        <f>IFERROR(E337+E338+E339+E340+E341, "NA")</f>
        <v>1246.5999999999999</v>
      </c>
      <c r="F342" s="15">
        <f>IFERROR(E342/E444, "NA")</f>
        <v>1.2003446007746874E-2</v>
      </c>
      <c r="G342" s="2"/>
      <c r="H342" s="14">
        <f t="shared" si="84"/>
        <v>-264.03999999999996</v>
      </c>
      <c r="I342" s="15">
        <f>IFERROR(H342/H444, "NA")</f>
        <v>-1.6053025324066945E-2</v>
      </c>
      <c r="J342" s="2"/>
      <c r="K342" s="14">
        <f>IFERROR(K337+K338+K339+K340+K341, "NA")</f>
        <v>1831.27</v>
      </c>
      <c r="L342" s="15">
        <f>IFERROR(K342/K444, "NA")</f>
        <v>2.0542679790654852E-2</v>
      </c>
      <c r="M342" s="2"/>
      <c r="N342" s="14">
        <f t="shared" si="85"/>
        <v>320.63000000000011</v>
      </c>
      <c r="O342" s="15">
        <f>IFERROR(N342/N444, "NA")</f>
        <v>1.0290834920731719E-2</v>
      </c>
      <c r="P342" s="2"/>
      <c r="Q342" s="14">
        <f>IFERROR(Q337+Q338+Q339+Q340+Q341, "NA")</f>
        <v>5761.74</v>
      </c>
      <c r="R342" s="15">
        <f>IFERROR(Q342/Q444, "NA")</f>
        <v>2.1620971322251104E-2</v>
      </c>
      <c r="S342" s="2"/>
      <c r="T342" s="14">
        <f>IFERROR(T337+T338+T339+T340+T341, "NA")</f>
        <v>4846.6400000000003</v>
      </c>
      <c r="U342" s="15">
        <f>IFERROR(T342/T444, "NA")</f>
        <v>2.0936529826252343E-2</v>
      </c>
      <c r="V342" s="2"/>
      <c r="W342" s="14">
        <f t="shared" si="86"/>
        <v>-915.09999999999945</v>
      </c>
      <c r="X342" s="15">
        <f>IFERROR(W342/W444, "NA")</f>
        <v>-2.6148366477171253E-2</v>
      </c>
      <c r="Y342" s="2"/>
      <c r="Z342" s="14">
        <f>IFERROR(Z337+Z338+Z339+Z340+Z341, "NA")</f>
        <v>4890.78</v>
      </c>
      <c r="AA342" s="15">
        <f>IFERROR(Z342/Z444, "NA")</f>
        <v>2.4075075082318455E-2</v>
      </c>
      <c r="AB342" s="2"/>
      <c r="AC342" s="14">
        <f t="shared" si="87"/>
        <v>-870.96</v>
      </c>
      <c r="AD342" s="15">
        <f>IFERROR(AC342/AC444, "NA")</f>
        <v>-1.3750235627659989E-2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8700.2300000000014</v>
      </c>
      <c r="C343" s="15">
        <f>IFERROR(B343/B444, "NA")</f>
        <v>7.2320212133680811E-2</v>
      </c>
      <c r="D343" s="2"/>
      <c r="E343" s="14">
        <f>IFERROR(E328+E329+E330+E331+E332+E333+E334+E335+E337+E338+E339+E340+E341, "NA")</f>
        <v>9312.6</v>
      </c>
      <c r="F343" s="15">
        <f>IFERROR(E343/E444, "NA")</f>
        <v>8.9670536893745822E-2</v>
      </c>
      <c r="G343" s="2"/>
      <c r="H343" s="14">
        <f t="shared" si="84"/>
        <v>612.36999999999898</v>
      </c>
      <c r="I343" s="15">
        <f>IFERROR(H343/H444, "NA")</f>
        <v>3.723068897780208E-2</v>
      </c>
      <c r="J343" s="2"/>
      <c r="K343" s="14">
        <f>IFERROR(K328+K329+K330+K331+K332+K333+K334+K335+K337+K338+K339+K340+K341, "NA")</f>
        <v>7253.6500000000005</v>
      </c>
      <c r="L343" s="15">
        <f>IFERROR(K343/K444, "NA")</f>
        <v>8.1369437201222972E-2</v>
      </c>
      <c r="M343" s="2"/>
      <c r="N343" s="14">
        <f t="shared" si="85"/>
        <v>-1446.5800000000008</v>
      </c>
      <c r="O343" s="15">
        <f>IFERROR(N343/N444, "NA")</f>
        <v>-4.6428955430346794E-2</v>
      </c>
      <c r="P343" s="2"/>
      <c r="Q343" s="14">
        <f>IFERROR(Q328+Q329+Q330+Q331+Q332+Q333+Q334+Q335+Q337+Q338+Q339+Q340+Q341, "NA")</f>
        <v>26680.229999999996</v>
      </c>
      <c r="R343" s="15">
        <f>IFERROR(Q343/Q444, "NA")</f>
        <v>0.10011775743109955</v>
      </c>
      <c r="S343" s="2"/>
      <c r="T343" s="14">
        <f>IFERROR(T328+T329+T330+T331+T332+T333+T334+T335+T337+T338+T339+T340+T341, "NA")</f>
        <v>26552.639999999999</v>
      </c>
      <c r="U343" s="15">
        <f>IFERROR(T343/T444, "NA")</f>
        <v>0.11470217291272736</v>
      </c>
      <c r="V343" s="2"/>
      <c r="W343" s="14">
        <f t="shared" si="86"/>
        <v>-127.58999999999651</v>
      </c>
      <c r="X343" s="15">
        <f>IFERROR(W343/W444, "NA")</f>
        <v>-3.6457983595477991E-3</v>
      </c>
      <c r="Y343" s="2"/>
      <c r="Z343" s="14">
        <f>IFERROR(Z328+Z329+Z330+Z331+Z332+Z333+Z334+Z335+Z337+Z338+Z339+Z340+Z341, "NA")</f>
        <v>21616.12</v>
      </c>
      <c r="AA343" s="15">
        <f>IFERROR(Z343/Z444, "NA")</f>
        <v>0.10640628120430803</v>
      </c>
      <c r="AB343" s="2"/>
      <c r="AC343" s="14">
        <f t="shared" si="87"/>
        <v>-5064.1099999999969</v>
      </c>
      <c r="AD343" s="15">
        <f>IFERROR(AC343/AC444, "NA")</f>
        <v>-7.9949372812057024E-2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8700.2300000000014</v>
      </c>
      <c r="C344" s="15">
        <f>IFERROR(B344/B444, "NA")</f>
        <v>7.2320212133680811E-2</v>
      </c>
      <c r="D344" s="2"/>
      <c r="E344" s="14">
        <f>IFERROR(E328+E329+E330+E331+E332+E333+E334+E335+E337+E338+E339+E340+E341, "NA")</f>
        <v>9312.6</v>
      </c>
      <c r="F344" s="15">
        <f>IFERROR(E344/E444, "NA")</f>
        <v>8.9670536893745822E-2</v>
      </c>
      <c r="G344" s="2"/>
      <c r="H344" s="14">
        <f t="shared" si="84"/>
        <v>612.36999999999898</v>
      </c>
      <c r="I344" s="15">
        <f>IFERROR(H344/H444, "NA")</f>
        <v>3.723068897780208E-2</v>
      </c>
      <c r="J344" s="2"/>
      <c r="K344" s="14">
        <f>IFERROR(K328+K329+K330+K331+K332+K333+K334+K335+K337+K338+K339+K340+K341, "NA")</f>
        <v>7253.6500000000005</v>
      </c>
      <c r="L344" s="15">
        <f>IFERROR(K344/K444, "NA")</f>
        <v>8.1369437201222972E-2</v>
      </c>
      <c r="M344" s="2"/>
      <c r="N344" s="14">
        <f t="shared" si="85"/>
        <v>-1446.5800000000008</v>
      </c>
      <c r="O344" s="15">
        <f>IFERROR(N344/N444, "NA")</f>
        <v>-4.6428955430346794E-2</v>
      </c>
      <c r="P344" s="2"/>
      <c r="Q344" s="14">
        <f>IFERROR(Q328+Q329+Q330+Q331+Q332+Q333+Q334+Q335+Q337+Q338+Q339+Q340+Q341, "NA")</f>
        <v>26680.229999999996</v>
      </c>
      <c r="R344" s="15">
        <f>IFERROR(Q344/Q444, "NA")</f>
        <v>0.10011775743109955</v>
      </c>
      <c r="S344" s="2"/>
      <c r="T344" s="14">
        <f>IFERROR(T328+T329+T330+T331+T332+T333+T334+T335+T337+T338+T339+T340+T341, "NA")</f>
        <v>26552.639999999999</v>
      </c>
      <c r="U344" s="15">
        <f>IFERROR(T344/T444, "NA")</f>
        <v>0.11470217291272736</v>
      </c>
      <c r="V344" s="2"/>
      <c r="W344" s="14">
        <f t="shared" si="86"/>
        <v>-127.58999999999651</v>
      </c>
      <c r="X344" s="15">
        <f>IFERROR(W344/W444, "NA")</f>
        <v>-3.6457983595477991E-3</v>
      </c>
      <c r="Y344" s="2"/>
      <c r="Z344" s="14">
        <f>IFERROR(Z328+Z329+Z330+Z331+Z332+Z333+Z334+Z335+Z337+Z338+Z339+Z340+Z341, "NA")</f>
        <v>21616.12</v>
      </c>
      <c r="AA344" s="15">
        <f>IFERROR(Z344/Z444, "NA")</f>
        <v>0.10640628120430803</v>
      </c>
      <c r="AB344" s="2"/>
      <c r="AC344" s="14">
        <f t="shared" si="87"/>
        <v>-5064.1099999999969</v>
      </c>
      <c r="AD344" s="15">
        <f>IFERROR(AC344/AC444, "NA")</f>
        <v>-7.9949372812057024E-2</v>
      </c>
    </row>
    <row r="345" spans="1:30" ht="16.5" customHeight="1" x14ac:dyDescent="0.45">
      <c r="A345" s="22" t="s">
        <v>315</v>
      </c>
      <c r="B345" s="23">
        <f>IFERROR(B198-B325-B344, "NA")</f>
        <v>11591.099999999979</v>
      </c>
      <c r="C345" s="24">
        <f>IFERROR(B345/B444, "NA")</f>
        <v>9.6350419570828114E-2</v>
      </c>
      <c r="D345" s="25"/>
      <c r="E345" s="23">
        <f>IFERROR(E198-E325-E344, "NA")</f>
        <v>15238.929999999991</v>
      </c>
      <c r="F345" s="24">
        <f>IFERROR(E345/E444, "NA")</f>
        <v>0.1467348575893101</v>
      </c>
      <c r="G345" s="25"/>
      <c r="H345" s="23">
        <f>IFERROR(B345-E345, "NA")</f>
        <v>-3647.8300000000127</v>
      </c>
      <c r="I345" s="24">
        <f>IFERROR(H345/H444, "NA")</f>
        <v>-0.22177968250223956</v>
      </c>
      <c r="J345" s="25"/>
      <c r="K345" s="23">
        <f>IFERROR(K198-K325-K344, "NA")</f>
        <v>9082.4599999999846</v>
      </c>
      <c r="L345" s="24">
        <f>IFERROR(K345/K444, "NA")</f>
        <v>0.10188452139303912</v>
      </c>
      <c r="M345" s="25"/>
      <c r="N345" s="23">
        <f>IFERROR(B345-K345, "NA")</f>
        <v>2508.639999999994</v>
      </c>
      <c r="O345" s="24">
        <f>IFERROR(N345/N444, "NA")</f>
        <v>8.0516483534118291E-2</v>
      </c>
      <c r="P345" s="25"/>
      <c r="Q345" s="23">
        <f>IFERROR(Q198-Q325-Q344, "NA")</f>
        <v>869.05999999998312</v>
      </c>
      <c r="R345" s="24">
        <f>IFERROR(Q345/Q444, "NA")</f>
        <v>3.2611539807966307E-3</v>
      </c>
      <c r="S345" s="25"/>
      <c r="T345" s="23">
        <f>IFERROR(T198-T325-T344, "NA")</f>
        <v>16459.72999999996</v>
      </c>
      <c r="U345" s="24">
        <f>IFERROR(T345/T444, "NA")</f>
        <v>7.1102790402641738E-2</v>
      </c>
      <c r="V345" s="25"/>
      <c r="W345" s="23">
        <f>IFERROR(Q345-T345, "NA")</f>
        <v>-15590.669999999976</v>
      </c>
      <c r="X345" s="24">
        <f>IFERROR(W345/W444, "NA")</f>
        <v>-0.44549289999414182</v>
      </c>
      <c r="Y345" s="25"/>
      <c r="Z345" s="23">
        <f>IFERROR(Z198-Z325-Z344, "NA")</f>
        <v>3617.2100000000755</v>
      </c>
      <c r="AA345" s="24">
        <f>IFERROR(Z345/Z444, "NA")</f>
        <v>1.7805871934234409E-2</v>
      </c>
      <c r="AB345" s="25"/>
      <c r="AC345" s="23">
        <f>IFERROR(Q345-Z345, "NA")</f>
        <v>-2748.1500000000924</v>
      </c>
      <c r="AD345" s="24">
        <f>IFERROR(AC345/AC444, "NA")</f>
        <v>-4.3386274961140663E-2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11591.099999999979</v>
      </c>
      <c r="C404" s="24">
        <f>IFERROR(B404/B444, "NA")</f>
        <v>9.6350419570828114E-2</v>
      </c>
      <c r="D404" s="25"/>
      <c r="E404" s="23">
        <f>IFERROR(E345-E403, "NA")</f>
        <v>15238.929999999991</v>
      </c>
      <c r="F404" s="24">
        <f>IFERROR(E404/E444, "NA")</f>
        <v>0.1467348575893101</v>
      </c>
      <c r="G404" s="25"/>
      <c r="H404" s="23">
        <f>IFERROR(B404-E404, "NA")</f>
        <v>-3647.8300000000127</v>
      </c>
      <c r="I404" s="24">
        <f>IFERROR(H404/H444, "NA")</f>
        <v>-0.22177968250223956</v>
      </c>
      <c r="J404" s="25"/>
      <c r="K404" s="23">
        <f>IFERROR(K345-K403, "NA")</f>
        <v>9082.4599999999846</v>
      </c>
      <c r="L404" s="24">
        <f>IFERROR(K404/K444, "NA")</f>
        <v>0.10188452139303912</v>
      </c>
      <c r="M404" s="25"/>
      <c r="N404" s="23">
        <f>IFERROR(B404-K404, "NA")</f>
        <v>2508.639999999994</v>
      </c>
      <c r="O404" s="24">
        <f>IFERROR(N404/N444, "NA")</f>
        <v>8.0516483534118291E-2</v>
      </c>
      <c r="P404" s="25"/>
      <c r="Q404" s="23">
        <f>IFERROR(Q345-Q403, "NA")</f>
        <v>869.05999999998312</v>
      </c>
      <c r="R404" s="24">
        <f>IFERROR(Q404/Q444, "NA")</f>
        <v>3.2611539807966307E-3</v>
      </c>
      <c r="S404" s="25"/>
      <c r="T404" s="23">
        <f>IFERROR(T345-T403, "NA")</f>
        <v>16459.72999999996</v>
      </c>
      <c r="U404" s="24">
        <f>IFERROR(T404/T444, "NA")</f>
        <v>7.1102790402641738E-2</v>
      </c>
      <c r="V404" s="25"/>
      <c r="W404" s="23">
        <f>IFERROR(Q404-T404, "NA")</f>
        <v>-15590.669999999976</v>
      </c>
      <c r="X404" s="24">
        <f>IFERROR(W404/W444, "NA")</f>
        <v>-0.44549289999414182</v>
      </c>
      <c r="Y404" s="25"/>
      <c r="Z404" s="23">
        <f>IFERROR(Z345-Z403, "NA")</f>
        <v>3617.2100000000755</v>
      </c>
      <c r="AA404" s="24">
        <f>IFERROR(Z404/Z444, "NA")</f>
        <v>1.7805871934234409E-2</v>
      </c>
      <c r="AB404" s="25"/>
      <c r="AC404" s="23">
        <f>IFERROR(Q404-Z404, "NA")</f>
        <v>-2748.1500000000924</v>
      </c>
      <c r="AD404" s="24">
        <f>IFERROR(AC404/AC444, "NA")</f>
        <v>-4.3386274961140663E-2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2891.92</v>
      </c>
      <c r="C410" s="8">
        <f>IFERROR(B410/B444, "NA")</f>
        <v>2.403893550786981E-2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-2891.92</v>
      </c>
      <c r="I410" s="8">
        <f>IFERROR(H410/H444, "NA")</f>
        <v>-0.17582209133152435</v>
      </c>
      <c r="J410" s="9"/>
      <c r="K410" s="7">
        <v>7805.75</v>
      </c>
      <c r="L410" s="8">
        <f>IFERROR(K410/K444, "NA")</f>
        <v>8.7562742127542156E-2</v>
      </c>
      <c r="M410" s="9"/>
      <c r="N410" s="10">
        <f t="shared" si="101"/>
        <v>4913.83</v>
      </c>
      <c r="O410" s="8">
        <f>IFERROR(N410/N444, "NA")</f>
        <v>0.15771266992651692</v>
      </c>
      <c r="P410" s="9"/>
      <c r="Q410" s="7">
        <v>9118.34</v>
      </c>
      <c r="R410" s="8">
        <f>IFERROR(Q410/Q444, "NA")</f>
        <v>3.4216637273902527E-2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-9118.34</v>
      </c>
      <c r="X410" s="8">
        <f>IFERROR(W410/W444, "NA")</f>
        <v>-0.26055042725762195</v>
      </c>
      <c r="Y410" s="9"/>
      <c r="Z410" s="7">
        <v>23417.73</v>
      </c>
      <c r="AA410" s="8">
        <f>IFERROR(Z410/Z444, "NA")</f>
        <v>0.11527478398281284</v>
      </c>
      <c r="AB410" s="9"/>
      <c r="AC410" s="10">
        <f t="shared" si="103"/>
        <v>14299.39</v>
      </c>
      <c r="AD410" s="8">
        <f>IFERROR(AC410/AC444, "NA")</f>
        <v>0.22575087470355121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-26.84</v>
      </c>
      <c r="C416" s="8">
        <f>IFERROR(B416/B444, "NA")</f>
        <v>-2.2310611255886253E-4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26.84</v>
      </c>
      <c r="I416" s="8">
        <f>IFERROR(H416/H444, "NA")</f>
        <v>1.6318103306239846E-3</v>
      </c>
      <c r="J416" s="9"/>
      <c r="K416" s="7">
        <v>-23.21</v>
      </c>
      <c r="L416" s="8">
        <f>IFERROR(K416/K444, "NA")</f>
        <v>-2.6036335326909692E-4</v>
      </c>
      <c r="M416" s="9"/>
      <c r="N416" s="10">
        <f t="shared" si="101"/>
        <v>3.629999999999999</v>
      </c>
      <c r="O416" s="8">
        <f>IFERROR(N416/N444, "NA")</f>
        <v>1.1650728491487421E-4</v>
      </c>
      <c r="P416" s="9"/>
      <c r="Q416" s="7">
        <v>-82.82</v>
      </c>
      <c r="R416" s="8">
        <f>IFERROR(Q416/Q444, "NA")</f>
        <v>-3.107826533145953E-4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82.82</v>
      </c>
      <c r="X416" s="8">
        <f>IFERROR(W416/W444, "NA")</f>
        <v>2.3665257476115443E-3</v>
      </c>
      <c r="Y416" s="9"/>
      <c r="Z416" s="7">
        <v>-70.89</v>
      </c>
      <c r="AA416" s="8">
        <f>IFERROR(Z416/Z444, "NA")</f>
        <v>-3.4895907658605692E-4</v>
      </c>
      <c r="AB416" s="9"/>
      <c r="AC416" s="10">
        <f t="shared" si="103"/>
        <v>11.929999999999993</v>
      </c>
      <c r="AD416" s="8">
        <f>IFERROR(AC416/AC444, "NA")</f>
        <v>1.8834425351104938E-4</v>
      </c>
    </row>
    <row r="417" spans="1:30" ht="16.5" customHeight="1" x14ac:dyDescent="0.45">
      <c r="A417" s="6" t="s">
        <v>382</v>
      </c>
      <c r="B417" s="7">
        <v>65.83</v>
      </c>
      <c r="C417" s="8">
        <f>IFERROR(B417/B444, "NA")</f>
        <v>5.4720847204731441E-4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-65.83</v>
      </c>
      <c r="I417" s="8">
        <f>IFERROR(H417/H444, "NA")</f>
        <v>-4.002312744596755E-3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-65.83</v>
      </c>
      <c r="O417" s="8">
        <f>IFERROR(N417/N444, "NA")</f>
        <v>-2.1128580071477056E-3</v>
      </c>
      <c r="P417" s="9"/>
      <c r="Q417" s="7">
        <v>31.73</v>
      </c>
      <c r="R417" s="8">
        <f>IFERROR(Q417/Q444, "NA")</f>
        <v>1.1906705614189941E-4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-31.73</v>
      </c>
      <c r="X417" s="8">
        <f>IFERROR(W417/W444, "NA")</f>
        <v>-9.0666339014385791E-4</v>
      </c>
      <c r="Y417" s="9"/>
      <c r="Z417" s="7">
        <v>17.27</v>
      </c>
      <c r="AA417" s="8">
        <f>IFERROR(Z417/Z444, "NA")</f>
        <v>8.5012318417847406E-5</v>
      </c>
      <c r="AB417" s="9"/>
      <c r="AC417" s="10">
        <f t="shared" si="103"/>
        <v>-14.46</v>
      </c>
      <c r="AD417" s="8">
        <f>IFERROR(AC417/AC444, "NA")</f>
        <v>-2.2828649671163251E-4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2930.91</v>
      </c>
      <c r="C428" s="15">
        <f>IFERROR(B428/B444, "NA")</f>
        <v>2.4363037867358262E-2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-2930.91</v>
      </c>
      <c r="I428" s="15">
        <f>IFERROR(H428/H444, "NA")</f>
        <v>-0.17819259374549709</v>
      </c>
      <c r="J428" s="2"/>
      <c r="K428" s="14">
        <f>IFERROR(K407+K408+K409+K410+K411+K412+K413+K414+K415+K416+K417+K418+K419+K420+K421+K422+K423+K424+K425+K426+K427, "NA")</f>
        <v>7782.54</v>
      </c>
      <c r="L428" s="15">
        <f>IFERROR(K428/K444, "NA")</f>
        <v>8.7302378774273048E-2</v>
      </c>
      <c r="M428" s="2"/>
      <c r="N428" s="14">
        <f t="shared" si="101"/>
        <v>4851.63</v>
      </c>
      <c r="O428" s="15">
        <f>IFERROR(N428/N444, "NA")</f>
        <v>0.15571631920428411</v>
      </c>
      <c r="P428" s="2"/>
      <c r="Q428" s="14">
        <f>IFERROR(Q407+Q408+Q409+Q410+Q411+Q412+Q413+Q414+Q415+Q416+Q417+Q418+Q419+Q420+Q421+Q422+Q423+Q424+Q425+Q426+Q427, "NA")</f>
        <v>9067.25</v>
      </c>
      <c r="R428" s="15">
        <f>IFERROR(Q428/Q444, "NA")</f>
        <v>3.4024921676729832E-2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-9067.25</v>
      </c>
      <c r="X428" s="15">
        <f>IFERROR(W428/W444, "NA")</f>
        <v>-0.25909056490015431</v>
      </c>
      <c r="Y428" s="2"/>
      <c r="Z428" s="14">
        <f>IFERROR(Z407+Z408+Z409+Z410+Z411+Z412+Z413+Z414+Z415+Z416+Z417+Z418+Z419+Z420+Z421+Z422+Z423+Z424+Z425+Z426+Z427, "NA")</f>
        <v>23364.11</v>
      </c>
      <c r="AA428" s="15">
        <f>IFERROR(Z428/Z444, "NA")</f>
        <v>0.11501083722464464</v>
      </c>
      <c r="AB428" s="2"/>
      <c r="AC428" s="14">
        <f t="shared" si="103"/>
        <v>14296.86</v>
      </c>
      <c r="AD428" s="15">
        <f>IFERROR(AC428/AC444, "NA")</f>
        <v>0.22571093246035065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2930.91</v>
      </c>
      <c r="C429" s="15">
        <f>IFERROR(B429/B444, "NA")</f>
        <v>2.4363037867358262E-2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-2930.91</v>
      </c>
      <c r="I429" s="15">
        <f>IFERROR(H429/H444, "NA")</f>
        <v>-0.17819259374549709</v>
      </c>
      <c r="J429" s="2"/>
      <c r="K429" s="14">
        <f>IFERROR(K407+K408+K409+K410+K411+K412+K413+K414+K415+K416+K417+K418+K419+K420+K421+K422+K423+K424+K425+K426+K427, "NA")</f>
        <v>7782.54</v>
      </c>
      <c r="L429" s="15">
        <f>IFERROR(K429/K444, "NA")</f>
        <v>8.7302378774273048E-2</v>
      </c>
      <c r="M429" s="2"/>
      <c r="N429" s="14">
        <f t="shared" si="101"/>
        <v>4851.63</v>
      </c>
      <c r="O429" s="15">
        <f>IFERROR(N429/N444, "NA")</f>
        <v>0.15571631920428411</v>
      </c>
      <c r="P429" s="2"/>
      <c r="Q429" s="14">
        <f>IFERROR(Q407+Q408+Q409+Q410+Q411+Q412+Q413+Q414+Q415+Q416+Q417+Q418+Q419+Q420+Q421+Q422+Q423+Q424+Q425+Q426+Q427, "NA")</f>
        <v>9067.25</v>
      </c>
      <c r="R429" s="15">
        <f>IFERROR(Q429/Q444, "NA")</f>
        <v>3.4024921676729832E-2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-9067.25</v>
      </c>
      <c r="X429" s="15">
        <f>IFERROR(W429/W444, "NA")</f>
        <v>-0.25909056490015431</v>
      </c>
      <c r="Y429" s="2"/>
      <c r="Z429" s="14">
        <f>IFERROR(Z407+Z408+Z409+Z410+Z411+Z412+Z413+Z414+Z415+Z416+Z417+Z418+Z419+Z420+Z421+Z422+Z423+Z424+Z425+Z426+Z427, "NA")</f>
        <v>23364.11</v>
      </c>
      <c r="AA429" s="15">
        <f>IFERROR(Z429/Z444, "NA")</f>
        <v>0.11501083722464464</v>
      </c>
      <c r="AB429" s="2"/>
      <c r="AC429" s="14">
        <f t="shared" si="103"/>
        <v>14296.86</v>
      </c>
      <c r="AD429" s="15">
        <f>IFERROR(AC429/AC444, "NA")</f>
        <v>0.22571093246035065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8660.1899999999787</v>
      </c>
      <c r="C443" s="24">
        <f>IFERROR(B443/B444, "NA")</f>
        <v>7.1987381703469855E-2</v>
      </c>
      <c r="D443" s="25"/>
      <c r="E443" s="23">
        <f>IFERROR(E404-E429-E442, "NA")</f>
        <v>15238.929999999991</v>
      </c>
      <c r="F443" s="24">
        <f>IFERROR(E443/E444, "NA")</f>
        <v>0.1467348575893101</v>
      </c>
      <c r="G443" s="25"/>
      <c r="H443" s="23">
        <f>IFERROR(B443-E443, "NA")</f>
        <v>-6578.7400000000125</v>
      </c>
      <c r="I443" s="24">
        <f>IFERROR(H443/H444, "NA")</f>
        <v>-0.39997227624773668</v>
      </c>
      <c r="J443" s="25"/>
      <c r="K443" s="23">
        <f>IFERROR(K404-K429-K442, "NA")</f>
        <v>1299.9199999999846</v>
      </c>
      <c r="L443" s="24">
        <f>IFERROR(K443/K444, "NA")</f>
        <v>1.4582142618766069E-2</v>
      </c>
      <c r="M443" s="25"/>
      <c r="N443" s="23">
        <f>IFERROR(B443-K443, "NA")</f>
        <v>7360.2699999999941</v>
      </c>
      <c r="O443" s="24">
        <f>IFERROR(N443/N444, "NA")</f>
        <v>0.23623280273840239</v>
      </c>
      <c r="P443" s="25"/>
      <c r="Q443" s="23">
        <f>IFERROR(Q404-Q429-Q442, "NA")</f>
        <v>-8198.1900000000169</v>
      </c>
      <c r="R443" s="24">
        <f>IFERROR(Q443/Q444, "NA")</f>
        <v>-3.0763767695933197E-2</v>
      </c>
      <c r="S443" s="25"/>
      <c r="T443" s="23">
        <f>IFERROR(T404-T429-T442, "NA")</f>
        <v>16459.72999999996</v>
      </c>
      <c r="U443" s="24">
        <f>IFERROR(T443/T444, "NA")</f>
        <v>7.1102790402641738E-2</v>
      </c>
      <c r="V443" s="25"/>
      <c r="W443" s="23">
        <f>IFERROR(Q443-T443, "NA")</f>
        <v>-24657.919999999976</v>
      </c>
      <c r="X443" s="24">
        <f>IFERROR(W443/W444, "NA")</f>
        <v>-0.70458346489429613</v>
      </c>
      <c r="Y443" s="25"/>
      <c r="Z443" s="23">
        <f>IFERROR(Z404-Z429-Z442, "NA")</f>
        <v>-19746.899999999925</v>
      </c>
      <c r="AA443" s="24">
        <f>IFERROR(Z443/Z444, "NA")</f>
        <v>-9.7204965290410228E-2</v>
      </c>
      <c r="AB443" s="25"/>
      <c r="AC443" s="23">
        <f>IFERROR(Q443-Z443, "NA")</f>
        <v>11548.709999999908</v>
      </c>
      <c r="AD443" s="24">
        <f>IFERROR(AC443/AC444, "NA")</f>
        <v>0.18232465749920998</v>
      </c>
    </row>
    <row r="444" spans="1:30" ht="15.75" hidden="1" x14ac:dyDescent="0.45">
      <c r="A444" s="26" t="s">
        <v>117</v>
      </c>
      <c r="B444" s="7">
        <v>120301.5</v>
      </c>
      <c r="C444" s="27"/>
      <c r="D444" s="9"/>
      <c r="E444" s="7">
        <v>103853.51</v>
      </c>
      <c r="F444" s="27"/>
      <c r="G444" s="9"/>
      <c r="H444" s="10">
        <f>IFERROR(B444-E444, "NA")</f>
        <v>16447.990000000005</v>
      </c>
      <c r="I444" s="27"/>
      <c r="J444" s="9"/>
      <c r="K444" s="7">
        <v>89144.65</v>
      </c>
      <c r="L444" s="27"/>
      <c r="M444" s="9"/>
      <c r="N444" s="10">
        <f>IFERROR(B444-K444, "NA")</f>
        <v>31156.850000000006</v>
      </c>
      <c r="O444" s="27"/>
      <c r="P444" s="9"/>
      <c r="Q444" s="7">
        <v>266488.49</v>
      </c>
      <c r="R444" s="27"/>
      <c r="S444" s="9"/>
      <c r="T444" s="7">
        <v>231492.04</v>
      </c>
      <c r="U444" s="27"/>
      <c r="V444" s="9"/>
      <c r="W444" s="10">
        <f>IFERROR(Q444-T444, "NA")</f>
        <v>34996.449999999983</v>
      </c>
      <c r="X444" s="27"/>
      <c r="Y444" s="9"/>
      <c r="Z444" s="7">
        <v>203147.03</v>
      </c>
      <c r="AA444" s="27"/>
      <c r="AB444" s="9"/>
      <c r="AC444" s="10">
        <f>IFERROR(Q444-Z444, "NA")</f>
        <v>63341.459999999992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76135.23</v>
      </c>
      <c r="F10" s="8">
        <f>IFERROR(E10/E444, "NA")</f>
        <v>0.58900004827410779</v>
      </c>
      <c r="G10" s="9"/>
      <c r="H10" s="10">
        <f t="shared" ref="H10:H19" si="0">IFERROR(B10-E10, "NA")</f>
        <v>-76135.23</v>
      </c>
      <c r="I10" s="8">
        <f>IFERROR(H10/H444, "NA")</f>
        <v>-3.4609565639557918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176477.86</v>
      </c>
      <c r="U10" s="8">
        <f>IFERROR(T10/T444, "NA")</f>
        <v>0.58900000450566437</v>
      </c>
      <c r="V10" s="9"/>
      <c r="W10" s="10">
        <f t="shared" ref="W10:W19" si="2">IFERROR(Q10-T10, "NA")</f>
        <v>-176477.86</v>
      </c>
      <c r="X10" s="8">
        <f>IFERROR(W10/W444, "NA")</f>
        <v>-120.83386511468674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78559.600000000006</v>
      </c>
      <c r="C11" s="8">
        <f>IFERROR(B11/B444, "NA")</f>
        <v>0.51936742629387678</v>
      </c>
      <c r="D11" s="9"/>
      <c r="E11" s="7">
        <v>0</v>
      </c>
      <c r="F11" s="8">
        <f>IFERROR(E11/E444, "NA")</f>
        <v>0</v>
      </c>
      <c r="G11" s="9"/>
      <c r="H11" s="10">
        <f t="shared" si="0"/>
        <v>78559.600000000006</v>
      </c>
      <c r="I11" s="8">
        <f>IFERROR(H11/H444, "NA")</f>
        <v>3.5711636161306854</v>
      </c>
      <c r="J11" s="9"/>
      <c r="K11" s="7">
        <v>57812.09</v>
      </c>
      <c r="L11" s="8">
        <f>IFERROR(K11/K444, "NA")</f>
        <v>0.50762632466714841</v>
      </c>
      <c r="M11" s="9"/>
      <c r="N11" s="10">
        <f t="shared" si="1"/>
        <v>20747.510000000009</v>
      </c>
      <c r="O11" s="8">
        <f>IFERROR(N11/N444, "NA")</f>
        <v>0.55514614002706786</v>
      </c>
      <c r="P11" s="9"/>
      <c r="Q11" s="7">
        <v>151227.20000000001</v>
      </c>
      <c r="R11" s="8">
        <f>IFERROR(Q11/Q444, "NA")</f>
        <v>0.50227686120803439</v>
      </c>
      <c r="S11" s="9"/>
      <c r="T11" s="7">
        <v>0</v>
      </c>
      <c r="U11" s="8">
        <f>IFERROR(T11/T444, "NA")</f>
        <v>0</v>
      </c>
      <c r="V11" s="9"/>
      <c r="W11" s="10">
        <f t="shared" si="2"/>
        <v>151227.20000000001</v>
      </c>
      <c r="X11" s="8">
        <f>IFERROR(W11/W444, "NA")</f>
        <v>103.54481342006163</v>
      </c>
      <c r="Y11" s="9"/>
      <c r="Z11" s="7">
        <v>141566.49</v>
      </c>
      <c r="AA11" s="8">
        <f>IFERROR(Z11/Z444, "NA")</f>
        <v>0.52197592678926363</v>
      </c>
      <c r="AB11" s="9"/>
      <c r="AC11" s="10">
        <f t="shared" si="3"/>
        <v>9660.710000000021</v>
      </c>
      <c r="AD11" s="8">
        <f>IFERROR(AC11/AC444, "NA")</f>
        <v>0.32341792132550179</v>
      </c>
    </row>
    <row r="12" spans="1:30" ht="16.5" customHeight="1" x14ac:dyDescent="0.45">
      <c r="A12" s="12" t="s">
        <v>14</v>
      </c>
      <c r="B12" s="7">
        <v>8552.75</v>
      </c>
      <c r="C12" s="8">
        <f>IFERROR(B12/B444, "NA")</f>
        <v>5.6543309222996989E-2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8552.75</v>
      </c>
      <c r="I12" s="8">
        <f>IFERROR(H12/H444, "NA")</f>
        <v>0.38879105313496654</v>
      </c>
      <c r="J12" s="9"/>
      <c r="K12" s="7">
        <v>6571.25</v>
      </c>
      <c r="L12" s="8">
        <f>IFERROR(K12/K444, "NA")</f>
        <v>5.769968679508039E-2</v>
      </c>
      <c r="M12" s="9"/>
      <c r="N12" s="10">
        <f t="shared" si="1"/>
        <v>1981.5</v>
      </c>
      <c r="O12" s="8">
        <f>IFERROR(N12/N444, "NA")</f>
        <v>5.3019474455664059E-2</v>
      </c>
      <c r="P12" s="9"/>
      <c r="Q12" s="7">
        <v>16857.900000000001</v>
      </c>
      <c r="R12" s="8">
        <f>IFERROR(Q12/Q444, "NA")</f>
        <v>5.5990807861012584E-2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16857.900000000001</v>
      </c>
      <c r="X12" s="8">
        <f>IFERROR(W12/W444, "NA")</f>
        <v>11.54255391989045</v>
      </c>
      <c r="Y12" s="9"/>
      <c r="Z12" s="7">
        <v>14998.9</v>
      </c>
      <c r="AA12" s="8">
        <f>IFERROR(Z12/Z444, "NA")</f>
        <v>5.5303092761002176E-2</v>
      </c>
      <c r="AB12" s="9"/>
      <c r="AC12" s="10">
        <f t="shared" si="3"/>
        <v>1859.0000000000018</v>
      </c>
      <c r="AD12" s="8">
        <f>IFERROR(AC12/AC444, "NA")</f>
        <v>6.2234961586064286E-2</v>
      </c>
    </row>
    <row r="13" spans="1:30" ht="16.5" customHeight="1" x14ac:dyDescent="0.45">
      <c r="A13" s="12" t="s">
        <v>15</v>
      </c>
      <c r="B13" s="7">
        <v>191</v>
      </c>
      <c r="C13" s="8">
        <f>IFERROR(B13/B444, "NA")</f>
        <v>1.2627250956233286E-3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191</v>
      </c>
      <c r="I13" s="8">
        <f>IFERROR(H13/H444, "NA")</f>
        <v>8.6824812076558549E-3</v>
      </c>
      <c r="J13" s="9"/>
      <c r="K13" s="7">
        <v>188</v>
      </c>
      <c r="L13" s="8">
        <f>IFERROR(K13/K444, "NA")</f>
        <v>1.6507576362906774E-3</v>
      </c>
      <c r="M13" s="9"/>
      <c r="N13" s="10">
        <f t="shared" si="1"/>
        <v>3</v>
      </c>
      <c r="O13" s="8">
        <f>IFERROR(N13/N444, "NA")</f>
        <v>8.0271725141050807E-5</v>
      </c>
      <c r="P13" s="9"/>
      <c r="Q13" s="7">
        <v>413</v>
      </c>
      <c r="R13" s="8">
        <f>IFERROR(Q13/Q444, "NA")</f>
        <v>1.3717131817485094E-3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413</v>
      </c>
      <c r="X13" s="8">
        <f>IFERROR(W13/W444, "NA")</f>
        <v>0.28277986990756593</v>
      </c>
      <c r="Y13" s="9"/>
      <c r="Z13" s="7">
        <v>438.49</v>
      </c>
      <c r="AA13" s="8">
        <f>IFERROR(Z13/Z444, "NA")</f>
        <v>1.6167754398503788E-3</v>
      </c>
      <c r="AB13" s="9"/>
      <c r="AC13" s="10">
        <f t="shared" si="3"/>
        <v>-25.490000000000009</v>
      </c>
      <c r="AD13" s="8">
        <f>IFERROR(AC13/AC444, "NA")</f>
        <v>-8.5334543885356518E-4</v>
      </c>
    </row>
    <row r="14" spans="1:30" ht="16.5" customHeight="1" x14ac:dyDescent="0.45">
      <c r="A14" s="12" t="s">
        <v>16</v>
      </c>
      <c r="B14" s="7">
        <v>475</v>
      </c>
      <c r="C14" s="8">
        <f>IFERROR(B14/B444, "NA")</f>
        <v>3.140284923670582E-3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475</v>
      </c>
      <c r="I14" s="8">
        <f>IFERROR(H14/H444, "NA")</f>
        <v>2.1592557977154613E-2</v>
      </c>
      <c r="J14" s="9"/>
      <c r="K14" s="7">
        <v>570</v>
      </c>
      <c r="L14" s="8">
        <f>IFERROR(K14/K444, "NA")</f>
        <v>5.0049566632217341E-3</v>
      </c>
      <c r="M14" s="9"/>
      <c r="N14" s="10">
        <f t="shared" si="1"/>
        <v>-95</v>
      </c>
      <c r="O14" s="8">
        <f>IFERROR(N14/N444, "NA")</f>
        <v>-2.541937962799942E-3</v>
      </c>
      <c r="P14" s="9"/>
      <c r="Q14" s="7">
        <v>995</v>
      </c>
      <c r="R14" s="8">
        <f>IFERROR(Q14/Q444, "NA")</f>
        <v>3.3047327260042779E-3</v>
      </c>
      <c r="S14" s="9"/>
      <c r="T14" s="7">
        <v>0</v>
      </c>
      <c r="U14" s="8">
        <f>IFERROR(T14/T444, "NA")</f>
        <v>0</v>
      </c>
      <c r="V14" s="9"/>
      <c r="W14" s="10">
        <f t="shared" si="2"/>
        <v>995</v>
      </c>
      <c r="X14" s="8">
        <f>IFERROR(W14/W444, "NA")</f>
        <v>0.68127353646011635</v>
      </c>
      <c r="Y14" s="9"/>
      <c r="Z14" s="7">
        <v>1250</v>
      </c>
      <c r="AA14" s="8">
        <f>IFERROR(Z14/Z444, "NA")</f>
        <v>4.6089290515472954E-3</v>
      </c>
      <c r="AB14" s="9"/>
      <c r="AC14" s="10">
        <f t="shared" si="3"/>
        <v>-255</v>
      </c>
      <c r="AD14" s="8">
        <f>IFERROR(AC14/AC444, "NA")</f>
        <v>-8.5368021540862711E-3</v>
      </c>
    </row>
    <row r="15" spans="1:30" ht="16.5" customHeight="1" x14ac:dyDescent="0.45">
      <c r="A15" s="12" t="s">
        <v>17</v>
      </c>
      <c r="B15" s="7">
        <v>26</v>
      </c>
      <c r="C15" s="8">
        <f>IFERROR(B15/B444, "NA")</f>
        <v>1.7188928003249502E-4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26</v>
      </c>
      <c r="I15" s="8">
        <f>IFERROR(H15/H444, "NA")</f>
        <v>1.1819084366442524E-3</v>
      </c>
      <c r="J15" s="9"/>
      <c r="K15" s="7">
        <v>40</v>
      </c>
      <c r="L15" s="8">
        <f>IFERROR(K15/K444, "NA")</f>
        <v>3.5122502899801643E-4</v>
      </c>
      <c r="M15" s="9"/>
      <c r="N15" s="10">
        <f t="shared" si="1"/>
        <v>-14</v>
      </c>
      <c r="O15" s="8">
        <f>IFERROR(N15/N444, "NA")</f>
        <v>-3.7460138399157043E-4</v>
      </c>
      <c r="P15" s="9"/>
      <c r="Q15" s="7">
        <v>68</v>
      </c>
      <c r="R15" s="8">
        <f>IFERROR(Q15/Q444, "NA")</f>
        <v>2.2585108077215164E-4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68</v>
      </c>
      <c r="X15" s="8">
        <f>IFERROR(W15/W444, "NA")</f>
        <v>4.6559397466621022E-2</v>
      </c>
      <c r="Y15" s="9"/>
      <c r="Z15" s="7">
        <v>72</v>
      </c>
      <c r="AA15" s="8">
        <f>IFERROR(Z15/Z444, "NA")</f>
        <v>2.6547431336912419E-4</v>
      </c>
      <c r="AB15" s="9"/>
      <c r="AC15" s="10">
        <f t="shared" si="3"/>
        <v>-4</v>
      </c>
      <c r="AD15" s="8">
        <f>IFERROR(AC15/AC444, "NA")</f>
        <v>-1.3391062202488266E-4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87804.35</v>
      </c>
      <c r="C18" s="15">
        <f>IFERROR(B18/B444, "NA")</f>
        <v>0.58048563481620019</v>
      </c>
      <c r="D18" s="2"/>
      <c r="E18" s="14">
        <f>IFERROR(E10+E11+E12+E13+E14+E15+E16+E17, "NA")</f>
        <v>76135.23</v>
      </c>
      <c r="F18" s="15">
        <f>IFERROR(E18/E444, "NA")</f>
        <v>0.58900004827410779</v>
      </c>
      <c r="G18" s="2"/>
      <c r="H18" s="14">
        <f t="shared" si="0"/>
        <v>11669.12000000001</v>
      </c>
      <c r="I18" s="15">
        <f>IFERROR(H18/H444, "NA")</f>
        <v>0.53045505293131501</v>
      </c>
      <c r="J18" s="2"/>
      <c r="K18" s="14">
        <f>IFERROR(K10+K11+K12+K13+K14+K15+K16+K17, "NA")</f>
        <v>65181.34</v>
      </c>
      <c r="L18" s="15">
        <f>IFERROR(K18/K444, "NA")</f>
        <v>0.5723329507907392</v>
      </c>
      <c r="M18" s="2"/>
      <c r="N18" s="14">
        <f t="shared" si="1"/>
        <v>22623.010000000009</v>
      </c>
      <c r="O18" s="15">
        <f>IFERROR(N18/N444, "NA")</f>
        <v>0.60532934686108153</v>
      </c>
      <c r="P18" s="2"/>
      <c r="Q18" s="14">
        <f>IFERROR(Q10+Q11+Q12+Q13+Q14+Q15+Q16+Q17, "NA")</f>
        <v>169561.1</v>
      </c>
      <c r="R18" s="15">
        <f>IFERROR(Q18/Q444, "NA")</f>
        <v>0.56316996605757186</v>
      </c>
      <c r="S18" s="2"/>
      <c r="T18" s="14">
        <f>IFERROR(T10+T11+T12+T13+T14+T15+T16+T17, "NA")</f>
        <v>176477.86</v>
      </c>
      <c r="U18" s="15">
        <f>IFERROR(T18/T444, "NA")</f>
        <v>0.58900000450566437</v>
      </c>
      <c r="V18" s="2"/>
      <c r="W18" s="14">
        <f t="shared" si="2"/>
        <v>-6916.7599999999802</v>
      </c>
      <c r="X18" s="15">
        <f>IFERROR(W18/W444, "NA")</f>
        <v>-4.7358849709003632</v>
      </c>
      <c r="Y18" s="2"/>
      <c r="Z18" s="14">
        <f>IFERROR(Z10+Z11+Z12+Z13+Z14+Z15+Z16+Z17, "NA")</f>
        <v>158325.87999999998</v>
      </c>
      <c r="AA18" s="15">
        <f>IFERROR(Z18/Z444, "NA")</f>
        <v>0.58377019835503263</v>
      </c>
      <c r="AB18" s="2"/>
      <c r="AC18" s="14">
        <f t="shared" si="3"/>
        <v>11235.22000000003</v>
      </c>
      <c r="AD18" s="15">
        <f>IFERROR(AC18/AC444, "NA")</f>
        <v>0.37612882469660158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10728.73</v>
      </c>
      <c r="F21" s="8">
        <f>IFERROR(E21/E444, "NA")</f>
        <v>8.2999978957440185E-2</v>
      </c>
      <c r="G21" s="9"/>
      <c r="H21" s="10">
        <f t="shared" ref="H21:H29" si="4">IFERROR(B21-E21, "NA")</f>
        <v>-10728.73</v>
      </c>
      <c r="I21" s="8">
        <f>IFERROR(H21/H444, "NA")</f>
        <v>-0.48770678851839577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24868.7</v>
      </c>
      <c r="U21" s="8">
        <f>IFERROR(T21/T444, "NA")</f>
        <v>8.3000011514475627E-2</v>
      </c>
      <c r="V21" s="9"/>
      <c r="W21" s="10">
        <f t="shared" ref="W21:W29" si="6">IFERROR(Q21-T21, "NA")</f>
        <v>-24868.7</v>
      </c>
      <c r="X21" s="8">
        <f>IFERROR(W21/W444, "NA")</f>
        <v>-17.027524820267033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8425.1</v>
      </c>
      <c r="C22" s="8">
        <f>IFERROR(B22/B444, "NA")</f>
        <v>5.5699398969298992E-2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8425.1</v>
      </c>
      <c r="I22" s="8">
        <f>IFERROR(H22/H444, "NA")</f>
        <v>0.38298833729121123</v>
      </c>
      <c r="J22" s="9"/>
      <c r="K22" s="7">
        <v>8347.68</v>
      </c>
      <c r="L22" s="8">
        <f>IFERROR(K22/K444, "NA")</f>
        <v>7.3297853751654055E-2</v>
      </c>
      <c r="M22" s="9"/>
      <c r="N22" s="10">
        <f t="shared" si="5"/>
        <v>77.420000000000073</v>
      </c>
      <c r="O22" s="8">
        <f>IFERROR(N22/N444, "NA")</f>
        <v>2.0715456534733862E-3</v>
      </c>
      <c r="P22" s="9"/>
      <c r="Q22" s="7">
        <v>20567.25</v>
      </c>
      <c r="R22" s="8">
        <f>IFERROR(Q22/Q444, "NA")</f>
        <v>6.8310818250162289E-2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20567.25</v>
      </c>
      <c r="X22" s="8">
        <f>IFERROR(W22/W444, "NA")</f>
        <v>14.082334816843547</v>
      </c>
      <c r="Y22" s="9"/>
      <c r="Z22" s="7">
        <v>20869.66</v>
      </c>
      <c r="AA22" s="8">
        <f>IFERROR(Z22/Z444, "NA")</f>
        <v>7.6949425815931616E-2</v>
      </c>
      <c r="AB22" s="9"/>
      <c r="AC22" s="10">
        <f t="shared" si="7"/>
        <v>-302.40999999999985</v>
      </c>
      <c r="AD22" s="8">
        <f>IFERROR(AC22/AC444, "NA")</f>
        <v>-1.0123977801636187E-2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1812.1</v>
      </c>
      <c r="C24" s="8">
        <f>IFERROR(B24/B444, "NA")</f>
        <v>1.1980021705649392E-2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1812.1</v>
      </c>
      <c r="I24" s="8">
        <f>IFERROR(H24/H444, "NA")</f>
        <v>8.2374472232424986E-2</v>
      </c>
      <c r="J24" s="9"/>
      <c r="K24" s="7">
        <v>179</v>
      </c>
      <c r="L24" s="8">
        <f>IFERROR(K24/K444, "NA")</f>
        <v>1.5717320047661236E-3</v>
      </c>
      <c r="M24" s="9"/>
      <c r="N24" s="10">
        <f t="shared" si="5"/>
        <v>1633.1</v>
      </c>
      <c r="O24" s="8">
        <f>IFERROR(N24/N444, "NA")</f>
        <v>4.3697251442616686E-2</v>
      </c>
      <c r="P24" s="9"/>
      <c r="Q24" s="7">
        <v>3765.05</v>
      </c>
      <c r="R24" s="8">
        <f>IFERROR(Q24/Q444, "NA")</f>
        <v>1.2505008995017493E-2</v>
      </c>
      <c r="S24" s="9"/>
      <c r="T24" s="7">
        <v>0</v>
      </c>
      <c r="U24" s="8">
        <f>IFERROR(T24/T444, "NA")</f>
        <v>0</v>
      </c>
      <c r="V24" s="9"/>
      <c r="W24" s="10">
        <f t="shared" si="6"/>
        <v>3765.05</v>
      </c>
      <c r="X24" s="8">
        <f>IFERROR(W24/W444, "NA")</f>
        <v>2.5779185210544338</v>
      </c>
      <c r="Y24" s="9"/>
      <c r="Z24" s="7">
        <v>953.11</v>
      </c>
      <c r="AA24" s="8">
        <f>IFERROR(Z24/Z444, "NA")</f>
        <v>3.5142530946561941E-3</v>
      </c>
      <c r="AB24" s="9"/>
      <c r="AC24" s="10">
        <f t="shared" si="7"/>
        <v>2811.94</v>
      </c>
      <c r="AD24" s="8">
        <f>IFERROR(AC24/AC444, "NA")</f>
        <v>9.4137158624162151E-2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928.45</v>
      </c>
      <c r="C28" s="8">
        <f>IFERROR(B28/B444, "NA")</f>
        <v>6.1381000786988457E-3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928.45</v>
      </c>
      <c r="I28" s="8">
        <f>IFERROR(H28/H444, "NA")</f>
        <v>4.2205495692398315E-2</v>
      </c>
      <c r="J28" s="9"/>
      <c r="K28" s="7">
        <v>1772.09</v>
      </c>
      <c r="L28" s="8">
        <f>IFERROR(K28/K444, "NA")</f>
        <v>1.5560059040927374E-2</v>
      </c>
      <c r="M28" s="9"/>
      <c r="N28" s="10">
        <f t="shared" si="5"/>
        <v>-843.63999999999987</v>
      </c>
      <c r="O28" s="8">
        <f>IFERROR(N28/N444, "NA")</f>
        <v>-2.257347939933203E-2</v>
      </c>
      <c r="P28" s="9"/>
      <c r="Q28" s="7">
        <v>2611.64</v>
      </c>
      <c r="R28" s="8">
        <f>IFERROR(Q28/Q444, "NA")</f>
        <v>8.6741428909967964E-3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2611.64</v>
      </c>
      <c r="X28" s="8">
        <f>IFERROR(W28/W444, "NA")</f>
        <v>1.7881821294077369</v>
      </c>
      <c r="Y28" s="9"/>
      <c r="Z28" s="7">
        <v>2457.3000000000002</v>
      </c>
      <c r="AA28" s="8">
        <f>IFERROR(Z28/Z444, "NA")</f>
        <v>9.060417086693735E-3</v>
      </c>
      <c r="AB28" s="9"/>
      <c r="AC28" s="10">
        <f t="shared" si="7"/>
        <v>154.33999999999969</v>
      </c>
      <c r="AD28" s="8">
        <f>IFERROR(AC28/AC444, "NA")</f>
        <v>5.1669413508300876E-3</v>
      </c>
    </row>
    <row r="29" spans="1:30" ht="16.5" customHeight="1" x14ac:dyDescent="0.45">
      <c r="A29" s="13" t="s">
        <v>30</v>
      </c>
      <c r="B29" s="14">
        <f>IFERROR(B21+B22+B23+B24+B25+B26+B27+B28, "NA")</f>
        <v>11165.650000000001</v>
      </c>
      <c r="C29" s="15">
        <f>IFERROR(B29/B444, "NA")</f>
        <v>7.3817520753647239E-2</v>
      </c>
      <c r="D29" s="2"/>
      <c r="E29" s="14">
        <f>IFERROR(E21+E22+E23+E24+E25+E26+E27+E28, "NA")</f>
        <v>10728.73</v>
      </c>
      <c r="F29" s="15">
        <f>IFERROR(E29/E444, "NA")</f>
        <v>8.2999978957440185E-2</v>
      </c>
      <c r="G29" s="2"/>
      <c r="H29" s="14">
        <f t="shared" si="4"/>
        <v>436.92000000000189</v>
      </c>
      <c r="I29" s="15">
        <f>IFERROR(H29/H444, "NA")</f>
        <v>1.9861516697638807E-2</v>
      </c>
      <c r="J29" s="2"/>
      <c r="K29" s="14">
        <f>IFERROR(K21+K22+K23+K24+K25+K26+K27+K28, "NA")</f>
        <v>10298.77</v>
      </c>
      <c r="L29" s="15">
        <f>IFERROR(K29/K444, "NA")</f>
        <v>9.0429644797347553E-2</v>
      </c>
      <c r="M29" s="2"/>
      <c r="N29" s="14">
        <f t="shared" si="5"/>
        <v>866.88000000000102</v>
      </c>
      <c r="O29" s="15">
        <f>IFERROR(N29/N444, "NA")</f>
        <v>2.3195317696758068E-2</v>
      </c>
      <c r="P29" s="2"/>
      <c r="Q29" s="14">
        <f>IFERROR(Q21+Q22+Q23+Q24+Q25+Q26+Q27+Q28, "NA")</f>
        <v>26943.94</v>
      </c>
      <c r="R29" s="15">
        <f>IFERROR(Q29/Q444, "NA")</f>
        <v>8.9489970136176586E-2</v>
      </c>
      <c r="S29" s="2"/>
      <c r="T29" s="14">
        <f>IFERROR(T21+T22+T23+T24+T25+T26+T27+T28, "NA")</f>
        <v>24868.7</v>
      </c>
      <c r="U29" s="15">
        <f>IFERROR(T29/T444, "NA")</f>
        <v>8.3000011514475627E-2</v>
      </c>
      <c r="V29" s="2"/>
      <c r="W29" s="14">
        <f t="shared" si="6"/>
        <v>2075.239999999998</v>
      </c>
      <c r="X29" s="15">
        <f>IFERROR(W29/W444, "NA")</f>
        <v>1.4209106470386841</v>
      </c>
      <c r="Y29" s="2"/>
      <c r="Z29" s="14">
        <f>IFERROR(Z21+Z22+Z23+Z24+Z25+Z26+Z27+Z28, "NA")</f>
        <v>24280.07</v>
      </c>
      <c r="AA29" s="15">
        <f>IFERROR(Z29/Z444, "NA")</f>
        <v>8.9524095997281547E-2</v>
      </c>
      <c r="AB29" s="2"/>
      <c r="AC29" s="14">
        <f t="shared" si="7"/>
        <v>2663.869999999999</v>
      </c>
      <c r="AD29" s="15">
        <f>IFERROR(AC29/AC444, "NA")</f>
        <v>8.9180122173356025E-2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19518.54</v>
      </c>
      <c r="F31" s="8">
        <f>IFERROR(E31/E444, "NA")</f>
        <v>0.15100001671026811</v>
      </c>
      <c r="G31" s="9"/>
      <c r="H31" s="10">
        <f t="shared" ref="H31:H40" si="8">IFERROR(B31-E31, "NA")</f>
        <v>-19518.54</v>
      </c>
      <c r="I31" s="8">
        <f>IFERROR(H31/H444, "NA")</f>
        <v>-0.88727411911455034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45243.05</v>
      </c>
      <c r="U31" s="8">
        <f>IFERROR(T31/T444, "NA")</f>
        <v>0.15099999883186482</v>
      </c>
      <c r="V31" s="9"/>
      <c r="W31" s="10">
        <f t="shared" ref="W31:W40" si="10">IFERROR(Q31-T31, "NA")</f>
        <v>-45243.05</v>
      </c>
      <c r="X31" s="8">
        <f>IFERROR(W31/W444, "NA")</f>
        <v>-30.97778158165012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11629.67</v>
      </c>
      <c r="C33" s="8">
        <f>IFERROR(B33/B444, "NA")</f>
        <v>7.6885215512134855E-2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11629.67</v>
      </c>
      <c r="I33" s="8">
        <f>IFERROR(H33/H444, "NA")</f>
        <v>0.52866173416879092</v>
      </c>
      <c r="J33" s="9"/>
      <c r="K33" s="7">
        <v>6463.09</v>
      </c>
      <c r="L33" s="8">
        <f>IFERROR(K33/K444, "NA")</f>
        <v>5.6749974316669755E-2</v>
      </c>
      <c r="M33" s="9"/>
      <c r="N33" s="10">
        <f t="shared" si="9"/>
        <v>5166.58</v>
      </c>
      <c r="O33" s="8">
        <f>IFERROR(N33/N444, "NA")</f>
        <v>0.13824342989308341</v>
      </c>
      <c r="P33" s="9"/>
      <c r="Q33" s="7">
        <v>28075.62</v>
      </c>
      <c r="R33" s="8">
        <f>IFERROR(Q33/Q444, "NA")</f>
        <v>9.3248663534532886E-2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28075.62</v>
      </c>
      <c r="X33" s="8">
        <f>IFERROR(W33/W444, "NA")</f>
        <v>19.223293392673742</v>
      </c>
      <c r="Y33" s="9"/>
      <c r="Z33" s="7">
        <v>16822.46</v>
      </c>
      <c r="AA33" s="8">
        <f>IFERROR(Z33/Z444, "NA")</f>
        <v>6.2026819689993844E-2</v>
      </c>
      <c r="AB33" s="9"/>
      <c r="AC33" s="10">
        <f t="shared" si="11"/>
        <v>11253.16</v>
      </c>
      <c r="AD33" s="8">
        <f>IFERROR(AC33/AC444, "NA")</f>
        <v>0.3767294138363822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1712.41</v>
      </c>
      <c r="C35" s="8">
        <f>IFERROR(B35/B444, "NA")</f>
        <v>1.1320958539247876E-2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1712.41</v>
      </c>
      <c r="I35" s="8">
        <f>IFERROR(H35/H444, "NA")</f>
        <v>7.7842762538230165E-2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1712.41</v>
      </c>
      <c r="O35" s="8">
        <f>IFERROR(N35/N444, "NA")</f>
        <v>4.5819368282928936E-2</v>
      </c>
      <c r="P35" s="9"/>
      <c r="Q35" s="7">
        <v>3372.09</v>
      </c>
      <c r="R35" s="8">
        <f>IFERROR(Q35/Q444, "NA")</f>
        <v>1.1199855455308307E-2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3372.09</v>
      </c>
      <c r="X35" s="8">
        <f>IFERROR(W35/W444, "NA")</f>
        <v>2.3088599794590894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3372.09</v>
      </c>
      <c r="AD35" s="8">
        <f>IFERROR(AC35/AC444, "NA")</f>
        <v>0.11288966735597165</v>
      </c>
    </row>
    <row r="36" spans="1:30" ht="16.5" customHeight="1" x14ac:dyDescent="0.45">
      <c r="A36" s="12" t="s">
        <v>36</v>
      </c>
      <c r="B36" s="7">
        <v>12757.84</v>
      </c>
      <c r="C36" s="8">
        <f>IFERROR(B36/B444, "NA")</f>
        <v>8.4343689706529459E-2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12757.84</v>
      </c>
      <c r="I36" s="8">
        <f>IFERROR(H36/H444, "NA")</f>
        <v>0.57994610497528887</v>
      </c>
      <c r="J36" s="9"/>
      <c r="K36" s="7">
        <v>4659.1400000000003</v>
      </c>
      <c r="L36" s="8">
        <f>IFERROR(K36/K444, "NA")</f>
        <v>4.0910164540145462E-2</v>
      </c>
      <c r="M36" s="9"/>
      <c r="N36" s="10">
        <f t="shared" si="9"/>
        <v>8098.7</v>
      </c>
      <c r="O36" s="8">
        <f>IFERROR(N36/N444, "NA")</f>
        <v>0.21669887346660938</v>
      </c>
      <c r="P36" s="9"/>
      <c r="Q36" s="7">
        <v>26669.34</v>
      </c>
      <c r="R36" s="8">
        <f>IFERROR(Q36/Q444, "NA")</f>
        <v>8.8577930330587862E-2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26669.34</v>
      </c>
      <c r="X36" s="8">
        <f>IFERROR(W36/W444, "NA")</f>
        <v>18.260417665183155</v>
      </c>
      <c r="Y36" s="9"/>
      <c r="Z36" s="7">
        <v>12067.37</v>
      </c>
      <c r="AA36" s="8">
        <f>IFERROR(Z36/Z444, "NA")</f>
        <v>4.4494121735016226E-2</v>
      </c>
      <c r="AB36" s="9"/>
      <c r="AC36" s="10">
        <f t="shared" si="11"/>
        <v>14601.97</v>
      </c>
      <c r="AD36" s="8">
        <f>IFERROR(AC36/AC444, "NA")</f>
        <v>0.48883972137216902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1303</v>
      </c>
      <c r="C39" s="8">
        <f>IFERROR(B39/B444, "NA")</f>
        <v>8.6142973800900375E-3</v>
      </c>
      <c r="D39" s="9"/>
      <c r="E39" s="7">
        <v>0</v>
      </c>
      <c r="F39" s="8">
        <f>IFERROR(E39/E444, "NA")</f>
        <v>0</v>
      </c>
      <c r="G39" s="9"/>
      <c r="H39" s="10">
        <f t="shared" si="8"/>
        <v>1303</v>
      </c>
      <c r="I39" s="8">
        <f>IFERROR(H39/H444, "NA")</f>
        <v>5.9231795882594654E-2</v>
      </c>
      <c r="J39" s="9"/>
      <c r="K39" s="7">
        <v>1886.18</v>
      </c>
      <c r="L39" s="8">
        <f>IFERROR(K39/K444, "NA")</f>
        <v>1.6561840629886967E-2</v>
      </c>
      <c r="M39" s="9"/>
      <c r="N39" s="10">
        <f t="shared" si="9"/>
        <v>-583.18000000000006</v>
      </c>
      <c r="O39" s="8">
        <f>IFERROR(N39/N444, "NA")</f>
        <v>-1.5604288222586004E-2</v>
      </c>
      <c r="P39" s="9"/>
      <c r="Q39" s="7">
        <v>2718.15</v>
      </c>
      <c r="R39" s="8">
        <f>IFERROR(Q39/Q444, "NA")</f>
        <v>9.0278987529532947E-3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2718.15</v>
      </c>
      <c r="X39" s="8">
        <f>IFERROR(W39/W444, "NA")</f>
        <v>1.8611092091749402</v>
      </c>
      <c r="Y39" s="9"/>
      <c r="Z39" s="7">
        <v>3345.59</v>
      </c>
      <c r="AA39" s="8">
        <f>IFERROR(Z39/Z444, "NA")</f>
        <v>1.2335669556452893E-2</v>
      </c>
      <c r="AB39" s="9"/>
      <c r="AC39" s="10">
        <f t="shared" si="11"/>
        <v>-627.44000000000005</v>
      </c>
      <c r="AD39" s="8">
        <f>IFERROR(AC39/AC444, "NA")</f>
        <v>-2.1005220170823097E-2</v>
      </c>
    </row>
    <row r="40" spans="1:30" ht="16.5" customHeight="1" x14ac:dyDescent="0.45">
      <c r="A40" s="13" t="s">
        <v>40</v>
      </c>
      <c r="B40" s="14">
        <f>IFERROR(B31+B32+B33+B34+B35+B36+B37+B38+B39, "NA")</f>
        <v>27402.92</v>
      </c>
      <c r="C40" s="15">
        <f>IFERROR(B40/B444, "NA")</f>
        <v>0.18116416113800221</v>
      </c>
      <c r="D40" s="2"/>
      <c r="E40" s="14">
        <f>IFERROR(E31+E32+E33+E34+E35+E36+E37+E38+E39, "NA")</f>
        <v>19518.54</v>
      </c>
      <c r="F40" s="15">
        <f>IFERROR(E40/E444, "NA")</f>
        <v>0.15100001671026811</v>
      </c>
      <c r="G40" s="2"/>
      <c r="H40" s="14">
        <f t="shared" si="8"/>
        <v>7884.3799999999974</v>
      </c>
      <c r="I40" s="15">
        <f>IFERROR(H40/H444, "NA")</f>
        <v>0.35840827845035417</v>
      </c>
      <c r="J40" s="2"/>
      <c r="K40" s="14">
        <f>IFERROR(K31+K32+K33+K34+K35+K36+K37+K38+K39, "NA")</f>
        <v>13008.41</v>
      </c>
      <c r="L40" s="15">
        <f>IFERROR(K40/K444, "NA")</f>
        <v>0.11422197948670218</v>
      </c>
      <c r="M40" s="2"/>
      <c r="N40" s="14">
        <f t="shared" si="9"/>
        <v>14394.509999999998</v>
      </c>
      <c r="O40" s="15">
        <f>IFERROR(N40/N444, "NA")</f>
        <v>0.38515738342003569</v>
      </c>
      <c r="P40" s="2"/>
      <c r="Q40" s="14">
        <f>IFERROR(Q31+Q32+Q33+Q34+Q35+Q36+Q37+Q38+Q39, "NA")</f>
        <v>60835.200000000004</v>
      </c>
      <c r="R40" s="15">
        <f>IFERROR(Q40/Q444, "NA")</f>
        <v>0.20205434807338238</v>
      </c>
      <c r="S40" s="2"/>
      <c r="T40" s="14">
        <f>IFERROR(T31+T32+T33+T34+T35+T36+T37+T38+T39, "NA")</f>
        <v>45243.05</v>
      </c>
      <c r="U40" s="15">
        <f>IFERROR(T40/T444, "NA")</f>
        <v>0.15099999883186482</v>
      </c>
      <c r="V40" s="2"/>
      <c r="W40" s="14">
        <f t="shared" si="10"/>
        <v>15592.150000000001</v>
      </c>
      <c r="X40" s="15">
        <f>IFERROR(W40/W444, "NA")</f>
        <v>10.675898664840808</v>
      </c>
      <c r="Y40" s="2"/>
      <c r="Z40" s="14">
        <f>IFERROR(Z31+Z32+Z33+Z34+Z35+Z36+Z37+Z38+Z39, "NA")</f>
        <v>32235.420000000002</v>
      </c>
      <c r="AA40" s="15">
        <f>IFERROR(Z40/Z444, "NA")</f>
        <v>0.11885661098146297</v>
      </c>
      <c r="AB40" s="2"/>
      <c r="AC40" s="14">
        <f t="shared" si="11"/>
        <v>28599.780000000002</v>
      </c>
      <c r="AD40" s="15">
        <f>IFERROR(AC40/AC444, "NA")</f>
        <v>0.95745358239369982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3296.67</v>
      </c>
      <c r="C43" s="8">
        <f>IFERROR(B43/B444, "NA")</f>
        <v>2.1794701261720204E-2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3296.67</v>
      </c>
      <c r="I43" s="8">
        <f>IFERROR(H43/H444, "NA")</f>
        <v>0.149860080224308</v>
      </c>
      <c r="J43" s="9"/>
      <c r="K43" s="7">
        <v>3591.25</v>
      </c>
      <c r="L43" s="8">
        <f>IFERROR(K43/K444, "NA")</f>
        <v>3.1533422134728165E-2</v>
      </c>
      <c r="M43" s="9"/>
      <c r="N43" s="10">
        <f>IFERROR(B43-K43, "NA")</f>
        <v>-294.57999999999993</v>
      </c>
      <c r="O43" s="8">
        <f>IFERROR(N43/N444, "NA")</f>
        <v>-7.8821482640169128E-3</v>
      </c>
      <c r="P43" s="9"/>
      <c r="Q43" s="7">
        <v>8304.77</v>
      </c>
      <c r="R43" s="8">
        <f>IFERROR(Q43/Q444, "NA")</f>
        <v>2.7582960000943263E-2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8304.77</v>
      </c>
      <c r="X43" s="8">
        <f>IFERROR(W43/W444, "NA")</f>
        <v>5.6862512838069161</v>
      </c>
      <c r="Y43" s="9"/>
      <c r="Z43" s="7">
        <v>6816.25</v>
      </c>
      <c r="AA43" s="8">
        <f>IFERROR(Z43/Z444, "NA")</f>
        <v>2.5132490118087401E-2</v>
      </c>
      <c r="AB43" s="9"/>
      <c r="AC43" s="10">
        <f>IFERROR(Q43-Z43, "NA")</f>
        <v>1488.5200000000004</v>
      </c>
      <c r="AD43" s="8">
        <f>IFERROR(AC43/AC444, "NA")</f>
        <v>4.9832159774119603E-2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25723.11</v>
      </c>
      <c r="F46" s="8">
        <f>IFERROR(E46/E444, "NA")</f>
        <v>0.19900002970714328</v>
      </c>
      <c r="G46" s="9"/>
      <c r="H46" s="10">
        <f t="shared" ref="H46:H62" si="12">IFERROR(B46-E46, "NA")</f>
        <v>-25723.11</v>
      </c>
      <c r="I46" s="8">
        <f>IFERROR(H46/H444, "NA")</f>
        <v>-1.1693215663741592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59624.95</v>
      </c>
      <c r="U46" s="8">
        <f>IFERROR(T46/T444, "NA")</f>
        <v>0.19900000951195812</v>
      </c>
      <c r="V46" s="9"/>
      <c r="W46" s="10">
        <f t="shared" ref="W46:W62" si="14">IFERROR(Q46-T46, "NA")</f>
        <v>-59624.95</v>
      </c>
      <c r="X46" s="8">
        <f>IFERROR(W46/W444, "NA")</f>
        <v>-40.82502567613831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26983.99</v>
      </c>
      <c r="C48" s="8">
        <f>IFERROR(B48/B444, "NA")</f>
        <v>0.1783945620578479</v>
      </c>
      <c r="D48" s="9"/>
      <c r="E48" s="7">
        <v>0</v>
      </c>
      <c r="F48" s="8">
        <f>IFERROR(E48/E444, "NA")</f>
        <v>0</v>
      </c>
      <c r="G48" s="9"/>
      <c r="H48" s="10">
        <f t="shared" si="12"/>
        <v>26983.99</v>
      </c>
      <c r="I48" s="8">
        <f>IFERROR(H48/H444, "NA")</f>
        <v>1.2266386705893901</v>
      </c>
      <c r="J48" s="9"/>
      <c r="K48" s="7">
        <v>22128.94</v>
      </c>
      <c r="L48" s="8">
        <f>IFERROR(K48/K444, "NA")</f>
        <v>0.19430593982988414</v>
      </c>
      <c r="M48" s="9"/>
      <c r="N48" s="10">
        <f t="shared" si="13"/>
        <v>4855.0500000000029</v>
      </c>
      <c r="O48" s="8">
        <f>IFERROR(N48/N444, "NA")</f>
        <v>0.12990774638201966</v>
      </c>
      <c r="P48" s="9"/>
      <c r="Q48" s="7">
        <v>49429.95</v>
      </c>
      <c r="R48" s="8">
        <f>IFERROR(Q48/Q444, "NA")</f>
        <v>0.16417364161784437</v>
      </c>
      <c r="S48" s="9"/>
      <c r="T48" s="7">
        <v>0</v>
      </c>
      <c r="U48" s="8">
        <f>IFERROR(T48/T444, "NA")</f>
        <v>0</v>
      </c>
      <c r="V48" s="9"/>
      <c r="W48" s="10">
        <f t="shared" si="14"/>
        <v>49429.95</v>
      </c>
      <c r="X48" s="8">
        <f>IFERROR(W48/W444, "NA")</f>
        <v>33.844539541252992</v>
      </c>
      <c r="Y48" s="9"/>
      <c r="Z48" s="7">
        <v>53021.48</v>
      </c>
      <c r="AA48" s="8">
        <f>IFERROR(Z48/Z444, "NA")</f>
        <v>0.19549779162242711</v>
      </c>
      <c r="AB48" s="9"/>
      <c r="AC48" s="10">
        <f t="shared" si="15"/>
        <v>-3591.5300000000061</v>
      </c>
      <c r="AD48" s="8">
        <f>IFERROR(AC48/AC444, "NA")</f>
        <v>-0.12023600408025692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887.25</v>
      </c>
      <c r="L56" s="8">
        <f>IFERROR(K56/K444, "NA")</f>
        <v>7.7906101744622518E-3</v>
      </c>
      <c r="M56" s="9"/>
      <c r="N56" s="10">
        <f t="shared" si="13"/>
        <v>-887.25</v>
      </c>
      <c r="O56" s="8">
        <f>IFERROR(N56/N444, "NA")</f>
        <v>-2.3740362710465774E-2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887.25</v>
      </c>
      <c r="AA56" s="8">
        <f>IFERROR(Z56/Z444, "NA")</f>
        <v>3.2714178407882702E-3</v>
      </c>
      <c r="AB56" s="9"/>
      <c r="AC56" s="10">
        <f t="shared" si="15"/>
        <v>-887.25</v>
      </c>
      <c r="AD56" s="8">
        <f>IFERROR(AC56/AC444, "NA")</f>
        <v>-2.9703049847894288E-2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26983.99</v>
      </c>
      <c r="C61" s="15">
        <f>IFERROR(B61/B444, "NA")</f>
        <v>0.1783945620578479</v>
      </c>
      <c r="D61" s="2"/>
      <c r="E61" s="14">
        <f>IFERROR(E46+E47+E48+E49+E50+E51+E52+E53+E54+E55+E56+E57+E58+E59+E60, "NA")</f>
        <v>25723.11</v>
      </c>
      <c r="F61" s="15">
        <f>IFERROR(E61/E444, "NA")</f>
        <v>0.19900002970714328</v>
      </c>
      <c r="G61" s="2"/>
      <c r="H61" s="14">
        <f t="shared" si="12"/>
        <v>1260.880000000001</v>
      </c>
      <c r="I61" s="15">
        <f>IFERROR(H61/H444, "NA")</f>
        <v>5.7317104215231007E-2</v>
      </c>
      <c r="J61" s="2"/>
      <c r="K61" s="14">
        <f>IFERROR(K46+K47+K48+K49+K50+K51+K52+K53+K54+K55+K56+K57+K58+K59+K60, "NA")</f>
        <v>23016.19</v>
      </c>
      <c r="L61" s="15">
        <f>IFERROR(K61/K444, "NA")</f>
        <v>0.2020965500043464</v>
      </c>
      <c r="M61" s="2"/>
      <c r="N61" s="14">
        <f t="shared" si="13"/>
        <v>3967.8000000000029</v>
      </c>
      <c r="O61" s="15">
        <f>IFERROR(N61/N444, "NA")</f>
        <v>0.10616738367155387</v>
      </c>
      <c r="P61" s="2"/>
      <c r="Q61" s="14">
        <f>IFERROR(Q46+Q47+Q48+Q49+Q50+Q51+Q52+Q53+Q54+Q55+Q56+Q57+Q58+Q59+Q60, "NA")</f>
        <v>49429.95</v>
      </c>
      <c r="R61" s="15">
        <f>IFERROR(Q61/Q444, "NA")</f>
        <v>0.16417364161784437</v>
      </c>
      <c r="S61" s="2"/>
      <c r="T61" s="14">
        <f>IFERROR(T46+T47+T48+T49+T50+T51+T52+T53+T54+T55+T56+T57+T58+T59+T60, "NA")</f>
        <v>59624.95</v>
      </c>
      <c r="U61" s="15">
        <f>IFERROR(T61/T444, "NA")</f>
        <v>0.19900000951195812</v>
      </c>
      <c r="V61" s="2"/>
      <c r="W61" s="14">
        <f t="shared" si="14"/>
        <v>-10195</v>
      </c>
      <c r="X61" s="15">
        <f>IFERROR(W61/W444, "NA")</f>
        <v>-6.9804861348853136</v>
      </c>
      <c r="Y61" s="2"/>
      <c r="Z61" s="14">
        <f>IFERROR(Z46+Z47+Z48+Z49+Z50+Z51+Z52+Z53+Z54+Z55+Z56+Z57+Z58+Z59+Z60, "NA")</f>
        <v>53908.73</v>
      </c>
      <c r="AA61" s="15">
        <f>IFERROR(Z61/Z444, "NA")</f>
        <v>0.19876920946321538</v>
      </c>
      <c r="AB61" s="2"/>
      <c r="AC61" s="14">
        <f t="shared" si="15"/>
        <v>-4478.7800000000061</v>
      </c>
      <c r="AD61" s="15">
        <f>IFERROR(AC61/AC444, "NA")</f>
        <v>-0.14993905392815121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30280.660000000003</v>
      </c>
      <c r="C62" s="15">
        <f>IFERROR(B62/B444, "NA")</f>
        <v>0.2001892633195681</v>
      </c>
      <c r="D62" s="2"/>
      <c r="E62" s="14">
        <f>IFERROR(E42+E43+E44+E46+E47+E48+E49+E50+E51+E52+E53+E54+E55+E56+E57+E58+E59+E60, "NA")</f>
        <v>25723.11</v>
      </c>
      <c r="F62" s="15">
        <f>IFERROR(E62/E444, "NA")</f>
        <v>0.19900002970714328</v>
      </c>
      <c r="G62" s="2"/>
      <c r="H62" s="14">
        <f t="shared" si="12"/>
        <v>4557.5500000000029</v>
      </c>
      <c r="I62" s="15">
        <f>IFERROR(H62/H444, "NA")</f>
        <v>0.20717718443953909</v>
      </c>
      <c r="J62" s="2"/>
      <c r="K62" s="14">
        <f>IFERROR(K42+K43+K44+K46+K47+K48+K49+K50+K51+K52+K53+K54+K55+K56+K57+K58+K59+K60, "NA")</f>
        <v>26607.439999999999</v>
      </c>
      <c r="L62" s="15">
        <f>IFERROR(K62/K444, "NA")</f>
        <v>0.23362997213907455</v>
      </c>
      <c r="M62" s="2"/>
      <c r="N62" s="14">
        <f t="shared" si="13"/>
        <v>3673.2200000000048</v>
      </c>
      <c r="O62" s="15">
        <f>IFERROR(N62/N444, "NA")</f>
        <v>9.8285235407537003E-2</v>
      </c>
      <c r="P62" s="2"/>
      <c r="Q62" s="14">
        <f>IFERROR(Q42+Q43+Q44+Q46+Q47+Q48+Q49+Q50+Q51+Q52+Q53+Q54+Q55+Q56+Q57+Q58+Q59+Q60, "NA")</f>
        <v>57734.720000000001</v>
      </c>
      <c r="R62" s="15">
        <f>IFERROR(Q62/Q444, "NA")</f>
        <v>0.19175660161878763</v>
      </c>
      <c r="S62" s="2"/>
      <c r="T62" s="14">
        <f>IFERROR(T42+T43+T44+T46+T47+T48+T49+T50+T51+T52+T53+T54+T55+T56+T57+T58+T59+T60, "NA")</f>
        <v>59624.95</v>
      </c>
      <c r="U62" s="15">
        <f>IFERROR(T62/T444, "NA")</f>
        <v>0.19900000951195812</v>
      </c>
      <c r="V62" s="2"/>
      <c r="W62" s="14">
        <f t="shared" si="14"/>
        <v>-1890.2299999999959</v>
      </c>
      <c r="X62" s="15">
        <f>IFERROR(W62/W444, "NA")</f>
        <v>-1.294234851078395</v>
      </c>
      <c r="Y62" s="2"/>
      <c r="Z62" s="14">
        <f>IFERROR(Z42+Z43+Z44+Z46+Z47+Z48+Z49+Z50+Z51+Z52+Z53+Z54+Z55+Z56+Z57+Z58+Z59+Z60, "NA")</f>
        <v>60724.98</v>
      </c>
      <c r="AA62" s="15">
        <f>IFERROR(Z62/Z444, "NA")</f>
        <v>0.22390169958130279</v>
      </c>
      <c r="AB62" s="2"/>
      <c r="AC62" s="14">
        <f t="shared" si="15"/>
        <v>-2990.260000000002</v>
      </c>
      <c r="AD62" s="15">
        <f>IFERROR(AC62/AC444, "NA")</f>
        <v>-0.10010689415403148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966.91</v>
      </c>
      <c r="C65" s="8">
        <f>IFERROR(B65/B444, "NA")</f>
        <v>6.3923639906238363E-3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966.91</v>
      </c>
      <c r="I65" s="8">
        <f>IFERROR(H65/H444, "NA")</f>
        <v>4.395381101829593E-2</v>
      </c>
      <c r="J65" s="9"/>
      <c r="K65" s="7">
        <v>468.24</v>
      </c>
      <c r="L65" s="8">
        <f>IFERROR(K65/K444, "NA")</f>
        <v>4.1114401894507806E-3</v>
      </c>
      <c r="M65" s="9"/>
      <c r="N65" s="10">
        <f t="shared" si="17"/>
        <v>498.66999999999996</v>
      </c>
      <c r="O65" s="8">
        <f>IFERROR(N65/N444, "NA")</f>
        <v>1.3343033725362601E-2</v>
      </c>
      <c r="P65" s="9"/>
      <c r="Q65" s="7">
        <v>966.91</v>
      </c>
      <c r="R65" s="8">
        <f>IFERROR(Q65/Q444, "NA")</f>
        <v>3.2114363016088401E-3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966.91</v>
      </c>
      <c r="X65" s="8">
        <f>IFERROR(W65/W444, "NA")</f>
        <v>0.66204039712427254</v>
      </c>
      <c r="Y65" s="9"/>
      <c r="Z65" s="7">
        <v>468.24</v>
      </c>
      <c r="AA65" s="8">
        <f>IFERROR(Z65/Z444, "NA")</f>
        <v>1.7264679512772043E-3</v>
      </c>
      <c r="AB65" s="9"/>
      <c r="AC65" s="10">
        <f t="shared" si="19"/>
        <v>498.66999999999996</v>
      </c>
      <c r="AD65" s="8">
        <f>IFERROR(AC65/AC444, "NA")</f>
        <v>1.6694302471287059E-2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966.91</v>
      </c>
      <c r="C73" s="15">
        <f>IFERROR(B73/B444, "NA")</f>
        <v>6.3923639906238363E-3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966.91</v>
      </c>
      <c r="I73" s="15">
        <f>IFERROR(H73/H444, "NA")</f>
        <v>4.395381101829593E-2</v>
      </c>
      <c r="J73" s="2"/>
      <c r="K73" s="14">
        <f>IFERROR(K64+K65+K66+K67+K68+K69+K70+K71+K72, "NA")</f>
        <v>468.24</v>
      </c>
      <c r="L73" s="15">
        <f>IFERROR(K73/K444, "NA")</f>
        <v>4.1114401894507806E-3</v>
      </c>
      <c r="M73" s="2"/>
      <c r="N73" s="14">
        <f t="shared" si="17"/>
        <v>498.66999999999996</v>
      </c>
      <c r="O73" s="15">
        <f>IFERROR(N73/N444, "NA")</f>
        <v>1.3343033725362601E-2</v>
      </c>
      <c r="P73" s="2"/>
      <c r="Q73" s="14">
        <f>IFERROR(Q64+Q65+Q66+Q67+Q68+Q69+Q70+Q71+Q72, "NA")</f>
        <v>966.91</v>
      </c>
      <c r="R73" s="15">
        <f>IFERROR(Q73/Q444, "NA")</f>
        <v>3.2114363016088401E-3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966.91</v>
      </c>
      <c r="X73" s="15">
        <f>IFERROR(W73/W444, "NA")</f>
        <v>0.66204039712427254</v>
      </c>
      <c r="Y73" s="2"/>
      <c r="Z73" s="14">
        <f>IFERROR(Z64+Z65+Z66+Z67+Z68+Z69+Z70+Z71+Z72, "NA")</f>
        <v>468.24</v>
      </c>
      <c r="AA73" s="15">
        <f>IFERROR(Z73/Z444, "NA")</f>
        <v>1.7264679512772043E-3</v>
      </c>
      <c r="AB73" s="2"/>
      <c r="AC73" s="14">
        <f t="shared" si="19"/>
        <v>498.66999999999996</v>
      </c>
      <c r="AD73" s="15">
        <f>IFERROR(AC73/AC444, "NA")</f>
        <v>1.6694302471287059E-2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1680.4</v>
      </c>
      <c r="F75" s="8">
        <f>IFERROR(E75/E444, "NA")</f>
        <v>1.2999969673957914E-2</v>
      </c>
      <c r="G75" s="9"/>
      <c r="H75" s="10">
        <f t="shared" ref="H75:H92" si="20">IFERROR(B75-E75, "NA")</f>
        <v>-1680.4</v>
      </c>
      <c r="I75" s="8">
        <f>IFERROR(H75/H444, "NA")</f>
        <v>-7.6387651420653915E-2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3895.09</v>
      </c>
      <c r="U75" s="8">
        <f>IFERROR(T75/T444, "NA")</f>
        <v>1.2999976470419398E-2</v>
      </c>
      <c r="V75" s="9"/>
      <c r="W75" s="10">
        <f t="shared" ref="W75:W92" si="22">IFERROR(Q75-T75, "NA")</f>
        <v>-3895.09</v>
      </c>
      <c r="X75" s="8">
        <f>IFERROR(W75/W444, "NA")</f>
        <v>-2.6669565217391304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407.33</v>
      </c>
      <c r="C77" s="8">
        <f>IFERROR(B77/B444, "NA")</f>
        <v>2.692910016755238E-3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407.33</v>
      </c>
      <c r="I77" s="8">
        <f>IFERROR(H77/H444, "NA")</f>
        <v>1.8516413980703975E-2</v>
      </c>
      <c r="J77" s="9"/>
      <c r="K77" s="7">
        <v>116.61</v>
      </c>
      <c r="L77" s="8">
        <f>IFERROR(K77/K444, "NA")</f>
        <v>1.0239087657864675E-3</v>
      </c>
      <c r="M77" s="9"/>
      <c r="N77" s="10">
        <f t="shared" si="21"/>
        <v>290.71999999999997</v>
      </c>
      <c r="O77" s="8">
        <f>IFERROR(N77/N444, "NA")</f>
        <v>7.7788653110020959E-3</v>
      </c>
      <c r="P77" s="9"/>
      <c r="Q77" s="7">
        <v>908.53</v>
      </c>
      <c r="R77" s="8">
        <f>IFERROR(Q77/Q444, "NA")</f>
        <v>3.0175365060871018E-3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908.53</v>
      </c>
      <c r="X77" s="8">
        <f>IFERROR(W77/W444, "NA")</f>
        <v>0.62206778500513515</v>
      </c>
      <c r="Y77" s="9"/>
      <c r="Z77" s="7">
        <v>221.26</v>
      </c>
      <c r="AA77" s="8">
        <f>IFERROR(Z77/Z444, "NA")</f>
        <v>8.1581731355628352E-4</v>
      </c>
      <c r="AB77" s="9"/>
      <c r="AC77" s="10">
        <f t="shared" si="23"/>
        <v>687.27</v>
      </c>
      <c r="AD77" s="8">
        <f>IFERROR(AC77/AC444, "NA")</f>
        <v>2.3008188299760278E-2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8.9700000000000006</v>
      </c>
      <c r="L79" s="8">
        <f>IFERROR(K79/K444, "NA")</f>
        <v>7.876221275280519E-5</v>
      </c>
      <c r="M79" s="9"/>
      <c r="N79" s="10">
        <f t="shared" si="21"/>
        <v>-8.9700000000000006</v>
      </c>
      <c r="O79" s="8">
        <f>IFERROR(N79/N444, "NA")</f>
        <v>-2.4001245817174193E-4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8.9700000000000006</v>
      </c>
      <c r="AA79" s="8">
        <f>IFERROR(Z79/Z444, "NA")</f>
        <v>3.3073674873903391E-5</v>
      </c>
      <c r="AB79" s="9"/>
      <c r="AC79" s="10">
        <f t="shared" si="23"/>
        <v>-8.9700000000000006</v>
      </c>
      <c r="AD79" s="8">
        <f>IFERROR(AC79/AC444, "NA")</f>
        <v>-3.0029456989079942E-4</v>
      </c>
    </row>
    <row r="80" spans="1:30" ht="16.5" customHeight="1" x14ac:dyDescent="0.45">
      <c r="A80" s="12" t="s">
        <v>76</v>
      </c>
      <c r="B80" s="7">
        <v>1640.2</v>
      </c>
      <c r="C80" s="8">
        <f>IFERROR(B80/B444, "NA")</f>
        <v>1.0843569119588397E-2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1640.2</v>
      </c>
      <c r="I80" s="8">
        <f>IFERROR(H80/H444, "NA")</f>
        <v>7.4560239145534724E-2</v>
      </c>
      <c r="J80" s="9"/>
      <c r="K80" s="7">
        <v>1975</v>
      </c>
      <c r="L80" s="8">
        <f>IFERROR(K80/K444, "NA")</f>
        <v>1.7341735806777062E-2</v>
      </c>
      <c r="M80" s="9"/>
      <c r="N80" s="10">
        <f t="shared" si="21"/>
        <v>-334.79999999999995</v>
      </c>
      <c r="O80" s="8">
        <f>IFERROR(N80/N444, "NA")</f>
        <v>-8.9583245257412684E-3</v>
      </c>
      <c r="P80" s="9"/>
      <c r="Q80" s="7">
        <v>3925.64</v>
      </c>
      <c r="R80" s="8">
        <f>IFERROR(Q80/Q444, "NA")</f>
        <v>1.3038382892976314E-2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3925.64</v>
      </c>
      <c r="X80" s="8">
        <f>IFERROR(W80/W444, "NA")</f>
        <v>2.6878740157480312</v>
      </c>
      <c r="Y80" s="9"/>
      <c r="Z80" s="7">
        <v>4530</v>
      </c>
      <c r="AA80" s="8">
        <f>IFERROR(Z80/Z444, "NA")</f>
        <v>1.6702758882807398E-2</v>
      </c>
      <c r="AB80" s="9"/>
      <c r="AC80" s="10">
        <f t="shared" si="23"/>
        <v>-604.36000000000013</v>
      </c>
      <c r="AD80" s="8">
        <f>IFERROR(AC80/AC444, "NA")</f>
        <v>-2.0232555881739528E-2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2047.53</v>
      </c>
      <c r="C88" s="15">
        <f>IFERROR(B88/B444, "NA")</f>
        <v>1.3536479136343635E-2</v>
      </c>
      <c r="D88" s="2"/>
      <c r="E88" s="14">
        <f>IFERROR(E75+E76+E77+E78+E79+E80+E81+E82+E83+E84+E85+E86+E87, "NA")</f>
        <v>1680.4</v>
      </c>
      <c r="F88" s="15">
        <f>IFERROR(E88/E444, "NA")</f>
        <v>1.2999969673957914E-2</v>
      </c>
      <c r="G88" s="2"/>
      <c r="H88" s="14">
        <f t="shared" si="20"/>
        <v>367.12999999999988</v>
      </c>
      <c r="I88" s="15">
        <f>IFERROR(H88/H444, "NA")</f>
        <v>1.668900170558478E-2</v>
      </c>
      <c r="J88" s="2"/>
      <c r="K88" s="14">
        <f>IFERROR(K75+K76+K77+K78+K79+K80+K81+K82+K83+K84+K85+K86+K87, "NA")</f>
        <v>2100.58</v>
      </c>
      <c r="L88" s="15">
        <f>IFERROR(K88/K444, "NA")</f>
        <v>1.8444406785316333E-2</v>
      </c>
      <c r="M88" s="2"/>
      <c r="N88" s="14">
        <f t="shared" si="21"/>
        <v>-53.049999999999955</v>
      </c>
      <c r="O88" s="15">
        <f>IFERROR(N88/N444, "NA")</f>
        <v>-1.4194716729109139E-3</v>
      </c>
      <c r="P88" s="2"/>
      <c r="Q88" s="14">
        <f>IFERROR(Q75+Q76+Q77+Q78+Q79+Q80+Q81+Q82+Q83+Q84+Q85+Q86+Q87, "NA")</f>
        <v>4834.17</v>
      </c>
      <c r="R88" s="15">
        <f>IFERROR(Q88/Q444, "NA")</f>
        <v>1.6055919399063416E-2</v>
      </c>
      <c r="S88" s="2"/>
      <c r="T88" s="14">
        <f>IFERROR(T75+T76+T77+T78+T79+T80+T81+T82+T83+T84+T85+T86+T87, "NA")</f>
        <v>3895.09</v>
      </c>
      <c r="U88" s="15">
        <f>IFERROR(T88/T444, "NA")</f>
        <v>1.2999976470419398E-2</v>
      </c>
      <c r="V88" s="2"/>
      <c r="W88" s="14">
        <f t="shared" si="22"/>
        <v>939.07999999999993</v>
      </c>
      <c r="X88" s="15">
        <f>IFERROR(W88/W444, "NA")</f>
        <v>0.64298527901403624</v>
      </c>
      <c r="Y88" s="2"/>
      <c r="Z88" s="14">
        <f>IFERROR(Z75+Z76+Z77+Z78+Z79+Z80+Z81+Z82+Z83+Z84+Z85+Z86+Z87, "NA")</f>
        <v>4760.2299999999996</v>
      </c>
      <c r="AA88" s="15">
        <f>IFERROR(Z88/Z444, "NA")</f>
        <v>1.7551649871237581E-2</v>
      </c>
      <c r="AB88" s="2"/>
      <c r="AC88" s="14">
        <f t="shared" si="23"/>
        <v>73.940000000000509</v>
      </c>
      <c r="AD88" s="15">
        <f>IFERROR(AC88/AC444, "NA")</f>
        <v>2.4753378481299731E-3</v>
      </c>
    </row>
    <row r="89" spans="1:30" ht="16.5" customHeight="1" x14ac:dyDescent="0.45">
      <c r="A89" s="6" t="s">
        <v>85</v>
      </c>
      <c r="B89" s="7">
        <v>-17.75</v>
      </c>
      <c r="C89" s="8">
        <f>IFERROR(B89/B444, "NA")</f>
        <v>-1.1734748925295332E-4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-17.75</v>
      </c>
      <c r="I89" s="8">
        <f>IFERROR(H89/H444, "NA")</f>
        <v>-8.0687979809367235E-4</v>
      </c>
      <c r="J89" s="9"/>
      <c r="K89" s="7">
        <v>-203.78</v>
      </c>
      <c r="L89" s="8">
        <f>IFERROR(K89/K444, "NA")</f>
        <v>-1.7893159102303948E-3</v>
      </c>
      <c r="M89" s="9"/>
      <c r="N89" s="10">
        <f t="shared" si="21"/>
        <v>186.03</v>
      </c>
      <c r="O89" s="8">
        <f>IFERROR(N89/N444, "NA")</f>
        <v>4.9776496759965606E-3</v>
      </c>
      <c r="P89" s="9"/>
      <c r="Q89" s="7">
        <v>-41.05</v>
      </c>
      <c r="R89" s="8">
        <f>IFERROR(Q89/Q444, "NA")</f>
        <v>-1.3634098331907096E-4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-41.05</v>
      </c>
      <c r="X89" s="8">
        <f>IFERROR(W89/W444, "NA")</f>
        <v>-2.8106812735364601E-2</v>
      </c>
      <c r="Y89" s="9"/>
      <c r="Z89" s="7">
        <v>1661.72</v>
      </c>
      <c r="AA89" s="8">
        <f>IFERROR(Z89/Z444, "NA")</f>
        <v>6.1269996668297366E-3</v>
      </c>
      <c r="AB89" s="9"/>
      <c r="AC89" s="10">
        <f t="shared" si="23"/>
        <v>-1702.77</v>
      </c>
      <c r="AD89" s="8">
        <f>IFERROR(AC89/AC444, "NA")</f>
        <v>-5.7004747466327367E-2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-4524.17</v>
      </c>
      <c r="F94" s="8">
        <f>IFERROR(E94/E444, "NA")</f>
        <v>-3.5000043322917271E-2</v>
      </c>
      <c r="G94" s="9"/>
      <c r="H94" s="10">
        <f t="shared" ref="H94:H124" si="24">IFERROR(B94-E94, "NA")</f>
        <v>4524.17</v>
      </c>
      <c r="I94" s="8">
        <f>IFERROR(H94/H444, "NA")</f>
        <v>0.20565979583895491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-10486.8</v>
      </c>
      <c r="U94" s="8">
        <f>IFERROR(T94/T444, "NA")</f>
        <v>-3.5000000834382289E-2</v>
      </c>
      <c r="V94" s="9"/>
      <c r="W94" s="10">
        <f t="shared" ref="W94:W124" si="26">IFERROR(Q94-T94, "NA")</f>
        <v>10486.8</v>
      </c>
      <c r="X94" s="8">
        <f>IFERROR(W94/W444, "NA")</f>
        <v>7.1802807257788421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-1832.05</v>
      </c>
      <c r="C96" s="8">
        <f>IFERROR(B96/B444, "NA")</f>
        <v>-1.2111913672443556E-2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-1832.05</v>
      </c>
      <c r="I96" s="8">
        <f>IFERROR(H96/H444, "NA")</f>
        <v>-8.3281359667465485E-2</v>
      </c>
      <c r="J96" s="9"/>
      <c r="K96" s="7">
        <v>-71.56</v>
      </c>
      <c r="L96" s="8">
        <f>IFERROR(K96/K444, "NA")</f>
        <v>-6.2834157687745144E-4</v>
      </c>
      <c r="M96" s="9"/>
      <c r="N96" s="10">
        <f t="shared" si="25"/>
        <v>-1760.49</v>
      </c>
      <c r="O96" s="8">
        <f>IFERROR(N96/N444, "NA")</f>
        <v>-4.7105856464522845E-2</v>
      </c>
      <c r="P96" s="9"/>
      <c r="Q96" s="7">
        <v>-4121.92</v>
      </c>
      <c r="R96" s="8">
        <f>IFERROR(Q96/Q444, "NA")</f>
        <v>-1.3690295394946284E-2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-4121.92</v>
      </c>
      <c r="X96" s="8">
        <f>IFERROR(W96/W444, "NA")</f>
        <v>-2.8222663471413898</v>
      </c>
      <c r="Y96" s="9"/>
      <c r="Z96" s="7">
        <v>-368.37</v>
      </c>
      <c r="AA96" s="8">
        <f>IFERROR(Z96/Z444, "NA")</f>
        <v>-1.3582329557747816E-3</v>
      </c>
      <c r="AB96" s="9"/>
      <c r="AC96" s="10">
        <f t="shared" si="27"/>
        <v>-3753.55</v>
      </c>
      <c r="AD96" s="8">
        <f>IFERROR(AC96/AC444, "NA")</f>
        <v>-0.1256600538253746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-2545.1</v>
      </c>
      <c r="C98" s="8">
        <f>IFERROR(B98/B444, "NA")</f>
        <v>-1.6825977177334733E-2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-2545.1</v>
      </c>
      <c r="I98" s="8">
        <f>IFERROR(H98/H444, "NA")</f>
        <v>-0.11569519854243411</v>
      </c>
      <c r="J98" s="9"/>
      <c r="K98" s="7">
        <v>-2011.85</v>
      </c>
      <c r="L98" s="8">
        <f>IFERROR(K98/K444, "NA")</f>
        <v>-1.7665301864741485E-2</v>
      </c>
      <c r="M98" s="9"/>
      <c r="N98" s="10">
        <f t="shared" si="25"/>
        <v>-533.25</v>
      </c>
      <c r="O98" s="8">
        <f>IFERROR(N98/N444, "NA")</f>
        <v>-1.4268299143821781E-2</v>
      </c>
      <c r="P98" s="9"/>
      <c r="Q98" s="7">
        <v>-6018.24</v>
      </c>
      <c r="R98" s="8">
        <f>IFERROR(Q98/Q444, "NA")</f>
        <v>-1.9988617769796969E-2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-6018.24</v>
      </c>
      <c r="X98" s="8">
        <f>IFERROR(W98/W444, "NA")</f>
        <v>-4.1206710030811369</v>
      </c>
      <c r="Y98" s="9"/>
      <c r="Z98" s="7">
        <v>-5050.8599999999997</v>
      </c>
      <c r="AA98" s="8">
        <f>IFERROR(Z98/Z444, "NA")</f>
        <v>-1.8623244311438535E-2</v>
      </c>
      <c r="AB98" s="9"/>
      <c r="AC98" s="10">
        <f t="shared" si="27"/>
        <v>-967.38000000000011</v>
      </c>
      <c r="AD98" s="8">
        <f>IFERROR(AC98/AC444, "NA")</f>
        <v>-3.2385614383607757E-2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-41.86</v>
      </c>
      <c r="C100" s="8">
        <f>IFERROR(B100/B444, "NA")</f>
        <v>-2.7674174085231694E-4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-41.86</v>
      </c>
      <c r="I100" s="8">
        <f>IFERROR(H100/H444, "NA")</f>
        <v>-1.9028725829972465E-3</v>
      </c>
      <c r="J100" s="9"/>
      <c r="K100" s="7">
        <v>-41.03</v>
      </c>
      <c r="L100" s="8">
        <f>IFERROR(K100/K444, "NA")</f>
        <v>-3.6026907349471539E-4</v>
      </c>
      <c r="M100" s="9"/>
      <c r="N100" s="10">
        <f t="shared" si="25"/>
        <v>-0.82999999999999829</v>
      </c>
      <c r="O100" s="8">
        <f>IFERROR(N100/N444, "NA")</f>
        <v>-2.2208510622357343E-5</v>
      </c>
      <c r="P100" s="9"/>
      <c r="Q100" s="7">
        <v>-585.61</v>
      </c>
      <c r="R100" s="8">
        <f>IFERROR(Q100/Q444, "NA")</f>
        <v>-1.9450095795732314E-3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-585.61</v>
      </c>
      <c r="X100" s="8">
        <f>IFERROR(W100/W444, "NA")</f>
        <v>-0.40096542280041081</v>
      </c>
      <c r="Y100" s="9"/>
      <c r="Z100" s="7">
        <v>-2252.3200000000002</v>
      </c>
      <c r="AA100" s="8">
        <f>IFERROR(Z100/Z444, "NA")</f>
        <v>-8.3046264651048026E-3</v>
      </c>
      <c r="AB100" s="9"/>
      <c r="AC100" s="10">
        <f t="shared" si="27"/>
        <v>1666.71</v>
      </c>
      <c r="AD100" s="8">
        <f>IFERROR(AC100/AC444, "NA")</f>
        <v>5.5797543208773052E-2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-2384.44</v>
      </c>
      <c r="C102" s="8">
        <f>IFERROR(B102/B444, "NA")</f>
        <v>-1.5763833649257014E-2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-2384.44</v>
      </c>
      <c r="I102" s="8">
        <f>IFERROR(H102/H444, "NA")</f>
        <v>-0.10839191356430851</v>
      </c>
      <c r="J102" s="9"/>
      <c r="K102" s="7">
        <v>-270</v>
      </c>
      <c r="L102" s="8">
        <f>IFERROR(K102/K444, "NA")</f>
        <v>-2.3707689457366111E-3</v>
      </c>
      <c r="M102" s="9"/>
      <c r="N102" s="10">
        <f t="shared" si="25"/>
        <v>-2114.44</v>
      </c>
      <c r="O102" s="8">
        <f>IFERROR(N102/N444, "NA")</f>
        <v>-5.6576582169081159E-2</v>
      </c>
      <c r="P102" s="9"/>
      <c r="Q102" s="7">
        <v>-5301.16</v>
      </c>
      <c r="R102" s="8">
        <f>IFERROR(Q102/Q444, "NA")</f>
        <v>-1.7606951696266169E-2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-5301.16</v>
      </c>
      <c r="X102" s="8">
        <f>IFERROR(W102/W444, "NA")</f>
        <v>-3.6296884628551864</v>
      </c>
      <c r="Y102" s="9"/>
      <c r="Z102" s="7">
        <v>-997.41</v>
      </c>
      <c r="AA102" s="8">
        <f>IFERROR(Z102/Z444, "NA")</f>
        <v>-3.6775935402430298E-3</v>
      </c>
      <c r="AB102" s="9"/>
      <c r="AC102" s="10">
        <f t="shared" si="27"/>
        <v>-4303.75</v>
      </c>
      <c r="AD102" s="8">
        <f>IFERROR(AC102/AC444, "NA")</f>
        <v>-0.1440794598848972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-1586.66</v>
      </c>
      <c r="C104" s="8">
        <f>IFERROR(B104/B444, "NA")</f>
        <v>-1.0489609425244559E-2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-1586.66</v>
      </c>
      <c r="I104" s="8">
        <f>IFERROR(H104/H444, "NA")</f>
        <v>-7.2126416926383455E-2</v>
      </c>
      <c r="J104" s="9"/>
      <c r="K104" s="7">
        <v>-907.57</v>
      </c>
      <c r="L104" s="8">
        <f>IFERROR(K104/K444, "NA")</f>
        <v>-7.9690324891932441E-3</v>
      </c>
      <c r="M104" s="9"/>
      <c r="N104" s="10">
        <f t="shared" si="25"/>
        <v>-679.09</v>
      </c>
      <c r="O104" s="8">
        <f>IFERROR(N104/N444, "NA")</f>
        <v>-1.8170575275345397E-2</v>
      </c>
      <c r="P104" s="9"/>
      <c r="Q104" s="7">
        <v>-2879.97</v>
      </c>
      <c r="R104" s="8">
        <f>IFERROR(Q104/Q444, "NA")</f>
        <v>-9.565357898402552E-3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-2879.97</v>
      </c>
      <c r="X104" s="8">
        <f>IFERROR(W104/W444, "NA")</f>
        <v>-1.9719068812050666</v>
      </c>
      <c r="Y104" s="9"/>
      <c r="Z104" s="7">
        <v>-2061.31</v>
      </c>
      <c r="AA104" s="8">
        <f>IFERROR(Z104/Z444, "NA")</f>
        <v>-7.6003452345959639E-3</v>
      </c>
      <c r="AB104" s="9"/>
      <c r="AC104" s="10">
        <f t="shared" si="27"/>
        <v>-818.65999999999985</v>
      </c>
      <c r="AD104" s="8">
        <f>IFERROR(AC104/AC444, "NA")</f>
        <v>-2.7406817456722608E-2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-271.89</v>
      </c>
      <c r="L106" s="8">
        <f>IFERROR(K106/K444, "NA")</f>
        <v>-2.387364328356767E-3</v>
      </c>
      <c r="M106" s="9"/>
      <c r="N106" s="10">
        <f t="shared" si="25"/>
        <v>271.89</v>
      </c>
      <c r="O106" s="8">
        <f>IFERROR(N106/N444, "NA")</f>
        <v>7.2750264495334343E-3</v>
      </c>
      <c r="P106" s="9"/>
      <c r="Q106" s="7">
        <v>-844.74</v>
      </c>
      <c r="R106" s="8">
        <f>IFERROR(Q106/Q444, "NA")</f>
        <v>-2.805668264286285E-3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-844.74</v>
      </c>
      <c r="X106" s="8">
        <f>IFERROR(W106/W444, "NA")</f>
        <v>-0.57839096199931528</v>
      </c>
      <c r="Y106" s="9"/>
      <c r="Z106" s="7">
        <v>-513.59</v>
      </c>
      <c r="AA106" s="8">
        <f>IFERROR(Z106/Z444, "NA")</f>
        <v>-1.8936798972673404E-3</v>
      </c>
      <c r="AB106" s="9"/>
      <c r="AC106" s="10">
        <f t="shared" si="27"/>
        <v>-331.15</v>
      </c>
      <c r="AD106" s="8">
        <f>IFERROR(AC106/AC444, "NA")</f>
        <v>-1.1086125620884974E-2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-8390.1099999999988</v>
      </c>
      <c r="C118" s="15">
        <f>IFERROR(B118/B444, "NA")</f>
        <v>-5.546807566513217E-2</v>
      </c>
      <c r="D118" s="2"/>
      <c r="E118" s="14">
        <f>IFERROR(E94+E95+E96+E97+E98+E99+E100+E101+E102+E103+E104+E105+E106+E107+E108+E109+E110+E111+E112+E113+E114+E115+E116+E117, "NA")</f>
        <v>-4524.17</v>
      </c>
      <c r="F118" s="15">
        <f>IFERROR(E118/E444, "NA")</f>
        <v>-3.5000043322917271E-2</v>
      </c>
      <c r="G118" s="2"/>
      <c r="H118" s="14">
        <f t="shared" si="24"/>
        <v>-3865.9399999999987</v>
      </c>
      <c r="I118" s="15">
        <f>IFERROR(H118/H444, "NA")</f>
        <v>-0.17573796544463383</v>
      </c>
      <c r="J118" s="2"/>
      <c r="K118" s="14">
        <f>IFERROR(K94+K95+K96+K97+K98+K99+K100+K101+K102+K103+K104+K105+K106+K107+K108+K109+K110+K111+K112+K113+K114+K115+K116+K117, "NA")</f>
        <v>-3573.9</v>
      </c>
      <c r="L118" s="15">
        <f>IFERROR(K118/K444, "NA")</f>
        <v>-3.1381078278400275E-2</v>
      </c>
      <c r="M118" s="2"/>
      <c r="N118" s="14">
        <f t="shared" si="25"/>
        <v>-4816.2099999999991</v>
      </c>
      <c r="O118" s="15">
        <f>IFERROR(N118/N444, "NA")</f>
        <v>-0.12886849511386009</v>
      </c>
      <c r="P118" s="2"/>
      <c r="Q118" s="14">
        <f>IFERROR(Q94+Q95+Q96+Q97+Q98+Q99+Q100+Q101+Q102+Q103+Q104+Q105+Q106+Q107+Q108+Q109+Q110+Q111+Q112+Q113+Q114+Q115+Q116+Q117, "NA")</f>
        <v>-19751.640000000003</v>
      </c>
      <c r="R118" s="15">
        <f>IFERROR(Q118/Q444, "NA")</f>
        <v>-6.5601900603271507E-2</v>
      </c>
      <c r="S118" s="2"/>
      <c r="T118" s="14">
        <f>IFERROR(T94+T95+T96+T97+T98+T99+T100+T101+T102+T103+T104+T105+T106+T107+T108+T109+T110+T111+T112+T113+T114+T115+T116+T117, "NA")</f>
        <v>-10486.8</v>
      </c>
      <c r="U118" s="15">
        <f>IFERROR(T118/T444, "NA")</f>
        <v>-3.5000000834382289E-2</v>
      </c>
      <c r="V118" s="2"/>
      <c r="W118" s="14">
        <f t="shared" si="26"/>
        <v>-9264.8400000000038</v>
      </c>
      <c r="X118" s="15">
        <f>IFERROR(W118/W444, "NA")</f>
        <v>-6.343608353303666</v>
      </c>
      <c r="Y118" s="2"/>
      <c r="Z118" s="14">
        <f>IFERROR(Z94+Z95+Z96+Z97+Z98+Z99+Z100+Z101+Z102+Z103+Z104+Z105+Z106+Z107+Z108+Z109+Z110+Z111+Z112+Z113+Z114+Z115+Z116+Z117, "NA")</f>
        <v>-11243.859999999999</v>
      </c>
      <c r="AA118" s="15">
        <f>IFERROR(Z118/Z444, "NA")</f>
        <v>-4.1457722404424448E-2</v>
      </c>
      <c r="AB118" s="2"/>
      <c r="AC118" s="14">
        <f t="shared" si="27"/>
        <v>-8507.7800000000043</v>
      </c>
      <c r="AD118" s="15">
        <f>IFERROR(AC118/AC444, "NA")</f>
        <v>-0.28482052796271423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151260.16000000003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129261.83999999998</v>
      </c>
      <c r="F122" s="15">
        <f>IFERROR(E122/E444, "NA")</f>
        <v>0.99999999999999989</v>
      </c>
      <c r="G122" s="2"/>
      <c r="H122" s="14">
        <f t="shared" si="24"/>
        <v>21998.320000000051</v>
      </c>
      <c r="I122" s="15">
        <f>IFERROR(H122/H444, "NA")</f>
        <v>1.000000000000002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113887.09999999998</v>
      </c>
      <c r="L122" s="15">
        <f>IFERROR(K122/K444, "NA")</f>
        <v>0.99999999999999978</v>
      </c>
      <c r="M122" s="2"/>
      <c r="N122" s="14">
        <f t="shared" si="25"/>
        <v>37373.060000000056</v>
      </c>
      <c r="O122" s="15">
        <f>IFERROR(N122/N444, "NA")</f>
        <v>1.0000000000000016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301083.35000000015</v>
      </c>
      <c r="R122" s="15">
        <f>IFERROR(Q122/Q444, "NA")</f>
        <v>1.0000000000000007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299622.85000000003</v>
      </c>
      <c r="U122" s="15">
        <f>IFERROR(T122/T444, "NA")</f>
        <v>1.0000000000000002</v>
      </c>
      <c r="V122" s="2"/>
      <c r="W122" s="14">
        <f t="shared" si="26"/>
        <v>1460.5000000001164</v>
      </c>
      <c r="X122" s="15">
        <f>IFERROR(W122/W444, "NA")</f>
        <v>1.0000000000000797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271212.67999999988</v>
      </c>
      <c r="AA122" s="15">
        <f>IFERROR(Z122/Z444, "NA")</f>
        <v>0.99999999999999956</v>
      </c>
      <c r="AB122" s="2"/>
      <c r="AC122" s="14">
        <f t="shared" si="27"/>
        <v>29870.670000000275</v>
      </c>
      <c r="AD122" s="15">
        <f>IFERROR(AC122/AC444, "NA")</f>
        <v>1.0000000000000098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151260.16000000003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129261.83999999998</v>
      </c>
      <c r="F124" s="15">
        <f>IFERROR(E124/E444, "NA")</f>
        <v>0.99999999999999989</v>
      </c>
      <c r="G124" s="2"/>
      <c r="H124" s="14">
        <f t="shared" si="24"/>
        <v>21998.320000000051</v>
      </c>
      <c r="I124" s="15">
        <f>IFERROR(H124/H444, "NA")</f>
        <v>1.000000000000002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113887.09999999998</v>
      </c>
      <c r="L124" s="15">
        <f>IFERROR(K124/K444, "NA")</f>
        <v>0.99999999999999978</v>
      </c>
      <c r="M124" s="2"/>
      <c r="N124" s="14">
        <f t="shared" si="25"/>
        <v>37373.060000000056</v>
      </c>
      <c r="O124" s="15">
        <f>IFERROR(N124/N444, "NA")</f>
        <v>1.0000000000000016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301083.35000000015</v>
      </c>
      <c r="R124" s="15">
        <f>IFERROR(Q124/Q444, "NA")</f>
        <v>1.0000000000000007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299622.85000000003</v>
      </c>
      <c r="U124" s="15">
        <f>IFERROR(T124/T444, "NA")</f>
        <v>1.0000000000000002</v>
      </c>
      <c r="V124" s="2"/>
      <c r="W124" s="14">
        <f t="shared" si="26"/>
        <v>1460.5000000001164</v>
      </c>
      <c r="X124" s="15">
        <f>IFERROR(W124/W444, "NA")</f>
        <v>1.0000000000000797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271212.67999999988</v>
      </c>
      <c r="AA124" s="15">
        <f>IFERROR(Z124/Z444, "NA")</f>
        <v>0.99999999999999956</v>
      </c>
      <c r="AB124" s="2"/>
      <c r="AC124" s="14">
        <f t="shared" si="27"/>
        <v>29870.670000000275</v>
      </c>
      <c r="AD124" s="15">
        <f>IFERROR(AC124/AC444, "NA")</f>
        <v>1.0000000000000098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30376.54</v>
      </c>
      <c r="F129" s="8">
        <f>IFERROR(E129/E444, "NA")</f>
        <v>0.23500005879538774</v>
      </c>
      <c r="G129" s="9"/>
      <c r="H129" s="10">
        <f t="shared" ref="H129:H141" si="28">IFERROR(-(B129-E129), "NA")</f>
        <v>30376.54</v>
      </c>
      <c r="I129" s="8">
        <f>IFERROR(H129/H444, "NA")</f>
        <v>1.3808572654639077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74216.34</v>
      </c>
      <c r="U129" s="8">
        <f>IFERROR(T129/T444, "NA")</f>
        <v>0.2476991991765648</v>
      </c>
      <c r="V129" s="9"/>
      <c r="W129" s="10">
        <f t="shared" ref="W129:W141" si="30">IFERROR(-(Q129-T129), "NA")</f>
        <v>74216.34</v>
      </c>
      <c r="X129" s="8">
        <f>IFERROR(W129/W444, "NA")</f>
        <v>50.81570694967477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8414.69</v>
      </c>
      <c r="C130" s="8">
        <f>IFERROR(B130/B444, "NA")</f>
        <v>5.5630577146024443E-2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-8414.69</v>
      </c>
      <c r="I130" s="8">
        <f>IFERROR(H130/H444, "NA")</f>
        <v>-0.3825151193363856</v>
      </c>
      <c r="J130" s="9"/>
      <c r="K130" s="7">
        <v>7490.59</v>
      </c>
      <c r="L130" s="8">
        <f>IFERROR(K130/K444, "NA")</f>
        <v>6.5772067249056307E-2</v>
      </c>
      <c r="M130" s="9"/>
      <c r="N130" s="10">
        <f t="shared" si="29"/>
        <v>-924.10000000000036</v>
      </c>
      <c r="O130" s="8">
        <f>IFERROR(N130/N444, "NA")</f>
        <v>-2.4726367067615027E-2</v>
      </c>
      <c r="P130" s="9"/>
      <c r="Q130" s="7">
        <v>17388.599999999999</v>
      </c>
      <c r="R130" s="8">
        <f>IFERROR(Q130/Q444, "NA")</f>
        <v>5.775344269286229E-2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-17388.599999999999</v>
      </c>
      <c r="X130" s="8">
        <f>IFERROR(W130/W444, "NA")</f>
        <v>-11.905922629236562</v>
      </c>
      <c r="Y130" s="9"/>
      <c r="Z130" s="7">
        <v>17456.560000000001</v>
      </c>
      <c r="AA130" s="8">
        <f>IFERROR(Z130/Z444, "NA")</f>
        <v>6.4364837219262769E-2</v>
      </c>
      <c r="AB130" s="9"/>
      <c r="AC130" s="10">
        <f t="shared" si="31"/>
        <v>67.960000000002765</v>
      </c>
      <c r="AD130" s="8">
        <f>IFERROR(AC130/AC444, "NA")</f>
        <v>2.2751414682028494E-3</v>
      </c>
    </row>
    <row r="131" spans="1:30" ht="16.5" customHeight="1" x14ac:dyDescent="0.45">
      <c r="A131" s="12" t="s">
        <v>123</v>
      </c>
      <c r="B131" s="7">
        <v>4900.1400000000003</v>
      </c>
      <c r="C131" s="8">
        <f>IFERROR(B131/B444, "NA")</f>
        <v>3.2395443717631929E-2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-4900.1400000000003</v>
      </c>
      <c r="I131" s="8">
        <f>IFERROR(H131/H444, "NA")</f>
        <v>-0.22275064641299874</v>
      </c>
      <c r="J131" s="9"/>
      <c r="K131" s="7">
        <v>3972.2</v>
      </c>
      <c r="L131" s="8">
        <f>IFERROR(K131/K444, "NA")</f>
        <v>3.4878401504648021E-2</v>
      </c>
      <c r="M131" s="9"/>
      <c r="N131" s="10">
        <f t="shared" si="29"/>
        <v>-927.94000000000051</v>
      </c>
      <c r="O131" s="8">
        <f>IFERROR(N131/N444, "NA")</f>
        <v>-2.4829114875795574E-2</v>
      </c>
      <c r="P131" s="9"/>
      <c r="Q131" s="7">
        <v>10420.620000000001</v>
      </c>
      <c r="R131" s="8">
        <f>IFERROR(Q131/Q444, "NA")</f>
        <v>3.4610416019351456E-2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-10420.620000000001</v>
      </c>
      <c r="X131" s="8">
        <f>IFERROR(W131/W444, "NA")</f>
        <v>-7.1349674768914761</v>
      </c>
      <c r="Y131" s="9"/>
      <c r="Z131" s="7">
        <v>9124.51</v>
      </c>
      <c r="AA131" s="8">
        <f>IFERROR(Z131/Z444, "NA")</f>
        <v>3.3643375376107051E-2</v>
      </c>
      <c r="AB131" s="9"/>
      <c r="AC131" s="10">
        <f t="shared" si="31"/>
        <v>-1296.1100000000006</v>
      </c>
      <c r="AD131" s="8">
        <f>IFERROR(AC131/AC444, "NA")</f>
        <v>-4.3390724078167693E-2</v>
      </c>
    </row>
    <row r="132" spans="1:30" ht="16.5" customHeight="1" x14ac:dyDescent="0.45">
      <c r="A132" s="12" t="s">
        <v>124</v>
      </c>
      <c r="B132" s="7">
        <v>5909.35</v>
      </c>
      <c r="C132" s="8">
        <f>IFERROR(B132/B444, "NA")</f>
        <v>3.9067458344616321E-2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-5909.35</v>
      </c>
      <c r="I132" s="8">
        <f>IFERROR(H132/H444, "NA")</f>
        <v>-0.26862733154168128</v>
      </c>
      <c r="J132" s="9"/>
      <c r="K132" s="7">
        <v>4129.76</v>
      </c>
      <c r="L132" s="8">
        <f>IFERROR(K132/K444, "NA")</f>
        <v>3.6261876893871212E-2</v>
      </c>
      <c r="M132" s="9"/>
      <c r="N132" s="10">
        <f t="shared" si="29"/>
        <v>-1779.5900000000001</v>
      </c>
      <c r="O132" s="8">
        <f>IFERROR(N132/N444, "NA")</f>
        <v>-4.7616919781254208E-2</v>
      </c>
      <c r="P132" s="9"/>
      <c r="Q132" s="7">
        <v>11475.78</v>
      </c>
      <c r="R132" s="8">
        <f>IFERROR(Q132/Q444, "NA")</f>
        <v>3.8114960525050624E-2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-11475.78</v>
      </c>
      <c r="X132" s="8">
        <f>IFERROR(W132/W444, "NA")</f>
        <v>-7.8574323861691209</v>
      </c>
      <c r="Y132" s="9"/>
      <c r="Z132" s="7">
        <v>9475.43</v>
      </c>
      <c r="AA132" s="8">
        <f>IFERROR(Z132/Z444, "NA")</f>
        <v>3.4937267682322228E-2</v>
      </c>
      <c r="AB132" s="9"/>
      <c r="AC132" s="10">
        <f t="shared" si="31"/>
        <v>-2000.3500000000004</v>
      </c>
      <c r="AD132" s="8">
        <f>IFERROR(AC132/AC444, "NA")</f>
        <v>-6.6967028191868533E-2</v>
      </c>
    </row>
    <row r="133" spans="1:30" ht="16.5" customHeight="1" x14ac:dyDescent="0.45">
      <c r="A133" s="12" t="s">
        <v>125</v>
      </c>
      <c r="B133" s="7">
        <v>3668.42</v>
      </c>
      <c r="C133" s="8">
        <f>IFERROR(B133/B444, "NA")</f>
        <v>2.4252387409877129E-2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-3668.42</v>
      </c>
      <c r="I133" s="8">
        <f>IFERROR(H133/H444, "NA")</f>
        <v>-0.16675909796748109</v>
      </c>
      <c r="J133" s="9"/>
      <c r="K133" s="7">
        <v>2672.46</v>
      </c>
      <c r="L133" s="8">
        <f>IFERROR(K133/K444, "NA")</f>
        <v>2.3465871024900976E-2</v>
      </c>
      <c r="M133" s="9"/>
      <c r="N133" s="10">
        <f t="shared" si="29"/>
        <v>-995.96</v>
      </c>
      <c r="O133" s="8">
        <f>IFERROR(N133/N444, "NA")</f>
        <v>-2.6649142457160321E-2</v>
      </c>
      <c r="P133" s="9"/>
      <c r="Q133" s="7">
        <v>7631.3</v>
      </c>
      <c r="R133" s="8">
        <f>IFERROR(Q133/Q444, "NA")</f>
        <v>2.5346137539654718E-2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-7631.3</v>
      </c>
      <c r="X133" s="8">
        <f>IFERROR(W133/W444, "NA")</f>
        <v>-5.2251283806915438</v>
      </c>
      <c r="Y133" s="9"/>
      <c r="Z133" s="7">
        <v>5924.28</v>
      </c>
      <c r="AA133" s="8">
        <f>IFERROR(Z133/Z444, "NA")</f>
        <v>2.1843668961200487E-2</v>
      </c>
      <c r="AB133" s="9"/>
      <c r="AC133" s="10">
        <f t="shared" si="31"/>
        <v>-1707.0200000000004</v>
      </c>
      <c r="AD133" s="8">
        <f>IFERROR(AC133/AC444, "NA")</f>
        <v>-5.7147027502228824E-2</v>
      </c>
    </row>
    <row r="134" spans="1:30" ht="16.5" customHeight="1" x14ac:dyDescent="0.45">
      <c r="A134" s="12" t="s">
        <v>126</v>
      </c>
      <c r="B134" s="7">
        <v>1141.54</v>
      </c>
      <c r="C134" s="8">
        <f>IFERROR(B134/B444, "NA")</f>
        <v>7.5468649510882441E-3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-1141.54</v>
      </c>
      <c r="I134" s="8">
        <f>IFERROR(H134/H444, "NA")</f>
        <v>-5.189214449103384E-2</v>
      </c>
      <c r="J134" s="9"/>
      <c r="K134" s="7">
        <v>1290.73</v>
      </c>
      <c r="L134" s="8">
        <f>IFERROR(K134/K444, "NA")</f>
        <v>1.1333417041965244E-2</v>
      </c>
      <c r="M134" s="9"/>
      <c r="N134" s="10">
        <f t="shared" si="29"/>
        <v>149.19000000000005</v>
      </c>
      <c r="O134" s="8">
        <f>IFERROR(N134/N444, "NA")</f>
        <v>3.9919128912644583E-3</v>
      </c>
      <c r="P134" s="9"/>
      <c r="Q134" s="7">
        <v>2405.38</v>
      </c>
      <c r="R134" s="8">
        <f>IFERROR(Q134/Q444, "NA")</f>
        <v>7.9890834215840898E-3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-2405.38</v>
      </c>
      <c r="X134" s="8">
        <f>IFERROR(W134/W444, "NA")</f>
        <v>-1.6469565217391304</v>
      </c>
      <c r="Y134" s="9"/>
      <c r="Z134" s="7">
        <v>3089.97</v>
      </c>
      <c r="AA134" s="8">
        <f>IFERROR(Z134/Z444, "NA")</f>
        <v>1.1393162001127676E-2</v>
      </c>
      <c r="AB134" s="9"/>
      <c r="AC134" s="10">
        <f t="shared" si="31"/>
        <v>684.58999999999969</v>
      </c>
      <c r="AD134" s="8">
        <f>IFERROR(AC134/AC444, "NA")</f>
        <v>2.2918468183003596E-2</v>
      </c>
    </row>
    <row r="135" spans="1:30" ht="16.5" customHeight="1" x14ac:dyDescent="0.45">
      <c r="A135" s="12" t="s">
        <v>127</v>
      </c>
      <c r="B135" s="7">
        <v>1091.6099999999999</v>
      </c>
      <c r="C135" s="8">
        <f>IFERROR(B135/B444, "NA")</f>
        <v>7.2167714221643021E-3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-1091.6099999999999</v>
      </c>
      <c r="I135" s="8">
        <f>IFERROR(H135/H444, "NA")</f>
        <v>-4.9622425712508932E-2</v>
      </c>
      <c r="J135" s="9"/>
      <c r="K135" s="7">
        <v>736.78</v>
      </c>
      <c r="L135" s="8">
        <f>IFERROR(K135/K444, "NA")</f>
        <v>6.4693894216289634E-3</v>
      </c>
      <c r="M135" s="9"/>
      <c r="N135" s="10">
        <f t="shared" si="29"/>
        <v>-354.82999999999993</v>
      </c>
      <c r="O135" s="8">
        <f>IFERROR(N135/N444, "NA")</f>
        <v>-9.4942720772663511E-3</v>
      </c>
      <c r="P135" s="9"/>
      <c r="Q135" s="7">
        <v>2241.9699999999998</v>
      </c>
      <c r="R135" s="8">
        <f>IFERROR(Q135/Q444, "NA")</f>
        <v>7.4463433464520704E-3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-2241.9699999999998</v>
      </c>
      <c r="X135" s="8">
        <f>IFERROR(W135/W444, "NA")</f>
        <v>-1.5350701814447105</v>
      </c>
      <c r="Y135" s="9"/>
      <c r="Z135" s="7">
        <v>1708.46</v>
      </c>
      <c r="AA135" s="8">
        <f>IFERROR(Z135/Z444, "NA")</f>
        <v>6.2993367419251932E-3</v>
      </c>
      <c r="AB135" s="9"/>
      <c r="AC135" s="10">
        <f t="shared" si="31"/>
        <v>-533.50999999999976</v>
      </c>
      <c r="AD135" s="8">
        <f>IFERROR(AC135/AC444, "NA")</f>
        <v>-1.7860663989123782E-2</v>
      </c>
    </row>
    <row r="136" spans="1:30" ht="16.5" customHeight="1" x14ac:dyDescent="0.45">
      <c r="A136" s="12" t="s">
        <v>128</v>
      </c>
      <c r="B136" s="7">
        <v>1245.03</v>
      </c>
      <c r="C136" s="8">
        <f>IFERROR(B136/B444, "NA")</f>
        <v>8.2310503968791252E-3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-1245.03</v>
      </c>
      <c r="I136" s="8">
        <f>IFERROR(H136/H444, "NA")</f>
        <v>-5.6596594649045907E-2</v>
      </c>
      <c r="J136" s="9"/>
      <c r="K136" s="7">
        <v>933.82</v>
      </c>
      <c r="L136" s="8">
        <f>IFERROR(K136/K444, "NA")</f>
        <v>8.1995239144731936E-3</v>
      </c>
      <c r="M136" s="9"/>
      <c r="N136" s="10">
        <f t="shared" si="29"/>
        <v>-311.20999999999992</v>
      </c>
      <c r="O136" s="8">
        <f>IFERROR(N136/N444, "NA")</f>
        <v>-8.3271211937154723E-3</v>
      </c>
      <c r="P136" s="9"/>
      <c r="Q136" s="7">
        <v>2342.98</v>
      </c>
      <c r="R136" s="8">
        <f>IFERROR(Q136/Q444, "NA")</f>
        <v>7.7818318415814099E-3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-2342.98</v>
      </c>
      <c r="X136" s="8">
        <f>IFERROR(W136/W444, "NA")</f>
        <v>-1.6042314275932901</v>
      </c>
      <c r="Y136" s="9"/>
      <c r="Z136" s="7">
        <v>2528.11</v>
      </c>
      <c r="AA136" s="8">
        <f>IFERROR(Z136/Z444, "NA")</f>
        <v>9.3215036996057866E-3</v>
      </c>
      <c r="AB136" s="9"/>
      <c r="AC136" s="10">
        <f t="shared" si="31"/>
        <v>185.13000000000011</v>
      </c>
      <c r="AD136" s="8">
        <f>IFERROR(AC136/AC444, "NA")</f>
        <v>6.1977183638666361E-3</v>
      </c>
    </row>
    <row r="137" spans="1:30" ht="16.5" customHeight="1" x14ac:dyDescent="0.45">
      <c r="A137" s="12" t="s">
        <v>129</v>
      </c>
      <c r="B137" s="7">
        <v>779.68</v>
      </c>
      <c r="C137" s="8">
        <f>IFERROR(B137/B444, "NA")</f>
        <v>5.1545628406052188E-3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-779.68</v>
      </c>
      <c r="I137" s="8">
        <f>IFERROR(H137/H444, "NA")</f>
        <v>-3.544270653395349E-2</v>
      </c>
      <c r="J137" s="9"/>
      <c r="K137" s="7">
        <v>627.65</v>
      </c>
      <c r="L137" s="8">
        <f>IFERROR(K137/K444, "NA")</f>
        <v>5.5111597362651251E-3</v>
      </c>
      <c r="M137" s="9"/>
      <c r="N137" s="10">
        <f t="shared" si="29"/>
        <v>-152.02999999999997</v>
      </c>
      <c r="O137" s="8">
        <f>IFERROR(N137/N444, "NA")</f>
        <v>-4.0679034577313176E-3</v>
      </c>
      <c r="P137" s="9"/>
      <c r="Q137" s="7">
        <v>1789.52</v>
      </c>
      <c r="R137" s="8">
        <f>IFERROR(Q137/Q444, "NA")</f>
        <v>5.9436033244614824E-3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-1789.52</v>
      </c>
      <c r="X137" s="8">
        <f>IFERROR(W137/W444, "NA")</f>
        <v>-1.225279014036289</v>
      </c>
      <c r="Y137" s="9"/>
      <c r="Z137" s="7">
        <v>1574.5</v>
      </c>
      <c r="AA137" s="8">
        <f>IFERROR(Z137/Z444, "NA")</f>
        <v>5.8054070333289727E-3</v>
      </c>
      <c r="AB137" s="9"/>
      <c r="AC137" s="10">
        <f t="shared" si="31"/>
        <v>-215.01999999999998</v>
      </c>
      <c r="AD137" s="8">
        <f>IFERROR(AC137/AC444, "NA")</f>
        <v>-7.1983654869475673E-3</v>
      </c>
    </row>
    <row r="138" spans="1:30" ht="16.5" customHeight="1" x14ac:dyDescent="0.45">
      <c r="A138" s="12" t="s">
        <v>130</v>
      </c>
      <c r="B138" s="7">
        <v>9361.85</v>
      </c>
      <c r="C138" s="8">
        <f>IFERROR(B138/B444, "NA")</f>
        <v>6.1892371395085133E-2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-9361.85</v>
      </c>
      <c r="I138" s="8">
        <f>IFERROR(H138/H444, "NA")</f>
        <v>-0.42557113452299983</v>
      </c>
      <c r="J138" s="9"/>
      <c r="K138" s="7">
        <v>5834.09</v>
      </c>
      <c r="L138" s="8">
        <f>IFERROR(K138/K444, "NA")</f>
        <v>5.1226960735675946E-2</v>
      </c>
      <c r="M138" s="9"/>
      <c r="N138" s="10">
        <f t="shared" si="29"/>
        <v>-3527.76</v>
      </c>
      <c r="O138" s="8">
        <f>IFERROR(N138/N444, "NA")</f>
        <v>-9.4393127027864468E-2</v>
      </c>
      <c r="P138" s="9"/>
      <c r="Q138" s="7">
        <v>17798.34</v>
      </c>
      <c r="R138" s="8">
        <f>IFERROR(Q138/Q444, "NA")</f>
        <v>5.9114328308091435E-2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-17798.34</v>
      </c>
      <c r="X138" s="8">
        <f>IFERROR(W138/W444, "NA")</f>
        <v>-12.186470386853816</v>
      </c>
      <c r="Y138" s="9"/>
      <c r="Z138" s="7">
        <v>14618.55</v>
      </c>
      <c r="AA138" s="8">
        <f>IFERROR(Z138/Z444, "NA")</f>
        <v>5.3900687829197366E-2</v>
      </c>
      <c r="AB138" s="9"/>
      <c r="AC138" s="10">
        <f t="shared" si="31"/>
        <v>-3179.7900000000009</v>
      </c>
      <c r="AD138" s="8">
        <f>IFERROR(AC138/AC444, "NA")</f>
        <v>-0.10645191420212545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36512.31</v>
      </c>
      <c r="C141" s="15">
        <f>IFERROR(B141/B444, "NA")</f>
        <v>0.24138748762397183</v>
      </c>
      <c r="D141" s="2"/>
      <c r="E141" s="14">
        <f>IFERROR(E129+E130+E131+E132+E133+E134+E135+E136+E137+E138+E139+E140, "NA")</f>
        <v>30376.54</v>
      </c>
      <c r="F141" s="15">
        <f>IFERROR(E141/E444, "NA")</f>
        <v>0.23500005879538774</v>
      </c>
      <c r="G141" s="2"/>
      <c r="H141" s="14">
        <f t="shared" si="28"/>
        <v>-6135.7699999999968</v>
      </c>
      <c r="I141" s="15">
        <f>IFERROR(H141/H444, "NA")</f>
        <v>-0.27891993570418083</v>
      </c>
      <c r="J141" s="2"/>
      <c r="K141" s="14">
        <f>IFERROR(K129+K130+K131+K132+K133+K134+K135+K136+K137+K138+K139+K140, "NA")</f>
        <v>27688.080000000002</v>
      </c>
      <c r="L141" s="15">
        <f>IFERROR(K141/K444, "NA")</f>
        <v>0.24311866752248498</v>
      </c>
      <c r="M141" s="2"/>
      <c r="N141" s="14">
        <f t="shared" si="29"/>
        <v>-8824.2299999999959</v>
      </c>
      <c r="O141" s="15">
        <f>IFERROR(N141/N444, "NA")</f>
        <v>-0.23611205504713814</v>
      </c>
      <c r="P141" s="2"/>
      <c r="Q141" s="14">
        <f>IFERROR(Q129+Q130+Q131+Q132+Q133+Q134+Q135+Q136+Q137+Q138+Q139+Q140, "NA")</f>
        <v>73494.490000000005</v>
      </c>
      <c r="R141" s="15">
        <f>IFERROR(Q141/Q444, "NA")</f>
        <v>0.24410014701908961</v>
      </c>
      <c r="S141" s="2"/>
      <c r="T141" s="14">
        <f>IFERROR(T129+T130+T131+T132+T133+T134+T135+T136+T137+T138+T139+T140, "NA")</f>
        <v>74216.34</v>
      </c>
      <c r="U141" s="15">
        <f>IFERROR(T141/T444, "NA")</f>
        <v>0.2476991991765648</v>
      </c>
      <c r="V141" s="2"/>
      <c r="W141" s="14">
        <f t="shared" si="30"/>
        <v>721.84999999999127</v>
      </c>
      <c r="X141" s="15">
        <f>IFERROR(W141/W444, "NA")</f>
        <v>0.4942485450188232</v>
      </c>
      <c r="Y141" s="2"/>
      <c r="Z141" s="14">
        <f>IFERROR(Z129+Z130+Z131+Z132+Z133+Z134+Z135+Z136+Z137+Z138+Z139+Z140, "NA")</f>
        <v>65500.369999999995</v>
      </c>
      <c r="AA141" s="15">
        <f>IFERROR(Z141/Z444, "NA")</f>
        <v>0.24150924654407749</v>
      </c>
      <c r="AB141" s="2"/>
      <c r="AC141" s="14">
        <f t="shared" si="31"/>
        <v>-7994.1200000000099</v>
      </c>
      <c r="AD141" s="15">
        <f>IFERROR(AC141/AC444, "NA")</f>
        <v>-0.26762439543538913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1921</v>
      </c>
      <c r="C144" s="8">
        <f>IFERROR(B144/B444, "NA")</f>
        <v>1.2699973343939342E-2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-1921</v>
      </c>
      <c r="I144" s="8">
        <f>IFERROR(H144/H444, "NA")</f>
        <v>-8.732485026129265E-2</v>
      </c>
      <c r="J144" s="9"/>
      <c r="K144" s="7">
        <v>1189.4100000000001</v>
      </c>
      <c r="L144" s="8">
        <f>IFERROR(K144/K444, "NA")</f>
        <v>1.0443764043513269E-2</v>
      </c>
      <c r="M144" s="9"/>
      <c r="N144" s="10">
        <f t="shared" si="33"/>
        <v>-731.58999999999992</v>
      </c>
      <c r="O144" s="8">
        <f>IFERROR(N144/N444, "NA")</f>
        <v>-1.9575330465313782E-2</v>
      </c>
      <c r="P144" s="9"/>
      <c r="Q144" s="7">
        <v>3805.71</v>
      </c>
      <c r="R144" s="8">
        <f>IFERROR(Q144/Q444, "NA")</f>
        <v>1.2640054655961548E-2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-3805.71</v>
      </c>
      <c r="X144" s="8">
        <f>IFERROR(W144/W444, "NA")</f>
        <v>-2.6057583019513864</v>
      </c>
      <c r="Y144" s="9"/>
      <c r="Z144" s="7">
        <v>2509.73</v>
      </c>
      <c r="AA144" s="8">
        <f>IFERROR(Z144/Z444, "NA")</f>
        <v>9.253734006831835E-3</v>
      </c>
      <c r="AB144" s="9"/>
      <c r="AC144" s="10">
        <f t="shared" si="35"/>
        <v>-1295.98</v>
      </c>
      <c r="AD144" s="8">
        <f>IFERROR(AC144/AC444, "NA")</f>
        <v>-4.3386371982951866E-2</v>
      </c>
    </row>
    <row r="145" spans="1:30" ht="16.5" customHeight="1" x14ac:dyDescent="0.45">
      <c r="A145" s="12" t="s">
        <v>136</v>
      </c>
      <c r="B145" s="7">
        <v>59.8</v>
      </c>
      <c r="C145" s="8">
        <f>IFERROR(B145/B444, "NA")</f>
        <v>3.953453440747385E-4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-59.8</v>
      </c>
      <c r="I145" s="8">
        <f>IFERROR(H145/H444, "NA")</f>
        <v>-2.7183894042817807E-3</v>
      </c>
      <c r="J145" s="9"/>
      <c r="K145" s="7">
        <v>57.29</v>
      </c>
      <c r="L145" s="8">
        <f>IFERROR(K145/K444, "NA")</f>
        <v>5.0304204778240898E-4</v>
      </c>
      <c r="M145" s="9"/>
      <c r="N145" s="10">
        <f t="shared" si="33"/>
        <v>-2.509999999999998</v>
      </c>
      <c r="O145" s="8">
        <f>IFERROR(N145/N444, "NA")</f>
        <v>-6.7160676701345784E-5</v>
      </c>
      <c r="P145" s="9"/>
      <c r="Q145" s="7">
        <v>142.71</v>
      </c>
      <c r="R145" s="8">
        <f>IFERROR(Q145/Q444, "NA")</f>
        <v>4.7398834907343769E-4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-142.71</v>
      </c>
      <c r="X145" s="8">
        <f>IFERROR(W145/W444, "NA")</f>
        <v>-9.7713111947963033E-2</v>
      </c>
      <c r="Y145" s="9"/>
      <c r="Z145" s="7">
        <v>175.82</v>
      </c>
      <c r="AA145" s="8">
        <f>IFERROR(Z145/Z444, "NA")</f>
        <v>6.4827352467443627E-4</v>
      </c>
      <c r="AB145" s="9"/>
      <c r="AC145" s="10">
        <f t="shared" si="35"/>
        <v>33.109999999999985</v>
      </c>
      <c r="AD145" s="8">
        <f>IFERROR(AC145/AC444, "NA")</f>
        <v>1.1084451738109658E-3</v>
      </c>
    </row>
    <row r="146" spans="1:30" ht="16.5" customHeight="1" x14ac:dyDescent="0.45">
      <c r="A146" s="12" t="s">
        <v>137</v>
      </c>
      <c r="B146" s="7">
        <v>259.77999999999997</v>
      </c>
      <c r="C146" s="8">
        <f>IFERROR(B146/B444, "NA")</f>
        <v>1.7174383525708288E-3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-259.77999999999997</v>
      </c>
      <c r="I146" s="8">
        <f>IFERROR(H146/H444, "NA")</f>
        <v>-1.1809083602747841E-2</v>
      </c>
      <c r="J146" s="9"/>
      <c r="K146" s="7">
        <v>237.06</v>
      </c>
      <c r="L146" s="8">
        <f>IFERROR(K146/K444, "NA")</f>
        <v>2.0815351343567443E-3</v>
      </c>
      <c r="M146" s="9"/>
      <c r="N146" s="10">
        <f t="shared" si="33"/>
        <v>-22.71999999999997</v>
      </c>
      <c r="O146" s="8">
        <f>IFERROR(N146/N444, "NA")</f>
        <v>-6.0792453173489063E-4</v>
      </c>
      <c r="P146" s="9"/>
      <c r="Q146" s="7">
        <v>327.18</v>
      </c>
      <c r="R146" s="8">
        <f>IFERROR(Q146/Q444, "NA")</f>
        <v>1.0866758324563615E-3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-327.18</v>
      </c>
      <c r="X146" s="8">
        <f>IFERROR(W146/W444, "NA")</f>
        <v>-0.22401917151660392</v>
      </c>
      <c r="Y146" s="9"/>
      <c r="Z146" s="7">
        <v>527.61</v>
      </c>
      <c r="AA146" s="8">
        <f>IFERROR(Z146/Z444, "NA")</f>
        <v>1.9453736455094946E-3</v>
      </c>
      <c r="AB146" s="9"/>
      <c r="AC146" s="10">
        <f t="shared" si="35"/>
        <v>200.43</v>
      </c>
      <c r="AD146" s="8">
        <f>IFERROR(AC146/AC444, "NA")</f>
        <v>6.7099264931118089E-3</v>
      </c>
    </row>
    <row r="147" spans="1:30" ht="16.5" customHeight="1" x14ac:dyDescent="0.45">
      <c r="A147" s="12" t="s">
        <v>138</v>
      </c>
      <c r="B147" s="7">
        <v>7.35</v>
      </c>
      <c r="C147" s="8">
        <f>IFERROR(B147/B444, "NA")</f>
        <v>4.8591777239955315E-5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-7.35</v>
      </c>
      <c r="I147" s="8">
        <f>IFERROR(H147/H444, "NA")</f>
        <v>-3.3411642343597137E-4</v>
      </c>
      <c r="J147" s="9"/>
      <c r="K147" s="7">
        <v>0</v>
      </c>
      <c r="L147" s="8">
        <f>IFERROR(K147/K444, "NA")</f>
        <v>0</v>
      </c>
      <c r="M147" s="9"/>
      <c r="N147" s="10">
        <f t="shared" si="33"/>
        <v>-7.35</v>
      </c>
      <c r="O147" s="8">
        <f>IFERROR(N147/N444, "NA")</f>
        <v>-1.9666572659557445E-4</v>
      </c>
      <c r="P147" s="9"/>
      <c r="Q147" s="7">
        <v>21.37</v>
      </c>
      <c r="R147" s="8">
        <f>IFERROR(Q147/Q444, "NA")</f>
        <v>7.0977023472071775E-5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-21.37</v>
      </c>
      <c r="X147" s="8">
        <f>IFERROR(W147/W444, "NA")</f>
        <v>-1.4631975350907224E-2</v>
      </c>
      <c r="Y147" s="9"/>
      <c r="Z147" s="7">
        <v>21.35</v>
      </c>
      <c r="AA147" s="8">
        <f>IFERROR(Z147/Z444, "NA")</f>
        <v>7.8720508200427804E-5</v>
      </c>
      <c r="AB147" s="9"/>
      <c r="AC147" s="10">
        <f t="shared" si="35"/>
        <v>-1.9999999999999574E-2</v>
      </c>
      <c r="AD147" s="8">
        <f>IFERROR(AC147/AC444, "NA")</f>
        <v>-6.6955311012439914E-7</v>
      </c>
    </row>
    <row r="148" spans="1:30" ht="16.5" customHeight="1" x14ac:dyDescent="0.45">
      <c r="A148" s="13" t="s">
        <v>139</v>
      </c>
      <c r="B148" s="14">
        <f>IFERROR(B143+B144+B145+B146+B147, "NA")</f>
        <v>2247.9299999999998</v>
      </c>
      <c r="C148" s="15">
        <f>IFERROR(B148/B444, "NA")</f>
        <v>1.4861348817824863E-2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-2247.9299999999998</v>
      </c>
      <c r="I148" s="15">
        <f>IFERROR(H148/H444, "NA")</f>
        <v>-0.10218643969175824</v>
      </c>
      <c r="J148" s="2"/>
      <c r="K148" s="14">
        <f>IFERROR(K143+K144+K145+K146+K147, "NA")</f>
        <v>1483.76</v>
      </c>
      <c r="L148" s="15">
        <f>IFERROR(K148/K444, "NA")</f>
        <v>1.3028341225652421E-2</v>
      </c>
      <c r="M148" s="2"/>
      <c r="N148" s="14">
        <f t="shared" si="33"/>
        <v>-764.16999999999985</v>
      </c>
      <c r="O148" s="15">
        <f>IFERROR(N148/N444, "NA")</f>
        <v>-2.0447081400345592E-2</v>
      </c>
      <c r="P148" s="2"/>
      <c r="Q148" s="14">
        <f>IFERROR(Q143+Q144+Q145+Q146+Q147, "NA")</f>
        <v>4296.97</v>
      </c>
      <c r="R148" s="15">
        <f>IFERROR(Q148/Q444, "NA")</f>
        <v>1.427169586096342E-2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-4296.97</v>
      </c>
      <c r="X148" s="15">
        <f>IFERROR(W148/W444, "NA")</f>
        <v>-2.9421225607668609</v>
      </c>
      <c r="Y148" s="2"/>
      <c r="Z148" s="14">
        <f>IFERROR(Z143+Z144+Z145+Z146+Z147, "NA")</f>
        <v>3234.51</v>
      </c>
      <c r="AA148" s="15">
        <f>IFERROR(Z148/Z444, "NA")</f>
        <v>1.1926101685216194E-2</v>
      </c>
      <c r="AB148" s="2"/>
      <c r="AC148" s="14">
        <f t="shared" si="35"/>
        <v>-1062.46</v>
      </c>
      <c r="AD148" s="15">
        <f>IFERROR(AC148/AC444, "NA")</f>
        <v>-3.5568669869139216E-2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38760.239999999998</v>
      </c>
      <c r="C149" s="15">
        <f>IFERROR(B149/B444, "NA")</f>
        <v>0.25624883644179669</v>
      </c>
      <c r="D149" s="2"/>
      <c r="E149" s="14">
        <f>IFERROR(E127+E129+E130+E131+E132+E133+E134+E135+E136+E137+E138+E139+E140+E143+E144+E145+E146+E147, "NA")</f>
        <v>30376.54</v>
      </c>
      <c r="F149" s="15">
        <f>IFERROR(E149/E444, "NA")</f>
        <v>0.23500005879538774</v>
      </c>
      <c r="G149" s="2"/>
      <c r="H149" s="14">
        <f t="shared" si="32"/>
        <v>-8383.6999999999971</v>
      </c>
      <c r="I149" s="15">
        <f>IFERROR(H149/H444, "NA")</f>
        <v>-0.38110637539593906</v>
      </c>
      <c r="J149" s="2"/>
      <c r="K149" s="14">
        <f>IFERROR(K127+K129+K130+K131+K132+K133+K134+K135+K136+K137+K138+K139+K140+K143+K144+K145+K146+K147, "NA")</f>
        <v>29171.840000000004</v>
      </c>
      <c r="L149" s="15">
        <f>IFERROR(K149/K444, "NA")</f>
        <v>0.25614700874813745</v>
      </c>
      <c r="M149" s="2"/>
      <c r="N149" s="14">
        <f t="shared" si="33"/>
        <v>-9588.3999999999942</v>
      </c>
      <c r="O149" s="15">
        <f>IFERROR(N149/N444, "NA")</f>
        <v>-0.25655913644748368</v>
      </c>
      <c r="P149" s="2"/>
      <c r="Q149" s="14">
        <f>IFERROR(Q127+Q129+Q130+Q131+Q132+Q133+Q134+Q135+Q136+Q137+Q138+Q139+Q140+Q143+Q144+Q145+Q146+Q147, "NA")</f>
        <v>77791.460000000006</v>
      </c>
      <c r="R149" s="15">
        <f>IFERROR(Q149/Q444, "NA")</f>
        <v>0.25837184288005305</v>
      </c>
      <c r="S149" s="2"/>
      <c r="T149" s="14">
        <f>IFERROR(T127+T129+T130+T131+T132+T133+T134+T135+T136+T137+T138+T139+T140+T143+T144+T145+T146+T147, "NA")</f>
        <v>74216.34</v>
      </c>
      <c r="U149" s="15">
        <f>IFERROR(T149/T444, "NA")</f>
        <v>0.2476991991765648</v>
      </c>
      <c r="V149" s="2"/>
      <c r="W149" s="14">
        <f t="shared" si="34"/>
        <v>-3575.1200000000099</v>
      </c>
      <c r="X149" s="15">
        <f>IFERROR(W149/W444, "NA")</f>
        <v>-2.4478740157480381</v>
      </c>
      <c r="Y149" s="2"/>
      <c r="Z149" s="14">
        <f>IFERROR(Z127+Z129+Z130+Z131+Z132+Z133+Z134+Z135+Z136+Z137+Z138+Z139+Z140+Z143+Z144+Z145+Z146+Z147, "NA")</f>
        <v>68734.880000000005</v>
      </c>
      <c r="AA149" s="15">
        <f>IFERROR(Z149/Z444, "NA")</f>
        <v>0.25343534822929376</v>
      </c>
      <c r="AB149" s="2"/>
      <c r="AC149" s="14">
        <f t="shared" si="35"/>
        <v>-9056.5800000000017</v>
      </c>
      <c r="AD149" s="15">
        <f>IFERROR(AC149/AC444, "NA")</f>
        <v>-0.30319306530452805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1938.93</v>
      </c>
      <c r="F153" s="8">
        <f>IFERROR(E153/E444, "NA")</f>
        <v>1.5000018566964543E-2</v>
      </c>
      <c r="G153" s="9"/>
      <c r="H153" s="10">
        <f t="shared" ref="H153:H158" si="36">IFERROR(-(B153-E153), "NA")</f>
        <v>1938.93</v>
      </c>
      <c r="I153" s="8">
        <f>IFERROR(H153/H444, "NA")</f>
        <v>8.8139912502409254E-2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5516.51</v>
      </c>
      <c r="U153" s="8">
        <f>IFERROR(T153/T444, "NA")</f>
        <v>1.8411513007102098E-2</v>
      </c>
      <c r="V153" s="9"/>
      <c r="W153" s="10">
        <f t="shared" ref="W153:W158" si="38">IFERROR(-(Q153-T153), "NA")</f>
        <v>5516.51</v>
      </c>
      <c r="X153" s="8">
        <f>IFERROR(W153/W444, "NA")</f>
        <v>3.7771379664498461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5014.49</v>
      </c>
      <c r="C154" s="8">
        <f>IFERROR(B154/B444, "NA")</f>
        <v>3.3151425993467147E-2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-5014.49</v>
      </c>
      <c r="I154" s="8">
        <f>IFERROR(H154/H444, "NA")</f>
        <v>-0.22794877063339375</v>
      </c>
      <c r="J154" s="9"/>
      <c r="K154" s="7">
        <v>3920.3</v>
      </c>
      <c r="L154" s="8">
        <f>IFERROR(K154/K444, "NA")</f>
        <v>3.44226870295231E-2</v>
      </c>
      <c r="M154" s="9"/>
      <c r="N154" s="10">
        <f t="shared" si="37"/>
        <v>-1094.1899999999996</v>
      </c>
      <c r="O154" s="8">
        <f>IFERROR(N154/N444, "NA")</f>
        <v>-2.927750631069545E-2</v>
      </c>
      <c r="P154" s="9"/>
      <c r="Q154" s="7">
        <v>10349.35</v>
      </c>
      <c r="R154" s="8">
        <f>IFERROR(Q154/Q444, "NA")</f>
        <v>3.4373704158665704E-2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-10349.35</v>
      </c>
      <c r="X154" s="8">
        <f>IFERROR(W154/W444, "NA")</f>
        <v>-7.0861691201643273</v>
      </c>
      <c r="Y154" s="9"/>
      <c r="Z154" s="7">
        <v>9390.6</v>
      </c>
      <c r="AA154" s="8">
        <f>IFERROR(Z154/Z444, "NA")</f>
        <v>3.4624487321168025E-2</v>
      </c>
      <c r="AB154" s="9"/>
      <c r="AC154" s="10">
        <f t="shared" si="39"/>
        <v>-958.75</v>
      </c>
      <c r="AD154" s="8">
        <f>IFERROR(AC154/AC444, "NA")</f>
        <v>-3.2096702216589064E-2</v>
      </c>
    </row>
    <row r="155" spans="1:30" ht="16.5" customHeight="1" x14ac:dyDescent="0.45">
      <c r="A155" s="12" t="s">
        <v>144</v>
      </c>
      <c r="B155" s="7">
        <v>1769.69</v>
      </c>
      <c r="C155" s="8">
        <f>IFERROR(B155/B444, "NA")</f>
        <v>1.1699643845411773E-2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-1769.69</v>
      </c>
      <c r="I155" s="8">
        <f>IFERROR(H155/H444, "NA")</f>
        <v>-8.0446597740191042E-2</v>
      </c>
      <c r="J155" s="9"/>
      <c r="K155" s="7">
        <v>1682.32</v>
      </c>
      <c r="L155" s="8">
        <f>IFERROR(K155/K444, "NA")</f>
        <v>1.4771822269598575E-2</v>
      </c>
      <c r="M155" s="9"/>
      <c r="N155" s="10">
        <f t="shared" si="37"/>
        <v>-87.370000000000118</v>
      </c>
      <c r="O155" s="8">
        <f>IFERROR(N155/N444, "NA")</f>
        <v>-2.3377802085245395E-3</v>
      </c>
      <c r="P155" s="9"/>
      <c r="Q155" s="7">
        <v>3387.32</v>
      </c>
      <c r="R155" s="8">
        <f>IFERROR(Q155/Q444, "NA")</f>
        <v>1.1250439454722422E-2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-3387.32</v>
      </c>
      <c r="X155" s="8">
        <f>IFERROR(W155/W444, "NA")</f>
        <v>-2.3192879150975694</v>
      </c>
      <c r="Y155" s="9"/>
      <c r="Z155" s="7">
        <v>3639.23</v>
      </c>
      <c r="AA155" s="8">
        <f>IFERROR(Z155/Z444, "NA")</f>
        <v>1.3418362297809971E-2</v>
      </c>
      <c r="AB155" s="9"/>
      <c r="AC155" s="10">
        <f t="shared" si="39"/>
        <v>251.90999999999985</v>
      </c>
      <c r="AD155" s="8">
        <f>IFERROR(AC155/AC444, "NA")</f>
        <v>8.4333561985720437E-3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18.489999999999998</v>
      </c>
      <c r="AA156" s="8">
        <f>IFERROR(Z156/Z444, "NA")</f>
        <v>6.8175278530487578E-5</v>
      </c>
      <c r="AB156" s="9"/>
      <c r="AC156" s="10">
        <f t="shared" si="39"/>
        <v>18.489999999999998</v>
      </c>
      <c r="AD156" s="8">
        <f>IFERROR(AC156/AC444, "NA")</f>
        <v>6.1900185031002009E-4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6784.18</v>
      </c>
      <c r="C158" s="15">
        <f>IFERROR(B158/B444, "NA")</f>
        <v>4.4851069838878925E-2</v>
      </c>
      <c r="D158" s="2"/>
      <c r="E158" s="14">
        <f>IFERROR(E153+E154+E155+E156+E157, "NA")</f>
        <v>1938.93</v>
      </c>
      <c r="F158" s="15">
        <f>IFERROR(E158/E444, "NA")</f>
        <v>1.5000018566964543E-2</v>
      </c>
      <c r="G158" s="2"/>
      <c r="H158" s="14">
        <f t="shared" si="36"/>
        <v>-4845.25</v>
      </c>
      <c r="I158" s="15">
        <f>IFERROR(H158/H444, "NA")</f>
        <v>-0.22025545587117554</v>
      </c>
      <c r="J158" s="2"/>
      <c r="K158" s="14">
        <f>IFERROR(K153+K154+K155+K156+K157, "NA")</f>
        <v>5602.62</v>
      </c>
      <c r="L158" s="15">
        <f>IFERROR(K158/K444, "NA")</f>
        <v>4.9194509299121669E-2</v>
      </c>
      <c r="M158" s="2"/>
      <c r="N158" s="14">
        <f t="shared" si="37"/>
        <v>-1181.5600000000004</v>
      </c>
      <c r="O158" s="15">
        <f>IFERROR(N158/N444, "NA")</f>
        <v>-3.1615286519220007E-2</v>
      </c>
      <c r="P158" s="2"/>
      <c r="Q158" s="14">
        <f>IFERROR(Q153+Q154+Q155+Q156+Q157, "NA")</f>
        <v>13736.67</v>
      </c>
      <c r="R158" s="15">
        <f>IFERROR(Q158/Q444, "NA")</f>
        <v>4.5624143613388124E-2</v>
      </c>
      <c r="S158" s="2"/>
      <c r="T158" s="14">
        <f>IFERROR(T153+T154+T155+T156+T157, "NA")</f>
        <v>5516.51</v>
      </c>
      <c r="U158" s="15">
        <f>IFERROR(T158/T444, "NA")</f>
        <v>1.8411513007102098E-2</v>
      </c>
      <c r="V158" s="2"/>
      <c r="W158" s="14">
        <f t="shared" si="38"/>
        <v>-8220.16</v>
      </c>
      <c r="X158" s="15">
        <f>IFERROR(W158/W444, "NA")</f>
        <v>-5.6283190688120506</v>
      </c>
      <c r="Y158" s="2"/>
      <c r="Z158" s="14">
        <f>IFERROR(Z153+Z154+Z155+Z156+Z157, "NA")</f>
        <v>13048.32</v>
      </c>
      <c r="AA158" s="15">
        <f>IFERROR(Z158/Z444, "NA")</f>
        <v>4.8111024897508479E-2</v>
      </c>
      <c r="AB158" s="2"/>
      <c r="AC158" s="14">
        <f t="shared" si="39"/>
        <v>-688.35000000000036</v>
      </c>
      <c r="AD158" s="15">
        <f>IFERROR(AC158/AC444, "NA")</f>
        <v>-2.3044344167707009E-2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491.99</v>
      </c>
      <c r="C161" s="8">
        <f>IFERROR(B161/B444, "NA")</f>
        <v>3.2526079570456621E-3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-491.99</v>
      </c>
      <c r="I161" s="8">
        <f>IFERROR(H161/H444, "NA")</f>
        <v>-2.2364889682484838E-2</v>
      </c>
      <c r="J161" s="9"/>
      <c r="K161" s="7">
        <v>555.73</v>
      </c>
      <c r="L161" s="8">
        <f>IFERROR(K161/K444, "NA")</f>
        <v>4.8796571341266923E-3</v>
      </c>
      <c r="M161" s="9"/>
      <c r="N161" s="10">
        <f t="shared" si="41"/>
        <v>63.740000000000009</v>
      </c>
      <c r="O161" s="8">
        <f>IFERROR(N161/N444, "NA")</f>
        <v>1.705506586830193E-3</v>
      </c>
      <c r="P161" s="9"/>
      <c r="Q161" s="7">
        <v>1212.8800000000001</v>
      </c>
      <c r="R161" s="8">
        <f>IFERROR(Q161/Q444, "NA")</f>
        <v>4.0283861595136368E-3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-1212.8800000000001</v>
      </c>
      <c r="X161" s="8">
        <f>IFERROR(W161/W444, "NA")</f>
        <v>-0.83045532351934281</v>
      </c>
      <c r="Y161" s="9"/>
      <c r="Z161" s="7">
        <v>1395.27</v>
      </c>
      <c r="AA161" s="8">
        <f>IFERROR(Z161/Z444, "NA")</f>
        <v>5.1445603502019155E-3</v>
      </c>
      <c r="AB161" s="9"/>
      <c r="AC161" s="10">
        <f t="shared" si="43"/>
        <v>182.38999999999987</v>
      </c>
      <c r="AD161" s="8">
        <f>IFERROR(AC161/AC444, "NA")</f>
        <v>6.1059895877795837E-3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491.99</v>
      </c>
      <c r="C166" s="15">
        <f>IFERROR(B166/B444, "NA")</f>
        <v>3.2526079570456621E-3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-491.99</v>
      </c>
      <c r="I166" s="15">
        <f>IFERROR(H166/H444, "NA")</f>
        <v>-2.2364889682484838E-2</v>
      </c>
      <c r="J166" s="2"/>
      <c r="K166" s="14">
        <f>IFERROR(K160+K161+K162+K163+K164+K165, "NA")</f>
        <v>555.73</v>
      </c>
      <c r="L166" s="15">
        <f>IFERROR(K166/K444, "NA")</f>
        <v>4.8796571341266923E-3</v>
      </c>
      <c r="M166" s="2"/>
      <c r="N166" s="14">
        <f t="shared" si="41"/>
        <v>63.740000000000009</v>
      </c>
      <c r="O166" s="15">
        <f>IFERROR(N166/N444, "NA")</f>
        <v>1.705506586830193E-3</v>
      </c>
      <c r="P166" s="2"/>
      <c r="Q166" s="14">
        <f>IFERROR(Q160+Q161+Q162+Q163+Q164+Q165, "NA")</f>
        <v>1212.8800000000001</v>
      </c>
      <c r="R166" s="15">
        <f>IFERROR(Q166/Q444, "NA")</f>
        <v>4.0283861595136368E-3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-1212.8800000000001</v>
      </c>
      <c r="X166" s="15">
        <f>IFERROR(W166/W444, "NA")</f>
        <v>-0.83045532351934281</v>
      </c>
      <c r="Y166" s="2"/>
      <c r="Z166" s="14">
        <f>IFERROR(Z160+Z161+Z162+Z163+Z164+Z165, "NA")</f>
        <v>1395.27</v>
      </c>
      <c r="AA166" s="15">
        <f>IFERROR(Z166/Z444, "NA")</f>
        <v>5.1445603502019155E-3</v>
      </c>
      <c r="AB166" s="2"/>
      <c r="AC166" s="14">
        <f t="shared" si="43"/>
        <v>182.38999999999987</v>
      </c>
      <c r="AD166" s="15">
        <f>IFERROR(AC166/AC444, "NA")</f>
        <v>6.1059895877795837E-3</v>
      </c>
    </row>
    <row r="167" spans="1:30" ht="16.5" customHeight="1" x14ac:dyDescent="0.45">
      <c r="A167" s="6" t="s">
        <v>155</v>
      </c>
      <c r="B167" s="7">
        <v>185.15</v>
      </c>
      <c r="C167" s="8">
        <f>IFERROR(B167/B444, "NA")</f>
        <v>1.2240500076160174E-3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-185.15</v>
      </c>
      <c r="I167" s="8">
        <f>IFERROR(H167/H444, "NA")</f>
        <v>-8.4165518094108972E-3</v>
      </c>
      <c r="J167" s="9"/>
      <c r="K167" s="7">
        <v>150.59</v>
      </c>
      <c r="L167" s="8">
        <f>IFERROR(K167/K444, "NA")</f>
        <v>1.3222744279202823E-3</v>
      </c>
      <c r="M167" s="9"/>
      <c r="N167" s="10">
        <f t="shared" si="41"/>
        <v>-34.56</v>
      </c>
      <c r="O167" s="8">
        <f>IFERROR(N167/N444, "NA")</f>
        <v>-9.247302736249053E-4</v>
      </c>
      <c r="P167" s="9"/>
      <c r="Q167" s="7">
        <v>385.16</v>
      </c>
      <c r="R167" s="8">
        <f>IFERROR(Q167/Q444, "NA")</f>
        <v>1.2792470922088519E-3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-385.16</v>
      </c>
      <c r="X167" s="8">
        <f>IFERROR(W167/W444, "NA")</f>
        <v>-0.26371790482711405</v>
      </c>
      <c r="Y167" s="9"/>
      <c r="Z167" s="7">
        <v>451.66</v>
      </c>
      <c r="AA167" s="8">
        <f>IFERROR(Z167/Z444, "NA")</f>
        <v>1.6653351163374811E-3</v>
      </c>
      <c r="AB167" s="9"/>
      <c r="AC167" s="10">
        <f t="shared" si="43"/>
        <v>66.5</v>
      </c>
      <c r="AD167" s="8">
        <f>IFERROR(AC167/AC444, "NA")</f>
        <v>2.2262640911636746E-3</v>
      </c>
    </row>
    <row r="168" spans="1:30" ht="16.5" customHeight="1" x14ac:dyDescent="0.45">
      <c r="A168" s="6" t="s">
        <v>156</v>
      </c>
      <c r="B168" s="7">
        <v>59.4</v>
      </c>
      <c r="C168" s="8">
        <f>IFERROR(B168/B444, "NA")</f>
        <v>3.9270089361270012E-4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-59.4</v>
      </c>
      <c r="I168" s="8">
        <f>IFERROR(H168/H444, "NA")</f>
        <v>-2.7002061975641765E-3</v>
      </c>
      <c r="J168" s="9"/>
      <c r="K168" s="7">
        <v>62.4</v>
      </c>
      <c r="L168" s="8">
        <f>IFERROR(K168/K444, "NA")</f>
        <v>5.4791104523690569E-4</v>
      </c>
      <c r="M168" s="9"/>
      <c r="N168" s="10">
        <f t="shared" si="41"/>
        <v>3</v>
      </c>
      <c r="O168" s="8">
        <f>IFERROR(N168/N444, "NA")</f>
        <v>8.0271725141050807E-5</v>
      </c>
      <c r="P168" s="9"/>
      <c r="Q168" s="7">
        <v>140</v>
      </c>
      <c r="R168" s="8">
        <f>IFERROR(Q168/Q444, "NA")</f>
        <v>4.6498751923678279E-4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-140</v>
      </c>
      <c r="X168" s="8">
        <f>IFERROR(W168/W444, "NA")</f>
        <v>-9.5857583019513859E-2</v>
      </c>
      <c r="Y168" s="9"/>
      <c r="Z168" s="7">
        <v>140.69999999999999</v>
      </c>
      <c r="AA168" s="8">
        <f>IFERROR(Z168/Z444, "NA")</f>
        <v>5.1878105404216349E-4</v>
      </c>
      <c r="AB168" s="9"/>
      <c r="AC168" s="10">
        <f t="shared" si="43"/>
        <v>0.69999999999998863</v>
      </c>
      <c r="AD168" s="8">
        <f>IFERROR(AC168/AC444, "NA")</f>
        <v>2.3434358854354089E-5</v>
      </c>
    </row>
    <row r="169" spans="1:30" ht="16.5" customHeight="1" x14ac:dyDescent="0.45">
      <c r="A169" s="6" t="s">
        <v>157</v>
      </c>
      <c r="B169" s="7">
        <v>-3622.04</v>
      </c>
      <c r="C169" s="8">
        <f>IFERROR(B169/B444, "NA")</f>
        <v>-2.3945763378803778E-2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3622.04</v>
      </c>
      <c r="I169" s="8">
        <f>IFERROR(H169/H444, "NA")</f>
        <v>0.16465075514857494</v>
      </c>
      <c r="J169" s="9"/>
      <c r="K169" s="7">
        <v>-2124.41</v>
      </c>
      <c r="L169" s="8">
        <f>IFERROR(K169/K444, "NA")</f>
        <v>-1.8653649096341901E-2</v>
      </c>
      <c r="M169" s="9"/>
      <c r="N169" s="10">
        <f t="shared" si="41"/>
        <v>1497.63</v>
      </c>
      <c r="O169" s="8">
        <f>IFERROR(N169/N444, "NA")</f>
        <v>4.0072447907663976E-2</v>
      </c>
      <c r="P169" s="9"/>
      <c r="Q169" s="7">
        <v>-8039.15</v>
      </c>
      <c r="R169" s="8">
        <f>IFERROR(Q169/Q444, "NA")</f>
        <v>-2.6700745823374158E-2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8039.15</v>
      </c>
      <c r="X169" s="8">
        <f>IFERROR(W169/W444, "NA")</f>
        <v>5.5043820609380347</v>
      </c>
      <c r="Y169" s="9"/>
      <c r="Z169" s="7">
        <v>-6273.9</v>
      </c>
      <c r="AA169" s="8">
        <f>IFERROR(Z169/Z444, "NA")</f>
        <v>-2.3132767981202059E-2</v>
      </c>
      <c r="AB169" s="9"/>
      <c r="AC169" s="10">
        <f t="shared" si="43"/>
        <v>1765.25</v>
      </c>
      <c r="AD169" s="8">
        <f>IFERROR(AC169/AC444, "NA")</f>
        <v>5.9096431382356034E-2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3898.6799999999994</v>
      </c>
      <c r="C170" s="15">
        <f>IFERROR(B170/B444, "NA")</f>
        <v>2.5774665318349519E-2</v>
      </c>
      <c r="D170" s="2"/>
      <c r="E170" s="14">
        <f>IFERROR(E151+E153+E154+E155+E156+E157+E160+E161+E162+E163+E164+E165+E167+E168+E169, "NA")</f>
        <v>1938.93</v>
      </c>
      <c r="F170" s="15">
        <f>IFERROR(E170/E444, "NA")</f>
        <v>1.5000018566964543E-2</v>
      </c>
      <c r="G170" s="2"/>
      <c r="H170" s="14">
        <f t="shared" si="40"/>
        <v>-1959.7499999999993</v>
      </c>
      <c r="I170" s="15">
        <f>IFERROR(H170/H444, "NA")</f>
        <v>-8.9086348412060493E-2</v>
      </c>
      <c r="J170" s="2"/>
      <c r="K170" s="14">
        <f>IFERROR(K151+K153+K154+K155+K156+K157+K160+K161+K162+K163+K164+K165+K167+K168+K169, "NA")</f>
        <v>4246.93</v>
      </c>
      <c r="L170" s="15">
        <f>IFERROR(K170/K444, "NA")</f>
        <v>3.729070281006365E-2</v>
      </c>
      <c r="M170" s="2"/>
      <c r="N170" s="14">
        <f t="shared" si="41"/>
        <v>348.25000000000091</v>
      </c>
      <c r="O170" s="15">
        <f>IFERROR(N170/N444, "NA")</f>
        <v>9.3182094267903384E-3</v>
      </c>
      <c r="P170" s="2"/>
      <c r="Q170" s="14">
        <f>IFERROR(Q151+Q153+Q154+Q155+Q156+Q157+Q160+Q161+Q162+Q163+Q164+Q165+Q167+Q168+Q169, "NA")</f>
        <v>7435.5599999999995</v>
      </c>
      <c r="R170" s="15">
        <f>IFERROR(Q170/Q444, "NA")</f>
        <v>2.4696018560973233E-2</v>
      </c>
      <c r="S170" s="2"/>
      <c r="T170" s="14">
        <f>IFERROR(T151+T153+T154+T155+T156+T157+T160+T161+T162+T163+T164+T165+T167+T168+T169, "NA")</f>
        <v>5516.51</v>
      </c>
      <c r="U170" s="15">
        <f>IFERROR(T170/T444, "NA")</f>
        <v>1.8411513007102098E-2</v>
      </c>
      <c r="V170" s="2"/>
      <c r="W170" s="14">
        <f t="shared" si="42"/>
        <v>-1919.0499999999993</v>
      </c>
      <c r="X170" s="15">
        <f>IFERROR(W170/W444, "NA")</f>
        <v>-1.3139678192399857</v>
      </c>
      <c r="Y170" s="2"/>
      <c r="Z170" s="14">
        <f>IFERROR(Z151+Z153+Z154+Z155+Z156+Z157+Z160+Z161+Z162+Z163+Z164+Z165+Z167+Z168+Z169, "NA")</f>
        <v>8762.0500000000011</v>
      </c>
      <c r="AA170" s="15">
        <f>IFERROR(Z170/Z444, "NA")</f>
        <v>3.2306933436887987E-2</v>
      </c>
      <c r="AB170" s="2"/>
      <c r="AC170" s="14">
        <f t="shared" si="43"/>
        <v>1326.4900000000016</v>
      </c>
      <c r="AD170" s="15">
        <f>IFERROR(AC170/AC444, "NA")</f>
        <v>4.4407775252446706E-2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42658.92</v>
      </c>
      <c r="C171" s="15">
        <f>IFERROR(B171/B444, "NA")</f>
        <v>0.28202350176014623</v>
      </c>
      <c r="D171" s="2"/>
      <c r="E171" s="14">
        <f>IFERROR(E127+E129+E130+E131+E132+E133+E134+E135+E136+E137+E138+E139+E140+E143+E144+E145+E146+E147+E151+E153+E154+E155+E156+E157+E160+E161+E162+E163+E164+E165+E167+E168+E169, "NA")</f>
        <v>32315.47</v>
      </c>
      <c r="F171" s="15">
        <f>IFERROR(E171/E444, "NA")</f>
        <v>0.2500000773623523</v>
      </c>
      <c r="G171" s="2"/>
      <c r="H171" s="14">
        <f t="shared" si="40"/>
        <v>-10343.449999999997</v>
      </c>
      <c r="I171" s="15">
        <f>IFERROR(H171/H444, "NA")</f>
        <v>-0.47019272380799959</v>
      </c>
      <c r="J171" s="2"/>
      <c r="K171" s="14">
        <f>IFERROR(K127+K129+K130+K131+K132+K133+K134+K135+K136+K137+K138+K139+K140+K143+K144+K145+K146+K147+K151+K153+K154+K155+K156+K157+K160+K161+K162+K163+K164+K165+K167+K168+K169, "NA")</f>
        <v>33418.770000000004</v>
      </c>
      <c r="L171" s="15">
        <f>IFERROR(K171/K444, "NA")</f>
        <v>0.29343771155820109</v>
      </c>
      <c r="M171" s="2"/>
      <c r="N171" s="14">
        <f t="shared" si="41"/>
        <v>-9240.1499999999942</v>
      </c>
      <c r="O171" s="15">
        <f>IFERROR(N171/N444, "NA")</f>
        <v>-0.24724092702069336</v>
      </c>
      <c r="P171" s="2"/>
      <c r="Q171" s="14">
        <f>IFERROR(Q127+Q129+Q130+Q131+Q132+Q133+Q134+Q135+Q136+Q137+Q138+Q139+Q140+Q143+Q144+Q145+Q146+Q147+Q151+Q153+Q154+Q155+Q156+Q157+Q160+Q161+Q162+Q163+Q164+Q165+Q167+Q168+Q169, "NA")</f>
        <v>85227.020000000033</v>
      </c>
      <c r="R171" s="15">
        <f>IFERROR(Q171/Q444, "NA")</f>
        <v>0.28306786144102636</v>
      </c>
      <c r="S171" s="2"/>
      <c r="T171" s="14">
        <f>IFERROR(T127+T129+T130+T131+T132+T133+T134+T135+T136+T137+T138+T139+T140+T143+T144+T145+T146+T147+T151+T153+T154+T155+T156+T157+T160+T161+T162+T163+T164+T165+T167+T168+T169, "NA")</f>
        <v>79732.849999999991</v>
      </c>
      <c r="U171" s="15">
        <f>IFERROR(T171/T444, "NA")</f>
        <v>0.26611071218366689</v>
      </c>
      <c r="V171" s="2"/>
      <c r="W171" s="14">
        <f t="shared" si="42"/>
        <v>-5494.1700000000419</v>
      </c>
      <c r="X171" s="15">
        <f>IFERROR(W171/W444, "NA")</f>
        <v>-3.7618418349880467</v>
      </c>
      <c r="Y171" s="2"/>
      <c r="Z171" s="14">
        <f>IFERROR(Z127+Z129+Z130+Z131+Z132+Z133+Z134+Z135+Z136+Z137+Z138+Z139+Z140+Z143+Z144+Z145+Z146+Z147+Z151+Z153+Z154+Z155+Z156+Z157+Z160+Z161+Z162+Z163+Z164+Z165+Z167+Z168+Z169, "NA")</f>
        <v>77496.930000000022</v>
      </c>
      <c r="AA171" s="15">
        <f>IFERROR(Z171/Z444, "NA")</f>
        <v>0.28574228166618176</v>
      </c>
      <c r="AB171" s="2"/>
      <c r="AC171" s="14">
        <f t="shared" si="43"/>
        <v>-7730.0900000000111</v>
      </c>
      <c r="AD171" s="15">
        <f>IFERROR(AC171/AC444, "NA")</f>
        <v>-0.25878529005208167</v>
      </c>
    </row>
    <row r="172" spans="1:30" ht="16.5" customHeight="1" x14ac:dyDescent="0.45">
      <c r="A172" s="22" t="s">
        <v>160</v>
      </c>
      <c r="B172" s="23">
        <f>IFERROR(B124-B171, "NA")</f>
        <v>108601.24000000003</v>
      </c>
      <c r="C172" s="24">
        <f>IFERROR(B172/B444, "NA")</f>
        <v>0.71797649823985399</v>
      </c>
      <c r="D172" s="25"/>
      <c r="E172" s="23">
        <f>IFERROR(E124-E171, "NA")</f>
        <v>96946.369999999981</v>
      </c>
      <c r="F172" s="24">
        <f>IFERROR(E172/E444, "NA")</f>
        <v>0.74999992263764759</v>
      </c>
      <c r="G172" s="25"/>
      <c r="H172" s="23">
        <f>IFERROR(B172-E172, "NA")</f>
        <v>11654.870000000054</v>
      </c>
      <c r="I172" s="24">
        <f>IFERROR(H172/H444, "NA")</f>
        <v>0.52980727619200241</v>
      </c>
      <c r="J172" s="25"/>
      <c r="K172" s="23">
        <f>IFERROR(K124-K171, "NA")</f>
        <v>80468.329999999973</v>
      </c>
      <c r="L172" s="24">
        <f>IFERROR(K172/K444, "NA")</f>
        <v>0.70656228844179869</v>
      </c>
      <c r="M172" s="25"/>
      <c r="N172" s="23">
        <f>IFERROR(B172-K172, "NA")</f>
        <v>28132.910000000062</v>
      </c>
      <c r="O172" s="24">
        <f>IFERROR(N172/N444, "NA")</f>
        <v>0.75275907297930822</v>
      </c>
      <c r="P172" s="25"/>
      <c r="Q172" s="23">
        <f>IFERROR(Q124-Q171, "NA")</f>
        <v>215856.33000000013</v>
      </c>
      <c r="R172" s="24">
        <f>IFERROR(Q172/Q444, "NA")</f>
        <v>0.71693213855897431</v>
      </c>
      <c r="S172" s="25"/>
      <c r="T172" s="23">
        <f>IFERROR(T124-T171, "NA")</f>
        <v>219890.00000000006</v>
      </c>
      <c r="U172" s="24">
        <f>IFERROR(T172/T444, "NA")</f>
        <v>0.73388928781633334</v>
      </c>
      <c r="V172" s="25"/>
      <c r="W172" s="23">
        <f>IFERROR(Q172-T172, "NA")</f>
        <v>-4033.6699999999255</v>
      </c>
      <c r="X172" s="24">
        <f>IFERROR(W172/W444, "NA")</f>
        <v>-2.7618418349879668</v>
      </c>
      <c r="Y172" s="25"/>
      <c r="Z172" s="23">
        <f>IFERROR(Z124-Z171, "NA")</f>
        <v>193715.74999999985</v>
      </c>
      <c r="AA172" s="24">
        <f>IFERROR(Z172/Z444, "NA")</f>
        <v>0.71425771833381779</v>
      </c>
      <c r="AB172" s="25"/>
      <c r="AC172" s="23">
        <f>IFERROR(Q172-Z172, "NA")</f>
        <v>22140.580000000278</v>
      </c>
      <c r="AD172" s="24">
        <f>IFERROR(AC172/AC444, "NA")</f>
        <v>0.74121470994792849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7307.7</v>
      </c>
      <c r="C178" s="8">
        <f>IFERROR(B178/B444, "NA")</f>
        <v>4.8312126603594754E-2</v>
      </c>
      <c r="D178" s="9"/>
      <c r="E178" s="7">
        <v>7115.38</v>
      </c>
      <c r="F178" s="8">
        <f>IFERROR(E178/E444, "NA")</f>
        <v>5.5046253403169876E-2</v>
      </c>
      <c r="G178" s="9"/>
      <c r="H178" s="10">
        <f t="shared" si="44"/>
        <v>-192.31999999999971</v>
      </c>
      <c r="I178" s="8">
        <f>IFERROR(H178/H444, "NA")</f>
        <v>-8.7424857898239349E-3</v>
      </c>
      <c r="J178" s="9"/>
      <c r="K178" s="7">
        <v>7019.25</v>
      </c>
      <c r="L178" s="8">
        <f>IFERROR(K178/K444, "NA")</f>
        <v>6.1633407119858173E-2</v>
      </c>
      <c r="M178" s="9"/>
      <c r="N178" s="10">
        <f t="shared" si="45"/>
        <v>-288.44999999999982</v>
      </c>
      <c r="O178" s="8">
        <f>IFERROR(N178/N444, "NA")</f>
        <v>-7.7181263723120298E-3</v>
      </c>
      <c r="P178" s="9"/>
      <c r="Q178" s="7">
        <v>19000.02</v>
      </c>
      <c r="R178" s="8">
        <f>IFERROR(Q178/Q444, "NA")</f>
        <v>6.3105515466066131E-2</v>
      </c>
      <c r="S178" s="9"/>
      <c r="T178" s="7">
        <v>18500</v>
      </c>
      <c r="U178" s="8">
        <f>IFERROR(T178/T444, "NA")</f>
        <v>6.174428952931995E-2</v>
      </c>
      <c r="V178" s="9"/>
      <c r="W178" s="10">
        <f t="shared" si="46"/>
        <v>-500.02000000000044</v>
      </c>
      <c r="X178" s="8">
        <f>IFERROR(W178/W444, "NA")</f>
        <v>-0.34236220472440976</v>
      </c>
      <c r="Y178" s="9"/>
      <c r="Z178" s="7">
        <v>18250.05</v>
      </c>
      <c r="AA178" s="8">
        <f>IFERROR(Z178/Z444, "NA")</f>
        <v>6.7290548509752565E-2</v>
      </c>
      <c r="AB178" s="9"/>
      <c r="AC178" s="10">
        <f t="shared" si="47"/>
        <v>-749.97000000000116</v>
      </c>
      <c r="AD178" s="8">
        <f>IFERROR(AC178/AC444, "NA")</f>
        <v>-2.5107237300000355E-2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25596.880000000001</v>
      </c>
      <c r="C180" s="8">
        <f>IFERROR(B180/B444, "NA")</f>
        <v>0.16922420285685272</v>
      </c>
      <c r="D180" s="9"/>
      <c r="E180" s="7">
        <v>25076.799999999999</v>
      </c>
      <c r="F180" s="8">
        <f>IFERROR(E180/E444, "NA")</f>
        <v>0.1940000235181551</v>
      </c>
      <c r="G180" s="9"/>
      <c r="H180" s="10">
        <f t="shared" si="44"/>
        <v>-520.08000000000175</v>
      </c>
      <c r="I180" s="8">
        <f>IFERROR(H180/H444, "NA")</f>
        <v>-2.364180537422865E-2</v>
      </c>
      <c r="J180" s="9"/>
      <c r="K180" s="7">
        <v>23452.45</v>
      </c>
      <c r="L180" s="8">
        <f>IFERROR(K180/K444, "NA")</f>
        <v>0.20592718578311328</v>
      </c>
      <c r="M180" s="9"/>
      <c r="N180" s="10">
        <f t="shared" si="45"/>
        <v>-2144.4300000000003</v>
      </c>
      <c r="O180" s="8">
        <f>IFERROR(N180/N444, "NA")</f>
        <v>-5.7379031848074531E-2</v>
      </c>
      <c r="P180" s="9"/>
      <c r="Q180" s="7">
        <v>56836.13</v>
      </c>
      <c r="R180" s="8">
        <f>IFERROR(Q180/Q444, "NA")</f>
        <v>0.18877207922656633</v>
      </c>
      <c r="S180" s="9"/>
      <c r="T180" s="7">
        <v>60290.87</v>
      </c>
      <c r="U180" s="8">
        <f>IFERROR(T180/T444, "NA")</f>
        <v>0.20122253693268055</v>
      </c>
      <c r="V180" s="9"/>
      <c r="W180" s="10">
        <f t="shared" si="46"/>
        <v>3454.7400000000052</v>
      </c>
      <c r="X180" s="8">
        <f>IFERROR(W180/W444, "NA")</f>
        <v>2.3654501882916845</v>
      </c>
      <c r="Y180" s="9"/>
      <c r="Z180" s="7">
        <v>58086.32</v>
      </c>
      <c r="AA180" s="8">
        <f>IFERROR(Z180/Z444, "NA")</f>
        <v>0.21417258219637814</v>
      </c>
      <c r="AB180" s="9"/>
      <c r="AC180" s="10">
        <f t="shared" si="47"/>
        <v>1250.1900000000023</v>
      </c>
      <c r="AD180" s="8">
        <f>IFERROR(AC180/AC444, "NA")</f>
        <v>4.1853430137322095E-2</v>
      </c>
    </row>
    <row r="181" spans="1:30" ht="16.5" customHeight="1" x14ac:dyDescent="0.45">
      <c r="A181" s="12" t="s">
        <v>166</v>
      </c>
      <c r="B181" s="7">
        <v>114.52</v>
      </c>
      <c r="C181" s="8">
        <f>IFERROR(B181/B444, "NA")</f>
        <v>7.5710616728158953E-4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-114.52</v>
      </c>
      <c r="I181" s="8">
        <f>IFERROR(H181/H444, "NA")</f>
        <v>-5.2058520832499915E-3</v>
      </c>
      <c r="J181" s="9"/>
      <c r="K181" s="7">
        <v>24.09</v>
      </c>
      <c r="L181" s="8">
        <f>IFERROR(K181/K444, "NA")</f>
        <v>2.1152527371405539E-4</v>
      </c>
      <c r="M181" s="9"/>
      <c r="N181" s="10">
        <f t="shared" si="45"/>
        <v>-90.429999999999993</v>
      </c>
      <c r="O181" s="8">
        <f>IFERROR(N181/N444, "NA")</f>
        <v>-2.4196573681684081E-3</v>
      </c>
      <c r="P181" s="9"/>
      <c r="Q181" s="7">
        <v>114.52</v>
      </c>
      <c r="R181" s="8">
        <f>IFERROR(Q181/Q444, "NA")</f>
        <v>3.8035979073568833E-4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-114.52</v>
      </c>
      <c r="X181" s="8">
        <f>IFERROR(W181/W444, "NA")</f>
        <v>-7.8411502909962336E-2</v>
      </c>
      <c r="Y181" s="9"/>
      <c r="Z181" s="7">
        <v>272.5</v>
      </c>
      <c r="AA181" s="8">
        <f>IFERROR(Z181/Z444, "NA")</f>
        <v>1.0047465332373104E-3</v>
      </c>
      <c r="AB181" s="9"/>
      <c r="AC181" s="10">
        <f t="shared" si="47"/>
        <v>157.98000000000002</v>
      </c>
      <c r="AD181" s="8">
        <f>IFERROR(AC181/AC444, "NA")</f>
        <v>5.2888000168727417E-3</v>
      </c>
    </row>
    <row r="182" spans="1:30" ht="16.5" customHeight="1" x14ac:dyDescent="0.45">
      <c r="A182" s="13" t="s">
        <v>167</v>
      </c>
      <c r="B182" s="14">
        <f>IFERROR(B177+B178+B179+B180+B181, "NA")</f>
        <v>33019.1</v>
      </c>
      <c r="C182" s="15">
        <f>IFERROR(B182/B444, "NA")</f>
        <v>0.21829343562772907</v>
      </c>
      <c r="D182" s="2"/>
      <c r="E182" s="14">
        <f>IFERROR(E177+E178+E179+E180+E181, "NA")</f>
        <v>32192.18</v>
      </c>
      <c r="F182" s="15">
        <f>IFERROR(E182/E444, "NA")</f>
        <v>0.24904627692132497</v>
      </c>
      <c r="G182" s="2"/>
      <c r="H182" s="14">
        <f t="shared" si="44"/>
        <v>-826.91999999999825</v>
      </c>
      <c r="I182" s="15">
        <f>IFERROR(H182/H444, "NA")</f>
        <v>-3.7590143247302428E-2</v>
      </c>
      <c r="J182" s="2"/>
      <c r="K182" s="14">
        <f>IFERROR(K177+K178+K179+K180+K181, "NA")</f>
        <v>30495.79</v>
      </c>
      <c r="L182" s="15">
        <f>IFERROR(K182/K444, "NA")</f>
        <v>0.2677721181766855</v>
      </c>
      <c r="M182" s="2"/>
      <c r="N182" s="14">
        <f t="shared" si="45"/>
        <v>-2523.3099999999977</v>
      </c>
      <c r="O182" s="15">
        <f>IFERROR(N182/N444, "NA")</f>
        <v>-6.7516815588554907E-2</v>
      </c>
      <c r="P182" s="2"/>
      <c r="Q182" s="14">
        <f>IFERROR(Q177+Q178+Q179+Q180+Q181, "NA")</f>
        <v>75950.67</v>
      </c>
      <c r="R182" s="15">
        <f>IFERROR(Q182/Q444, "NA")</f>
        <v>0.25225795448336813</v>
      </c>
      <c r="S182" s="2"/>
      <c r="T182" s="14">
        <f>IFERROR(T177+T178+T179+T180+T181, "NA")</f>
        <v>78790.87</v>
      </c>
      <c r="U182" s="15">
        <f>IFERROR(T182/T444, "NA")</f>
        <v>0.26296682646200048</v>
      </c>
      <c r="V182" s="2"/>
      <c r="W182" s="14">
        <f t="shared" si="46"/>
        <v>2840.1999999999971</v>
      </c>
      <c r="X182" s="15">
        <f>IFERROR(W182/W444, "NA")</f>
        <v>1.9446764806573071</v>
      </c>
      <c r="Y182" s="2"/>
      <c r="Z182" s="14">
        <f>IFERROR(Z177+Z178+Z179+Z180+Z181, "NA")</f>
        <v>76608.87</v>
      </c>
      <c r="AA182" s="15">
        <f>IFERROR(Z182/Z444, "NA")</f>
        <v>0.282467877239368</v>
      </c>
      <c r="AB182" s="2"/>
      <c r="AC182" s="14">
        <f t="shared" si="47"/>
        <v>658.19999999999709</v>
      </c>
      <c r="AD182" s="15">
        <f>IFERROR(AC182/AC444, "NA")</f>
        <v>2.2034992854194347E-2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3.3055630775479807E-3</v>
      </c>
      <c r="D184" s="9"/>
      <c r="E184" s="7">
        <v>500</v>
      </c>
      <c r="F184" s="8">
        <f>IFERROR(E184/E444, "NA")</f>
        <v>3.8681176130557944E-3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2.6341877174851235E-3</v>
      </c>
      <c r="M184" s="9"/>
      <c r="N184" s="10">
        <f t="shared" si="45"/>
        <v>-200</v>
      </c>
      <c r="O184" s="8">
        <f>IFERROR(N184/N444, "NA")</f>
        <v>-5.35144834273672E-3</v>
      </c>
      <c r="P184" s="9"/>
      <c r="Q184" s="7">
        <v>1500</v>
      </c>
      <c r="R184" s="8">
        <f>IFERROR(Q184/Q444, "NA")</f>
        <v>4.9820091346798158E-3</v>
      </c>
      <c r="S184" s="9"/>
      <c r="T184" s="7">
        <v>1500</v>
      </c>
      <c r="U184" s="8">
        <f>IFERROR(T184/T444, "NA")</f>
        <v>5.006293745620536E-3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900</v>
      </c>
      <c r="AA184" s="8">
        <f>IFERROR(Z184/Z444, "NA")</f>
        <v>3.3184289171140522E-3</v>
      </c>
      <c r="AB184" s="9"/>
      <c r="AC184" s="10">
        <f t="shared" si="47"/>
        <v>-600</v>
      </c>
      <c r="AD184" s="8">
        <f>IFERROR(AC184/AC444, "NA")</f>
        <v>-2.00865933037324E-2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3838.87</v>
      </c>
      <c r="C186" s="8">
        <f>IFERROR(B186/B444, "NA")</f>
        <v>2.5379253863013235E-2</v>
      </c>
      <c r="D186" s="9"/>
      <c r="E186" s="7">
        <v>3884.49</v>
      </c>
      <c r="F186" s="8">
        <f>IFERROR(E186/E444, "NA")</f>
        <v>3.0051328373478205E-2</v>
      </c>
      <c r="G186" s="9"/>
      <c r="H186" s="10">
        <f t="shared" ref="H186:H197" si="48">IFERROR(-(B186-E186), "NA")</f>
        <v>45.619999999999891</v>
      </c>
      <c r="I186" s="8">
        <f>IFERROR(H186/H444, "NA")</f>
        <v>2.0737947261427179E-3</v>
      </c>
      <c r="J186" s="9"/>
      <c r="K186" s="7">
        <v>3330.08</v>
      </c>
      <c r="L186" s="8">
        <f>IFERROR(K186/K444, "NA")</f>
        <v>2.9240186114142863E-2</v>
      </c>
      <c r="M186" s="9"/>
      <c r="N186" s="10">
        <f t="shared" ref="N186:N197" si="49">IFERROR(-(B186-K186), "NA")</f>
        <v>-508.78999999999996</v>
      </c>
      <c r="O186" s="8">
        <f>IFERROR(N186/N444, "NA")</f>
        <v>-1.3613817011505078E-2</v>
      </c>
      <c r="P186" s="9"/>
      <c r="Q186" s="7">
        <v>8896.3799999999992</v>
      </c>
      <c r="R186" s="8">
        <f>IFERROR(Q186/Q444, "NA")</f>
        <v>2.9547897617055209E-2</v>
      </c>
      <c r="S186" s="9"/>
      <c r="T186" s="7">
        <v>9968.73</v>
      </c>
      <c r="U186" s="8">
        <f>IFERROR(T186/T444, "NA")</f>
        <v>3.3270927100519869E-2</v>
      </c>
      <c r="V186" s="9"/>
      <c r="W186" s="10">
        <f t="shared" ref="W186:W197" si="50">IFERROR(-(Q186-T186), "NA")</f>
        <v>1072.3500000000004</v>
      </c>
      <c r="X186" s="8">
        <f>IFERROR(W186/W444, "NA")</f>
        <v>0.73423485107839803</v>
      </c>
      <c r="Y186" s="9"/>
      <c r="Z186" s="7">
        <v>8953.2999999999993</v>
      </c>
      <c r="AA186" s="8">
        <f>IFERROR(Z186/Z444, "NA")</f>
        <v>3.3012099581774715E-2</v>
      </c>
      <c r="AB186" s="9"/>
      <c r="AC186" s="10">
        <f t="shared" ref="AC186:AC197" si="51">IFERROR(-(Q186-Z186), "NA")</f>
        <v>56.920000000000073</v>
      </c>
      <c r="AD186" s="8">
        <f>IFERROR(AC186/AC444, "NA")</f>
        <v>1.9055481514140828E-3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-0.01</v>
      </c>
      <c r="L187" s="8">
        <f>IFERROR(K187/K444, "NA")</f>
        <v>-8.7806257249504108E-8</v>
      </c>
      <c r="M187" s="9"/>
      <c r="N187" s="10">
        <f t="shared" si="49"/>
        <v>-0.01</v>
      </c>
      <c r="O187" s="8">
        <f>IFERROR(N187/N444, "NA")</f>
        <v>-2.6757241713683604E-7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-0.02</v>
      </c>
      <c r="AA187" s="8">
        <f>IFERROR(Z187/Z444, "NA")</f>
        <v>-7.3742864824756719E-8</v>
      </c>
      <c r="AB187" s="9"/>
      <c r="AC187" s="10">
        <f t="shared" si="51"/>
        <v>-0.02</v>
      </c>
      <c r="AD187" s="8">
        <f>IFERROR(AC187/AC444, "NA")</f>
        <v>-6.6955311012441343E-7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3838.87</v>
      </c>
      <c r="C193" s="15">
        <f>IFERROR(B193/B444, "NA")</f>
        <v>2.5379253863013235E-2</v>
      </c>
      <c r="D193" s="2"/>
      <c r="E193" s="14">
        <f>IFERROR(E186+E187+E188+E189+E190+E191+E192, "NA")</f>
        <v>3884.49</v>
      </c>
      <c r="F193" s="15">
        <f>IFERROR(E193/E444, "NA")</f>
        <v>3.0051328373478205E-2</v>
      </c>
      <c r="G193" s="2"/>
      <c r="H193" s="14">
        <f t="shared" si="48"/>
        <v>45.619999999999891</v>
      </c>
      <c r="I193" s="15">
        <f>IFERROR(H193/H444, "NA")</f>
        <v>2.0737947261427179E-3</v>
      </c>
      <c r="J193" s="2"/>
      <c r="K193" s="14">
        <f>IFERROR(K186+K187+K188+K189+K190+K191+K192, "NA")</f>
        <v>3330.0699999999997</v>
      </c>
      <c r="L193" s="15">
        <f>IFERROR(K193/K444, "NA")</f>
        <v>2.9240098307885612E-2</v>
      </c>
      <c r="M193" s="2"/>
      <c r="N193" s="14">
        <f t="shared" si="49"/>
        <v>-508.80000000000018</v>
      </c>
      <c r="O193" s="15">
        <f>IFERROR(N193/N444, "NA")</f>
        <v>-1.3614084583922222E-2</v>
      </c>
      <c r="P193" s="2"/>
      <c r="Q193" s="14">
        <f>IFERROR(Q186+Q187+Q188+Q189+Q190+Q191+Q192, "NA")</f>
        <v>8896.3799999999992</v>
      </c>
      <c r="R193" s="15">
        <f>IFERROR(Q193/Q444, "NA")</f>
        <v>2.9547897617055209E-2</v>
      </c>
      <c r="S193" s="2"/>
      <c r="T193" s="14">
        <f>IFERROR(T186+T187+T188+T189+T190+T191+T192, "NA")</f>
        <v>9968.73</v>
      </c>
      <c r="U193" s="15">
        <f>IFERROR(T193/T444, "NA")</f>
        <v>3.3270927100519869E-2</v>
      </c>
      <c r="V193" s="2"/>
      <c r="W193" s="14">
        <f t="shared" si="50"/>
        <v>1072.3500000000004</v>
      </c>
      <c r="X193" s="15">
        <f>IFERROR(W193/W444, "NA")</f>
        <v>0.73423485107839803</v>
      </c>
      <c r="Y193" s="2"/>
      <c r="Z193" s="14">
        <f>IFERROR(Z186+Z187+Z188+Z189+Z190+Z191+Z192, "NA")</f>
        <v>8953.2799999999988</v>
      </c>
      <c r="AA193" s="15">
        <f>IFERROR(Z193/Z444, "NA")</f>
        <v>3.3012025838909886E-2</v>
      </c>
      <c r="AB193" s="2"/>
      <c r="AC193" s="14">
        <f t="shared" si="51"/>
        <v>56.899999999999636</v>
      </c>
      <c r="AD193" s="15">
        <f>IFERROR(AC193/AC444, "NA")</f>
        <v>1.904878598303944E-3</v>
      </c>
    </row>
    <row r="194" spans="1:30" ht="16.5" customHeight="1" x14ac:dyDescent="0.45">
      <c r="A194" s="6" t="s">
        <v>178</v>
      </c>
      <c r="B194" s="7">
        <v>200</v>
      </c>
      <c r="C194" s="8">
        <f>IFERROR(B194/B444, "NA")</f>
        <v>1.3222252310191923E-3</v>
      </c>
      <c r="D194" s="9"/>
      <c r="E194" s="7">
        <v>261.54000000000002</v>
      </c>
      <c r="F194" s="8">
        <f>IFERROR(E194/E444, "NA")</f>
        <v>2.023334961037225E-3</v>
      </c>
      <c r="G194" s="9"/>
      <c r="H194" s="10">
        <f t="shared" si="48"/>
        <v>61.54000000000002</v>
      </c>
      <c r="I194" s="8">
        <f>IFERROR(H194/H444, "NA")</f>
        <v>2.7974863535033586E-3</v>
      </c>
      <c r="J194" s="9"/>
      <c r="K194" s="7">
        <v>460</v>
      </c>
      <c r="L194" s="8">
        <f>IFERROR(K194/K444, "NA")</f>
        <v>4.0390878334771894E-3</v>
      </c>
      <c r="M194" s="9"/>
      <c r="N194" s="10">
        <f t="shared" si="49"/>
        <v>260</v>
      </c>
      <c r="O194" s="8">
        <f>IFERROR(N194/N444, "NA")</f>
        <v>6.956882845557736E-3</v>
      </c>
      <c r="P194" s="9"/>
      <c r="Q194" s="7">
        <v>704</v>
      </c>
      <c r="R194" s="8">
        <f>IFERROR(Q194/Q444, "NA")</f>
        <v>2.3382229538763937E-3</v>
      </c>
      <c r="S194" s="9"/>
      <c r="T194" s="7">
        <v>642.33000000000004</v>
      </c>
      <c r="U194" s="8">
        <f>IFERROR(T194/T444, "NA")</f>
        <v>2.1437951077496261E-3</v>
      </c>
      <c r="V194" s="9"/>
      <c r="W194" s="10">
        <f t="shared" si="50"/>
        <v>-61.669999999999959</v>
      </c>
      <c r="X194" s="8">
        <f>IFERROR(W194/W444, "NA")</f>
        <v>-4.222526532009583E-2</v>
      </c>
      <c r="Y194" s="9"/>
      <c r="Z194" s="7">
        <v>762</v>
      </c>
      <c r="AA194" s="8">
        <f>IFERROR(Z194/Z444, "NA")</f>
        <v>2.809603149823231E-3</v>
      </c>
      <c r="AB194" s="9"/>
      <c r="AC194" s="10">
        <f t="shared" si="51"/>
        <v>58</v>
      </c>
      <c r="AD194" s="8">
        <f>IFERROR(AC194/AC444, "NA")</f>
        <v>1.9417040193607988E-3</v>
      </c>
    </row>
    <row r="195" spans="1:30" ht="16.5" customHeight="1" x14ac:dyDescent="0.45">
      <c r="A195" s="6" t="s">
        <v>179</v>
      </c>
      <c r="B195" s="7">
        <v>80.17</v>
      </c>
      <c r="C195" s="8">
        <f>IFERROR(B195/B444, "NA")</f>
        <v>5.3001398385404323E-4</v>
      </c>
      <c r="D195" s="9"/>
      <c r="E195" s="7">
        <v>228.85</v>
      </c>
      <c r="F195" s="8">
        <f>IFERROR(E195/E444, "NA")</f>
        <v>1.7704374314956371E-3</v>
      </c>
      <c r="G195" s="9"/>
      <c r="H195" s="10">
        <f t="shared" si="48"/>
        <v>148.68</v>
      </c>
      <c r="I195" s="8">
        <f>IFERROR(H195/H444, "NA")</f>
        <v>6.7586979369333644E-3</v>
      </c>
      <c r="J195" s="9"/>
      <c r="K195" s="7">
        <v>175.95</v>
      </c>
      <c r="L195" s="8">
        <f>IFERROR(K195/K444, "NA")</f>
        <v>1.5449510963050246E-3</v>
      </c>
      <c r="M195" s="9"/>
      <c r="N195" s="10">
        <f t="shared" si="49"/>
        <v>95.779999999999987</v>
      </c>
      <c r="O195" s="8">
        <f>IFERROR(N195/N444, "NA")</f>
        <v>2.5628086113366152E-3</v>
      </c>
      <c r="P195" s="9"/>
      <c r="Q195" s="7">
        <v>959.6</v>
      </c>
      <c r="R195" s="8">
        <f>IFERROR(Q195/Q444, "NA")</f>
        <v>3.1871573104258343E-3</v>
      </c>
      <c r="S195" s="9"/>
      <c r="T195" s="7">
        <v>562.04</v>
      </c>
      <c r="U195" s="8">
        <f>IFERROR(T195/T444, "NA")</f>
        <v>1.8758248911923774E-3</v>
      </c>
      <c r="V195" s="9"/>
      <c r="W195" s="10">
        <f t="shared" si="50"/>
        <v>-397.56000000000006</v>
      </c>
      <c r="X195" s="8">
        <f>IFERROR(W195/W444, "NA")</f>
        <v>-0.27220814789455672</v>
      </c>
      <c r="Y195" s="9"/>
      <c r="Z195" s="7">
        <v>640.35</v>
      </c>
      <c r="AA195" s="8">
        <f>IFERROR(Z195/Z444, "NA")</f>
        <v>2.3610621745266485E-3</v>
      </c>
      <c r="AB195" s="9"/>
      <c r="AC195" s="10">
        <f t="shared" si="51"/>
        <v>-319.25</v>
      </c>
      <c r="AD195" s="8">
        <f>IFERROR(AC195/AC444, "NA")</f>
        <v>-1.0687741520360949E-2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37638.14</v>
      </c>
      <c r="C196" s="15">
        <f>IFERROR(B196/B444, "NA")</f>
        <v>0.24883049178316352</v>
      </c>
      <c r="D196" s="2"/>
      <c r="E196" s="14">
        <f>IFERROR(E175+E177+E178+E179+E180+E181+E183+E184+E186+E187+E188+E189+E190+E191+E192+E194+E195, "NA")</f>
        <v>37067.06</v>
      </c>
      <c r="F196" s="15">
        <f>IFERROR(E196/E444, "NA")</f>
        <v>0.2867594953003918</v>
      </c>
      <c r="G196" s="2"/>
      <c r="H196" s="14">
        <f t="shared" si="48"/>
        <v>-571.08000000000175</v>
      </c>
      <c r="I196" s="15">
        <f>IFERROR(H196/H444, "NA")</f>
        <v>-2.5960164230723143E-2</v>
      </c>
      <c r="J196" s="2"/>
      <c r="K196" s="14">
        <f>IFERROR(K175+K177+K178+K179+K180+K181+K183+K184+K186+K187+K188+K189+K190+K191+K192+K194+K195, "NA")</f>
        <v>34761.81</v>
      </c>
      <c r="L196" s="15">
        <f>IFERROR(K196/K444, "NA")</f>
        <v>0.30523044313183845</v>
      </c>
      <c r="M196" s="2"/>
      <c r="N196" s="14">
        <f t="shared" si="49"/>
        <v>-2876.3300000000017</v>
      </c>
      <c r="O196" s="15">
        <f>IFERROR(N196/N444, "NA")</f>
        <v>-7.6962657058319603E-2</v>
      </c>
      <c r="P196" s="2"/>
      <c r="Q196" s="14">
        <f>IFERROR(Q175+Q177+Q178+Q179+Q180+Q181+Q183+Q184+Q186+Q187+Q188+Q189+Q190+Q191+Q192+Q194+Q195, "NA")</f>
        <v>88010.650000000009</v>
      </c>
      <c r="R196" s="15">
        <f>IFERROR(Q196/Q444, "NA")</f>
        <v>0.29231324149940546</v>
      </c>
      <c r="S196" s="2"/>
      <c r="T196" s="14">
        <f>IFERROR(T175+T177+T178+T179+T180+T181+T183+T184+T186+T187+T188+T189+T190+T191+T192+T194+T195, "NA")</f>
        <v>91463.969999999987</v>
      </c>
      <c r="U196" s="15">
        <f>IFERROR(T196/T444, "NA")</f>
        <v>0.30526366730708288</v>
      </c>
      <c r="V196" s="2"/>
      <c r="W196" s="14">
        <f t="shared" si="50"/>
        <v>3453.3199999999779</v>
      </c>
      <c r="X196" s="15">
        <f>IFERROR(W196/W444, "NA")</f>
        <v>2.3644779185210392</v>
      </c>
      <c r="Y196" s="2"/>
      <c r="Z196" s="14">
        <f>IFERROR(Z175+Z177+Z178+Z179+Z180+Z181+Z183+Z184+Z186+Z187+Z188+Z189+Z190+Z191+Z192+Z194+Z195, "NA")</f>
        <v>87864.5</v>
      </c>
      <c r="AA196" s="15">
        <f>IFERROR(Z196/Z444, "NA")</f>
        <v>0.32396899731974182</v>
      </c>
      <c r="AB196" s="2"/>
      <c r="AC196" s="14">
        <f t="shared" si="51"/>
        <v>-146.15000000000873</v>
      </c>
      <c r="AD196" s="15">
        <f>IFERROR(AC196/AC444, "NA")</f>
        <v>-4.892759352234443E-3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37638.14</v>
      </c>
      <c r="C197" s="15">
        <f>IFERROR(B197/B444, "NA")</f>
        <v>0.24883049178316352</v>
      </c>
      <c r="D197" s="2"/>
      <c r="E197" s="14">
        <f>IFERROR(E175+E177+E178+E179+E180+E181+E183+E184+E186+E187+E188+E189+E190+E191+E192+E194+E195, "NA")</f>
        <v>37067.06</v>
      </c>
      <c r="F197" s="15">
        <f>IFERROR(E197/E444, "NA")</f>
        <v>0.2867594953003918</v>
      </c>
      <c r="G197" s="2"/>
      <c r="H197" s="14">
        <f t="shared" si="48"/>
        <v>-571.08000000000175</v>
      </c>
      <c r="I197" s="15">
        <f>IFERROR(H197/H444, "NA")</f>
        <v>-2.5960164230723143E-2</v>
      </c>
      <c r="J197" s="2"/>
      <c r="K197" s="14">
        <f>IFERROR(K175+K177+K178+K179+K180+K181+K183+K184+K186+K187+K188+K189+K190+K191+K192+K194+K195, "NA")</f>
        <v>34761.81</v>
      </c>
      <c r="L197" s="15">
        <f>IFERROR(K197/K444, "NA")</f>
        <v>0.30523044313183845</v>
      </c>
      <c r="M197" s="2"/>
      <c r="N197" s="14">
        <f t="shared" si="49"/>
        <v>-2876.3300000000017</v>
      </c>
      <c r="O197" s="15">
        <f>IFERROR(N197/N444, "NA")</f>
        <v>-7.6962657058319603E-2</v>
      </c>
      <c r="P197" s="2"/>
      <c r="Q197" s="14">
        <f>IFERROR(Q175+Q177+Q178+Q179+Q180+Q181+Q183+Q184+Q186+Q187+Q188+Q189+Q190+Q191+Q192+Q194+Q195, "NA")</f>
        <v>88010.650000000009</v>
      </c>
      <c r="R197" s="15">
        <f>IFERROR(Q197/Q444, "NA")</f>
        <v>0.29231324149940546</v>
      </c>
      <c r="S197" s="2"/>
      <c r="T197" s="14">
        <f>IFERROR(T175+T177+T178+T179+T180+T181+T183+T184+T186+T187+T188+T189+T190+T191+T192+T194+T195, "NA")</f>
        <v>91463.969999999987</v>
      </c>
      <c r="U197" s="15">
        <f>IFERROR(T197/T444, "NA")</f>
        <v>0.30526366730708288</v>
      </c>
      <c r="V197" s="2"/>
      <c r="W197" s="14">
        <f t="shared" si="50"/>
        <v>3453.3199999999779</v>
      </c>
      <c r="X197" s="15">
        <f>IFERROR(W197/W444, "NA")</f>
        <v>2.3644779185210392</v>
      </c>
      <c r="Y197" s="2"/>
      <c r="Z197" s="14">
        <f>IFERROR(Z175+Z177+Z178+Z179+Z180+Z181+Z183+Z184+Z186+Z187+Z188+Z189+Z190+Z191+Z192+Z194+Z195, "NA")</f>
        <v>87864.5</v>
      </c>
      <c r="AA197" s="15">
        <f>IFERROR(Z197/Z444, "NA")</f>
        <v>0.32396899731974182</v>
      </c>
      <c r="AB197" s="2"/>
      <c r="AC197" s="14">
        <f t="shared" si="51"/>
        <v>-146.15000000000873</v>
      </c>
      <c r="AD197" s="15">
        <f>IFERROR(AC197/AC444, "NA")</f>
        <v>-4.892759352234443E-3</v>
      </c>
    </row>
    <row r="198" spans="1:30" ht="16.5" customHeight="1" x14ac:dyDescent="0.45">
      <c r="A198" s="22" t="s">
        <v>181</v>
      </c>
      <c r="B198" s="23">
        <f>IFERROR(B172-B197, "NA")</f>
        <v>70963.100000000035</v>
      </c>
      <c r="C198" s="24">
        <f>IFERROR(B198/B444, "NA")</f>
        <v>0.46914600645669047</v>
      </c>
      <c r="D198" s="25"/>
      <c r="E198" s="23">
        <f>IFERROR(E172-E197, "NA")</f>
        <v>59879.309999999983</v>
      </c>
      <c r="F198" s="24">
        <f>IFERROR(E198/E444, "NA")</f>
        <v>0.46324042733725579</v>
      </c>
      <c r="G198" s="25"/>
      <c r="H198" s="23">
        <f>IFERROR(B198-E198, "NA")</f>
        <v>11083.790000000052</v>
      </c>
      <c r="I198" s="24">
        <f>IFERROR(H198/H444, "NA")</f>
        <v>0.50384711196127929</v>
      </c>
      <c r="J198" s="25"/>
      <c r="K198" s="23">
        <f>IFERROR(K172-K197, "NA")</f>
        <v>45706.519999999975</v>
      </c>
      <c r="L198" s="24">
        <f>IFERROR(K198/K444, "NA")</f>
        <v>0.40133184530996024</v>
      </c>
      <c r="M198" s="25"/>
      <c r="N198" s="23">
        <f>IFERROR(B198-K198, "NA")</f>
        <v>25256.58000000006</v>
      </c>
      <c r="O198" s="24">
        <f>IFERROR(N198/N444, "NA")</f>
        <v>0.6757964159209886</v>
      </c>
      <c r="P198" s="25"/>
      <c r="Q198" s="23">
        <f>IFERROR(Q172-Q197, "NA")</f>
        <v>127845.68000000012</v>
      </c>
      <c r="R198" s="24">
        <f>IFERROR(Q198/Q444, "NA")</f>
        <v>0.42461889705956884</v>
      </c>
      <c r="S198" s="25"/>
      <c r="T198" s="23">
        <f>IFERROR(T172-T197, "NA")</f>
        <v>128426.03000000007</v>
      </c>
      <c r="U198" s="24">
        <f>IFERROR(T198/T444, "NA")</f>
        <v>0.42862562050925046</v>
      </c>
      <c r="V198" s="25"/>
      <c r="W198" s="23">
        <f>IFERROR(Q198-T198, "NA")</f>
        <v>-580.34999999994761</v>
      </c>
      <c r="X198" s="24">
        <f>IFERROR(W198/W444, "NA")</f>
        <v>-0.39736391646692748</v>
      </c>
      <c r="Y198" s="25"/>
      <c r="Z198" s="23">
        <f>IFERROR(Z172-Z197, "NA")</f>
        <v>105851.24999999985</v>
      </c>
      <c r="AA198" s="24">
        <f>IFERROR(Z198/Z444, "NA")</f>
        <v>0.39028872101407597</v>
      </c>
      <c r="AB198" s="25"/>
      <c r="AC198" s="23">
        <f>IFERROR(Q198-Z198, "NA")</f>
        <v>21994.43000000027</v>
      </c>
      <c r="AD198" s="24">
        <f>IFERROR(AC198/AC444, "NA")</f>
        <v>0.73632195059569405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2714.5</v>
      </c>
      <c r="F201" s="8">
        <f>IFERROR(E201/E444, "NA")</f>
        <v>2.1000010521279908E-2</v>
      </c>
      <c r="G201" s="9"/>
      <c r="H201" s="10">
        <f t="shared" ref="H201:H209" si="52">IFERROR(-(B201-E201), "NA")</f>
        <v>2714.5</v>
      </c>
      <c r="I201" s="8">
        <f>IFERROR(H201/H444, "NA")</f>
        <v>0.12339578658733935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6632.8</v>
      </c>
      <c r="U201" s="8">
        <f>IFERROR(T201/T444, "NA")</f>
        <v>2.2137163437301263E-2</v>
      </c>
      <c r="V201" s="9"/>
      <c r="W201" s="10">
        <f t="shared" ref="W201:W209" si="54">IFERROR(-(Q201-T201), "NA")</f>
        <v>6632.8</v>
      </c>
      <c r="X201" s="8">
        <f>IFERROR(W201/W444, "NA")</f>
        <v>4.5414584046559403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2302.9899999999998</v>
      </c>
      <c r="C202" s="8">
        <f>IFERROR(B202/B444, "NA")</f>
        <v>1.5225357423924448E-2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-2302.9899999999998</v>
      </c>
      <c r="I202" s="8">
        <f>IFERROR(H202/H444, "NA")</f>
        <v>-0.10468935809643641</v>
      </c>
      <c r="J202" s="9"/>
      <c r="K202" s="7">
        <v>1156.2</v>
      </c>
      <c r="L202" s="8">
        <f>IFERROR(K202/K444, "NA")</f>
        <v>1.0152159463187666E-2</v>
      </c>
      <c r="M202" s="9"/>
      <c r="N202" s="10">
        <f t="shared" si="53"/>
        <v>-1146.7899999999997</v>
      </c>
      <c r="O202" s="8">
        <f>IFERROR(N202/N444, "NA")</f>
        <v>-3.0684937224835212E-2</v>
      </c>
      <c r="P202" s="9"/>
      <c r="Q202" s="7">
        <v>5359.07</v>
      </c>
      <c r="R202" s="8">
        <f>IFERROR(Q202/Q444, "NA")</f>
        <v>1.7799290462259039E-2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-5359.07</v>
      </c>
      <c r="X202" s="8">
        <f>IFERROR(W202/W444, "NA")</f>
        <v>-3.6693392673741867</v>
      </c>
      <c r="Y202" s="9"/>
      <c r="Z202" s="7">
        <v>3249.66</v>
      </c>
      <c r="AA202" s="8">
        <f>IFERROR(Z202/Z444, "NA")</f>
        <v>1.1981961905320946E-2</v>
      </c>
      <c r="AB202" s="9"/>
      <c r="AC202" s="10">
        <f t="shared" si="55"/>
        <v>-2109.41</v>
      </c>
      <c r="AD202" s="8">
        <f>IFERROR(AC202/AC444, "NA")</f>
        <v>-7.061810130137694E-2</v>
      </c>
    </row>
    <row r="203" spans="1:30" ht="16.5" customHeight="1" x14ac:dyDescent="0.45">
      <c r="A203" s="6" t="s">
        <v>185</v>
      </c>
      <c r="B203" s="7">
        <v>885.77</v>
      </c>
      <c r="C203" s="8">
        <f>IFERROR(B203/B444, "NA")</f>
        <v>5.8559372143993501E-3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-885.77</v>
      </c>
      <c r="I203" s="8">
        <f>IFERROR(H203/H444, "NA")</f>
        <v>-4.0265347535629978E-2</v>
      </c>
      <c r="J203" s="9"/>
      <c r="K203" s="7">
        <v>452.49</v>
      </c>
      <c r="L203" s="8">
        <f>IFERROR(K203/K444, "NA")</f>
        <v>3.9731453342828115E-3</v>
      </c>
      <c r="M203" s="9"/>
      <c r="N203" s="10">
        <f t="shared" si="53"/>
        <v>-433.28</v>
      </c>
      <c r="O203" s="8">
        <f>IFERROR(N203/N444, "NA")</f>
        <v>-1.159337768970483E-2</v>
      </c>
      <c r="P203" s="9"/>
      <c r="Q203" s="7">
        <v>1827.7</v>
      </c>
      <c r="R203" s="8">
        <f>IFERROR(Q203/Q444, "NA")</f>
        <v>6.0704120636361995E-3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-1827.7</v>
      </c>
      <c r="X203" s="8">
        <f>IFERROR(W203/W444, "NA")</f>
        <v>-1.2514207463197535</v>
      </c>
      <c r="Y203" s="9"/>
      <c r="Z203" s="7">
        <v>1054.9000000000001</v>
      </c>
      <c r="AA203" s="8">
        <f>IFERROR(Z203/Z444, "NA")</f>
        <v>3.8895674051817935E-3</v>
      </c>
      <c r="AB203" s="9"/>
      <c r="AC203" s="10">
        <f t="shared" si="55"/>
        <v>-772.8</v>
      </c>
      <c r="AD203" s="8">
        <f>IFERROR(AC203/AC444, "NA")</f>
        <v>-2.587153217520733E-2</v>
      </c>
    </row>
    <row r="204" spans="1:30" ht="16.5" customHeight="1" x14ac:dyDescent="0.45">
      <c r="A204" s="6" t="s">
        <v>186</v>
      </c>
      <c r="B204" s="7">
        <v>57.5</v>
      </c>
      <c r="C204" s="8">
        <f>IFERROR(B204/B444, "NA")</f>
        <v>3.8013975391801779E-4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-57.5</v>
      </c>
      <c r="I204" s="8">
        <f>IFERROR(H204/H444, "NA")</f>
        <v>-2.6138359656555582E-3</v>
      </c>
      <c r="J204" s="9"/>
      <c r="K204" s="7">
        <v>3.25</v>
      </c>
      <c r="L204" s="8">
        <f>IFERROR(K204/K444, "NA")</f>
        <v>2.8537033606088837E-5</v>
      </c>
      <c r="M204" s="9"/>
      <c r="N204" s="10">
        <f t="shared" si="53"/>
        <v>-54.25</v>
      </c>
      <c r="O204" s="8">
        <f>IFERROR(N204/N444, "NA")</f>
        <v>-1.4515803629673353E-3</v>
      </c>
      <c r="P204" s="9"/>
      <c r="Q204" s="7">
        <v>322.75</v>
      </c>
      <c r="R204" s="8">
        <f>IFERROR(Q204/Q444, "NA")</f>
        <v>1.0719622988119403E-3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-322.75</v>
      </c>
      <c r="X204" s="8">
        <f>IFERROR(W204/W444, "NA")</f>
        <v>-0.22098596371105786</v>
      </c>
      <c r="Y204" s="9"/>
      <c r="Z204" s="7">
        <v>301.79000000000002</v>
      </c>
      <c r="AA204" s="8">
        <f>IFERROR(Z204/Z444, "NA")</f>
        <v>1.1127429587731667E-3</v>
      </c>
      <c r="AB204" s="9"/>
      <c r="AC204" s="10">
        <f t="shared" si="55"/>
        <v>-20.95999999999998</v>
      </c>
      <c r="AD204" s="8">
        <f>IFERROR(AC204/AC444, "NA")</f>
        <v>-7.0169165941038453E-4</v>
      </c>
    </row>
    <row r="205" spans="1:30" ht="16.5" customHeight="1" x14ac:dyDescent="0.45">
      <c r="A205" s="6" t="s">
        <v>187</v>
      </c>
      <c r="B205" s="7">
        <v>262.45</v>
      </c>
      <c r="C205" s="8">
        <f>IFERROR(B205/B444, "NA")</f>
        <v>1.7350900594049351E-3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-262.45</v>
      </c>
      <c r="I205" s="8">
        <f>IFERROR(H205/H444, "NA")</f>
        <v>-1.1930456507587847E-2</v>
      </c>
      <c r="J205" s="9"/>
      <c r="K205" s="7">
        <v>259.85000000000002</v>
      </c>
      <c r="L205" s="8">
        <f>IFERROR(K205/K444, "NA")</f>
        <v>2.2816455946283645E-3</v>
      </c>
      <c r="M205" s="9"/>
      <c r="N205" s="10">
        <f t="shared" si="53"/>
        <v>-2.5999999999999659</v>
      </c>
      <c r="O205" s="8">
        <f>IFERROR(N205/N444, "NA")</f>
        <v>-6.9568828455576447E-5</v>
      </c>
      <c r="P205" s="9"/>
      <c r="Q205" s="7">
        <v>682.37</v>
      </c>
      <c r="R205" s="8">
        <f>IFERROR(Q205/Q444, "NA")</f>
        <v>2.2663823821543107E-3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-682.37</v>
      </c>
      <c r="X205" s="8">
        <f>IFERROR(W205/W444, "NA")</f>
        <v>-0.46721670660732628</v>
      </c>
      <c r="Y205" s="9"/>
      <c r="Z205" s="7">
        <v>701.89</v>
      </c>
      <c r="AA205" s="8">
        <f>IFERROR(Z205/Z444, "NA")</f>
        <v>2.5879689695924245E-3</v>
      </c>
      <c r="AB205" s="9"/>
      <c r="AC205" s="10">
        <f t="shared" si="55"/>
        <v>19.519999999999982</v>
      </c>
      <c r="AD205" s="8">
        <f>IFERROR(AC205/AC444, "NA")</f>
        <v>6.5348383548142683E-4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13.98</v>
      </c>
      <c r="L206" s="8">
        <f>IFERROR(K206/K444, "NA")</f>
        <v>1.2275314763480675E-4</v>
      </c>
      <c r="M206" s="9"/>
      <c r="N206" s="10">
        <f t="shared" si="53"/>
        <v>13.98</v>
      </c>
      <c r="O206" s="8">
        <f>IFERROR(N206/N444, "NA")</f>
        <v>3.7406623915729677E-4</v>
      </c>
      <c r="P206" s="9"/>
      <c r="Q206" s="7">
        <v>33.049999999999997</v>
      </c>
      <c r="R206" s="8">
        <f>IFERROR(Q206/Q444, "NA")</f>
        <v>1.0977026793411194E-4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-33.049999999999997</v>
      </c>
      <c r="X206" s="8">
        <f>IFERROR(W206/W444, "NA")</f>
        <v>-2.262923656282095E-2</v>
      </c>
      <c r="Y206" s="9"/>
      <c r="Z206" s="7">
        <v>13.98</v>
      </c>
      <c r="AA206" s="8">
        <f>IFERROR(Z206/Z444, "NA")</f>
        <v>5.154626251250495E-5</v>
      </c>
      <c r="AB206" s="9"/>
      <c r="AC206" s="10">
        <f t="shared" si="55"/>
        <v>-19.069999999999997</v>
      </c>
      <c r="AD206" s="8">
        <f>IFERROR(AC206/AC444, "NA")</f>
        <v>-6.3841889050362806E-4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99.6</v>
      </c>
      <c r="R207" s="8">
        <f>IFERROR(Q207/Q444, "NA")</f>
        <v>3.3080540654273973E-4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-6.8195823348168427E-2</v>
      </c>
      <c r="Y207" s="9"/>
      <c r="Z207" s="7">
        <v>154.15</v>
      </c>
      <c r="AA207" s="8">
        <f>IFERROR(Z207/Z444, "NA")</f>
        <v>5.683731306368124E-4</v>
      </c>
      <c r="AB207" s="9"/>
      <c r="AC207" s="10">
        <f t="shared" si="55"/>
        <v>54.550000000000011</v>
      </c>
      <c r="AD207" s="8">
        <f>IFERROR(AC207/AC444, "NA")</f>
        <v>1.8262061078643378E-3</v>
      </c>
    </row>
    <row r="208" spans="1:30" ht="16.5" customHeight="1" x14ac:dyDescent="0.45">
      <c r="A208" s="6" t="s">
        <v>190</v>
      </c>
      <c r="B208" s="7">
        <v>159</v>
      </c>
      <c r="C208" s="8">
        <f>IFERROR(B208/B444, "NA")</f>
        <v>1.0511690586602579E-3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-159</v>
      </c>
      <c r="I208" s="8">
        <f>IFERROR(H208/H444, "NA")</f>
        <v>-7.227824670247544E-3</v>
      </c>
      <c r="J208" s="9"/>
      <c r="K208" s="7">
        <v>303.12</v>
      </c>
      <c r="L208" s="8">
        <f>IFERROR(K208/K444, "NA")</f>
        <v>2.6615832697469686E-3</v>
      </c>
      <c r="M208" s="9"/>
      <c r="N208" s="10">
        <f t="shared" si="53"/>
        <v>144.12</v>
      </c>
      <c r="O208" s="8">
        <f>IFERROR(N208/N444, "NA")</f>
        <v>3.856253675776081E-3</v>
      </c>
      <c r="P208" s="9"/>
      <c r="Q208" s="7">
        <v>350.41</v>
      </c>
      <c r="R208" s="8">
        <f>IFERROR(Q208/Q444, "NA")</f>
        <v>1.1638305472554363E-3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-350.41</v>
      </c>
      <c r="X208" s="8">
        <f>IFERROR(W208/W444, "NA")</f>
        <v>-0.23992468332762754</v>
      </c>
      <c r="Y208" s="9"/>
      <c r="Z208" s="7">
        <v>374.92</v>
      </c>
      <c r="AA208" s="8">
        <f>IFERROR(Z208/Z444, "NA")</f>
        <v>1.3823837440048896E-3</v>
      </c>
      <c r="AB208" s="9"/>
      <c r="AC208" s="10">
        <f t="shared" si="55"/>
        <v>24.509999999999991</v>
      </c>
      <c r="AD208" s="8">
        <f>IFERROR(AC208/AC444, "NA")</f>
        <v>8.2053733645746831E-4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3667.7099999999996</v>
      </c>
      <c r="C209" s="15">
        <f>IFERROR(B209/B444, "NA")</f>
        <v>2.4247693510307006E-2</v>
      </c>
      <c r="D209" s="2"/>
      <c r="E209" s="14">
        <f>IFERROR(E201+E202+E203+E204+E205+E206+E207+E208, "NA")</f>
        <v>2714.5</v>
      </c>
      <c r="F209" s="15">
        <f>IFERROR(E209/E444, "NA")</f>
        <v>2.1000010521279908E-2</v>
      </c>
      <c r="G209" s="2"/>
      <c r="H209" s="14">
        <f t="shared" si="52"/>
        <v>-953.20999999999958</v>
      </c>
      <c r="I209" s="15">
        <f>IFERROR(H209/H444, "NA")</f>
        <v>-4.3331036188217979E-2</v>
      </c>
      <c r="J209" s="2"/>
      <c r="K209" s="14">
        <f>IFERROR(K201+K202+K203+K204+K205+K206+K207+K208, "NA")</f>
        <v>2188.89</v>
      </c>
      <c r="L209" s="15">
        <f>IFERROR(K209/K444, "NA")</f>
        <v>1.9219823843086705E-2</v>
      </c>
      <c r="M209" s="2"/>
      <c r="N209" s="14">
        <f t="shared" si="53"/>
        <v>-1478.8199999999997</v>
      </c>
      <c r="O209" s="15">
        <f>IFERROR(N209/N444, "NA")</f>
        <v>-3.9569144191029575E-2</v>
      </c>
      <c r="P209" s="2"/>
      <c r="Q209" s="14">
        <f>IFERROR(Q201+Q202+Q203+Q204+Q205+Q206+Q207+Q208, "NA")</f>
        <v>8674.9499999999989</v>
      </c>
      <c r="R209" s="15">
        <f>IFERROR(Q209/Q444, "NA")</f>
        <v>2.8812453428593773E-2</v>
      </c>
      <c r="S209" s="2"/>
      <c r="T209" s="14">
        <f>IFERROR(T201+T202+T203+T204+T205+T206+T207+T208, "NA")</f>
        <v>6632.8</v>
      </c>
      <c r="U209" s="15">
        <f>IFERROR(T209/T444, "NA")</f>
        <v>2.2137163437301263E-2</v>
      </c>
      <c r="V209" s="2"/>
      <c r="W209" s="14">
        <f t="shared" si="54"/>
        <v>-2042.1499999999987</v>
      </c>
      <c r="X209" s="15">
        <f>IFERROR(W209/W444, "NA")</f>
        <v>-1.3982540225950009</v>
      </c>
      <c r="Y209" s="2"/>
      <c r="Z209" s="14">
        <f>IFERROR(Z201+Z202+Z203+Z204+Z205+Z206+Z207+Z208, "NA")</f>
        <v>5851.2899999999991</v>
      </c>
      <c r="AA209" s="15">
        <f>IFERROR(Z209/Z444, "NA")</f>
        <v>2.1574544376022534E-2</v>
      </c>
      <c r="AB209" s="2"/>
      <c r="AC209" s="14">
        <f t="shared" si="55"/>
        <v>-2823.66</v>
      </c>
      <c r="AD209" s="15">
        <f>IFERROR(AC209/AC444, "NA")</f>
        <v>-9.4529516746695047E-2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3059.03</v>
      </c>
      <c r="F213" s="8">
        <f>IFERROR(E213/E444, "NA")</f>
        <v>2.3665375643732136E-2</v>
      </c>
      <c r="G213" s="9"/>
      <c r="H213" s="10">
        <f t="shared" ref="H213:H227" si="56">IFERROR(-(B213-E213), "NA")</f>
        <v>3059.03</v>
      </c>
      <c r="I213" s="8">
        <f>IFERROR(H213/H444, "NA")</f>
        <v>0.13905743711337953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7284.83</v>
      </c>
      <c r="U213" s="8">
        <f>IFERROR(T213/T444, "NA")</f>
        <v>2.4313332577939235E-2</v>
      </c>
      <c r="V213" s="9"/>
      <c r="W213" s="10">
        <f t="shared" ref="W213:W227" si="58">IFERROR(-(Q213-T213), "NA")</f>
        <v>7284.83</v>
      </c>
      <c r="X213" s="8">
        <f>IFERROR(W213/W444, "NA")</f>
        <v>4.9879014036288938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3828.52</v>
      </c>
      <c r="C214" s="8">
        <f>IFERROR(B214/B444, "NA")</f>
        <v>2.531082870730799E-2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-3828.52</v>
      </c>
      <c r="I214" s="8">
        <f>IFERROR(H214/H444, "NA")</f>
        <v>-0.17403692645620206</v>
      </c>
      <c r="J214" s="9"/>
      <c r="K214" s="7">
        <v>485</v>
      </c>
      <c r="L214" s="8">
        <f>IFERROR(K214/K444, "NA")</f>
        <v>4.2586034766009494E-3</v>
      </c>
      <c r="M214" s="9"/>
      <c r="N214" s="10">
        <f t="shared" si="57"/>
        <v>-3343.52</v>
      </c>
      <c r="O214" s="8">
        <f>IFERROR(N214/N444, "NA")</f>
        <v>-8.9463372814535397E-2</v>
      </c>
      <c r="P214" s="9"/>
      <c r="Q214" s="7">
        <v>8730.44</v>
      </c>
      <c r="R214" s="8">
        <f>IFERROR(Q214/Q444, "NA")</f>
        <v>2.8996754553182701E-2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-8730.44</v>
      </c>
      <c r="X214" s="8">
        <f>IFERROR(W214/W444, "NA")</f>
        <v>-5.9777062649777477</v>
      </c>
      <c r="Y214" s="9"/>
      <c r="Z214" s="7">
        <v>1140</v>
      </c>
      <c r="AA214" s="8">
        <f>IFERROR(Z214/Z444, "NA")</f>
        <v>4.2033432950111327E-3</v>
      </c>
      <c r="AB214" s="9"/>
      <c r="AC214" s="10">
        <f t="shared" si="59"/>
        <v>-7590.4400000000005</v>
      </c>
      <c r="AD214" s="8">
        <f>IFERROR(AC214/AC444, "NA")</f>
        <v>-0.25411013546063765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2.41</v>
      </c>
      <c r="C216" s="8">
        <f>IFERROR(B216/B444, "NA")</f>
        <v>1.5932814033781269E-5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-2.41</v>
      </c>
      <c r="I216" s="8">
        <f>IFERROR(H216/H444, "NA")</f>
        <v>-1.0955382047356341E-4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-2.41</v>
      </c>
      <c r="O216" s="8">
        <f>IFERROR(N216/N444, "NA")</f>
        <v>-6.4484952529977489E-5</v>
      </c>
      <c r="P216" s="9"/>
      <c r="Q216" s="7">
        <v>2.41</v>
      </c>
      <c r="R216" s="8">
        <f>IFERROR(Q216/Q444, "NA")</f>
        <v>8.0044280097189042E-6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-1.6501198219787746E-3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-2.41</v>
      </c>
      <c r="AD216" s="8">
        <f>IFERROR(AC216/AC444, "NA")</f>
        <v>-8.0681149769991814E-5</v>
      </c>
    </row>
    <row r="217" spans="1:30" ht="16.5" customHeight="1" x14ac:dyDescent="0.45">
      <c r="A217" s="12" t="s">
        <v>197</v>
      </c>
      <c r="B217" s="7">
        <v>3006.99</v>
      </c>
      <c r="C217" s="8">
        <f>IFERROR(B217/B444, "NA")</f>
        <v>1.9879590237112003E-2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-3006.99</v>
      </c>
      <c r="I217" s="8">
        <f>IFERROR(H217/H444, "NA")</f>
        <v>-0.13669180191941924</v>
      </c>
      <c r="J217" s="9"/>
      <c r="K217" s="7">
        <v>118</v>
      </c>
      <c r="L217" s="8">
        <f>IFERROR(K217/K444, "NA")</f>
        <v>1.0361138355441486E-3</v>
      </c>
      <c r="M217" s="9"/>
      <c r="N217" s="10">
        <f t="shared" si="57"/>
        <v>-2888.99</v>
      </c>
      <c r="O217" s="8">
        <f>IFERROR(N217/N444, "NA")</f>
        <v>-7.7301403738414778E-2</v>
      </c>
      <c r="P217" s="9"/>
      <c r="Q217" s="7">
        <v>5966.28</v>
      </c>
      <c r="R217" s="8">
        <f>IFERROR(Q217/Q444, "NA")</f>
        <v>1.9816040973371661E-2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-5966.28</v>
      </c>
      <c r="X217" s="8">
        <f>IFERROR(W217/W444, "NA")</f>
        <v>-4.0850941458404657</v>
      </c>
      <c r="Y217" s="9"/>
      <c r="Z217" s="7">
        <v>438.97</v>
      </c>
      <c r="AA217" s="8">
        <f>IFERROR(Z217/Z444, "NA")</f>
        <v>1.618545268606173E-3</v>
      </c>
      <c r="AB217" s="9"/>
      <c r="AC217" s="10">
        <f t="shared" si="59"/>
        <v>-5527.3099999999995</v>
      </c>
      <c r="AD217" s="8">
        <f>IFERROR(AC217/AC444, "NA")</f>
        <v>-0.18504138005608856</v>
      </c>
    </row>
    <row r="218" spans="1:30" ht="16.5" customHeight="1" x14ac:dyDescent="0.45">
      <c r="A218" s="13" t="s">
        <v>198</v>
      </c>
      <c r="B218" s="14">
        <f>IFERROR(B213+B214+B215+B216+B217, "NA")</f>
        <v>6837.92</v>
      </c>
      <c r="C218" s="15">
        <f>IFERROR(B218/B444, "NA")</f>
        <v>4.5206351758453778E-2</v>
      </c>
      <c r="D218" s="2"/>
      <c r="E218" s="14">
        <f>IFERROR(E213+E214+E215+E216+E217, "NA")</f>
        <v>3059.03</v>
      </c>
      <c r="F218" s="15">
        <f>IFERROR(E218/E444, "NA")</f>
        <v>2.3665375643732136E-2</v>
      </c>
      <c r="G218" s="2"/>
      <c r="H218" s="14">
        <f t="shared" si="56"/>
        <v>-3778.89</v>
      </c>
      <c r="I218" s="15">
        <f>IFERROR(H218/H444, "NA")</f>
        <v>-0.17178084508271535</v>
      </c>
      <c r="J218" s="2"/>
      <c r="K218" s="14">
        <f>IFERROR(K213+K214+K215+K216+K217, "NA")</f>
        <v>603</v>
      </c>
      <c r="L218" s="15">
        <f>IFERROR(K218/K444, "NA")</f>
        <v>5.294717312145098E-3</v>
      </c>
      <c r="M218" s="2"/>
      <c r="N218" s="14">
        <f t="shared" si="57"/>
        <v>-6234.92</v>
      </c>
      <c r="O218" s="15">
        <f>IFERROR(N218/N444, "NA")</f>
        <v>-0.16682926150548016</v>
      </c>
      <c r="P218" s="2"/>
      <c r="Q218" s="14">
        <f>IFERROR(Q213+Q214+Q215+Q216+Q217, "NA")</f>
        <v>14699.130000000001</v>
      </c>
      <c r="R218" s="15">
        <f>IFERROR(Q218/Q444, "NA")</f>
        <v>4.8820799954564086E-2</v>
      </c>
      <c r="S218" s="2"/>
      <c r="T218" s="14">
        <f>IFERROR(T213+T214+T215+T216+T217, "NA")</f>
        <v>7284.83</v>
      </c>
      <c r="U218" s="15">
        <f>IFERROR(T218/T444, "NA")</f>
        <v>2.4313332577939235E-2</v>
      </c>
      <c r="V218" s="2"/>
      <c r="W218" s="14">
        <f t="shared" si="58"/>
        <v>-7414.3000000000011</v>
      </c>
      <c r="X218" s="15">
        <f>IFERROR(W218/W444, "NA")</f>
        <v>-5.0765491270112983</v>
      </c>
      <c r="Y218" s="2"/>
      <c r="Z218" s="14">
        <f>IFERROR(Z213+Z214+Z215+Z216+Z217, "NA")</f>
        <v>1578.97</v>
      </c>
      <c r="AA218" s="15">
        <f>IFERROR(Z218/Z444, "NA")</f>
        <v>5.8218885636173064E-3</v>
      </c>
      <c r="AB218" s="2"/>
      <c r="AC218" s="14">
        <f t="shared" si="59"/>
        <v>-13120.160000000002</v>
      </c>
      <c r="AD218" s="15">
        <f>IFERROR(AC218/AC444, "NA")</f>
        <v>-0.43923219666649621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503.17</v>
      </c>
      <c r="C222" s="8">
        <f>IFERROR(B222/B444, "NA")</f>
        <v>3.3265203474596352E-3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-503.17</v>
      </c>
      <c r="I222" s="8">
        <f>IFERROR(H222/H444, "NA")</f>
        <v>-2.2873110310241866E-2</v>
      </c>
      <c r="J222" s="9"/>
      <c r="K222" s="7">
        <v>150</v>
      </c>
      <c r="L222" s="8">
        <f>IFERROR(K222/K444, "NA")</f>
        <v>1.3170938587425617E-3</v>
      </c>
      <c r="M222" s="9"/>
      <c r="N222" s="10">
        <f t="shared" si="57"/>
        <v>-353.17</v>
      </c>
      <c r="O222" s="8">
        <f>IFERROR(N222/N444, "NA")</f>
        <v>-9.4498550560216388E-3</v>
      </c>
      <c r="P222" s="9"/>
      <c r="Q222" s="7">
        <v>912.6</v>
      </c>
      <c r="R222" s="8">
        <f>IFERROR(Q222/Q444, "NA")</f>
        <v>3.0310543575392001E-3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-912.6</v>
      </c>
      <c r="X222" s="8">
        <f>IFERROR(W222/W444, "NA")</f>
        <v>-0.6248545018829168</v>
      </c>
      <c r="Y222" s="9"/>
      <c r="Z222" s="7">
        <v>450</v>
      </c>
      <c r="AA222" s="8">
        <f>IFERROR(Z222/Z444, "NA")</f>
        <v>1.6592144585570261E-3</v>
      </c>
      <c r="AB222" s="9"/>
      <c r="AC222" s="10">
        <f t="shared" si="59"/>
        <v>-462.6</v>
      </c>
      <c r="AD222" s="8">
        <f>IFERROR(AC222/AC444, "NA")</f>
        <v>-1.5486763437177682E-2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129.26</v>
      </c>
      <c r="F226" s="8">
        <f>IFERROR(E226/E444, "NA")</f>
        <v>9.999857653271839E-4</v>
      </c>
      <c r="G226" s="9"/>
      <c r="H226" s="10">
        <f t="shared" si="56"/>
        <v>129.26</v>
      </c>
      <c r="I226" s="8">
        <f>IFERROR(H226/H444, "NA")</f>
        <v>5.8759032507936949E-3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299.62</v>
      </c>
      <c r="U226" s="8">
        <f>IFERROR(T226/T444, "NA")</f>
        <v>9.9999048804188346E-4</v>
      </c>
      <c r="V226" s="9"/>
      <c r="W226" s="10">
        <f t="shared" si="58"/>
        <v>299.62</v>
      </c>
      <c r="X226" s="8">
        <f>IFERROR(W226/W444, "NA")</f>
        <v>0.20514892160219103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7341.09</v>
      </c>
      <c r="C227" s="15">
        <f>IFERROR(B227/B444, "NA")</f>
        <v>4.8532872105913415E-2</v>
      </c>
      <c r="D227" s="2"/>
      <c r="E227" s="14">
        <f>IFERROR(E211+E213+E214+E215+E216+E217+E219+E220+E221+E222+E223+E224+E225+E226, "NA")</f>
        <v>3188.29</v>
      </c>
      <c r="F227" s="15">
        <f>IFERROR(E227/E444, "NA")</f>
        <v>2.4665361409059318E-2</v>
      </c>
      <c r="G227" s="2"/>
      <c r="H227" s="14">
        <f t="shared" si="56"/>
        <v>-4152.8</v>
      </c>
      <c r="I227" s="15">
        <f>IFERROR(H227/H444, "NA")</f>
        <v>-0.18877805214216353</v>
      </c>
      <c r="J227" s="2"/>
      <c r="K227" s="14">
        <f>IFERROR(K211+K213+K214+K215+K216+K217+K219+K220+K221+K222+K223+K224+K225+K226, "NA")</f>
        <v>753</v>
      </c>
      <c r="L227" s="15">
        <f>IFERROR(K227/K444, "NA")</f>
        <v>6.6118111708876595E-3</v>
      </c>
      <c r="M227" s="2"/>
      <c r="N227" s="14">
        <f t="shared" si="57"/>
        <v>-6588.09</v>
      </c>
      <c r="O227" s="15">
        <f>IFERROR(N227/N444, "NA")</f>
        <v>-0.1762791165615018</v>
      </c>
      <c r="P227" s="2"/>
      <c r="Q227" s="14">
        <f>IFERROR(Q211+Q213+Q214+Q215+Q216+Q217+Q219+Q220+Q221+Q222+Q223+Q224+Q225+Q226, "NA")</f>
        <v>15611.730000000001</v>
      </c>
      <c r="R227" s="15">
        <f>IFERROR(Q227/Q444, "NA")</f>
        <v>5.1851854312103283E-2</v>
      </c>
      <c r="S227" s="2"/>
      <c r="T227" s="14">
        <f>IFERROR(T211+T213+T214+T215+T216+T217+T219+T220+T221+T222+T223+T224+T225+T226, "NA")</f>
        <v>7584.45</v>
      </c>
      <c r="U227" s="15">
        <f>IFERROR(T227/T444, "NA")</f>
        <v>2.5313323065981119E-2</v>
      </c>
      <c r="V227" s="2"/>
      <c r="W227" s="14">
        <f t="shared" si="58"/>
        <v>-8027.2800000000016</v>
      </c>
      <c r="X227" s="15">
        <f>IFERROR(W227/W444, "NA")</f>
        <v>-5.4962547072920245</v>
      </c>
      <c r="Y227" s="2"/>
      <c r="Z227" s="14">
        <f>IFERROR(Z211+Z213+Z214+Z215+Z216+Z217+Z219+Z220+Z221+Z222+Z223+Z224+Z225+Z226, "NA")</f>
        <v>2028.97</v>
      </c>
      <c r="AA227" s="15">
        <f>IFERROR(Z227/Z444, "NA")</f>
        <v>7.481103022174332E-3</v>
      </c>
      <c r="AB227" s="2"/>
      <c r="AC227" s="14">
        <f t="shared" si="59"/>
        <v>-13582.760000000002</v>
      </c>
      <c r="AD227" s="15">
        <f>IFERROR(AC227/AC444, "NA")</f>
        <v>-0.45471896010367391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1551.14</v>
      </c>
      <c r="F229" s="8">
        <f>IFERROR(E229/E444, "NA")</f>
        <v>1.199998390863073E-2</v>
      </c>
      <c r="G229" s="9"/>
      <c r="H229" s="10">
        <f t="shared" ref="H229:H236" si="60">IFERROR(-(B229-E229), "NA")</f>
        <v>1551.14</v>
      </c>
      <c r="I229" s="8">
        <f>IFERROR(H229/H444, "NA")</f>
        <v>7.0511748169860222E-2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3595.47</v>
      </c>
      <c r="U229" s="8">
        <f>IFERROR(T229/T444, "NA")</f>
        <v>1.1999985982377512E-2</v>
      </c>
      <c r="V229" s="9"/>
      <c r="W229" s="10">
        <f t="shared" ref="W229:W236" si="62">IFERROR(-(Q229-T229), "NA")</f>
        <v>3595.47</v>
      </c>
      <c r="X229" s="8">
        <f>IFERROR(W229/W444, "NA")</f>
        <v>2.4618076001369391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8.2960722927851306E-4</v>
      </c>
      <c r="AB230" s="9"/>
      <c r="AC230" s="10">
        <f t="shared" si="63"/>
        <v>225</v>
      </c>
      <c r="AD230" s="8">
        <f>IFERROR(AC230/AC444, "NA")</f>
        <v>7.5324724888996501E-3</v>
      </c>
    </row>
    <row r="231" spans="1:30" ht="16.5" customHeight="1" x14ac:dyDescent="0.45">
      <c r="A231" s="6" t="s">
        <v>210</v>
      </c>
      <c r="B231" s="7">
        <v>171.89</v>
      </c>
      <c r="C231" s="8">
        <f>IFERROR(B231/B444, "NA")</f>
        <v>1.1363864747994448E-3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-171.89</v>
      </c>
      <c r="I231" s="8">
        <f>IFERROR(H231/H444, "NA")</f>
        <v>-7.8137785067223277E-3</v>
      </c>
      <c r="J231" s="9"/>
      <c r="K231" s="7">
        <v>476.15</v>
      </c>
      <c r="L231" s="8">
        <f>IFERROR(K231/K444, "NA")</f>
        <v>4.1808949389351381E-3</v>
      </c>
      <c r="M231" s="9"/>
      <c r="N231" s="10">
        <f t="shared" si="61"/>
        <v>304.26</v>
      </c>
      <c r="O231" s="8">
        <f>IFERROR(N231/N444, "NA")</f>
        <v>8.141158363805372E-3</v>
      </c>
      <c r="P231" s="9"/>
      <c r="Q231" s="7">
        <v>472.26</v>
      </c>
      <c r="R231" s="8">
        <f>IFERROR(Q231/Q444, "NA")</f>
        <v>1.5685357559625931E-3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-472.26</v>
      </c>
      <c r="X231" s="8">
        <f>IFERROR(W231/W444, "NA")</f>
        <v>-0.32335501540568296</v>
      </c>
      <c r="Y231" s="9"/>
      <c r="Z231" s="7">
        <v>576.37</v>
      </c>
      <c r="AA231" s="8">
        <f>IFERROR(Z231/Z444, "NA")</f>
        <v>2.1251587499522516E-3</v>
      </c>
      <c r="AB231" s="9"/>
      <c r="AC231" s="10">
        <f t="shared" si="63"/>
        <v>104.11000000000001</v>
      </c>
      <c r="AD231" s="8">
        <f>IFERROR(AC231/AC444, "NA")</f>
        <v>3.4853587147526343E-3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2397.29</v>
      </c>
      <c r="C234" s="8">
        <f>IFERROR(B234/B444, "NA")</f>
        <v>1.5848786620349997E-2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-2397.29</v>
      </c>
      <c r="I234" s="8">
        <f>IFERROR(H234/H444, "NA")</f>
        <v>-0.10897604908011153</v>
      </c>
      <c r="J234" s="9"/>
      <c r="K234" s="7">
        <v>2056.2800000000002</v>
      </c>
      <c r="L234" s="8">
        <f>IFERROR(K234/K444, "NA")</f>
        <v>1.8055425065701031E-2</v>
      </c>
      <c r="M234" s="9"/>
      <c r="N234" s="10">
        <f t="shared" si="61"/>
        <v>-341.00999999999976</v>
      </c>
      <c r="O234" s="8">
        <f>IFERROR(N234/N444, "NA")</f>
        <v>-9.1244869967832386E-3</v>
      </c>
      <c r="P234" s="9"/>
      <c r="Q234" s="7">
        <v>4751.57</v>
      </c>
      <c r="R234" s="8">
        <f>IFERROR(Q234/Q444, "NA")</f>
        <v>1.5781576762713714E-2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-4751.57</v>
      </c>
      <c r="X234" s="8">
        <f>IFERROR(W234/W444, "NA")</f>
        <v>-3.2533858267716536</v>
      </c>
      <c r="Y234" s="9"/>
      <c r="Z234" s="7">
        <v>4290.3500000000004</v>
      </c>
      <c r="AA234" s="8">
        <f>IFERROR(Z234/Z444, "NA")</f>
        <v>1.5819135005044751E-2</v>
      </c>
      <c r="AB234" s="9"/>
      <c r="AC234" s="10">
        <f t="shared" si="63"/>
        <v>-461.21999999999935</v>
      </c>
      <c r="AD234" s="8">
        <f>IFERROR(AC234/AC444, "NA")</f>
        <v>-1.5440564272579074E-2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2569.1799999999998</v>
      </c>
      <c r="C236" s="15">
        <f>IFERROR(B236/B444, "NA")</f>
        <v>1.6985173095149443E-2</v>
      </c>
      <c r="D236" s="2"/>
      <c r="E236" s="14">
        <f>IFERROR(E229+E230+E231+E232+E233+E234+E235, "NA")</f>
        <v>1551.14</v>
      </c>
      <c r="F236" s="15">
        <f>IFERROR(E236/E444, "NA")</f>
        <v>1.199998390863073E-2</v>
      </c>
      <c r="G236" s="2"/>
      <c r="H236" s="14">
        <f t="shared" si="60"/>
        <v>-1018.0399999999997</v>
      </c>
      <c r="I236" s="15">
        <f>IFERROR(H236/H444, "NA")</f>
        <v>-4.6278079416973636E-2</v>
      </c>
      <c r="J236" s="2"/>
      <c r="K236" s="14">
        <f>IFERROR(K229+K230+K231+K232+K233+K234+K235, "NA")</f>
        <v>2532.4300000000003</v>
      </c>
      <c r="L236" s="15">
        <f>IFERROR(K236/K444, "NA")</f>
        <v>2.223632000463617E-2</v>
      </c>
      <c r="M236" s="2"/>
      <c r="N236" s="14">
        <f t="shared" si="61"/>
        <v>-36.749999999999545</v>
      </c>
      <c r="O236" s="15">
        <f>IFERROR(N236/N444, "NA")</f>
        <v>-9.8332863297786012E-4</v>
      </c>
      <c r="P236" s="2"/>
      <c r="Q236" s="14">
        <f>IFERROR(Q229+Q230+Q231+Q232+Q233+Q234+Q235, "NA")</f>
        <v>5223.83</v>
      </c>
      <c r="R236" s="15">
        <f>IFERROR(Q236/Q444, "NA")</f>
        <v>1.7350112518676308E-2</v>
      </c>
      <c r="S236" s="2"/>
      <c r="T236" s="14">
        <f>IFERROR(T229+T230+T231+T232+T233+T234+T235, "NA")</f>
        <v>3595.47</v>
      </c>
      <c r="U236" s="15">
        <f>IFERROR(T236/T444, "NA")</f>
        <v>1.1999985982377512E-2</v>
      </c>
      <c r="V236" s="2"/>
      <c r="W236" s="14">
        <f t="shared" si="62"/>
        <v>-1628.3600000000001</v>
      </c>
      <c r="X236" s="15">
        <f>IFERROR(W236/W444, "NA")</f>
        <v>-1.1149332420403972</v>
      </c>
      <c r="Y236" s="2"/>
      <c r="Z236" s="14">
        <f>IFERROR(Z229+Z230+Z231+Z232+Z233+Z234+Z235, "NA")</f>
        <v>5091.72</v>
      </c>
      <c r="AA236" s="15">
        <f>IFERROR(Z236/Z444, "NA")</f>
        <v>1.8773900984275515E-2</v>
      </c>
      <c r="AB236" s="2"/>
      <c r="AC236" s="14">
        <f t="shared" si="63"/>
        <v>-132.10999999999967</v>
      </c>
      <c r="AD236" s="15">
        <f>IFERROR(AC236/AC444, "NA")</f>
        <v>-4.4227330689268016E-3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6203.28</v>
      </c>
      <c r="F240" s="8">
        <f>IFERROR(E240/E444, "NA")</f>
        <v>4.7990033253433498E-2</v>
      </c>
      <c r="G240" s="9"/>
      <c r="H240" s="10">
        <f t="shared" ref="H240:H263" si="64">IFERROR(-(B240-E240), "NA")</f>
        <v>6203.28</v>
      </c>
      <c r="I240" s="8">
        <f>IFERROR(H240/H444, "NA")</f>
        <v>0.28198880641794455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14455.57</v>
      </c>
      <c r="U240" s="8">
        <f>IFERROR(T240/T444, "NA")</f>
        <v>4.8245886453586573E-2</v>
      </c>
      <c r="V240" s="9"/>
      <c r="W240" s="10">
        <f t="shared" ref="W240:W263" si="66">IFERROR(-(Q240-T240), "NA")</f>
        <v>14455.57</v>
      </c>
      <c r="X240" s="8">
        <f>IFERROR(W240/W444, "NA")</f>
        <v>9.8976857240671006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1456.98</v>
      </c>
      <c r="C242" s="8">
        <f>IFERROR(B242/B444, "NA")</f>
        <v>9.6322785854517142E-3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-1456.98</v>
      </c>
      <c r="I242" s="8">
        <f>IFERROR(H242/H444, "NA")</f>
        <v>-6.6231421308536265E-2</v>
      </c>
      <c r="J242" s="9"/>
      <c r="K242" s="7">
        <v>980</v>
      </c>
      <c r="L242" s="8">
        <f>IFERROR(K242/K444, "NA")</f>
        <v>8.6050132104514027E-3</v>
      </c>
      <c r="M242" s="9"/>
      <c r="N242" s="10">
        <f t="shared" si="65"/>
        <v>-476.98</v>
      </c>
      <c r="O242" s="8">
        <f>IFERROR(N242/N444, "NA")</f>
        <v>-1.2762669152592806E-2</v>
      </c>
      <c r="P242" s="9"/>
      <c r="Q242" s="7">
        <v>3519.69</v>
      </c>
      <c r="R242" s="8">
        <f>IFERROR(Q242/Q444, "NA")</f>
        <v>1.1690085154160802E-2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-3519.69</v>
      </c>
      <c r="X242" s="8">
        <f>IFERROR(W242/W444, "NA")</f>
        <v>-2.4099212598425197</v>
      </c>
      <c r="Y242" s="9"/>
      <c r="Z242" s="7">
        <v>2611.61</v>
      </c>
      <c r="AA242" s="8">
        <f>IFERROR(Z242/Z444, "NA")</f>
        <v>9.6293801602491454E-3</v>
      </c>
      <c r="AB242" s="9"/>
      <c r="AC242" s="10">
        <f t="shared" si="67"/>
        <v>-908.07999999999993</v>
      </c>
      <c r="AD242" s="8">
        <f>IFERROR(AC242/AC444, "NA")</f>
        <v>-3.0400389412088863E-2</v>
      </c>
    </row>
    <row r="243" spans="1:30" ht="16.5" customHeight="1" x14ac:dyDescent="0.45">
      <c r="A243" s="12" t="s">
        <v>220</v>
      </c>
      <c r="B243" s="7">
        <v>4470.9799999999996</v>
      </c>
      <c r="C243" s="8">
        <f>IFERROR(B243/B444, "NA")</f>
        <v>2.9558212816910939E-2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-4470.9799999999996</v>
      </c>
      <c r="I243" s="8">
        <f>IFERROR(H243/H444, "NA")</f>
        <v>-0.20324188392568152</v>
      </c>
      <c r="J243" s="9"/>
      <c r="K243" s="7">
        <v>3965.44</v>
      </c>
      <c r="L243" s="8">
        <f>IFERROR(K243/K444, "NA")</f>
        <v>3.481904447474736E-2</v>
      </c>
      <c r="M243" s="9"/>
      <c r="N243" s="10">
        <f t="shared" si="65"/>
        <v>-505.53999999999951</v>
      </c>
      <c r="O243" s="8">
        <f>IFERROR(N243/N444, "NA")</f>
        <v>-1.3526855975935595E-2</v>
      </c>
      <c r="P243" s="9"/>
      <c r="Q243" s="7">
        <v>8109.39</v>
      </c>
      <c r="R243" s="8">
        <f>IFERROR(Q243/Q444, "NA")</f>
        <v>2.6934036704454101E-2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-8109.39</v>
      </c>
      <c r="X243" s="8">
        <f>IFERROR(W243/W444, "NA")</f>
        <v>-5.5524751797329683</v>
      </c>
      <c r="Y243" s="9"/>
      <c r="Z243" s="7">
        <v>8969.51</v>
      </c>
      <c r="AA243" s="8">
        <f>IFERROR(Z243/Z444, "NA")</f>
        <v>3.3071868173715185E-2</v>
      </c>
      <c r="AB243" s="9"/>
      <c r="AC243" s="10">
        <f t="shared" si="67"/>
        <v>860.11999999999989</v>
      </c>
      <c r="AD243" s="8">
        <f>IFERROR(AC243/AC444, "NA")</f>
        <v>2.8794801054010517E-2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489.43</v>
      </c>
      <c r="C246" s="8">
        <f>IFERROR(B246/B444, "NA")</f>
        <v>3.2356834740886165E-3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-489.43</v>
      </c>
      <c r="I246" s="8">
        <f>IFERROR(H246/H444, "NA")</f>
        <v>-2.2248517159492172E-2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-489.43</v>
      </c>
      <c r="O246" s="8">
        <f>IFERROR(N246/N444, "NA")</f>
        <v>-1.3095796811928165E-2</v>
      </c>
      <c r="P246" s="9"/>
      <c r="Q246" s="7">
        <v>978.5</v>
      </c>
      <c r="R246" s="8">
        <f>IFERROR(Q246/Q444, "NA")</f>
        <v>3.2499306255227996E-3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-978.5</v>
      </c>
      <c r="X246" s="8">
        <f>IFERROR(W246/W444, "NA")</f>
        <v>-0.66997603560424512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-978.5</v>
      </c>
      <c r="AD246" s="8">
        <f>IFERROR(AC246/AC444, "NA")</f>
        <v>-3.2757885912836925E-2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336.45</v>
      </c>
      <c r="C248" s="8">
        <f>IFERROR(B248/B444, "NA")</f>
        <v>2.2243133948820363E-3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-336.45</v>
      </c>
      <c r="I248" s="8">
        <f>IFERROR(H248/H444, "NA")</f>
        <v>-1.5294349750344566E-2</v>
      </c>
      <c r="J248" s="9"/>
      <c r="K248" s="7">
        <v>522.79999999999995</v>
      </c>
      <c r="L248" s="8">
        <f>IFERROR(K248/K444, "NA")</f>
        <v>4.5905111290040742E-3</v>
      </c>
      <c r="M248" s="9"/>
      <c r="N248" s="10">
        <f t="shared" si="65"/>
        <v>186.34999999999997</v>
      </c>
      <c r="O248" s="8">
        <f>IFERROR(N248/N444, "NA")</f>
        <v>4.9862119933449384E-3</v>
      </c>
      <c r="P248" s="9"/>
      <c r="Q248" s="7">
        <v>839.44</v>
      </c>
      <c r="R248" s="8">
        <f>IFERROR(Q248/Q444, "NA")</f>
        <v>2.7880651653437497E-3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-839.44</v>
      </c>
      <c r="X248" s="8">
        <f>IFERROR(W248/W444, "NA")</f>
        <v>-0.57476206778500516</v>
      </c>
      <c r="Y248" s="9"/>
      <c r="Z248" s="7">
        <v>684.04</v>
      </c>
      <c r="AA248" s="8">
        <f>IFERROR(Z248/Z444, "NA")</f>
        <v>2.5221534627363294E-3</v>
      </c>
      <c r="AB248" s="9"/>
      <c r="AC248" s="10">
        <f t="shared" si="67"/>
        <v>-155.40000000000009</v>
      </c>
      <c r="AD248" s="8">
        <f>IFERROR(AC248/AC444, "NA")</f>
        <v>-5.2024276656666953E-3</v>
      </c>
    </row>
    <row r="249" spans="1:30" ht="16.5" customHeight="1" x14ac:dyDescent="0.45">
      <c r="A249" s="12" t="s">
        <v>226</v>
      </c>
      <c r="B249" s="7">
        <v>1537.74</v>
      </c>
      <c r="C249" s="8">
        <f>IFERROR(B249/B444, "NA")</f>
        <v>1.0166193133737265E-2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-1537.74</v>
      </c>
      <c r="I249" s="8">
        <f>IFERROR(H249/H444, "NA")</f>
        <v>-6.9902610744820487E-2</v>
      </c>
      <c r="J249" s="9"/>
      <c r="K249" s="7">
        <v>823.74</v>
      </c>
      <c r="L249" s="8">
        <f>IFERROR(K249/K444, "NA")</f>
        <v>7.2329526346706519E-3</v>
      </c>
      <c r="M249" s="9"/>
      <c r="N249" s="10">
        <f t="shared" si="65"/>
        <v>-714</v>
      </c>
      <c r="O249" s="8">
        <f>IFERROR(N249/N444, "NA")</f>
        <v>-1.9104670583570092E-2</v>
      </c>
      <c r="P249" s="9"/>
      <c r="Q249" s="7">
        <v>3315.65</v>
      </c>
      <c r="R249" s="8">
        <f>IFERROR(Q249/Q444, "NA")</f>
        <v>1.1012399058267421E-2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-3315.65</v>
      </c>
      <c r="X249" s="8">
        <f>IFERROR(W249/W444, "NA")</f>
        <v>-2.2702156795617938</v>
      </c>
      <c r="Y249" s="9"/>
      <c r="Z249" s="7">
        <v>2032.67</v>
      </c>
      <c r="AA249" s="8">
        <f>IFERROR(Z249/Z444, "NA")</f>
        <v>7.4947454521669121E-3</v>
      </c>
      <c r="AB249" s="9"/>
      <c r="AC249" s="10">
        <f t="shared" si="67"/>
        <v>-1282.98</v>
      </c>
      <c r="AD249" s="8">
        <f>IFERROR(AC249/AC444, "NA")</f>
        <v>-4.2951162461370991E-2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8291.58</v>
      </c>
      <c r="C262" s="15">
        <f>IFERROR(B262/B444, "NA")</f>
        <v>5.4816681405070573E-2</v>
      </c>
      <c r="D262" s="2"/>
      <c r="E262" s="14">
        <f>IFERROR(E240+E241+E242+E243+E244+E245+E246+E247+E248+E249+E250+E251+E252+E253+E254+E255+E256+E257+E258+E259+E260+E261, "NA")</f>
        <v>6203.28</v>
      </c>
      <c r="F262" s="15">
        <f>IFERROR(E262/E444, "NA")</f>
        <v>4.7990033253433498E-2</v>
      </c>
      <c r="G262" s="2"/>
      <c r="H262" s="14">
        <f t="shared" si="64"/>
        <v>-2088.3000000000002</v>
      </c>
      <c r="I262" s="15">
        <f>IFERROR(H262/H444, "NA")</f>
        <v>-9.4929976470930488E-2</v>
      </c>
      <c r="J262" s="2"/>
      <c r="K262" s="14">
        <f>IFERROR(K240+K241+K242+K243+K244+K245+K246+K247+K248+K249+K250+K251+K252+K253+K254+K255+K256+K257+K258+K259+K260+K261, "NA")</f>
        <v>6291.9800000000005</v>
      </c>
      <c r="L262" s="15">
        <f>IFERROR(K262/K444, "NA")</f>
        <v>5.5247521448873488E-2</v>
      </c>
      <c r="M262" s="2"/>
      <c r="N262" s="14">
        <f t="shared" si="65"/>
        <v>-1999.5999999999995</v>
      </c>
      <c r="O262" s="15">
        <f>IFERROR(N262/N444, "NA")</f>
        <v>-5.3503780530681715E-2</v>
      </c>
      <c r="P262" s="2"/>
      <c r="Q262" s="14">
        <f>IFERROR(Q240+Q241+Q242+Q243+Q244+Q245+Q246+Q247+Q248+Q249+Q250+Q251+Q252+Q253+Q254+Q255+Q256+Q257+Q258+Q259+Q260+Q261, "NA")</f>
        <v>16762.670000000002</v>
      </c>
      <c r="R262" s="15">
        <f>IFERROR(Q262/Q444, "NA")</f>
        <v>5.5674516707748881E-2</v>
      </c>
      <c r="S262" s="2"/>
      <c r="T262" s="14">
        <f>IFERROR(T240+T241+T242+T243+T244+T245+T246+T247+T248+T249+T250+T251+T252+T253+T254+T255+T256+T257+T258+T259+T260+T261, "NA")</f>
        <v>14455.57</v>
      </c>
      <c r="U262" s="15">
        <f>IFERROR(T262/T444, "NA")</f>
        <v>4.8245886453586573E-2</v>
      </c>
      <c r="V262" s="2"/>
      <c r="W262" s="14">
        <f t="shared" si="66"/>
        <v>-2307.1000000000022</v>
      </c>
      <c r="X262" s="15">
        <f>IFERROR(W262/W444, "NA")</f>
        <v>-1.5796644984594332</v>
      </c>
      <c r="Y262" s="2"/>
      <c r="Z262" s="14">
        <f>IFERROR(Z240+Z241+Z242+Z243+Z244+Z245+Z246+Z247+Z248+Z249+Z250+Z251+Z252+Z253+Z254+Z255+Z256+Z257+Z258+Z259+Z260+Z261, "NA")</f>
        <v>14297.83</v>
      </c>
      <c r="AA262" s="15">
        <f>IFERROR(Z262/Z444, "NA")</f>
        <v>5.2718147248867565E-2</v>
      </c>
      <c r="AB262" s="2"/>
      <c r="AC262" s="14">
        <f t="shared" si="67"/>
        <v>-2464.840000000002</v>
      </c>
      <c r="AD262" s="15">
        <f>IFERROR(AC262/AC444, "NA")</f>
        <v>-8.2517064397953019E-2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8291.58</v>
      </c>
      <c r="C263" s="15">
        <f>IFERROR(B263/B444, "NA")</f>
        <v>5.4816681405070573E-2</v>
      </c>
      <c r="D263" s="2"/>
      <c r="E263" s="14">
        <f>IFERROR(E238+E240+E241+E242+E243+E244+E245+E246+E247+E248+E249+E250+E251+E252+E253+E254+E255+E256+E257+E258+E259+E260+E261, "NA")</f>
        <v>6203.28</v>
      </c>
      <c r="F263" s="15">
        <f>IFERROR(E263/E444, "NA")</f>
        <v>4.7990033253433498E-2</v>
      </c>
      <c r="G263" s="2"/>
      <c r="H263" s="14">
        <f t="shared" si="64"/>
        <v>-2088.3000000000002</v>
      </c>
      <c r="I263" s="15">
        <f>IFERROR(H263/H444, "NA")</f>
        <v>-9.4929976470930488E-2</v>
      </c>
      <c r="J263" s="2"/>
      <c r="K263" s="14">
        <f>IFERROR(K238+K240+K241+K242+K243+K244+K245+K246+K247+K248+K249+K250+K251+K252+K253+K254+K255+K256+K257+K258+K259+K260+K261, "NA")</f>
        <v>6291.9800000000005</v>
      </c>
      <c r="L263" s="15">
        <f>IFERROR(K263/K444, "NA")</f>
        <v>5.5247521448873488E-2</v>
      </c>
      <c r="M263" s="2"/>
      <c r="N263" s="14">
        <f t="shared" si="65"/>
        <v>-1999.5999999999995</v>
      </c>
      <c r="O263" s="15">
        <f>IFERROR(N263/N444, "NA")</f>
        <v>-5.3503780530681715E-2</v>
      </c>
      <c r="P263" s="2"/>
      <c r="Q263" s="14">
        <f>IFERROR(Q238+Q240+Q241+Q242+Q243+Q244+Q245+Q246+Q247+Q248+Q249+Q250+Q251+Q252+Q253+Q254+Q255+Q256+Q257+Q258+Q259+Q260+Q261, "NA")</f>
        <v>16762.670000000002</v>
      </c>
      <c r="R263" s="15">
        <f>IFERROR(Q263/Q444, "NA")</f>
        <v>5.5674516707748881E-2</v>
      </c>
      <c r="S263" s="2"/>
      <c r="T263" s="14">
        <f>IFERROR(T238+T240+T241+T242+T243+T244+T245+T246+T247+T248+T249+T250+T251+T252+T253+T254+T255+T256+T257+T258+T259+T260+T261, "NA")</f>
        <v>14455.57</v>
      </c>
      <c r="U263" s="15">
        <f>IFERROR(T263/T444, "NA")</f>
        <v>4.8245886453586573E-2</v>
      </c>
      <c r="V263" s="2"/>
      <c r="W263" s="14">
        <f t="shared" si="66"/>
        <v>-2307.1000000000022</v>
      </c>
      <c r="X263" s="15">
        <f>IFERROR(W263/W444, "NA")</f>
        <v>-1.5796644984594332</v>
      </c>
      <c r="Y263" s="2"/>
      <c r="Z263" s="14">
        <f>IFERROR(Z238+Z240+Z241+Z242+Z243+Z244+Z245+Z246+Z247+Z248+Z249+Z250+Z251+Z252+Z253+Z254+Z255+Z256+Z257+Z258+Z259+Z260+Z261, "NA")</f>
        <v>14297.83</v>
      </c>
      <c r="AA263" s="15">
        <f>IFERROR(Z263/Z444, "NA")</f>
        <v>5.2718147248867565E-2</v>
      </c>
      <c r="AB263" s="2"/>
      <c r="AC263" s="14">
        <f t="shared" si="67"/>
        <v>-2464.840000000002</v>
      </c>
      <c r="AD263" s="15">
        <f>IFERROR(AC263/AC444, "NA")</f>
        <v>-8.2517064397953019E-2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4224.16</v>
      </c>
      <c r="C265" s="8">
        <f>IFERROR(B265/B444, "NA")</f>
        <v>2.7926454659310155E-2</v>
      </c>
      <c r="D265" s="9"/>
      <c r="E265" s="7">
        <v>3619.33</v>
      </c>
      <c r="F265" s="8">
        <f>IFERROR(E265/E444, "NA")</f>
        <v>2.7999988240922456E-2</v>
      </c>
      <c r="G265" s="9"/>
      <c r="H265" s="10">
        <f>IFERROR(-(B265-E265), "NA")</f>
        <v>-604.82999999999993</v>
      </c>
      <c r="I265" s="8">
        <f>IFERROR(H265/H444, "NA")</f>
        <v>-2.7494372297520889E-2</v>
      </c>
      <c r="J265" s="9"/>
      <c r="K265" s="7">
        <v>3516.39</v>
      </c>
      <c r="L265" s="8">
        <f>IFERROR(K265/K444, "NA")</f>
        <v>3.0876104492958373E-2</v>
      </c>
      <c r="M265" s="9"/>
      <c r="N265" s="10">
        <f>IFERROR(-(B265-K265), "NA")</f>
        <v>-707.77</v>
      </c>
      <c r="O265" s="8">
        <f>IFERROR(N265/N444, "NA")</f>
        <v>-1.8937972967693843E-2</v>
      </c>
      <c r="P265" s="9"/>
      <c r="Q265" s="7">
        <v>8343.6</v>
      </c>
      <c r="R265" s="8">
        <f>IFERROR(Q265/Q444, "NA")</f>
        <v>2.7711927610743009E-2</v>
      </c>
      <c r="S265" s="9"/>
      <c r="T265" s="7">
        <v>8559.7999999999993</v>
      </c>
      <c r="U265" s="8">
        <f>IFERROR(T265/T444, "NA")</f>
        <v>2.8568582135841774E-2</v>
      </c>
      <c r="V265" s="9"/>
      <c r="W265" s="10">
        <f>IFERROR(-(Q265-T265), "NA")</f>
        <v>216.19999999999891</v>
      </c>
      <c r="X265" s="8">
        <f>IFERROR(W265/W444, "NA")</f>
        <v>0.14803149606299137</v>
      </c>
      <c r="Y265" s="9"/>
      <c r="Z265" s="7">
        <v>8242.66</v>
      </c>
      <c r="AA265" s="8">
        <f>IFERROR(Z265/Z444, "NA")</f>
        <v>3.0391868108821461E-2</v>
      </c>
      <c r="AB265" s="9"/>
      <c r="AC265" s="10">
        <f>IFERROR(-(Q265-Z265), "NA")</f>
        <v>-100.94000000000051</v>
      </c>
      <c r="AD265" s="8">
        <f>IFERROR(AC265/AC444, "NA")</f>
        <v>-3.3792345467979312E-3</v>
      </c>
    </row>
    <row r="266" spans="1:30" ht="16.5" customHeight="1" x14ac:dyDescent="0.45">
      <c r="A266" s="6" t="s">
        <v>242</v>
      </c>
      <c r="B266" s="7">
        <v>37.54</v>
      </c>
      <c r="C266" s="8">
        <f>IFERROR(B266/B444, "NA")</f>
        <v>2.4818167586230242E-4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-37.54</v>
      </c>
      <c r="I266" s="8">
        <f>IFERROR(H266/H444, "NA")</f>
        <v>-1.7064939504471245E-3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-37.54</v>
      </c>
      <c r="O266" s="8">
        <f>IFERROR(N266/N444, "NA")</f>
        <v>-1.0044668539316824E-3</v>
      </c>
      <c r="P266" s="9"/>
      <c r="Q266" s="7">
        <v>37.54</v>
      </c>
      <c r="R266" s="8">
        <f>IFERROR(Q266/Q444, "NA")</f>
        <v>1.2468308194392018E-4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-37.54</v>
      </c>
      <c r="X266" s="8">
        <f>IFERROR(W266/W444, "NA")</f>
        <v>-2.5703526189661076E-2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-37.54</v>
      </c>
      <c r="AD266" s="8">
        <f>IFERROR(AC266/AC444, "NA")</f>
        <v>-1.2567511877035239E-3</v>
      </c>
    </row>
    <row r="267" spans="1:30" ht="16.5" customHeight="1" x14ac:dyDescent="0.45">
      <c r="A267" s="19" t="s">
        <v>243</v>
      </c>
      <c r="B267" s="14">
        <f>IFERROR(B265+B266, "NA")</f>
        <v>4261.7</v>
      </c>
      <c r="C267" s="15">
        <f>IFERROR(B267/B444, "NA")</f>
        <v>2.8174636335172459E-2</v>
      </c>
      <c r="D267" s="2"/>
      <c r="E267" s="14">
        <f>IFERROR(E265+E266, "NA")</f>
        <v>3619.33</v>
      </c>
      <c r="F267" s="15">
        <f>IFERROR(E267/E444, "NA")</f>
        <v>2.7999988240922456E-2</v>
      </c>
      <c r="G267" s="2"/>
      <c r="H267" s="14">
        <f>IFERROR(-(B267-E267), "NA")</f>
        <v>-642.36999999999989</v>
      </c>
      <c r="I267" s="15">
        <f>IFERROR(H267/H444, "NA")</f>
        <v>-2.9200866247968013E-2</v>
      </c>
      <c r="J267" s="2"/>
      <c r="K267" s="14">
        <f>IFERROR(K265+K266, "NA")</f>
        <v>3516.39</v>
      </c>
      <c r="L267" s="15">
        <f>IFERROR(K267/K444, "NA")</f>
        <v>3.0876104492958373E-2</v>
      </c>
      <c r="M267" s="2"/>
      <c r="N267" s="14">
        <f>IFERROR(-(B267-K267), "NA")</f>
        <v>-745.31</v>
      </c>
      <c r="O267" s="15">
        <f>IFERROR(N267/N444, "NA")</f>
        <v>-1.9942439821625524E-2</v>
      </c>
      <c r="P267" s="2"/>
      <c r="Q267" s="14">
        <f>IFERROR(Q265+Q266, "NA")</f>
        <v>8381.1400000000012</v>
      </c>
      <c r="R267" s="15">
        <f>IFERROR(Q267/Q444, "NA")</f>
        <v>2.7836610692686933E-2</v>
      </c>
      <c r="S267" s="2"/>
      <c r="T267" s="14">
        <f>IFERROR(T265+T266, "NA")</f>
        <v>8559.7999999999993</v>
      </c>
      <c r="U267" s="15">
        <f>IFERROR(T267/T444, "NA")</f>
        <v>2.8568582135841774E-2</v>
      </c>
      <c r="V267" s="2"/>
      <c r="W267" s="14">
        <f>IFERROR(-(Q267-T267), "NA")</f>
        <v>178.65999999999804</v>
      </c>
      <c r="X267" s="15">
        <f>IFERROR(W267/W444, "NA")</f>
        <v>0.12232796987332971</v>
      </c>
      <c r="Y267" s="2"/>
      <c r="Z267" s="14">
        <f>IFERROR(Z265+Z266, "NA")</f>
        <v>8242.66</v>
      </c>
      <c r="AA267" s="15">
        <f>IFERROR(Z267/Z444, "NA")</f>
        <v>3.0391868108821461E-2</v>
      </c>
      <c r="AB267" s="2"/>
      <c r="AC267" s="14">
        <f>IFERROR(-(Q267-Z267), "NA")</f>
        <v>-138.48000000000138</v>
      </c>
      <c r="AD267" s="15">
        <f>IFERROR(AC267/AC444, "NA")</f>
        <v>-4.6359857345014844E-3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201.73</v>
      </c>
      <c r="C270" s="8">
        <f>IFERROR(B270/B444, "NA")</f>
        <v>1.3336624792675083E-3</v>
      </c>
      <c r="D270" s="9"/>
      <c r="E270" s="7">
        <v>261.54000000000002</v>
      </c>
      <c r="F270" s="8">
        <f>IFERROR(E270/E444, "NA")</f>
        <v>2.023334961037225E-3</v>
      </c>
      <c r="G270" s="9"/>
      <c r="H270" s="10">
        <f>IFERROR(-(B270-E270), "NA")</f>
        <v>59.810000000000031</v>
      </c>
      <c r="I270" s="8">
        <f>IFERROR(H270/H444, "NA")</f>
        <v>2.7188439844497221E-3</v>
      </c>
      <c r="J270" s="9"/>
      <c r="K270" s="7">
        <v>81.94</v>
      </c>
      <c r="L270" s="8">
        <f>IFERROR(K270/K444, "NA")</f>
        <v>7.1948447190243667E-4</v>
      </c>
      <c r="M270" s="9"/>
      <c r="N270" s="10">
        <f>IFERROR(-(B270-K270), "NA")</f>
        <v>-119.78999999999999</v>
      </c>
      <c r="O270" s="8">
        <f>IFERROR(N270/N444, "NA")</f>
        <v>-3.2052499848821583E-3</v>
      </c>
      <c r="P270" s="9"/>
      <c r="Q270" s="7">
        <v>605.19000000000005</v>
      </c>
      <c r="R270" s="8">
        <f>IFERROR(Q270/Q444, "NA")</f>
        <v>2.0100414054779188E-3</v>
      </c>
      <c r="S270" s="9"/>
      <c r="T270" s="7">
        <v>642.33000000000004</v>
      </c>
      <c r="U270" s="8">
        <f>IFERROR(T270/T444, "NA")</f>
        <v>2.1437951077496261E-3</v>
      </c>
      <c r="V270" s="9"/>
      <c r="W270" s="10">
        <f>IFERROR(-(Q270-T270), "NA")</f>
        <v>37.139999999999986</v>
      </c>
      <c r="X270" s="8">
        <f>IFERROR(W270/W444, "NA")</f>
        <v>2.5429647381033885E-2</v>
      </c>
      <c r="Y270" s="9"/>
      <c r="Z270" s="7">
        <v>245.82</v>
      </c>
      <c r="AA270" s="8">
        <f>IFERROR(Z270/Z444, "NA")</f>
        <v>9.0637355156108481E-4</v>
      </c>
      <c r="AB270" s="9"/>
      <c r="AC270" s="10">
        <f>IFERROR(-(Q270-Z270), "NA")</f>
        <v>-359.37000000000006</v>
      </c>
      <c r="AD270" s="8">
        <f>IFERROR(AC270/AC444, "NA")</f>
        <v>-1.2030865059270524E-2</v>
      </c>
    </row>
    <row r="271" spans="1:30" ht="16.5" customHeight="1" x14ac:dyDescent="0.45">
      <c r="A271" s="6" t="s">
        <v>246</v>
      </c>
      <c r="B271" s="7">
        <v>778.58</v>
      </c>
      <c r="C271" s="8">
        <f>IFERROR(B271/B444, "NA")</f>
        <v>5.1472906018346139E-3</v>
      </c>
      <c r="D271" s="9"/>
      <c r="E271" s="7">
        <v>775.57</v>
      </c>
      <c r="F271" s="8">
        <f>IFERROR(E271/E444, "NA")</f>
        <v>5.9999919543153651E-3</v>
      </c>
      <c r="G271" s="9"/>
      <c r="H271" s="10">
        <f>IFERROR(-(B271-E271), "NA")</f>
        <v>-3.0099999999999909</v>
      </c>
      <c r="I271" s="8">
        <f>IFERROR(H271/H444, "NA")</f>
        <v>-1.3682863054996882E-4</v>
      </c>
      <c r="J271" s="9"/>
      <c r="K271" s="7">
        <v>551.80999999999995</v>
      </c>
      <c r="L271" s="8">
        <f>IFERROR(K271/K444, "NA")</f>
        <v>4.8452370812848856E-3</v>
      </c>
      <c r="M271" s="9"/>
      <c r="N271" s="10">
        <f>IFERROR(-(B271-K271), "NA")</f>
        <v>-226.7700000000001</v>
      </c>
      <c r="O271" s="8">
        <f>IFERROR(N271/N444, "NA")</f>
        <v>-6.0677397034120326E-3</v>
      </c>
      <c r="P271" s="9"/>
      <c r="Q271" s="7">
        <v>2335.7399999999998</v>
      </c>
      <c r="R271" s="8">
        <f>IFERROR(Q271/Q444, "NA")</f>
        <v>7.7577853441580212E-3</v>
      </c>
      <c r="S271" s="9"/>
      <c r="T271" s="7">
        <v>1797.74</v>
      </c>
      <c r="U271" s="8">
        <f>IFERROR(T271/T444, "NA")</f>
        <v>6.0000096788345751E-3</v>
      </c>
      <c r="V271" s="9"/>
      <c r="W271" s="10">
        <f>IFERROR(-(Q271-T271), "NA")</f>
        <v>-537.99999999999977</v>
      </c>
      <c r="X271" s="8">
        <f>IFERROR(W271/W444, "NA")</f>
        <v>-0.36836699760356029</v>
      </c>
      <c r="Y271" s="9"/>
      <c r="Z271" s="7">
        <v>1655.43</v>
      </c>
      <c r="AA271" s="8">
        <f>IFERROR(Z271/Z444, "NA")</f>
        <v>6.1038075358423515E-3</v>
      </c>
      <c r="AB271" s="9"/>
      <c r="AC271" s="10">
        <f>IFERROR(-(Q271-Z271), "NA")</f>
        <v>-680.30999999999972</v>
      </c>
      <c r="AD271" s="8">
        <f>IFERROR(AC271/AC444, "NA")</f>
        <v>-2.2775183817436973E-2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980.31000000000006</v>
      </c>
      <c r="C273" s="15">
        <f>IFERROR(B273/B444, "NA")</f>
        <v>6.4809530811021226E-3</v>
      </c>
      <c r="D273" s="2"/>
      <c r="E273" s="14">
        <f>IFERROR(E269+E270+E271+E272, "NA")</f>
        <v>1037.1100000000001</v>
      </c>
      <c r="F273" s="15">
        <f>IFERROR(E273/E444, "NA")</f>
        <v>8.0233269153525914E-3</v>
      </c>
      <c r="G273" s="2"/>
      <c r="H273" s="14">
        <f>IFERROR(-(B273-E273), "NA")</f>
        <v>56.800000000000068</v>
      </c>
      <c r="I273" s="15">
        <f>IFERROR(H273/H444, "NA")</f>
        <v>2.5820153538997546E-3</v>
      </c>
      <c r="J273" s="2"/>
      <c r="K273" s="14">
        <f>IFERROR(K269+K270+K271+K272, "NA")</f>
        <v>633.75</v>
      </c>
      <c r="L273" s="15">
        <f>IFERROR(K273/K444, "NA")</f>
        <v>5.5647215531873231E-3</v>
      </c>
      <c r="M273" s="2"/>
      <c r="N273" s="14">
        <f>IFERROR(-(B273-K273), "NA")</f>
        <v>-346.56000000000006</v>
      </c>
      <c r="O273" s="15">
        <f>IFERROR(N273/N444, "NA")</f>
        <v>-9.2729896882941913E-3</v>
      </c>
      <c r="P273" s="2"/>
      <c r="Q273" s="14">
        <f>IFERROR(Q269+Q270+Q271+Q272, "NA")</f>
        <v>2940.93</v>
      </c>
      <c r="R273" s="15">
        <f>IFERROR(Q273/Q444, "NA")</f>
        <v>9.7678267496359404E-3</v>
      </c>
      <c r="S273" s="2"/>
      <c r="T273" s="14">
        <f>IFERROR(T269+T270+T271+T272, "NA")</f>
        <v>2440.0700000000002</v>
      </c>
      <c r="U273" s="15">
        <f>IFERROR(T273/T444, "NA")</f>
        <v>8.1438047865842016E-3</v>
      </c>
      <c r="V273" s="2"/>
      <c r="W273" s="14">
        <f>IFERROR(-(Q273-T273), "NA")</f>
        <v>-500.85999999999967</v>
      </c>
      <c r="X273" s="15">
        <f>IFERROR(W273/W444, "NA")</f>
        <v>-0.3429373502225263</v>
      </c>
      <c r="Y273" s="2"/>
      <c r="Z273" s="14">
        <f>IFERROR(Z269+Z270+Z271+Z272, "NA")</f>
        <v>1901.25</v>
      </c>
      <c r="AA273" s="15">
        <f>IFERROR(Z273/Z444, "NA")</f>
        <v>7.0101810874034359E-3</v>
      </c>
      <c r="AB273" s="2"/>
      <c r="AC273" s="14">
        <f>IFERROR(-(Q273-Z273), "NA")</f>
        <v>-1039.6799999999998</v>
      </c>
      <c r="AD273" s="15">
        <f>IFERROR(AC273/AC444, "NA")</f>
        <v>-3.4806048876707497E-2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2.3208705678334765E-3</v>
      </c>
      <c r="G287" s="9"/>
      <c r="H287" s="10">
        <f t="shared" si="72"/>
        <v>300</v>
      </c>
      <c r="I287" s="8">
        <f>IFERROR(H287/H444, "NA")</f>
        <v>1.3637405038202913E-2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900</v>
      </c>
      <c r="U287" s="8">
        <f>IFERROR(T287/T444, "NA")</f>
        <v>3.0037762473723219E-3</v>
      </c>
      <c r="V287" s="9"/>
      <c r="W287" s="10">
        <f t="shared" si="74"/>
        <v>900</v>
      </c>
      <c r="X287" s="8">
        <f>IFERROR(W287/W444, "NA")</f>
        <v>0.6162273194111606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9.0902984632569475E-4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-6.2504773091763355E-3</v>
      </c>
      <c r="J288" s="9"/>
      <c r="K288" s="7">
        <v>137.5</v>
      </c>
      <c r="L288" s="8">
        <f>IFERROR(K288/K444, "NA")</f>
        <v>1.2073360371806815E-3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412.5</v>
      </c>
      <c r="R288" s="8">
        <f>IFERROR(Q288/Q444, "NA")</f>
        <v>1.3700525120369494E-3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-412.5</v>
      </c>
      <c r="X288" s="8">
        <f>IFERROR(W288/W444, "NA")</f>
        <v>-0.28243752139678191</v>
      </c>
      <c r="Y288" s="9"/>
      <c r="Z288" s="7">
        <v>412.5</v>
      </c>
      <c r="AA288" s="8">
        <f>IFERROR(Z288/Z444, "NA")</f>
        <v>1.5209465870106075E-3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143.63999999999999</v>
      </c>
      <c r="C289" s="8">
        <f>IFERROR(B289/B444, "NA")</f>
        <v>9.4962216091798381E-4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-143.63999999999999</v>
      </c>
      <c r="I289" s="8">
        <f>IFERROR(H289/H444, "NA")</f>
        <v>-6.5295895322915543E-3</v>
      </c>
      <c r="J289" s="9"/>
      <c r="K289" s="7">
        <v>136.93</v>
      </c>
      <c r="L289" s="8">
        <f>IFERROR(K289/K444, "NA")</f>
        <v>1.2023310805174597E-3</v>
      </c>
      <c r="M289" s="9"/>
      <c r="N289" s="10">
        <f t="shared" si="73"/>
        <v>-6.7099999999999795</v>
      </c>
      <c r="O289" s="8">
        <f>IFERROR(N289/N444, "NA")</f>
        <v>-1.7954109189881643E-4</v>
      </c>
      <c r="P289" s="9"/>
      <c r="Q289" s="7">
        <v>428.17</v>
      </c>
      <c r="R289" s="8">
        <f>IFERROR(Q289/Q444, "NA")</f>
        <v>1.4220979007972378E-3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-428.17</v>
      </c>
      <c r="X289" s="8">
        <f>IFERROR(W289/W444, "NA")</f>
        <v>-0.29316672372475183</v>
      </c>
      <c r="Y289" s="9"/>
      <c r="Z289" s="7">
        <v>410.79</v>
      </c>
      <c r="AA289" s="8">
        <f>IFERROR(Z289/Z444, "NA")</f>
        <v>1.5146415720680908E-3</v>
      </c>
      <c r="AB289" s="9"/>
      <c r="AC289" s="10">
        <f t="shared" si="75"/>
        <v>-17.379999999999995</v>
      </c>
      <c r="AD289" s="8">
        <f>IFERROR(AC289/AC444, "NA")</f>
        <v>-5.8184165269811511E-4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809.63</v>
      </c>
      <c r="R290" s="8">
        <f>IFERROR(Q290/Q444, "NA")</f>
        <v>2.6890560371405463E-3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-809.63</v>
      </c>
      <c r="X290" s="8">
        <f>IFERROR(W290/W444, "NA")</f>
        <v>-0.55435124957206439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-809.63</v>
      </c>
      <c r="AD290" s="8">
        <f>IFERROR(AC290/AC444, "NA")</f>
        <v>-2.7104514227501441E-2</v>
      </c>
    </row>
    <row r="291" spans="1:30" ht="16.5" customHeight="1" x14ac:dyDescent="0.45">
      <c r="A291" s="6" t="s">
        <v>264</v>
      </c>
      <c r="B291" s="7">
        <v>1137.46</v>
      </c>
      <c r="C291" s="8">
        <f>IFERROR(B291/B444, "NA")</f>
        <v>7.5198915563754526E-3</v>
      </c>
      <c r="D291" s="9"/>
      <c r="E291" s="7">
        <v>1551.14</v>
      </c>
      <c r="F291" s="8">
        <f>IFERROR(E291/E444, "NA")</f>
        <v>1.199998390863073E-2</v>
      </c>
      <c r="G291" s="9"/>
      <c r="H291" s="10">
        <f t="shared" si="72"/>
        <v>413.68000000000006</v>
      </c>
      <c r="I291" s="8">
        <f>IFERROR(H291/H444, "NA")</f>
        <v>1.8805072387345939E-2</v>
      </c>
      <c r="J291" s="9"/>
      <c r="K291" s="7">
        <v>311.72000000000003</v>
      </c>
      <c r="L291" s="8">
        <f>IFERROR(K291/K444, "NA")</f>
        <v>2.7370966509815422E-3</v>
      </c>
      <c r="M291" s="9"/>
      <c r="N291" s="10">
        <f t="shared" si="73"/>
        <v>-825.74</v>
      </c>
      <c r="O291" s="8">
        <f>IFERROR(N291/N444, "NA")</f>
        <v>-2.2094524772657099E-2</v>
      </c>
      <c r="P291" s="9"/>
      <c r="Q291" s="7">
        <v>1137.46</v>
      </c>
      <c r="R291" s="8">
        <f>IFERROR(Q291/Q444, "NA")</f>
        <v>3.7778907402219357E-3</v>
      </c>
      <c r="S291" s="9"/>
      <c r="T291" s="7">
        <v>3595.47</v>
      </c>
      <c r="U291" s="8">
        <f>IFERROR(T291/T444, "NA")</f>
        <v>1.1999985982377512E-2</v>
      </c>
      <c r="V291" s="9"/>
      <c r="W291" s="10">
        <f t="shared" si="74"/>
        <v>2458.0099999999998</v>
      </c>
      <c r="X291" s="8">
        <f>IFERROR(W291/W444, "NA")</f>
        <v>1.6829921259842517</v>
      </c>
      <c r="Y291" s="9"/>
      <c r="Z291" s="7">
        <v>311.72000000000003</v>
      </c>
      <c r="AA291" s="8">
        <f>IFERROR(Z291/Z444, "NA")</f>
        <v>1.1493562911586584E-3</v>
      </c>
      <c r="AB291" s="9"/>
      <c r="AC291" s="10">
        <f t="shared" si="75"/>
        <v>-825.74</v>
      </c>
      <c r="AD291" s="8">
        <f>IFERROR(AC291/AC444, "NA")</f>
        <v>-2.7643839257706655E-2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1.2286630927947362E-3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-0.25328996918863406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-1.2384389101416213E-2</v>
      </c>
    </row>
    <row r="294" spans="1:30" ht="16.5" customHeight="1" x14ac:dyDescent="0.45">
      <c r="A294" s="6" t="s">
        <v>267</v>
      </c>
      <c r="B294" s="7">
        <v>518.98</v>
      </c>
      <c r="C294" s="8">
        <f>IFERROR(B294/B444, "NA")</f>
        <v>3.4310422519717022E-3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-518.98</v>
      </c>
      <c r="I294" s="8">
        <f>IFERROR(H294/H444, "NA")</f>
        <v>-2.359180155575516E-2</v>
      </c>
      <c r="J294" s="9"/>
      <c r="K294" s="7">
        <v>169.1</v>
      </c>
      <c r="L294" s="8">
        <f>IFERROR(K294/K444, "NA")</f>
        <v>1.4848038100891145E-3</v>
      </c>
      <c r="M294" s="9"/>
      <c r="N294" s="10">
        <f t="shared" si="73"/>
        <v>-349.88</v>
      </c>
      <c r="O294" s="8">
        <f>IFERROR(N294/N444, "NA")</f>
        <v>-9.3618237307836177E-3</v>
      </c>
      <c r="P294" s="9"/>
      <c r="Q294" s="7">
        <v>1158.97</v>
      </c>
      <c r="R294" s="8">
        <f>IFERROR(Q294/Q444, "NA")</f>
        <v>3.849332751213244E-3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-1158.97</v>
      </c>
      <c r="X294" s="8">
        <f>IFERROR(W294/W444, "NA")</f>
        <v>-0.79354330708661425</v>
      </c>
      <c r="Y294" s="9"/>
      <c r="Z294" s="7">
        <v>507.3</v>
      </c>
      <c r="AA294" s="8">
        <f>IFERROR(Z294/Z444, "NA")</f>
        <v>1.8704877662799543E-3</v>
      </c>
      <c r="AB294" s="9"/>
      <c r="AC294" s="10">
        <f t="shared" si="75"/>
        <v>-651.67000000000007</v>
      </c>
      <c r="AD294" s="8">
        <f>IFERROR(AC294/AC444, "NA")</f>
        <v>-2.1816383763738827E-2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1937.58</v>
      </c>
      <c r="C295" s="15">
        <f>IFERROR(B295/B444, "NA")</f>
        <v>1.2809585815590833E-2</v>
      </c>
      <c r="D295" s="2"/>
      <c r="E295" s="14">
        <f>IFERROR(E286+E287+E288+E289+E290+E291+E292+E293+E294, "NA")</f>
        <v>1851.14</v>
      </c>
      <c r="F295" s="15">
        <f>IFERROR(E295/E444, "NA")</f>
        <v>1.4320854476464208E-2</v>
      </c>
      <c r="G295" s="2"/>
      <c r="H295" s="14">
        <f t="shared" si="72"/>
        <v>-86.439999999999827</v>
      </c>
      <c r="I295" s="15">
        <f>IFERROR(H295/H444, "NA")</f>
        <v>-3.9293909716741912E-3</v>
      </c>
      <c r="J295" s="2"/>
      <c r="K295" s="14">
        <f>IFERROR(K286+K287+K288+K289+K290+K291+K292+K293+K294, "NA")</f>
        <v>755.25000000000011</v>
      </c>
      <c r="L295" s="15">
        <f>IFERROR(K295/K444, "NA")</f>
        <v>6.631567578768799E-3</v>
      </c>
      <c r="M295" s="2"/>
      <c r="N295" s="14">
        <f t="shared" si="73"/>
        <v>-1182.33</v>
      </c>
      <c r="O295" s="15">
        <f>IFERROR(N295/N444, "NA")</f>
        <v>-3.1635889595339528E-2</v>
      </c>
      <c r="P295" s="2"/>
      <c r="Q295" s="14">
        <f>IFERROR(Q286+Q287+Q288+Q289+Q290+Q291+Q292+Q293+Q294, "NA")</f>
        <v>4316.66</v>
      </c>
      <c r="R295" s="15">
        <f>IFERROR(Q295/Q444, "NA")</f>
        <v>1.4337093034204648E-2</v>
      </c>
      <c r="S295" s="2"/>
      <c r="T295" s="14">
        <f>IFERROR(T286+T287+T288+T289+T290+T291+T292+T293+T294, "NA")</f>
        <v>4495.4699999999993</v>
      </c>
      <c r="U295" s="15">
        <f>IFERROR(T295/T444, "NA")</f>
        <v>1.5003762229749832E-2</v>
      </c>
      <c r="V295" s="2"/>
      <c r="W295" s="14">
        <f t="shared" si="74"/>
        <v>178.80999999999949</v>
      </c>
      <c r="X295" s="15">
        <f>IFERROR(W295/W444, "NA")</f>
        <v>0.1224306744265659</v>
      </c>
      <c r="Y295" s="2"/>
      <c r="Z295" s="14">
        <f>IFERROR(Z286+Z287+Z288+Z289+Z290+Z291+Z292+Z293+Z294, "NA")</f>
        <v>1642.31</v>
      </c>
      <c r="AA295" s="15">
        <f>IFERROR(Z295/Z444, "NA")</f>
        <v>6.0554322165173105E-3</v>
      </c>
      <c r="AB295" s="2"/>
      <c r="AC295" s="14">
        <f t="shared" si="75"/>
        <v>-2674.35</v>
      </c>
      <c r="AD295" s="15">
        <f>IFERROR(AC295/AC444, "NA")</f>
        <v>-8.9530968003061248E-2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1680.4</v>
      </c>
      <c r="F297" s="8">
        <f>IFERROR(E297/E444, "NA")</f>
        <v>1.2999969673957914E-2</v>
      </c>
      <c r="G297" s="9"/>
      <c r="H297" s="10">
        <f t="shared" ref="H297:H325" si="76">IFERROR(-(B297-E297), "NA")</f>
        <v>1680.4</v>
      </c>
      <c r="I297" s="8">
        <f>IFERROR(H297/H444, "NA")</f>
        <v>7.6387651420653915E-2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3895.09</v>
      </c>
      <c r="U297" s="8">
        <f>IFERROR(T297/T444, "NA")</f>
        <v>1.2999976470419398E-2</v>
      </c>
      <c r="V297" s="9"/>
      <c r="W297" s="10">
        <f t="shared" ref="W297:W325" si="78">IFERROR(-(Q297-T297), "NA")</f>
        <v>3895.09</v>
      </c>
      <c r="X297" s="8">
        <f>IFERROR(W297/W444, "NA")</f>
        <v>2.6669565217391304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194.06</v>
      </c>
      <c r="C299" s="8">
        <f>IFERROR(B299/B444, "NA")</f>
        <v>1.2829551416579223E-3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-194.06</v>
      </c>
      <c r="I299" s="8">
        <f>IFERROR(H299/H444, "NA")</f>
        <v>-8.8215827390455241E-3</v>
      </c>
      <c r="J299" s="9"/>
      <c r="K299" s="7">
        <v>184.72</v>
      </c>
      <c r="L299" s="8">
        <f>IFERROR(K299/K444, "NA")</f>
        <v>1.6219571839128399E-3</v>
      </c>
      <c r="M299" s="9"/>
      <c r="N299" s="10">
        <f t="shared" si="77"/>
        <v>-9.3400000000000034</v>
      </c>
      <c r="O299" s="8">
        <f>IFERROR(N299/N444, "NA")</f>
        <v>-2.4991263760580493E-4</v>
      </c>
      <c r="P299" s="9"/>
      <c r="Q299" s="7">
        <v>582.17999999999995</v>
      </c>
      <c r="R299" s="8">
        <f>IFERROR(Q299/Q444, "NA")</f>
        <v>1.9336173853519299E-3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-582.17999999999995</v>
      </c>
      <c r="X299" s="8">
        <f>IFERROR(W299/W444, "NA")</f>
        <v>-0.39861691201643268</v>
      </c>
      <c r="Y299" s="9"/>
      <c r="Z299" s="7">
        <v>554.16</v>
      </c>
      <c r="AA299" s="8">
        <f>IFERROR(Z299/Z444, "NA")</f>
        <v>2.0432672985643591E-3</v>
      </c>
      <c r="AB299" s="9"/>
      <c r="AC299" s="10">
        <f t="shared" si="79"/>
        <v>-28.019999999999982</v>
      </c>
      <c r="AD299" s="8">
        <f>IFERROR(AC299/AC444, "NA")</f>
        <v>-9.3804390728430254E-4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197.01</v>
      </c>
      <c r="R304" s="8">
        <f>IFERROR(Q304/Q444, "NA")</f>
        <v>6.5433707974884702E-4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-197.01</v>
      </c>
      <c r="X304" s="8">
        <f>IFERROR(W304/W444, "NA")</f>
        <v>-0.13489216021910305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-197.01</v>
      </c>
      <c r="AD304" s="8">
        <f>IFERROR(AC304/AC444, "NA")</f>
        <v>-6.5954329112805337E-3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49.92</v>
      </c>
      <c r="C310" s="8">
        <f>IFERROR(B310/B444, "NA")</f>
        <v>3.3002741766239039E-4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-49.92</v>
      </c>
      <c r="I310" s="8">
        <f>IFERROR(H310/H444, "NA")</f>
        <v>-2.269264198356965E-3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-49.92</v>
      </c>
      <c r="O310" s="8">
        <f>IFERROR(N310/N444, "NA")</f>
        <v>-1.3357215063470854E-3</v>
      </c>
      <c r="P310" s="9"/>
      <c r="Q310" s="7">
        <v>81.489999999999995</v>
      </c>
      <c r="R310" s="8">
        <f>IFERROR(Q310/Q444, "NA")</f>
        <v>2.7065594959003878E-4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-81.489999999999995</v>
      </c>
      <c r="X310" s="8">
        <f>IFERROR(W310/W444, "NA")</f>
        <v>-5.5795960287572749E-2</v>
      </c>
      <c r="Y310" s="9"/>
      <c r="Z310" s="7">
        <v>83.37</v>
      </c>
      <c r="AA310" s="8">
        <f>IFERROR(Z310/Z444, "NA")</f>
        <v>3.0739713202199842E-4</v>
      </c>
      <c r="AB310" s="9"/>
      <c r="AC310" s="10">
        <f t="shared" si="79"/>
        <v>1.8800000000000097</v>
      </c>
      <c r="AD310" s="8">
        <f>IFERROR(AC310/AC444, "NA")</f>
        <v>6.2937992351695186E-5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8.8679762597300719E-5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-1.8281410475864429E-2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-8.9385340201609187E-4</v>
      </c>
    </row>
    <row r="312" spans="1:30" ht="16.5" customHeight="1" x14ac:dyDescent="0.45">
      <c r="A312" s="6" t="s">
        <v>284</v>
      </c>
      <c r="B312" s="7">
        <v>87.85</v>
      </c>
      <c r="C312" s="8">
        <f>IFERROR(B312/B444, "NA")</f>
        <v>5.8078743272518016E-4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-87.85</v>
      </c>
      <c r="I312" s="8">
        <f>IFERROR(H312/H444, "NA")</f>
        <v>-3.9934867753537526E-3</v>
      </c>
      <c r="J312" s="9"/>
      <c r="K312" s="7">
        <v>49.99</v>
      </c>
      <c r="L312" s="8">
        <f>IFERROR(K312/K444, "NA")</f>
        <v>4.3894347999027107E-4</v>
      </c>
      <c r="M312" s="9"/>
      <c r="N312" s="10">
        <f t="shared" si="77"/>
        <v>-37.859999999999992</v>
      </c>
      <c r="O312" s="8">
        <f>IFERROR(N312/N444, "NA")</f>
        <v>-1.013029171280061E-3</v>
      </c>
      <c r="P312" s="9"/>
      <c r="Q312" s="7">
        <v>116.88</v>
      </c>
      <c r="R312" s="8">
        <f>IFERROR(Q312/Q444, "NA")</f>
        <v>3.8819815177425123E-4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-116.88</v>
      </c>
      <c r="X312" s="8">
        <f>IFERROR(W312/W444, "NA")</f>
        <v>-8.0027387880862721E-2</v>
      </c>
      <c r="Y312" s="9"/>
      <c r="Z312" s="7">
        <v>49.99</v>
      </c>
      <c r="AA312" s="8">
        <f>IFERROR(Z312/Z444, "NA")</f>
        <v>1.8432029062947944E-4</v>
      </c>
      <c r="AB312" s="9"/>
      <c r="AC312" s="10">
        <f t="shared" si="79"/>
        <v>-66.889999999999986</v>
      </c>
      <c r="AD312" s="8">
        <f>IFERROR(AC312/AC444, "NA")</f>
        <v>-2.2393203768111001E-3</v>
      </c>
    </row>
    <row r="313" spans="1:30" ht="16.5" customHeight="1" x14ac:dyDescent="0.45">
      <c r="A313" s="6" t="s">
        <v>285</v>
      </c>
      <c r="B313" s="7">
        <v>2.75</v>
      </c>
      <c r="C313" s="8">
        <f>IFERROR(B313/B444, "NA")</f>
        <v>1.8180596926513893E-5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-2.75</v>
      </c>
      <c r="I313" s="8">
        <f>IFERROR(H313/H444, "NA")</f>
        <v>-1.2500954618352669E-4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-2.75</v>
      </c>
      <c r="O313" s="8">
        <f>IFERROR(N313/N444, "NA")</f>
        <v>-7.3582414712629907E-5</v>
      </c>
      <c r="P313" s="9"/>
      <c r="Q313" s="7">
        <v>20.75</v>
      </c>
      <c r="R313" s="8">
        <f>IFERROR(Q313/Q444, "NA")</f>
        <v>6.891779302973745E-5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-20.75</v>
      </c>
      <c r="X313" s="8">
        <f>IFERROR(W313/W444, "NA")</f>
        <v>-1.4207463197535091E-2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-20.75</v>
      </c>
      <c r="AD313" s="8">
        <f>IFERROR(AC313/AC444, "NA")</f>
        <v>-6.9466135175407884E-4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5.2499613910232546E-3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-3.6098665716291049E-2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-2.1248193217253287E-2</v>
      </c>
      <c r="P315" s="9"/>
      <c r="Q315" s="7">
        <v>2382.33</v>
      </c>
      <c r="R315" s="8">
        <f>IFERROR(Q315/Q444, "NA")</f>
        <v>7.9125265478811775E-3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-2382.33</v>
      </c>
      <c r="X315" s="8">
        <f>IFERROR(W315/W444, "NA")</f>
        <v>-1.631174255391989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-2382.33</v>
      </c>
      <c r="AD315" s="8">
        <f>IFERROR(AC315/AC444, "NA")</f>
        <v>-7.9754823042134687E-2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3.2434184916900789E-3</v>
      </c>
      <c r="D318" s="9"/>
      <c r="E318" s="7">
        <v>718</v>
      </c>
      <c r="F318" s="8">
        <f>IFERROR(E318/E444, "NA")</f>
        <v>5.5546168923481208E-3</v>
      </c>
      <c r="G318" s="9"/>
      <c r="H318" s="10">
        <f t="shared" si="76"/>
        <v>227.39999999999998</v>
      </c>
      <c r="I318" s="8">
        <f>IFERROR(H318/H444, "NA")</f>
        <v>1.0337153018957808E-2</v>
      </c>
      <c r="J318" s="9"/>
      <c r="K318" s="7">
        <v>490.6</v>
      </c>
      <c r="L318" s="8">
        <f>IFERROR(K318/K444, "NA")</f>
        <v>4.3077749806606719E-3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1471.8</v>
      </c>
      <c r="R318" s="8">
        <f>IFERROR(Q318/Q444, "NA")</f>
        <v>4.8883473629478353E-3</v>
      </c>
      <c r="S318" s="9"/>
      <c r="T318" s="7">
        <v>2154</v>
      </c>
      <c r="U318" s="8">
        <f>IFERROR(T318/T444, "NA")</f>
        <v>7.1890378187110899E-3</v>
      </c>
      <c r="V318" s="9"/>
      <c r="W318" s="10">
        <f t="shared" si="78"/>
        <v>682.2</v>
      </c>
      <c r="X318" s="8">
        <f>IFERROR(W318/W444, "NA")</f>
        <v>0.46710030811365971</v>
      </c>
      <c r="Y318" s="9"/>
      <c r="Z318" s="7">
        <v>1471.8</v>
      </c>
      <c r="AA318" s="8">
        <f>IFERROR(Z318/Z444, "NA")</f>
        <v>5.4267374224538471E-3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160.16</v>
      </c>
      <c r="C319" s="8">
        <f>IFERROR(B319/B444, "NA")</f>
        <v>1.0588379650001692E-3</v>
      </c>
      <c r="D319" s="9"/>
      <c r="E319" s="7">
        <v>160</v>
      </c>
      <c r="F319" s="8">
        <f>IFERROR(E319/E444, "NA")</f>
        <v>1.2377976361778542E-3</v>
      </c>
      <c r="G319" s="9"/>
      <c r="H319" s="10">
        <f t="shared" si="76"/>
        <v>-0.15999999999999659</v>
      </c>
      <c r="I319" s="8">
        <f>IFERROR(H319/H444, "NA")</f>
        <v>-7.2732826870413986E-6</v>
      </c>
      <c r="J319" s="9"/>
      <c r="K319" s="7">
        <v>159.85</v>
      </c>
      <c r="L319" s="8">
        <f>IFERROR(K319/K444, "NA")</f>
        <v>1.4035830221333231E-3</v>
      </c>
      <c r="M319" s="9"/>
      <c r="N319" s="10">
        <f t="shared" si="77"/>
        <v>-0.31000000000000227</v>
      </c>
      <c r="O319" s="8">
        <f>IFERROR(N319/N444, "NA")</f>
        <v>-8.294744931241977E-6</v>
      </c>
      <c r="P319" s="9"/>
      <c r="Q319" s="7">
        <v>480.48</v>
      </c>
      <c r="R319" s="8">
        <f>IFERROR(Q319/Q444, "NA")</f>
        <v>1.5958371660206385E-3</v>
      </c>
      <c r="S319" s="9"/>
      <c r="T319" s="7">
        <v>480</v>
      </c>
      <c r="U319" s="8">
        <f>IFERROR(T319/T444, "NA")</f>
        <v>1.6020139985985717E-3</v>
      </c>
      <c r="V319" s="9"/>
      <c r="W319" s="10">
        <f t="shared" si="78"/>
        <v>-0.48000000000001819</v>
      </c>
      <c r="X319" s="8">
        <f>IFERROR(W319/W444, "NA")</f>
        <v>-3.2865457035263144E-4</v>
      </c>
      <c r="Y319" s="9"/>
      <c r="Z319" s="7">
        <v>479.55</v>
      </c>
      <c r="AA319" s="8">
        <f>IFERROR(Z319/Z444, "NA")</f>
        <v>1.7681695413356044E-3</v>
      </c>
      <c r="AB319" s="9"/>
      <c r="AC319" s="10">
        <f t="shared" si="79"/>
        <v>-0.93000000000000682</v>
      </c>
      <c r="AD319" s="8">
        <f>IFERROR(AC319/AC444, "NA")</f>
        <v>-3.1134219620785449E-5</v>
      </c>
    </row>
    <row r="320" spans="1:30" ht="16.5" customHeight="1" x14ac:dyDescent="0.45">
      <c r="A320" s="6" t="s">
        <v>292</v>
      </c>
      <c r="B320" s="7">
        <v>1031.07</v>
      </c>
      <c r="C320" s="8">
        <f>IFERROR(B320/B444, "NA")</f>
        <v>6.816533844734793E-3</v>
      </c>
      <c r="D320" s="9"/>
      <c r="E320" s="7">
        <v>827</v>
      </c>
      <c r="F320" s="8">
        <f>IFERROR(E320/E444, "NA")</f>
        <v>6.397866531994284E-3</v>
      </c>
      <c r="G320" s="9"/>
      <c r="H320" s="10">
        <f t="shared" si="76"/>
        <v>-204.06999999999994</v>
      </c>
      <c r="I320" s="8">
        <f>IFERROR(H320/H444, "NA")</f>
        <v>-9.276617487153558E-3</v>
      </c>
      <c r="J320" s="9"/>
      <c r="K320" s="7">
        <v>869.4</v>
      </c>
      <c r="L320" s="8">
        <f>IFERROR(K320/K444, "NA")</f>
        <v>7.6338760052718875E-3</v>
      </c>
      <c r="M320" s="9"/>
      <c r="N320" s="10">
        <f t="shared" si="77"/>
        <v>-161.66999999999996</v>
      </c>
      <c r="O320" s="8">
        <f>IFERROR(N320/N444, "NA")</f>
        <v>-4.3258432678512267E-3</v>
      </c>
      <c r="P320" s="9"/>
      <c r="Q320" s="7">
        <v>3093.21</v>
      </c>
      <c r="R320" s="8">
        <f>IFERROR(Q320/Q444, "NA")</f>
        <v>1.0273600316988636E-2</v>
      </c>
      <c r="S320" s="9"/>
      <c r="T320" s="7">
        <v>2481</v>
      </c>
      <c r="U320" s="8">
        <f>IFERROR(T320/T444, "NA")</f>
        <v>8.2804098552563665E-3</v>
      </c>
      <c r="V320" s="9"/>
      <c r="W320" s="10">
        <f t="shared" si="78"/>
        <v>-612.21</v>
      </c>
      <c r="X320" s="8">
        <f>IFERROR(W320/W444, "NA")</f>
        <v>-0.41917836357411847</v>
      </c>
      <c r="Y320" s="9"/>
      <c r="Z320" s="7">
        <v>2668.2</v>
      </c>
      <c r="AA320" s="8">
        <f>IFERROR(Z320/Z444, "NA")</f>
        <v>9.8380355962707933E-3</v>
      </c>
      <c r="AB320" s="9"/>
      <c r="AC320" s="10">
        <f t="shared" si="79"/>
        <v>-425.01000000000022</v>
      </c>
      <c r="AD320" s="8">
        <f>IFERROR(AC320/AC444, "NA")</f>
        <v>-1.4228338366698854E-2</v>
      </c>
    </row>
    <row r="321" spans="1:30" ht="16.5" customHeight="1" x14ac:dyDescent="0.45">
      <c r="A321" s="6" t="s">
        <v>293</v>
      </c>
      <c r="B321" s="7">
        <v>3622.04</v>
      </c>
      <c r="C321" s="8">
        <f>IFERROR(B321/B444, "NA")</f>
        <v>2.3945763378803778E-2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-3622.04</v>
      </c>
      <c r="I321" s="8">
        <f>IFERROR(H321/H444, "NA")</f>
        <v>-0.16465075514857494</v>
      </c>
      <c r="J321" s="9"/>
      <c r="K321" s="7">
        <v>2124.41</v>
      </c>
      <c r="L321" s="8">
        <f>IFERROR(K321/K444, "NA")</f>
        <v>1.8653649096341901E-2</v>
      </c>
      <c r="M321" s="9"/>
      <c r="N321" s="10">
        <f t="shared" si="77"/>
        <v>-1497.63</v>
      </c>
      <c r="O321" s="8">
        <f>IFERROR(N321/N444, "NA")</f>
        <v>-4.0072447907663976E-2</v>
      </c>
      <c r="P321" s="9"/>
      <c r="Q321" s="7">
        <v>8039.15</v>
      </c>
      <c r="R321" s="8">
        <f>IFERROR(Q321/Q444, "NA")</f>
        <v>2.6700745823374158E-2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-8039.15</v>
      </c>
      <c r="X321" s="8">
        <f>IFERROR(W321/W444, "NA")</f>
        <v>-5.5043820609380347</v>
      </c>
      <c r="Y321" s="9"/>
      <c r="Z321" s="7">
        <v>6273.9</v>
      </c>
      <c r="AA321" s="8">
        <f>IFERROR(Z321/Z444, "NA")</f>
        <v>2.3132767981202059E-2</v>
      </c>
      <c r="AB321" s="9"/>
      <c r="AC321" s="10">
        <f t="shared" si="79"/>
        <v>-1765.25</v>
      </c>
      <c r="AD321" s="8">
        <f>IFERROR(AC321/AC444, "NA")</f>
        <v>-5.9096431382356034E-2</v>
      </c>
    </row>
    <row r="322" spans="1:30" ht="16.5" customHeight="1" x14ac:dyDescent="0.45">
      <c r="A322" s="6" t="s">
        <v>294</v>
      </c>
      <c r="B322" s="7">
        <v>338.98</v>
      </c>
      <c r="C322" s="8">
        <f>IFERROR(B322/B444, "NA")</f>
        <v>2.2410395440544293E-3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-338.98</v>
      </c>
      <c r="I322" s="8">
        <f>IFERROR(H322/H444, "NA")</f>
        <v>-1.5409358532833413E-2</v>
      </c>
      <c r="J322" s="9"/>
      <c r="K322" s="7">
        <v>155.97</v>
      </c>
      <c r="L322" s="8">
        <f>IFERROR(K322/K444, "NA")</f>
        <v>1.3695141943205157E-3</v>
      </c>
      <c r="M322" s="9"/>
      <c r="N322" s="10">
        <f t="shared" si="77"/>
        <v>-183.01000000000002</v>
      </c>
      <c r="O322" s="8">
        <f>IFERROR(N322/N444, "NA")</f>
        <v>-4.8968428060212361E-3</v>
      </c>
      <c r="P322" s="9"/>
      <c r="Q322" s="7">
        <v>709.23</v>
      </c>
      <c r="R322" s="8">
        <f>IFERROR(Q322/Q444, "NA")</f>
        <v>2.3555935590593106E-3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-709.23</v>
      </c>
      <c r="X322" s="8">
        <f>IFERROR(W322/W444, "NA")</f>
        <v>-0.48560766860664156</v>
      </c>
      <c r="Y322" s="9"/>
      <c r="Z322" s="7">
        <v>817.91</v>
      </c>
      <c r="AA322" s="8">
        <f>IFERROR(Z322/Z444, "NA")</f>
        <v>3.0157513284408384E-3</v>
      </c>
      <c r="AB322" s="9"/>
      <c r="AC322" s="10">
        <f t="shared" si="79"/>
        <v>108.67999999999995</v>
      </c>
      <c r="AD322" s="8">
        <f>IFERROR(AC322/AC444, "NA")</f>
        <v>3.6383516004160608E-3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6771.5399999999991</v>
      </c>
      <c r="C324" s="15">
        <f>IFERROR(B324/B444, "NA")</f>
        <v>4.4767505204278503E-2</v>
      </c>
      <c r="D324" s="2"/>
      <c r="E324" s="14">
        <f>IFERROR(E297+E298+E299+E300+E301+E302+E303+E304+E305+E306+E307+E308+E309+E310+E311+E312+E313+E314+E315+E316+E317+E318+E319+E320+E321+E322+E323, "NA")</f>
        <v>3385.4</v>
      </c>
      <c r="F324" s="15">
        <f>IFERROR(E324/E444, "NA")</f>
        <v>2.6190250734478174E-2</v>
      </c>
      <c r="G324" s="2"/>
      <c r="H324" s="14">
        <f t="shared" si="76"/>
        <v>-3386.139999999999</v>
      </c>
      <c r="I324" s="15">
        <f>IFERROR(H324/H444, "NA")</f>
        <v>-0.15392720898686799</v>
      </c>
      <c r="J324" s="2"/>
      <c r="K324" s="14">
        <f>IFERROR(K297+K298+K299+K300+K301+K302+K303+K304+K305+K306+K307+K308+K309+K310+K311+K312+K313+K314+K315+K316+K317+K318+K319+K320+K321+K322+K323, "NA")</f>
        <v>4034.9399999999996</v>
      </c>
      <c r="L324" s="15">
        <f>IFERROR(K324/K444, "NA")</f>
        <v>3.5429297962631411E-2</v>
      </c>
      <c r="M324" s="2"/>
      <c r="N324" s="14">
        <f t="shared" si="77"/>
        <v>-2736.5999999999995</v>
      </c>
      <c r="O324" s="15">
        <f>IFERROR(N324/N444, "NA")</f>
        <v>-7.3223867673666523E-2</v>
      </c>
      <c r="P324" s="2"/>
      <c r="Q324" s="14">
        <f>IFERROR(Q297+Q298+Q299+Q300+Q301+Q302+Q303+Q304+Q305+Q306+Q307+Q308+Q309+Q310+Q311+Q312+Q313+Q314+Q315+Q316+Q317+Q318+Q319+Q320+Q321+Q322+Q323, "NA")</f>
        <v>17201.210000000003</v>
      </c>
      <c r="R324" s="15">
        <f>IFERROR(Q324/Q444, "NA")</f>
        <v>5.7131056898363869E-2</v>
      </c>
      <c r="S324" s="2"/>
      <c r="T324" s="14">
        <f>IFERROR(T297+T298+T299+T300+T301+T302+T303+T304+T305+T306+T307+T308+T309+T310+T311+T312+T313+T314+T315+T316+T317+T318+T319+T320+T321+T322+T323, "NA")</f>
        <v>9010.09</v>
      </c>
      <c r="U324" s="15">
        <f>IFERROR(T324/T444, "NA")</f>
        <v>3.0071438142985425E-2</v>
      </c>
      <c r="V324" s="2"/>
      <c r="W324" s="14">
        <f t="shared" si="78"/>
        <v>-8191.1200000000026</v>
      </c>
      <c r="X324" s="15">
        <f>IFERROR(W324/W444, "NA")</f>
        <v>-5.6084354673057186</v>
      </c>
      <c r="Y324" s="2"/>
      <c r="Z324" s="14">
        <f>IFERROR(Z297+Z298+Z299+Z300+Z301+Z302+Z303+Z304+Z305+Z306+Z307+Z308+Z309+Z310+Z311+Z312+Z313+Z314+Z315+Z316+Z317+Z318+Z319+Z320+Z321+Z322+Z323, "NA")</f>
        <v>12398.88</v>
      </c>
      <c r="AA324" s="15">
        <f>IFERROR(Z324/Z444, "NA")</f>
        <v>4.5716446590918974E-2</v>
      </c>
      <c r="AB324" s="2"/>
      <c r="AC324" s="14">
        <f t="shared" si="79"/>
        <v>-4802.3300000000036</v>
      </c>
      <c r="AD324" s="15">
        <f>IFERROR(AC324/AC444, "NA")</f>
        <v>-0.16077074936718883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35820.69</v>
      </c>
      <c r="C325" s="15">
        <f>IFERROR(B325/B444, "NA")</f>
        <v>0.23681510055258437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23550.190000000002</v>
      </c>
      <c r="F325" s="15">
        <f>IFERROR(E325/E444, "NA")</f>
        <v>0.18218980945962091</v>
      </c>
      <c r="G325" s="2"/>
      <c r="H325" s="14">
        <f t="shared" si="76"/>
        <v>-12270.5</v>
      </c>
      <c r="I325" s="15">
        <f>IFERROR(H325/H444, "NA")</f>
        <v>-0.55779259507089618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20706.63</v>
      </c>
      <c r="L325" s="15">
        <f>IFERROR(K325/K444, "NA")</f>
        <v>0.18181716805502993</v>
      </c>
      <c r="M325" s="2"/>
      <c r="N325" s="14">
        <f t="shared" si="77"/>
        <v>-15114.060000000001</v>
      </c>
      <c r="O325" s="15">
        <f>IFERROR(N325/N444, "NA")</f>
        <v>-0.40441055669511683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79113.119999999981</v>
      </c>
      <c r="R325" s="15">
        <f>IFERROR(Q325/Q444, "NA")</f>
        <v>0.26276152434201355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56773.72</v>
      </c>
      <c r="U325" s="15">
        <f>IFERROR(T325/T444, "NA")</f>
        <v>0.1894839462344077</v>
      </c>
      <c r="V325" s="2"/>
      <c r="W325" s="14">
        <f t="shared" si="78"/>
        <v>-22339.39999999998</v>
      </c>
      <c r="X325" s="15">
        <f>IFERROR(W325/W444, "NA")</f>
        <v>-15.295720643615187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51454.910000000018</v>
      </c>
      <c r="AA325" s="15">
        <f>IFERROR(Z325/Z444, "NA")</f>
        <v>0.1897216236350012</v>
      </c>
      <c r="AB325" s="2"/>
      <c r="AC325" s="14">
        <f t="shared" si="79"/>
        <v>-27658.209999999963</v>
      </c>
      <c r="AD325" s="15">
        <f>IFERROR(AC325/AC444, "NA")</f>
        <v>-0.9259320262987063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13132.5</v>
      </c>
      <c r="C329" s="8">
        <f>IFERROR(B329/B444, "NA")</f>
        <v>8.682061423179771E-2</v>
      </c>
      <c r="D329" s="9"/>
      <c r="E329" s="7">
        <v>15154</v>
      </c>
      <c r="F329" s="8">
        <f>IFERROR(E329/E444, "NA")</f>
        <v>0.11723490861649502</v>
      </c>
      <c r="G329" s="9"/>
      <c r="H329" s="10">
        <f t="shared" si="80"/>
        <v>2021.5</v>
      </c>
      <c r="I329" s="8">
        <f>IFERROR(H329/H444, "NA")</f>
        <v>9.1893380949090622E-2</v>
      </c>
      <c r="J329" s="9"/>
      <c r="K329" s="7">
        <v>12750</v>
      </c>
      <c r="L329" s="8">
        <f>IFERROR(K329/K444, "NA")</f>
        <v>0.11195297799311774</v>
      </c>
      <c r="M329" s="9"/>
      <c r="N329" s="10">
        <f t="shared" si="81"/>
        <v>-382.5</v>
      </c>
      <c r="O329" s="8">
        <f>IFERROR(N329/N444, "NA")</f>
        <v>-1.0234644955483978E-2</v>
      </c>
      <c r="P329" s="9"/>
      <c r="Q329" s="7">
        <v>39397.5</v>
      </c>
      <c r="R329" s="8">
        <f>IFERROR(Q329/Q444, "NA")</f>
        <v>0.13085246992236535</v>
      </c>
      <c r="S329" s="9"/>
      <c r="T329" s="7">
        <v>39396</v>
      </c>
      <c r="U329" s="8">
        <f>IFERROR(T329/T444, "NA")</f>
        <v>0.13148529893497776</v>
      </c>
      <c r="V329" s="9"/>
      <c r="W329" s="10">
        <f t="shared" si="82"/>
        <v>-1.5</v>
      </c>
      <c r="X329" s="8">
        <f>IFERROR(W329/W444, "NA")</f>
        <v>-1.0270455323519343E-3</v>
      </c>
      <c r="Y329" s="9"/>
      <c r="Z329" s="7">
        <v>38250</v>
      </c>
      <c r="AA329" s="8">
        <f>IFERROR(Z329/Z444, "NA")</f>
        <v>0.14103322897734724</v>
      </c>
      <c r="AB329" s="9"/>
      <c r="AC329" s="10">
        <f t="shared" si="83"/>
        <v>-1147.5</v>
      </c>
      <c r="AD329" s="8">
        <f>IFERROR(AC329/AC444, "NA")</f>
        <v>-3.8415609693388218E-2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1.4055254205734015E-2</v>
      </c>
      <c r="D330" s="9"/>
      <c r="E330" s="7">
        <v>1875</v>
      </c>
      <c r="F330" s="8">
        <f>IFERROR(E330/E444, "NA")</f>
        <v>1.450544104895923E-2</v>
      </c>
      <c r="G330" s="9"/>
      <c r="H330" s="10">
        <f t="shared" si="80"/>
        <v>-251</v>
      </c>
      <c r="I330" s="8">
        <f>IFERROR(H330/H444, "NA")</f>
        <v>-1.1409962215296438E-2</v>
      </c>
      <c r="J330" s="9"/>
      <c r="K330" s="7">
        <v>1875</v>
      </c>
      <c r="L330" s="8">
        <f>IFERROR(K330/K444, "NA")</f>
        <v>1.6463673234282019E-2</v>
      </c>
      <c r="M330" s="9"/>
      <c r="N330" s="10">
        <f t="shared" si="81"/>
        <v>-251</v>
      </c>
      <c r="O330" s="8">
        <f>IFERROR(N330/N444, "NA")</f>
        <v>-6.7160676701345842E-3</v>
      </c>
      <c r="P330" s="9"/>
      <c r="Q330" s="7">
        <v>6378</v>
      </c>
      <c r="R330" s="8">
        <f>IFERROR(Q330/Q444, "NA")</f>
        <v>2.1183502840658577E-2</v>
      </c>
      <c r="S330" s="9"/>
      <c r="T330" s="7">
        <v>5625</v>
      </c>
      <c r="U330" s="8">
        <f>IFERROR(T330/T444, "NA")</f>
        <v>1.8773601546077011E-2</v>
      </c>
      <c r="V330" s="9"/>
      <c r="W330" s="10">
        <f t="shared" si="82"/>
        <v>-753</v>
      </c>
      <c r="X330" s="8">
        <f>IFERROR(W330/W444, "NA")</f>
        <v>-0.51557685724067104</v>
      </c>
      <c r="Y330" s="9"/>
      <c r="Z330" s="7">
        <v>5625</v>
      </c>
      <c r="AA330" s="8">
        <f>IFERROR(Z330/Z444, "NA")</f>
        <v>2.0740180731962828E-2</v>
      </c>
      <c r="AB330" s="9"/>
      <c r="AC330" s="10">
        <f t="shared" si="83"/>
        <v>-753</v>
      </c>
      <c r="AD330" s="8">
        <f>IFERROR(AC330/AC444, "NA")</f>
        <v>-2.5208674596184165E-2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1.1900027079172731E-3</v>
      </c>
      <c r="D332" s="9"/>
      <c r="E332" s="7">
        <v>180</v>
      </c>
      <c r="F332" s="8">
        <f>IFERROR(E332/E444, "NA")</f>
        <v>1.392522340700086E-3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1.5805126304910739E-3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540</v>
      </c>
      <c r="R332" s="8">
        <f>IFERROR(Q332/Q444, "NA")</f>
        <v>1.7935232884847337E-3</v>
      </c>
      <c r="S332" s="9"/>
      <c r="T332" s="7">
        <v>540</v>
      </c>
      <c r="U332" s="8">
        <f>IFERROR(T332/T444, "NA")</f>
        <v>1.8022657484233931E-3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540</v>
      </c>
      <c r="AA332" s="8">
        <f>IFERROR(Z332/Z444, "NA")</f>
        <v>1.9910573502684315E-3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1024.69</v>
      </c>
      <c r="C333" s="8">
        <f>IFERROR(B333/B444, "NA")</f>
        <v>6.7743548598652812E-3</v>
      </c>
      <c r="D333" s="9"/>
      <c r="E333" s="7">
        <v>1254</v>
      </c>
      <c r="F333" s="8">
        <f>IFERROR(E333/E444, "NA")</f>
        <v>9.7012389735439322E-3</v>
      </c>
      <c r="G333" s="9"/>
      <c r="H333" s="10">
        <f t="shared" si="80"/>
        <v>229.30999999999995</v>
      </c>
      <c r="I333" s="8">
        <f>IFERROR(H333/H444, "NA")</f>
        <v>1.0423977831034364E-2</v>
      </c>
      <c r="J333" s="9"/>
      <c r="K333" s="7">
        <v>-2252.59</v>
      </c>
      <c r="L333" s="8">
        <f>IFERROR(K333/K444, "NA")</f>
        <v>-1.9779149701766047E-2</v>
      </c>
      <c r="M333" s="9"/>
      <c r="N333" s="10">
        <f t="shared" si="81"/>
        <v>-3277.28</v>
      </c>
      <c r="O333" s="8">
        <f>IFERROR(N333/N444, "NA")</f>
        <v>-8.7690973123421001E-2</v>
      </c>
      <c r="P333" s="9"/>
      <c r="Q333" s="7">
        <v>3074.07</v>
      </c>
      <c r="R333" s="8">
        <f>IFERROR(Q333/Q444, "NA")</f>
        <v>1.0210029880430122E-2</v>
      </c>
      <c r="S333" s="9"/>
      <c r="T333" s="7">
        <v>3762</v>
      </c>
      <c r="U333" s="8">
        <f>IFERROR(T333/T444, "NA")</f>
        <v>1.2555784714016305E-2</v>
      </c>
      <c r="V333" s="9"/>
      <c r="W333" s="10">
        <f t="shared" si="82"/>
        <v>687.92999999999984</v>
      </c>
      <c r="X333" s="8">
        <f>IFERROR(W333/W444, "NA")</f>
        <v>0.47102362204724396</v>
      </c>
      <c r="Y333" s="9"/>
      <c r="Z333" s="7">
        <v>255.41</v>
      </c>
      <c r="AA333" s="8">
        <f>IFERROR(Z333/Z444, "NA")</f>
        <v>9.4173325524455568E-4</v>
      </c>
      <c r="AB333" s="9"/>
      <c r="AC333" s="10">
        <f t="shared" si="83"/>
        <v>-2818.6600000000003</v>
      </c>
      <c r="AD333" s="8">
        <f>IFERROR(AC333/AC444, "NA")</f>
        <v>-9.4362128469163961E-2</v>
      </c>
    </row>
    <row r="334" spans="1:30" ht="16.5" customHeight="1" x14ac:dyDescent="0.45">
      <c r="A334" s="6" t="s">
        <v>305</v>
      </c>
      <c r="B334" s="7">
        <v>2022.4</v>
      </c>
      <c r="C334" s="8">
        <f>IFERROR(B334/B444, "NA")</f>
        <v>1.3370341536066074E-2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-2022.4</v>
      </c>
      <c r="I334" s="8">
        <f>IFERROR(H334/H444, "NA")</f>
        <v>-9.1934293164205247E-2</v>
      </c>
      <c r="J334" s="9"/>
      <c r="K334" s="7">
        <v>1963.5</v>
      </c>
      <c r="L334" s="8">
        <f>IFERROR(K334/K444, "NA")</f>
        <v>1.724075861094013E-2</v>
      </c>
      <c r="M334" s="9"/>
      <c r="N334" s="10">
        <f t="shared" si="81"/>
        <v>-58.900000000000091</v>
      </c>
      <c r="O334" s="8">
        <f>IFERROR(N334/N444, "NA")</f>
        <v>-1.5760015369359667E-3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1387.97</v>
      </c>
      <c r="F337" s="8">
        <f>IFERROR(E337/E444, "NA")</f>
        <v>1.0737662406786102E-2</v>
      </c>
      <c r="G337" s="9"/>
      <c r="H337" s="10">
        <f t="shared" ref="H337:H344" si="84">IFERROR(-(B337-E337), "NA")</f>
        <v>1387.97</v>
      </c>
      <c r="I337" s="8">
        <f>IFERROR(H337/H444, "NA")</f>
        <v>6.309436356958166E-2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4577.43</v>
      </c>
      <c r="U337" s="8">
        <f>IFERROR(T337/T444, "NA")</f>
        <v>1.5277306120010542E-2</v>
      </c>
      <c r="V337" s="9"/>
      <c r="W337" s="10">
        <f t="shared" ref="W337:W344" si="86">IFERROR(-(Q337-T337), "NA")</f>
        <v>4577.43</v>
      </c>
      <c r="X337" s="8">
        <f>IFERROR(W337/W444, "NA")</f>
        <v>3.1341526874358099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346.73</v>
      </c>
      <c r="C338" s="8">
        <f>IFERROR(B338/B444, "NA")</f>
        <v>2.292275771756423E-3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-346.73</v>
      </c>
      <c r="I338" s="8">
        <f>IFERROR(H338/H444, "NA")</f>
        <v>-1.5761658162986986E-2</v>
      </c>
      <c r="J338" s="9"/>
      <c r="K338" s="7">
        <v>400</v>
      </c>
      <c r="L338" s="8">
        <f>IFERROR(K338/K444, "NA")</f>
        <v>3.5122502899801642E-3</v>
      </c>
      <c r="M338" s="9"/>
      <c r="N338" s="10">
        <f t="shared" si="85"/>
        <v>53.269999999999982</v>
      </c>
      <c r="O338" s="8">
        <f>IFERROR(N338/N444, "NA")</f>
        <v>1.425358266087925E-3</v>
      </c>
      <c r="P338" s="9"/>
      <c r="Q338" s="7">
        <v>1225.8399999999999</v>
      </c>
      <c r="R338" s="8">
        <f>IFERROR(Q338/Q444, "NA")</f>
        <v>4.0714307184372698E-3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-1225.8399999999999</v>
      </c>
      <c r="X338" s="8">
        <f>IFERROR(W338/W444, "NA")</f>
        <v>-0.83932899691886331</v>
      </c>
      <c r="Y338" s="9"/>
      <c r="Z338" s="7">
        <v>1200</v>
      </c>
      <c r="AA338" s="8">
        <f>IFERROR(Z338/Z444, "NA")</f>
        <v>4.4245718894854033E-3</v>
      </c>
      <c r="AB338" s="9"/>
      <c r="AC338" s="10">
        <f t="shared" si="87"/>
        <v>-25.839999999999918</v>
      </c>
      <c r="AD338" s="8">
        <f>IFERROR(AC338/AC444, "NA")</f>
        <v>-8.6506261828073932E-4</v>
      </c>
    </row>
    <row r="339" spans="1:30" ht="16.5" customHeight="1" x14ac:dyDescent="0.45">
      <c r="A339" s="12" t="s">
        <v>309</v>
      </c>
      <c r="B339" s="7">
        <v>304.43</v>
      </c>
      <c r="C339" s="8">
        <f>IFERROR(B339/B444, "NA")</f>
        <v>2.0126251353958634E-3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-304.43</v>
      </c>
      <c r="I339" s="8">
        <f>IFERROR(H339/H444, "NA")</f>
        <v>-1.3838784052600377E-2</v>
      </c>
      <c r="J339" s="9"/>
      <c r="K339" s="7">
        <v>424.82</v>
      </c>
      <c r="L339" s="8">
        <f>IFERROR(K339/K444, "NA")</f>
        <v>3.7301854204734334E-3</v>
      </c>
      <c r="M339" s="9"/>
      <c r="N339" s="10">
        <f t="shared" si="85"/>
        <v>120.38999999999999</v>
      </c>
      <c r="O339" s="8">
        <f>IFERROR(N339/N444, "NA")</f>
        <v>3.2213043299103685E-3</v>
      </c>
      <c r="P339" s="9"/>
      <c r="Q339" s="7">
        <v>941.66</v>
      </c>
      <c r="R339" s="8">
        <f>IFERROR(Q339/Q444, "NA")</f>
        <v>3.1275724811750632E-3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-941.66</v>
      </c>
      <c r="X339" s="8">
        <f>IFERROR(W339/W444, "NA")</f>
        <v>-0.64475179732968158</v>
      </c>
      <c r="Y339" s="9"/>
      <c r="Z339" s="7">
        <v>975.41</v>
      </c>
      <c r="AA339" s="8">
        <f>IFERROR(Z339/Z444, "NA")</f>
        <v>3.5964763889357976E-3</v>
      </c>
      <c r="AB339" s="9"/>
      <c r="AC339" s="10">
        <f t="shared" si="87"/>
        <v>33.75</v>
      </c>
      <c r="AD339" s="8">
        <f>IFERROR(AC339/AC444, "NA")</f>
        <v>1.1298708733349476E-3</v>
      </c>
    </row>
    <row r="340" spans="1:30" ht="16.5" customHeight="1" x14ac:dyDescent="0.45">
      <c r="A340" s="12" t="s">
        <v>310</v>
      </c>
      <c r="B340" s="7">
        <v>410</v>
      </c>
      <c r="C340" s="8">
        <f>IFERROR(B340/B444, "NA")</f>
        <v>2.7105617235893445E-3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-410</v>
      </c>
      <c r="I340" s="8">
        <f>IFERROR(H340/H444, "NA")</f>
        <v>-1.8637786885543982E-2</v>
      </c>
      <c r="J340" s="9"/>
      <c r="K340" s="7">
        <v>406.05</v>
      </c>
      <c r="L340" s="8">
        <f>IFERROR(K340/K444, "NA")</f>
        <v>3.5653730756161147E-3</v>
      </c>
      <c r="M340" s="9"/>
      <c r="N340" s="10">
        <f t="shared" si="85"/>
        <v>-3.9499999999999886</v>
      </c>
      <c r="O340" s="8">
        <f>IFERROR(N340/N444, "NA")</f>
        <v>-1.0569110476904992E-4</v>
      </c>
      <c r="P340" s="9"/>
      <c r="Q340" s="7">
        <v>1329.18</v>
      </c>
      <c r="R340" s="8">
        <f>IFERROR(Q340/Q444, "NA")</f>
        <v>4.4146579344224784E-3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-1329.18</v>
      </c>
      <c r="X340" s="8">
        <f>IFERROR(W340/W444, "NA")</f>
        <v>-0.91008558712769605</v>
      </c>
      <c r="Y340" s="9"/>
      <c r="Z340" s="7">
        <v>1156.05</v>
      </c>
      <c r="AA340" s="8">
        <f>IFERROR(Z340/Z444, "NA")</f>
        <v>4.2625219440330002E-3</v>
      </c>
      <c r="AB340" s="9"/>
      <c r="AC340" s="10">
        <f t="shared" si="87"/>
        <v>-173.13000000000011</v>
      </c>
      <c r="AD340" s="8">
        <f>IFERROR(AC340/AC444, "NA")</f>
        <v>-5.7959864977919877E-3</v>
      </c>
    </row>
    <row r="341" spans="1:30" ht="16.5" customHeight="1" x14ac:dyDescent="0.45">
      <c r="A341" s="12" t="s">
        <v>311</v>
      </c>
      <c r="B341" s="7">
        <v>471.16</v>
      </c>
      <c r="C341" s="8">
        <f>IFERROR(B341/B444, "NA")</f>
        <v>3.1148981992350135E-3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-471.16</v>
      </c>
      <c r="I341" s="8">
        <f>IFERROR(H341/H444, "NA")</f>
        <v>-2.1417999192665616E-2</v>
      </c>
      <c r="J341" s="9"/>
      <c r="K341" s="7">
        <v>440.25</v>
      </c>
      <c r="L341" s="8">
        <f>IFERROR(K341/K444, "NA")</f>
        <v>3.8656704754094183E-3</v>
      </c>
      <c r="M341" s="9"/>
      <c r="N341" s="10">
        <f t="shared" si="85"/>
        <v>-30.910000000000025</v>
      </c>
      <c r="O341" s="8">
        <f>IFERROR(N341/N444, "NA")</f>
        <v>-8.2706634136996084E-4</v>
      </c>
      <c r="P341" s="9"/>
      <c r="Q341" s="7">
        <v>1413.06</v>
      </c>
      <c r="R341" s="8">
        <f>IFERROR(Q341/Q444, "NA")</f>
        <v>4.6932518852337733E-3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-1413.06</v>
      </c>
      <c r="X341" s="8">
        <f>IFERROR(W341/W444, "NA")</f>
        <v>-0.9675179732968161</v>
      </c>
      <c r="Y341" s="9"/>
      <c r="Z341" s="7">
        <v>1319.81</v>
      </c>
      <c r="AA341" s="8">
        <f>IFERROR(Z341/Z444, "NA")</f>
        <v>4.8663285212181082E-3</v>
      </c>
      <c r="AB341" s="9"/>
      <c r="AC341" s="10">
        <f t="shared" si="87"/>
        <v>-93.25</v>
      </c>
      <c r="AD341" s="8">
        <f>IFERROR(AC341/AC444, "NA")</f>
        <v>-3.1217913759550775E-3</v>
      </c>
    </row>
    <row r="342" spans="1:30" ht="16.5" customHeight="1" x14ac:dyDescent="0.45">
      <c r="A342" s="13" t="s">
        <v>312</v>
      </c>
      <c r="B342" s="14">
        <f>IFERROR(B337+B338+B339+B340+B341, "NA")</f>
        <v>1532.3200000000002</v>
      </c>
      <c r="C342" s="15">
        <f>IFERROR(B342/B444, "NA")</f>
        <v>1.0130360829976644E-2</v>
      </c>
      <c r="D342" s="2"/>
      <c r="E342" s="14">
        <f>IFERROR(E337+E338+E339+E340+E341, "NA")</f>
        <v>1387.97</v>
      </c>
      <c r="F342" s="15">
        <f>IFERROR(E342/E444, "NA")</f>
        <v>1.0737662406786102E-2</v>
      </c>
      <c r="G342" s="2"/>
      <c r="H342" s="14">
        <f t="shared" si="84"/>
        <v>-144.35000000000014</v>
      </c>
      <c r="I342" s="15">
        <f>IFERROR(H342/H444, "NA")</f>
        <v>-6.5618647242153081E-3</v>
      </c>
      <c r="J342" s="2"/>
      <c r="K342" s="14">
        <f>IFERROR(K337+K338+K339+K340+K341, "NA")</f>
        <v>1671.12</v>
      </c>
      <c r="L342" s="15">
        <f>IFERROR(K342/K444, "NA")</f>
        <v>1.467347926147913E-2</v>
      </c>
      <c r="M342" s="2"/>
      <c r="N342" s="14">
        <f t="shared" si="85"/>
        <v>138.79999999999973</v>
      </c>
      <c r="O342" s="15">
        <f>IFERROR(N342/N444, "NA")</f>
        <v>3.7139051498592764E-3</v>
      </c>
      <c r="P342" s="2"/>
      <c r="Q342" s="14">
        <f>IFERROR(Q337+Q338+Q339+Q340+Q341, "NA")</f>
        <v>4909.74</v>
      </c>
      <c r="R342" s="15">
        <f>IFERROR(Q342/Q444, "NA")</f>
        <v>1.6306913019268586E-2</v>
      </c>
      <c r="S342" s="2"/>
      <c r="T342" s="14">
        <f>IFERROR(T337+T338+T339+T340+T341, "NA")</f>
        <v>4577.43</v>
      </c>
      <c r="U342" s="15">
        <f>IFERROR(T342/T444, "NA")</f>
        <v>1.5277306120010542E-2</v>
      </c>
      <c r="V342" s="2"/>
      <c r="W342" s="14">
        <f t="shared" si="86"/>
        <v>-332.30999999999949</v>
      </c>
      <c r="X342" s="15">
        <f>IFERROR(W342/W444, "NA")</f>
        <v>-0.22753166723724716</v>
      </c>
      <c r="Y342" s="2"/>
      <c r="Z342" s="14">
        <f>IFERROR(Z337+Z338+Z339+Z340+Z341, "NA")</f>
        <v>4651.2700000000004</v>
      </c>
      <c r="AA342" s="15">
        <f>IFERROR(Z342/Z444, "NA")</f>
        <v>1.7149898743672311E-2</v>
      </c>
      <c r="AB342" s="2"/>
      <c r="AC342" s="14">
        <f t="shared" si="87"/>
        <v>-258.46999999999935</v>
      </c>
      <c r="AD342" s="15">
        <f>IFERROR(AC342/AC444, "NA")</f>
        <v>-8.6529696186928347E-3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20017.91</v>
      </c>
      <c r="C343" s="15">
        <f>IFERROR(B343/B444, "NA")</f>
        <v>0.132340928371357</v>
      </c>
      <c r="D343" s="2"/>
      <c r="E343" s="14">
        <f>IFERROR(E328+E329+E330+E331+E332+E333+E334+E335+E337+E338+E339+E340+E341, "NA")</f>
        <v>19850.97</v>
      </c>
      <c r="F343" s="15">
        <f>IFERROR(E343/E444, "NA")</f>
        <v>0.15357177338648437</v>
      </c>
      <c r="G343" s="2"/>
      <c r="H343" s="14">
        <f t="shared" si="84"/>
        <v>-166.93999999999869</v>
      </c>
      <c r="I343" s="15">
        <f>IFERROR(H343/H444, "NA")</f>
        <v>-7.5887613235919218E-3</v>
      </c>
      <c r="J343" s="2"/>
      <c r="K343" s="14">
        <f>IFERROR(K328+K329+K330+K331+K332+K333+K334+K335+K337+K338+K339+K340+K341, "NA")</f>
        <v>16187.029999999999</v>
      </c>
      <c r="L343" s="15">
        <f>IFERROR(K343/K444, "NA")</f>
        <v>0.14213225202854404</v>
      </c>
      <c r="M343" s="2"/>
      <c r="N343" s="14">
        <f t="shared" si="85"/>
        <v>-3830.880000000001</v>
      </c>
      <c r="O343" s="15">
        <f>IFERROR(N343/N444, "NA")</f>
        <v>-0.10250378213611626</v>
      </c>
      <c r="P343" s="2"/>
      <c r="Q343" s="14">
        <f>IFERROR(Q328+Q329+Q330+Q331+Q332+Q333+Q334+Q335+Q337+Q338+Q339+Q340+Q341, "NA")</f>
        <v>54299.31</v>
      </c>
      <c r="R343" s="15">
        <f>IFERROR(Q343/Q444, "NA")</f>
        <v>0.18034643895120736</v>
      </c>
      <c r="S343" s="2"/>
      <c r="T343" s="14">
        <f>IFERROR(T328+T329+T330+T331+T332+T333+T334+T335+T337+T338+T339+T340+T341, "NA")</f>
        <v>53900.43</v>
      </c>
      <c r="U343" s="15">
        <f>IFERROR(T343/T444, "NA")</f>
        <v>0.17989425706350501</v>
      </c>
      <c r="V343" s="2"/>
      <c r="W343" s="14">
        <f t="shared" si="86"/>
        <v>-398.87999999999738</v>
      </c>
      <c r="X343" s="15">
        <f>IFERROR(W343/W444, "NA")</f>
        <v>-0.27311194796302457</v>
      </c>
      <c r="Y343" s="2"/>
      <c r="Z343" s="14">
        <f>IFERROR(Z328+Z329+Z330+Z331+Z332+Z333+Z334+Z335+Z337+Z338+Z339+Z340+Z341, "NA")</f>
        <v>49321.680000000008</v>
      </c>
      <c r="AA343" s="15">
        <f>IFERROR(Z343/Z444, "NA")</f>
        <v>0.18185609905849537</v>
      </c>
      <c r="AB343" s="2"/>
      <c r="AC343" s="14">
        <f t="shared" si="87"/>
        <v>-4977.6299999999901</v>
      </c>
      <c r="AD343" s="15">
        <f>IFERROR(AC343/AC444, "NA")</f>
        <v>-0.16663938237742887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20017.91</v>
      </c>
      <c r="C344" s="15">
        <f>IFERROR(B344/B444, "NA")</f>
        <v>0.132340928371357</v>
      </c>
      <c r="D344" s="2"/>
      <c r="E344" s="14">
        <f>IFERROR(E328+E329+E330+E331+E332+E333+E334+E335+E337+E338+E339+E340+E341, "NA")</f>
        <v>19850.97</v>
      </c>
      <c r="F344" s="15">
        <f>IFERROR(E344/E444, "NA")</f>
        <v>0.15357177338648437</v>
      </c>
      <c r="G344" s="2"/>
      <c r="H344" s="14">
        <f t="shared" si="84"/>
        <v>-166.93999999999869</v>
      </c>
      <c r="I344" s="15">
        <f>IFERROR(H344/H444, "NA")</f>
        <v>-7.5887613235919218E-3</v>
      </c>
      <c r="J344" s="2"/>
      <c r="K344" s="14">
        <f>IFERROR(K328+K329+K330+K331+K332+K333+K334+K335+K337+K338+K339+K340+K341, "NA")</f>
        <v>16187.029999999999</v>
      </c>
      <c r="L344" s="15">
        <f>IFERROR(K344/K444, "NA")</f>
        <v>0.14213225202854404</v>
      </c>
      <c r="M344" s="2"/>
      <c r="N344" s="14">
        <f t="shared" si="85"/>
        <v>-3830.880000000001</v>
      </c>
      <c r="O344" s="15">
        <f>IFERROR(N344/N444, "NA")</f>
        <v>-0.10250378213611626</v>
      </c>
      <c r="P344" s="2"/>
      <c r="Q344" s="14">
        <f>IFERROR(Q328+Q329+Q330+Q331+Q332+Q333+Q334+Q335+Q337+Q338+Q339+Q340+Q341, "NA")</f>
        <v>54299.31</v>
      </c>
      <c r="R344" s="15">
        <f>IFERROR(Q344/Q444, "NA")</f>
        <v>0.18034643895120736</v>
      </c>
      <c r="S344" s="2"/>
      <c r="T344" s="14">
        <f>IFERROR(T328+T329+T330+T331+T332+T333+T334+T335+T337+T338+T339+T340+T341, "NA")</f>
        <v>53900.43</v>
      </c>
      <c r="U344" s="15">
        <f>IFERROR(T344/T444, "NA")</f>
        <v>0.17989425706350501</v>
      </c>
      <c r="V344" s="2"/>
      <c r="W344" s="14">
        <f t="shared" si="86"/>
        <v>-398.87999999999738</v>
      </c>
      <c r="X344" s="15">
        <f>IFERROR(W344/W444, "NA")</f>
        <v>-0.27311194796302457</v>
      </c>
      <c r="Y344" s="2"/>
      <c r="Z344" s="14">
        <f>IFERROR(Z328+Z329+Z330+Z331+Z332+Z333+Z334+Z335+Z337+Z338+Z339+Z340+Z341, "NA")</f>
        <v>49321.680000000008</v>
      </c>
      <c r="AA344" s="15">
        <f>IFERROR(Z344/Z444, "NA")</f>
        <v>0.18185609905849537</v>
      </c>
      <c r="AB344" s="2"/>
      <c r="AC344" s="14">
        <f t="shared" si="87"/>
        <v>-4977.6299999999901</v>
      </c>
      <c r="AD344" s="15">
        <f>IFERROR(AC344/AC444, "NA")</f>
        <v>-0.16663938237742887</v>
      </c>
    </row>
    <row r="345" spans="1:30" ht="16.5" customHeight="1" x14ac:dyDescent="0.45">
      <c r="A345" s="22" t="s">
        <v>315</v>
      </c>
      <c r="B345" s="23">
        <f>IFERROR(B198-B325-B344, "NA")</f>
        <v>15124.500000000033</v>
      </c>
      <c r="C345" s="24">
        <f>IFERROR(B345/B444, "NA")</f>
        <v>9.9989977532749089E-2</v>
      </c>
      <c r="D345" s="25"/>
      <c r="E345" s="23">
        <f>IFERROR(E198-E325-E344, "NA")</f>
        <v>16478.14999999998</v>
      </c>
      <c r="F345" s="24">
        <f>IFERROR(E345/E444, "NA")</f>
        <v>0.12747884449115052</v>
      </c>
      <c r="G345" s="25"/>
      <c r="H345" s="23">
        <f>IFERROR(B345-E345, "NA")</f>
        <v>-1353.6499999999469</v>
      </c>
      <c r="I345" s="24">
        <f>IFERROR(H345/H444, "NA")</f>
        <v>-6.1534244433208832E-2</v>
      </c>
      <c r="J345" s="25"/>
      <c r="K345" s="23">
        <f>IFERROR(K198-K325-K344, "NA")</f>
        <v>8812.8599999999751</v>
      </c>
      <c r="L345" s="24">
        <f>IFERROR(K345/K444, "NA")</f>
        <v>7.7382425226386262E-2</v>
      </c>
      <c r="M345" s="25"/>
      <c r="N345" s="23">
        <f>IFERROR(B345-K345, "NA")</f>
        <v>6311.6400000000576</v>
      </c>
      <c r="O345" s="24">
        <f>IFERROR(N345/N444, "NA")</f>
        <v>0.1688820770897555</v>
      </c>
      <c r="P345" s="25"/>
      <c r="Q345" s="23">
        <f>IFERROR(Q198-Q325-Q344, "NA")</f>
        <v>-5566.7499999998545</v>
      </c>
      <c r="R345" s="24">
        <f>IFERROR(Q345/Q444, "NA")</f>
        <v>-1.8489066233652093E-2</v>
      </c>
      <c r="S345" s="25"/>
      <c r="T345" s="23">
        <f>IFERROR(T198-T325-T344, "NA")</f>
        <v>17751.88000000007</v>
      </c>
      <c r="U345" s="24">
        <f>IFERROR(T345/T444, "NA")</f>
        <v>5.9247417211337756E-2</v>
      </c>
      <c r="V345" s="25"/>
      <c r="W345" s="23">
        <f>IFERROR(Q345-T345, "NA")</f>
        <v>-23318.629999999925</v>
      </c>
      <c r="X345" s="24">
        <f>IFERROR(W345/W444, "NA")</f>
        <v>-15.966196508045138</v>
      </c>
      <c r="Y345" s="25"/>
      <c r="Z345" s="23">
        <f>IFERROR(Z198-Z325-Z344, "NA")</f>
        <v>5074.6599999998289</v>
      </c>
      <c r="AA345" s="24">
        <f>IFERROR(Z345/Z444, "NA")</f>
        <v>1.8710998320579365E-2</v>
      </c>
      <c r="AB345" s="25"/>
      <c r="AC345" s="23">
        <f>IFERROR(Q345-Z345, "NA")</f>
        <v>-10641.409999999683</v>
      </c>
      <c r="AD345" s="24">
        <f>IFERROR(AC345/AC444, "NA")</f>
        <v>-0.35624945808044106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15124.500000000033</v>
      </c>
      <c r="C404" s="24">
        <f>IFERROR(B404/B444, "NA")</f>
        <v>9.9989977532749089E-2</v>
      </c>
      <c r="D404" s="25"/>
      <c r="E404" s="23">
        <f>IFERROR(E345-E403, "NA")</f>
        <v>16478.14999999998</v>
      </c>
      <c r="F404" s="24">
        <f>IFERROR(E404/E444, "NA")</f>
        <v>0.12747884449115052</v>
      </c>
      <c r="G404" s="25"/>
      <c r="H404" s="23">
        <f>IFERROR(B404-E404, "NA")</f>
        <v>-1353.6499999999469</v>
      </c>
      <c r="I404" s="24">
        <f>IFERROR(H404/H444, "NA")</f>
        <v>-6.1534244433208832E-2</v>
      </c>
      <c r="J404" s="25"/>
      <c r="K404" s="23">
        <f>IFERROR(K345-K403, "NA")</f>
        <v>8812.8599999999751</v>
      </c>
      <c r="L404" s="24">
        <f>IFERROR(K404/K444, "NA")</f>
        <v>7.7382425226386262E-2</v>
      </c>
      <c r="M404" s="25"/>
      <c r="N404" s="23">
        <f>IFERROR(B404-K404, "NA")</f>
        <v>6311.6400000000576</v>
      </c>
      <c r="O404" s="24">
        <f>IFERROR(N404/N444, "NA")</f>
        <v>0.1688820770897555</v>
      </c>
      <c r="P404" s="25"/>
      <c r="Q404" s="23">
        <f>IFERROR(Q345-Q403, "NA")</f>
        <v>-5566.7499999998545</v>
      </c>
      <c r="R404" s="24">
        <f>IFERROR(Q404/Q444, "NA")</f>
        <v>-1.8489066233652093E-2</v>
      </c>
      <c r="S404" s="25"/>
      <c r="T404" s="23">
        <f>IFERROR(T345-T403, "NA")</f>
        <v>17751.88000000007</v>
      </c>
      <c r="U404" s="24">
        <f>IFERROR(T404/T444, "NA")</f>
        <v>5.9247417211337756E-2</v>
      </c>
      <c r="V404" s="25"/>
      <c r="W404" s="23">
        <f>IFERROR(Q404-T404, "NA")</f>
        <v>-23318.629999999925</v>
      </c>
      <c r="X404" s="24">
        <f>IFERROR(W404/W444, "NA")</f>
        <v>-15.966196508045138</v>
      </c>
      <c r="Y404" s="25"/>
      <c r="Z404" s="23">
        <f>IFERROR(Z345-Z403, "NA")</f>
        <v>5074.6599999998289</v>
      </c>
      <c r="AA404" s="24">
        <f>IFERROR(Z404/Z444, "NA")</f>
        <v>1.8710998320579365E-2</v>
      </c>
      <c r="AB404" s="25"/>
      <c r="AC404" s="23">
        <f>IFERROR(Q404-Z404, "NA")</f>
        <v>-10641.409999999683</v>
      </c>
      <c r="AD404" s="24">
        <f>IFERROR(AC404/AC444, "NA")</f>
        <v>-0.35624945808044106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8150.72</v>
      </c>
      <c r="C410" s="8">
        <f>IFERROR(B410/B444, "NA")</f>
        <v>5.3885438174863756E-2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-8150.72</v>
      </c>
      <c r="I410" s="8">
        <f>IFERROR(H410/H444, "NA")</f>
        <v>-0.37051556664327084</v>
      </c>
      <c r="J410" s="9"/>
      <c r="K410" s="7">
        <v>8357.0499999999993</v>
      </c>
      <c r="L410" s="8">
        <f>IFERROR(K410/K444, "NA")</f>
        <v>7.3380128214696819E-2</v>
      </c>
      <c r="M410" s="9"/>
      <c r="N410" s="10">
        <f t="shared" si="101"/>
        <v>206.32999999999902</v>
      </c>
      <c r="O410" s="8">
        <f>IFERROR(N410/N444, "NA")</f>
        <v>5.5208216827843113E-3</v>
      </c>
      <c r="P410" s="9"/>
      <c r="Q410" s="7">
        <v>24154.720000000001</v>
      </c>
      <c r="R410" s="8">
        <f>IFERROR(Q410/Q444, "NA")</f>
        <v>8.0226023790422166E-2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-24154.720000000001</v>
      </c>
      <c r="X410" s="8">
        <f>IFERROR(W410/W444, "NA")</f>
        <v>-16.538664840807943</v>
      </c>
      <c r="Y410" s="9"/>
      <c r="Z410" s="7">
        <v>25071.57</v>
      </c>
      <c r="AA410" s="8">
        <f>IFERROR(Z410/Z444, "NA")</f>
        <v>9.2442469872721297E-2</v>
      </c>
      <c r="AB410" s="9"/>
      <c r="AC410" s="10">
        <f t="shared" si="103"/>
        <v>916.84999999999854</v>
      </c>
      <c r="AD410" s="8">
        <f>IFERROR(AC410/AC444, "NA")</f>
        <v>3.0693988450878371E-2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-23.13</v>
      </c>
      <c r="C416" s="8">
        <f>IFERROR(B416/B444, "NA")</f>
        <v>-1.5291534796736959E-4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23.13</v>
      </c>
      <c r="I416" s="8">
        <f>IFERROR(H416/H444, "NA")</f>
        <v>1.0514439284454447E-3</v>
      </c>
      <c r="J416" s="9"/>
      <c r="K416" s="7">
        <v>-33.18</v>
      </c>
      <c r="L416" s="8">
        <f>IFERROR(K416/K444, "NA")</f>
        <v>-2.9134116155385463E-4</v>
      </c>
      <c r="M416" s="9"/>
      <c r="N416" s="10">
        <f t="shared" si="101"/>
        <v>-10.050000000000001</v>
      </c>
      <c r="O416" s="8">
        <f>IFERROR(N416/N444, "NA")</f>
        <v>-2.6891027922252024E-4</v>
      </c>
      <c r="P416" s="9"/>
      <c r="Q416" s="7">
        <v>-78.44</v>
      </c>
      <c r="R416" s="8">
        <f>IFERROR(Q416/Q444, "NA")</f>
        <v>-2.6052586434952317E-4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78.44</v>
      </c>
      <c r="X416" s="8">
        <f>IFERROR(W416/W444, "NA")</f>
        <v>5.3707634371790484E-2</v>
      </c>
      <c r="Y416" s="9"/>
      <c r="Z416" s="7">
        <v>-86.53</v>
      </c>
      <c r="AA416" s="8">
        <f>IFERROR(Z416/Z444, "NA")</f>
        <v>-3.1904850466430996E-4</v>
      </c>
      <c r="AB416" s="9"/>
      <c r="AC416" s="10">
        <f t="shared" si="103"/>
        <v>-8.0900000000000034</v>
      </c>
      <c r="AD416" s="8">
        <f>IFERROR(AC416/AC444, "NA")</f>
        <v>-2.7083423304532535E-4</v>
      </c>
    </row>
    <row r="417" spans="1:30" ht="16.5" customHeight="1" x14ac:dyDescent="0.45">
      <c r="A417" s="6" t="s">
        <v>382</v>
      </c>
      <c r="B417" s="7">
        <v>-225.67</v>
      </c>
      <c r="C417" s="8">
        <f>IFERROR(B417/B444, "NA")</f>
        <v>-1.4919328394205056E-3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225.67</v>
      </c>
      <c r="I417" s="8">
        <f>IFERROR(H417/H444, "NA")</f>
        <v>1.0258510649904171E-2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225.67</v>
      </c>
      <c r="O417" s="8">
        <f>IFERROR(N417/N444, "NA")</f>
        <v>6.0383067375269781E-3</v>
      </c>
      <c r="P417" s="9"/>
      <c r="Q417" s="7">
        <v>-199.16</v>
      </c>
      <c r="R417" s="8">
        <f>IFERROR(Q417/Q444, "NA")</f>
        <v>-6.6147795950855469E-4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199.16</v>
      </c>
      <c r="X417" s="8">
        <f>IFERROR(W417/W444, "NA")</f>
        <v>0.13636425881547415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199.16</v>
      </c>
      <c r="AD417" s="8">
        <f>IFERROR(AC417/AC444, "NA")</f>
        <v>6.6674098706189086E-3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7901.92</v>
      </c>
      <c r="C428" s="15">
        <f>IFERROR(B428/B444, "NA")</f>
        <v>5.2240589987475883E-2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-7901.92</v>
      </c>
      <c r="I428" s="15">
        <f>IFERROR(H428/H444, "NA")</f>
        <v>-0.35920561206492119</v>
      </c>
      <c r="J428" s="2"/>
      <c r="K428" s="14">
        <f>IFERROR(K407+K408+K409+K410+K411+K412+K413+K414+K415+K416+K417+K418+K419+K420+K421+K422+K423+K424+K425+K426+K427, "NA")</f>
        <v>8323.869999999999</v>
      </c>
      <c r="L428" s="15">
        <f>IFERROR(K428/K444, "NA")</f>
        <v>7.3088787053142965E-2</v>
      </c>
      <c r="M428" s="2"/>
      <c r="N428" s="14">
        <f t="shared" si="101"/>
        <v>421.94999999999891</v>
      </c>
      <c r="O428" s="15">
        <f>IFERROR(N428/N444, "NA")</f>
        <v>1.1290218141088767E-2</v>
      </c>
      <c r="P428" s="2"/>
      <c r="Q428" s="14">
        <f>IFERROR(Q407+Q408+Q409+Q410+Q411+Q412+Q413+Q414+Q415+Q416+Q417+Q418+Q419+Q420+Q421+Q422+Q423+Q424+Q425+Q426+Q427, "NA")</f>
        <v>23877.120000000003</v>
      </c>
      <c r="R428" s="15">
        <f>IFERROR(Q428/Q444, "NA")</f>
        <v>7.9304019966564096E-2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-23877.120000000003</v>
      </c>
      <c r="X428" s="15">
        <f>IFERROR(W428/W444, "NA")</f>
        <v>-16.348592947620681</v>
      </c>
      <c r="Y428" s="2"/>
      <c r="Z428" s="14">
        <f>IFERROR(Z407+Z408+Z409+Z410+Z411+Z412+Z413+Z414+Z415+Z416+Z417+Z418+Z419+Z420+Z421+Z422+Z423+Z424+Z425+Z426+Z427, "NA")</f>
        <v>24985.040000000001</v>
      </c>
      <c r="AA428" s="15">
        <f>IFERROR(Z428/Z444, "NA")</f>
        <v>9.2123421368056985E-2</v>
      </c>
      <c r="AB428" s="2"/>
      <c r="AC428" s="14">
        <f t="shared" si="103"/>
        <v>1107.9199999999983</v>
      </c>
      <c r="AD428" s="15">
        <f>IFERROR(AC428/AC444, "NA")</f>
        <v>3.7090564088451947E-2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7901.92</v>
      </c>
      <c r="C429" s="15">
        <f>IFERROR(B429/B444, "NA")</f>
        <v>5.2240589987475883E-2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-7901.92</v>
      </c>
      <c r="I429" s="15">
        <f>IFERROR(H429/H444, "NA")</f>
        <v>-0.35920561206492119</v>
      </c>
      <c r="J429" s="2"/>
      <c r="K429" s="14">
        <f>IFERROR(K407+K408+K409+K410+K411+K412+K413+K414+K415+K416+K417+K418+K419+K420+K421+K422+K423+K424+K425+K426+K427, "NA")</f>
        <v>8323.869999999999</v>
      </c>
      <c r="L429" s="15">
        <f>IFERROR(K429/K444, "NA")</f>
        <v>7.3088787053142965E-2</v>
      </c>
      <c r="M429" s="2"/>
      <c r="N429" s="14">
        <f t="shared" si="101"/>
        <v>421.94999999999891</v>
      </c>
      <c r="O429" s="15">
        <f>IFERROR(N429/N444, "NA")</f>
        <v>1.1290218141088767E-2</v>
      </c>
      <c r="P429" s="2"/>
      <c r="Q429" s="14">
        <f>IFERROR(Q407+Q408+Q409+Q410+Q411+Q412+Q413+Q414+Q415+Q416+Q417+Q418+Q419+Q420+Q421+Q422+Q423+Q424+Q425+Q426+Q427, "NA")</f>
        <v>23877.120000000003</v>
      </c>
      <c r="R429" s="15">
        <f>IFERROR(Q429/Q444, "NA")</f>
        <v>7.9304019966564096E-2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-23877.120000000003</v>
      </c>
      <c r="X429" s="15">
        <f>IFERROR(W429/W444, "NA")</f>
        <v>-16.348592947620681</v>
      </c>
      <c r="Y429" s="2"/>
      <c r="Z429" s="14">
        <f>IFERROR(Z407+Z408+Z409+Z410+Z411+Z412+Z413+Z414+Z415+Z416+Z417+Z418+Z419+Z420+Z421+Z422+Z423+Z424+Z425+Z426+Z427, "NA")</f>
        <v>24985.040000000001</v>
      </c>
      <c r="AA429" s="15">
        <f>IFERROR(Z429/Z444, "NA")</f>
        <v>9.2123421368056985E-2</v>
      </c>
      <c r="AB429" s="2"/>
      <c r="AC429" s="14">
        <f t="shared" si="103"/>
        <v>1107.9199999999983</v>
      </c>
      <c r="AD429" s="15">
        <f>IFERROR(AC429/AC444, "NA")</f>
        <v>3.7090564088451947E-2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7222.5800000000327</v>
      </c>
      <c r="C443" s="24">
        <f>IFERROR(B443/B444, "NA")</f>
        <v>4.7749387545273206E-2</v>
      </c>
      <c r="D443" s="25"/>
      <c r="E443" s="23">
        <f>IFERROR(E404-E429-E442, "NA")</f>
        <v>16478.14999999998</v>
      </c>
      <c r="F443" s="24">
        <f>IFERROR(E443/E444, "NA")</f>
        <v>0.12747884449115052</v>
      </c>
      <c r="G443" s="25"/>
      <c r="H443" s="23">
        <f>IFERROR(B443-E443, "NA")</f>
        <v>-9255.569999999947</v>
      </c>
      <c r="I443" s="24">
        <f>IFERROR(H443/H444, "NA")</f>
        <v>-0.42073985649813006</v>
      </c>
      <c r="J443" s="25"/>
      <c r="K443" s="23">
        <f>IFERROR(K404-K429-K442, "NA")</f>
        <v>488.98999999997613</v>
      </c>
      <c r="L443" s="24">
        <f>IFERROR(K443/K444, "NA")</f>
        <v>4.2936381732432919E-3</v>
      </c>
      <c r="M443" s="25"/>
      <c r="N443" s="23">
        <f>IFERROR(B443-K443, "NA")</f>
        <v>6733.5900000000565</v>
      </c>
      <c r="O443" s="24">
        <f>IFERROR(N443/N444, "NA")</f>
        <v>0.18017229523084427</v>
      </c>
      <c r="P443" s="25"/>
      <c r="Q443" s="23">
        <f>IFERROR(Q404-Q429-Q442, "NA")</f>
        <v>-29443.869999999857</v>
      </c>
      <c r="R443" s="24">
        <f>IFERROR(Q443/Q444, "NA")</f>
        <v>-9.7793086200216178E-2</v>
      </c>
      <c r="S443" s="25"/>
      <c r="T443" s="23">
        <f>IFERROR(T404-T429-T442, "NA")</f>
        <v>17751.88000000007</v>
      </c>
      <c r="U443" s="24">
        <f>IFERROR(T443/T444, "NA")</f>
        <v>5.9247417211337756E-2</v>
      </c>
      <c r="V443" s="25"/>
      <c r="W443" s="23">
        <f>IFERROR(Q443-T443, "NA")</f>
        <v>-47195.749999999927</v>
      </c>
      <c r="X443" s="24">
        <f>IFERROR(W443/W444, "NA")</f>
        <v>-32.314789455665817</v>
      </c>
      <c r="Y443" s="25"/>
      <c r="Z443" s="23">
        <f>IFERROR(Z404-Z429-Z442, "NA")</f>
        <v>-19910.380000000172</v>
      </c>
      <c r="AA443" s="24">
        <f>IFERROR(Z443/Z444, "NA")</f>
        <v>-7.3412423047477623E-2</v>
      </c>
      <c r="AB443" s="25"/>
      <c r="AC443" s="23">
        <f>IFERROR(Q443-Z443, "NA")</f>
        <v>-9533.4899999996851</v>
      </c>
      <c r="AD443" s="24">
        <f>IFERROR(AC443/AC444, "NA")</f>
        <v>-0.31915889399198916</v>
      </c>
    </row>
    <row r="444" spans="1:30" ht="15.75" hidden="1" x14ac:dyDescent="0.45">
      <c r="A444" s="26" t="s">
        <v>117</v>
      </c>
      <c r="B444" s="7">
        <v>151260.16</v>
      </c>
      <c r="C444" s="27"/>
      <c r="D444" s="9"/>
      <c r="E444" s="7">
        <v>129261.84</v>
      </c>
      <c r="F444" s="27"/>
      <c r="G444" s="9"/>
      <c r="H444" s="10">
        <f>IFERROR(B444-E444, "NA")</f>
        <v>21998.320000000007</v>
      </c>
      <c r="I444" s="27"/>
      <c r="J444" s="9"/>
      <c r="K444" s="7">
        <v>113887.1</v>
      </c>
      <c r="L444" s="27"/>
      <c r="M444" s="9"/>
      <c r="N444" s="10">
        <f>IFERROR(B444-K444, "NA")</f>
        <v>37373.06</v>
      </c>
      <c r="O444" s="27"/>
      <c r="P444" s="9"/>
      <c r="Q444" s="7">
        <v>301083.34999999998</v>
      </c>
      <c r="R444" s="27"/>
      <c r="S444" s="9"/>
      <c r="T444" s="7">
        <v>299622.84999999998</v>
      </c>
      <c r="U444" s="27"/>
      <c r="V444" s="9"/>
      <c r="W444" s="10">
        <f>IFERROR(Q444-T444, "NA")</f>
        <v>1460.5</v>
      </c>
      <c r="X444" s="27"/>
      <c r="Y444" s="9"/>
      <c r="Z444" s="7">
        <v>271212.68</v>
      </c>
      <c r="AA444" s="27"/>
      <c r="AB444" s="9"/>
      <c r="AC444" s="10">
        <f>IFERROR(Q444-Z444, "NA")</f>
        <v>29870.669999999984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70223.839999999997</v>
      </c>
      <c r="F10" s="8">
        <f>IFERROR(E10/E444, "NA")</f>
        <v>0.5340000339149803</v>
      </c>
      <c r="G10" s="9"/>
      <c r="H10" s="10">
        <f t="shared" ref="H10:H19" si="0">IFERROR(B10-E10, "NA")</f>
        <v>-70223.839999999997</v>
      </c>
      <c r="I10" s="8">
        <f>IFERROR(H10/H444, "NA")</f>
        <v>-4.6678099583363251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164366.14000000001</v>
      </c>
      <c r="U10" s="8">
        <f>IFERROR(T10/T444, "NA")</f>
        <v>0.53400000051981511</v>
      </c>
      <c r="V10" s="9"/>
      <c r="W10" s="10">
        <f t="shared" ref="W10:W19" si="2">IFERROR(Q10-T10, "NA")</f>
        <v>-164366.14000000001</v>
      </c>
      <c r="X10" s="8">
        <f>IFERROR(W10/W444, "NA")</f>
        <v>-5.7559251141354251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60012.55</v>
      </c>
      <c r="C11" s="8">
        <f>IFERROR(B11/B444, "NA")</f>
        <v>0.40950336333250748</v>
      </c>
      <c r="D11" s="9"/>
      <c r="E11" s="7">
        <v>0</v>
      </c>
      <c r="F11" s="8">
        <f>IFERROR(E11/E444, "NA")</f>
        <v>0</v>
      </c>
      <c r="G11" s="9"/>
      <c r="H11" s="10">
        <f t="shared" si="0"/>
        <v>60012.55</v>
      </c>
      <c r="I11" s="8">
        <f>IFERROR(H11/H444, "NA")</f>
        <v>3.9890609587165358</v>
      </c>
      <c r="J11" s="9"/>
      <c r="K11" s="7">
        <v>67034.929999999993</v>
      </c>
      <c r="L11" s="8">
        <f>IFERROR(K11/K444, "NA")</f>
        <v>0.59131084847263282</v>
      </c>
      <c r="M11" s="9"/>
      <c r="N11" s="10">
        <f t="shared" si="1"/>
        <v>-7022.3799999999901</v>
      </c>
      <c r="O11" s="8">
        <f>IFERROR(N11/N444, "NA")</f>
        <v>-0.21162621515754751</v>
      </c>
      <c r="P11" s="9"/>
      <c r="Q11" s="7">
        <v>144288.01999999999</v>
      </c>
      <c r="R11" s="8">
        <f>IFERROR(Q11/Q444, "NA")</f>
        <v>0.42897189079187259</v>
      </c>
      <c r="S11" s="9"/>
      <c r="T11" s="7">
        <v>0</v>
      </c>
      <c r="U11" s="8">
        <f>IFERROR(T11/T444, "NA")</f>
        <v>0</v>
      </c>
      <c r="V11" s="9"/>
      <c r="W11" s="10">
        <f t="shared" si="2"/>
        <v>144288.01999999999</v>
      </c>
      <c r="X11" s="8">
        <f>IFERROR(W11/W444, "NA")</f>
        <v>5.0528109864165112</v>
      </c>
      <c r="Y11" s="9"/>
      <c r="Z11" s="7">
        <v>160112.54999999999</v>
      </c>
      <c r="AA11" s="8">
        <f>IFERROR(Z11/Z444, "NA")</f>
        <v>0.58762309527875434</v>
      </c>
      <c r="AB11" s="9"/>
      <c r="AC11" s="10">
        <f t="shared" si="3"/>
        <v>-15824.529999999999</v>
      </c>
      <c r="AD11" s="8">
        <f>IFERROR(AC11/AC444, "NA")</f>
        <v>-0.24771174856972533</v>
      </c>
    </row>
    <row r="12" spans="1:30" ht="16.5" customHeight="1" x14ac:dyDescent="0.45">
      <c r="A12" s="12" t="s">
        <v>14</v>
      </c>
      <c r="B12" s="7">
        <v>8853.65</v>
      </c>
      <c r="C12" s="8">
        <f>IFERROR(B12/B444, "NA")</f>
        <v>6.0414020946766213E-2</v>
      </c>
      <c r="D12" s="9"/>
      <c r="E12" s="7">
        <v>0</v>
      </c>
      <c r="F12" s="8">
        <f>IFERROR(E12/E444, "NA")</f>
        <v>0</v>
      </c>
      <c r="G12" s="9"/>
      <c r="H12" s="10">
        <f t="shared" si="0"/>
        <v>8853.65</v>
      </c>
      <c r="I12" s="8">
        <f>IFERROR(H12/H444, "NA")</f>
        <v>0.58850606343407597</v>
      </c>
      <c r="J12" s="9"/>
      <c r="K12" s="7">
        <v>7463.35</v>
      </c>
      <c r="L12" s="8">
        <f>IFERROR(K12/K444, "NA")</f>
        <v>6.5833735053474729E-2</v>
      </c>
      <c r="M12" s="9"/>
      <c r="N12" s="10">
        <f t="shared" si="1"/>
        <v>1390.2999999999993</v>
      </c>
      <c r="O12" s="8">
        <f>IFERROR(N12/N444, "NA")</f>
        <v>4.189803555682526E-2</v>
      </c>
      <c r="P12" s="9"/>
      <c r="Q12" s="7">
        <v>17754.75</v>
      </c>
      <c r="R12" s="8">
        <f>IFERROR(Q12/Q444, "NA")</f>
        <v>5.2785315634915501E-2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17754.75</v>
      </c>
      <c r="X12" s="8">
        <f>IFERROR(W12/W444, "NA")</f>
        <v>0.6217522138087318</v>
      </c>
      <c r="Y12" s="9"/>
      <c r="Z12" s="7">
        <v>16738</v>
      </c>
      <c r="AA12" s="8">
        <f>IFERROR(Z12/Z444, "NA")</f>
        <v>6.142950923444658E-2</v>
      </c>
      <c r="AB12" s="9"/>
      <c r="AC12" s="10">
        <f t="shared" si="3"/>
        <v>1016.75</v>
      </c>
      <c r="AD12" s="8">
        <f>IFERROR(AC12/AC444, "NA")</f>
        <v>1.5915854711531292E-2</v>
      </c>
    </row>
    <row r="13" spans="1:30" ht="16.5" customHeight="1" x14ac:dyDescent="0.45">
      <c r="A13" s="12" t="s">
        <v>15</v>
      </c>
      <c r="B13" s="7">
        <v>274</v>
      </c>
      <c r="C13" s="8">
        <f>IFERROR(B13/B444, "NA")</f>
        <v>1.8696742856803626E-3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274</v>
      </c>
      <c r="I13" s="8">
        <f>IFERROR(H13/H444, "NA")</f>
        <v>1.8212902179432982E-2</v>
      </c>
      <c r="J13" s="9"/>
      <c r="K13" s="7">
        <v>280</v>
      </c>
      <c r="L13" s="8">
        <f>IFERROR(K13/K444, "NA")</f>
        <v>2.4698621684595954E-3</v>
      </c>
      <c r="M13" s="9"/>
      <c r="N13" s="10">
        <f t="shared" si="1"/>
        <v>-6</v>
      </c>
      <c r="O13" s="8">
        <f>IFERROR(N13/N444, "NA")</f>
        <v>-1.8081580474786139E-4</v>
      </c>
      <c r="P13" s="9"/>
      <c r="Q13" s="7">
        <v>505.5</v>
      </c>
      <c r="R13" s="8">
        <f>IFERROR(Q13/Q444, "NA")</f>
        <v>1.5028641379602522E-3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505.5</v>
      </c>
      <c r="X13" s="8">
        <f>IFERROR(W13/W444, "NA")</f>
        <v>1.7702065310990799E-2</v>
      </c>
      <c r="Y13" s="9"/>
      <c r="Z13" s="7">
        <v>632</v>
      </c>
      <c r="AA13" s="8">
        <f>IFERROR(Z13/Z444, "NA")</f>
        <v>2.3194796174077093E-3</v>
      </c>
      <c r="AB13" s="9"/>
      <c r="AC13" s="10">
        <f t="shared" si="3"/>
        <v>-126.5</v>
      </c>
      <c r="AD13" s="8">
        <f>IFERROR(AC13/AC444, "NA")</f>
        <v>-1.9801874807068684E-3</v>
      </c>
    </row>
    <row r="14" spans="1:30" ht="16.5" customHeight="1" x14ac:dyDescent="0.45">
      <c r="A14" s="12" t="s">
        <v>16</v>
      </c>
      <c r="B14" s="7">
        <v>405</v>
      </c>
      <c r="C14" s="8">
        <f>IFERROR(B14/B444, "NA")</f>
        <v>2.763569655841412E-3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405</v>
      </c>
      <c r="I14" s="8">
        <f>IFERROR(H14/H444, "NA")</f>
        <v>2.6920530593687438E-2</v>
      </c>
      <c r="J14" s="9"/>
      <c r="K14" s="7">
        <v>830</v>
      </c>
      <c r="L14" s="8">
        <f>IFERROR(K14/K444, "NA")</f>
        <v>7.3213771422195153E-3</v>
      </c>
      <c r="M14" s="9"/>
      <c r="N14" s="10">
        <f t="shared" si="1"/>
        <v>-425</v>
      </c>
      <c r="O14" s="8">
        <f>IFERROR(N14/N444, "NA")</f>
        <v>-1.2807786169640182E-2</v>
      </c>
      <c r="P14" s="9"/>
      <c r="Q14" s="7">
        <v>1040</v>
      </c>
      <c r="R14" s="8">
        <f>IFERROR(Q14/Q444, "NA")</f>
        <v>3.0919460009469083E-3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1040</v>
      </c>
      <c r="X14" s="8">
        <f>IFERROR(W14/W444, "NA")</f>
        <v>3.6419679373749618E-2</v>
      </c>
      <c r="Y14" s="9"/>
      <c r="Z14" s="7">
        <v>1685</v>
      </c>
      <c r="AA14" s="8">
        <f>IFERROR(Z14/Z444, "NA")</f>
        <v>6.1840556255253016E-3</v>
      </c>
      <c r="AB14" s="9"/>
      <c r="AC14" s="10">
        <f t="shared" si="3"/>
        <v>-645</v>
      </c>
      <c r="AD14" s="8">
        <f>IFERROR(AC14/AC444, "NA")</f>
        <v>-1.0096608103208933E-2</v>
      </c>
    </row>
    <row r="15" spans="1:30" ht="16.5" customHeight="1" x14ac:dyDescent="0.45">
      <c r="A15" s="12" t="s">
        <v>17</v>
      </c>
      <c r="B15" s="7">
        <v>59</v>
      </c>
      <c r="C15" s="8">
        <f>IFERROR(B15/B444, "NA")</f>
        <v>4.0259409801146493E-4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59</v>
      </c>
      <c r="I15" s="8">
        <f>IFERROR(H15/H444, "NA")</f>
        <v>3.9217563087100213E-3</v>
      </c>
      <c r="J15" s="9"/>
      <c r="K15" s="7">
        <v>200</v>
      </c>
      <c r="L15" s="8">
        <f>IFERROR(K15/K444, "NA")</f>
        <v>1.7641872631854255E-3</v>
      </c>
      <c r="M15" s="9"/>
      <c r="N15" s="10">
        <f t="shared" si="1"/>
        <v>-141</v>
      </c>
      <c r="O15" s="8">
        <f>IFERROR(N15/N444, "NA")</f>
        <v>-4.2491714115747425E-3</v>
      </c>
      <c r="P15" s="9"/>
      <c r="Q15" s="7">
        <v>137</v>
      </c>
      <c r="R15" s="8">
        <f>IFERROR(Q15/Q444, "NA")</f>
        <v>4.07304425124737E-4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137</v>
      </c>
      <c r="X15" s="8">
        <f>IFERROR(W15/W444, "NA")</f>
        <v>4.7975923790420172E-3</v>
      </c>
      <c r="Y15" s="9"/>
      <c r="Z15" s="7">
        <v>456</v>
      </c>
      <c r="AA15" s="8">
        <f>IFERROR(Z15/Z444, "NA")</f>
        <v>1.6735485847118917E-3</v>
      </c>
      <c r="AB15" s="9"/>
      <c r="AC15" s="10">
        <f t="shared" si="3"/>
        <v>-319</v>
      </c>
      <c r="AD15" s="8">
        <f>IFERROR(AC15/AC444, "NA")</f>
        <v>-4.993516255695581E-3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69604.2</v>
      </c>
      <c r="C18" s="15">
        <f>IFERROR(B18/B444, "NA")</f>
        <v>0.47495322231880688</v>
      </c>
      <c r="D18" s="2"/>
      <c r="E18" s="14">
        <f>IFERROR(E10+E11+E12+E13+E14+E15+E16+E17, "NA")</f>
        <v>70223.839999999997</v>
      </c>
      <c r="F18" s="15">
        <f>IFERROR(E18/E444, "NA")</f>
        <v>0.5340000339149803</v>
      </c>
      <c r="G18" s="2"/>
      <c r="H18" s="14">
        <f t="shared" si="0"/>
        <v>-619.63999999999942</v>
      </c>
      <c r="I18" s="15">
        <f>IFERROR(H18/H444, "NA")</f>
        <v>-4.1187747103882635E-2</v>
      </c>
      <c r="J18" s="2"/>
      <c r="K18" s="14">
        <f>IFERROR(K10+K11+K12+K13+K14+K15+K16+K17, "NA")</f>
        <v>75808.28</v>
      </c>
      <c r="L18" s="15">
        <f>IFERROR(K18/K444, "NA")</f>
        <v>0.66870001009997215</v>
      </c>
      <c r="M18" s="2"/>
      <c r="N18" s="14">
        <f t="shared" si="1"/>
        <v>-6204.0800000000017</v>
      </c>
      <c r="O18" s="15">
        <f>IFERROR(N18/N444, "NA")</f>
        <v>-0.18696595298668536</v>
      </c>
      <c r="P18" s="2"/>
      <c r="Q18" s="14">
        <f>IFERROR(Q10+Q11+Q12+Q13+Q14+Q15+Q16+Q17, "NA")</f>
        <v>163725.26999999999</v>
      </c>
      <c r="R18" s="15">
        <f>IFERROR(Q18/Q444, "NA")</f>
        <v>0.48675932099082003</v>
      </c>
      <c r="S18" s="2"/>
      <c r="T18" s="14">
        <f>IFERROR(T10+T11+T12+T13+T14+T15+T16+T17, "NA")</f>
        <v>164366.14000000001</v>
      </c>
      <c r="U18" s="15">
        <f>IFERROR(T18/T444, "NA")</f>
        <v>0.53400000051981511</v>
      </c>
      <c r="V18" s="2"/>
      <c r="W18" s="14">
        <f t="shared" si="2"/>
        <v>-640.87000000002445</v>
      </c>
      <c r="X18" s="15">
        <f>IFERROR(W18/W444, "NA")</f>
        <v>-2.2442576846399814E-2</v>
      </c>
      <c r="Y18" s="2"/>
      <c r="Z18" s="14">
        <f>IFERROR(Z10+Z11+Z12+Z13+Z14+Z15+Z16+Z17, "NA")</f>
        <v>179623.55</v>
      </c>
      <c r="AA18" s="15">
        <f>IFERROR(Z18/Z444, "NA")</f>
        <v>0.65922968834084583</v>
      </c>
      <c r="AB18" s="2"/>
      <c r="AC18" s="14">
        <f t="shared" si="3"/>
        <v>-15898.279999999999</v>
      </c>
      <c r="AD18" s="15">
        <f>IFERROR(AC18/AC444, "NA")</f>
        <v>-0.24886620569780543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13939.56</v>
      </c>
      <c r="F21" s="8">
        <f>IFERROR(E21/E444, "NA")</f>
        <v>0.10599997825182876</v>
      </c>
      <c r="G21" s="9"/>
      <c r="H21" s="10">
        <f t="shared" ref="H21:H29" si="4">IFERROR(B21-E21, "NA")</f>
        <v>-13939.56</v>
      </c>
      <c r="I21" s="8">
        <f>IFERROR(H21/H444, "NA")</f>
        <v>-0.92656876899392993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32626.98</v>
      </c>
      <c r="U21" s="8">
        <f>IFERROR(T21/T444, "NA")</f>
        <v>0.10599997868758125</v>
      </c>
      <c r="V21" s="9"/>
      <c r="W21" s="10">
        <f t="shared" ref="W21:W29" si="6">IFERROR(Q21-T21, "NA")</f>
        <v>-32626.98</v>
      </c>
      <c r="X21" s="8">
        <f>IFERROR(W21/W444, "NA")</f>
        <v>-1.1425616832055205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11663.3</v>
      </c>
      <c r="C22" s="8">
        <f>IFERROR(B22/B444, "NA")</f>
        <v>7.9586029548086759E-2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11663.3</v>
      </c>
      <c r="I22" s="8">
        <f>IFERROR(H22/H444, "NA")</f>
        <v>0.77526475178606091</v>
      </c>
      <c r="J22" s="9"/>
      <c r="K22" s="7">
        <v>11948.73</v>
      </c>
      <c r="L22" s="8">
        <f>IFERROR(K22/K444, "NA")</f>
        <v>0.10539898638620794</v>
      </c>
      <c r="M22" s="9"/>
      <c r="N22" s="10">
        <f t="shared" si="5"/>
        <v>-285.43000000000029</v>
      </c>
      <c r="O22" s="8">
        <f>IFERROR(N22/N444, "NA")</f>
        <v>-8.6017091915303549E-3</v>
      </c>
      <c r="P22" s="9"/>
      <c r="Q22" s="7">
        <v>27822.15</v>
      </c>
      <c r="R22" s="8">
        <f>IFERROR(Q22/Q444, "NA")</f>
        <v>8.2715947529081763E-2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27822.15</v>
      </c>
      <c r="X22" s="8">
        <f>IFERROR(W22/W444, "NA")</f>
        <v>0.97430171393112308</v>
      </c>
      <c r="Y22" s="9"/>
      <c r="Z22" s="7">
        <v>29358.44</v>
      </c>
      <c r="AA22" s="8">
        <f>IFERROR(Z22/Z444, "NA")</f>
        <v>0.10774731515646707</v>
      </c>
      <c r="AB22" s="9"/>
      <c r="AC22" s="10">
        <f t="shared" si="7"/>
        <v>-1536.2899999999972</v>
      </c>
      <c r="AD22" s="8">
        <f>IFERROR(AC22/AC444, "NA")</f>
        <v>-2.4048555136246239E-2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1839.22</v>
      </c>
      <c r="C24" s="8">
        <f>IFERROR(B24/B444, "NA")</f>
        <v>1.2550154524485534E-2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1839.22</v>
      </c>
      <c r="I24" s="8">
        <f>IFERROR(H24/H444, "NA")</f>
        <v>0.12225377352721434</v>
      </c>
      <c r="J24" s="9"/>
      <c r="K24" s="7">
        <v>575.30999999999995</v>
      </c>
      <c r="L24" s="8">
        <f>IFERROR(K24/K444, "NA")</f>
        <v>5.074772871916035E-3</v>
      </c>
      <c r="M24" s="9"/>
      <c r="N24" s="10">
        <f t="shared" si="5"/>
        <v>1263.9100000000001</v>
      </c>
      <c r="O24" s="8">
        <f>IFERROR(N24/N444, "NA")</f>
        <v>3.8089150629811587E-2</v>
      </c>
      <c r="P24" s="9"/>
      <c r="Q24" s="7">
        <v>4458.29</v>
      </c>
      <c r="R24" s="8">
        <f>IFERROR(Q24/Q444, "NA")</f>
        <v>1.3254607631309223E-2</v>
      </c>
      <c r="S24" s="9"/>
      <c r="T24" s="7">
        <v>0</v>
      </c>
      <c r="U24" s="8">
        <f>IFERROR(T24/T444, "NA")</f>
        <v>0</v>
      </c>
      <c r="V24" s="9"/>
      <c r="W24" s="10">
        <f t="shared" si="6"/>
        <v>4458.29</v>
      </c>
      <c r="X24" s="8">
        <f>IFERROR(W24/W444, "NA")</f>
        <v>0.1561245118799944</v>
      </c>
      <c r="Y24" s="9"/>
      <c r="Z24" s="7">
        <v>1423.42</v>
      </c>
      <c r="AA24" s="8">
        <f>IFERROR(Z24/Z444, "NA")</f>
        <v>5.2240406281811426E-3</v>
      </c>
      <c r="AB24" s="9"/>
      <c r="AC24" s="10">
        <f t="shared" si="7"/>
        <v>3034.87</v>
      </c>
      <c r="AD24" s="8">
        <f>IFERROR(AC24/AC444, "NA")</f>
        <v>4.750681090571425E-2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928.45</v>
      </c>
      <c r="C28" s="8">
        <f>IFERROR(B28/B444, "NA")</f>
        <v>6.3353981406566885E-3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928.45</v>
      </c>
      <c r="I28" s="8">
        <f>IFERROR(H28/H444, "NA")</f>
        <v>6.1714485505454574E-2</v>
      </c>
      <c r="J28" s="9"/>
      <c r="K28" s="7">
        <v>1679.86</v>
      </c>
      <c r="L28" s="8">
        <f>IFERROR(K28/K444, "NA")</f>
        <v>1.4817938079673344E-2</v>
      </c>
      <c r="M28" s="9"/>
      <c r="N28" s="10">
        <f t="shared" si="5"/>
        <v>-751.40999999999985</v>
      </c>
      <c r="O28" s="8">
        <f>IFERROR(N28/N444, "NA")</f>
        <v>-2.2644467307598417E-2</v>
      </c>
      <c r="P28" s="9"/>
      <c r="Q28" s="7">
        <v>2575.6999999999998</v>
      </c>
      <c r="R28" s="8">
        <f>IFERROR(Q28/Q444, "NA")</f>
        <v>7.6576204948451462E-3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2575.6999999999998</v>
      </c>
      <c r="X28" s="8">
        <f>IFERROR(W28/W444, "NA")</f>
        <v>9.0198238618237392E-2</v>
      </c>
      <c r="Y28" s="9"/>
      <c r="Z28" s="7">
        <v>2280.2199999999998</v>
      </c>
      <c r="AA28" s="8">
        <f>IFERROR(Z28/Z444, "NA")</f>
        <v>8.3685503373503271E-3</v>
      </c>
      <c r="AB28" s="9"/>
      <c r="AC28" s="10">
        <f t="shared" si="7"/>
        <v>295.48</v>
      </c>
      <c r="AD28" s="8">
        <f>IFERROR(AC28/AC444, "NA")</f>
        <v>4.6253422671878692E-3</v>
      </c>
    </row>
    <row r="29" spans="1:30" ht="16.5" customHeight="1" x14ac:dyDescent="0.45">
      <c r="A29" s="13" t="s">
        <v>30</v>
      </c>
      <c r="B29" s="14">
        <f>IFERROR(B21+B22+B23+B24+B25+B26+B27+B28, "NA")</f>
        <v>14430.97</v>
      </c>
      <c r="C29" s="15">
        <f>IFERROR(B29/B444, "NA")</f>
        <v>9.8471582213228978E-2</v>
      </c>
      <c r="D29" s="2"/>
      <c r="E29" s="14">
        <f>IFERROR(E21+E22+E23+E24+E25+E26+E27+E28, "NA")</f>
        <v>13939.56</v>
      </c>
      <c r="F29" s="15">
        <f>IFERROR(E29/E444, "NA")</f>
        <v>0.10599997825182876</v>
      </c>
      <c r="G29" s="2"/>
      <c r="H29" s="14">
        <f t="shared" si="4"/>
        <v>491.40999999999985</v>
      </c>
      <c r="I29" s="15">
        <f>IFERROR(H29/H444, "NA")</f>
        <v>3.266424182479985E-2</v>
      </c>
      <c r="J29" s="2"/>
      <c r="K29" s="14">
        <f>IFERROR(K21+K22+K23+K24+K25+K26+K27+K28, "NA")</f>
        <v>14203.9</v>
      </c>
      <c r="L29" s="15">
        <f>IFERROR(K29/K444, "NA")</f>
        <v>0.12529169733779733</v>
      </c>
      <c r="M29" s="2"/>
      <c r="N29" s="14">
        <f t="shared" si="5"/>
        <v>227.06999999999971</v>
      </c>
      <c r="O29" s="15">
        <f>IFERROR(N29/N444, "NA")</f>
        <v>6.8429741306828057E-3</v>
      </c>
      <c r="P29" s="2"/>
      <c r="Q29" s="14">
        <f>IFERROR(Q21+Q22+Q23+Q24+Q25+Q26+Q27+Q28, "NA")</f>
        <v>34856.14</v>
      </c>
      <c r="R29" s="15">
        <f>IFERROR(Q29/Q444, "NA")</f>
        <v>0.10362817565523613</v>
      </c>
      <c r="S29" s="2"/>
      <c r="T29" s="14">
        <f>IFERROR(T21+T22+T23+T24+T25+T26+T27+T28, "NA")</f>
        <v>32626.98</v>
      </c>
      <c r="U29" s="15">
        <f>IFERROR(T29/T444, "NA")</f>
        <v>0.10599997868758125</v>
      </c>
      <c r="V29" s="2"/>
      <c r="W29" s="14">
        <f t="shared" si="6"/>
        <v>2229.16</v>
      </c>
      <c r="X29" s="15">
        <f>IFERROR(W29/W444, "NA")</f>
        <v>7.8062781223834324E-2</v>
      </c>
      <c r="Y29" s="2"/>
      <c r="Z29" s="14">
        <f>IFERROR(Z21+Z22+Z23+Z24+Z25+Z26+Z27+Z28, "NA")</f>
        <v>33062.080000000002</v>
      </c>
      <c r="AA29" s="15">
        <f>IFERROR(Z29/Z444, "NA")</f>
        <v>0.12133990612199855</v>
      </c>
      <c r="AB29" s="2"/>
      <c r="AC29" s="14">
        <f t="shared" si="7"/>
        <v>1794.0599999999977</v>
      </c>
      <c r="AD29" s="15">
        <f>IFERROR(AC29/AC444, "NA")</f>
        <v>2.8083598036655805E-2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25117.51</v>
      </c>
      <c r="F31" s="8">
        <f>IFERROR(E31/E444, "NA")</f>
        <v>0.1909999679860836</v>
      </c>
      <c r="G31" s="9"/>
      <c r="H31" s="10">
        <f t="shared" ref="H31:H40" si="8">IFERROR(B31-E31, "NA")</f>
        <v>-25117.51</v>
      </c>
      <c r="I31" s="8">
        <f>IFERROR(H31/H444, "NA")</f>
        <v>-1.6695720898574076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58790.13</v>
      </c>
      <c r="U31" s="8">
        <f>IFERROR(T31/T444, "NA")</f>
        <v>0.19099997998711896</v>
      </c>
      <c r="V31" s="9"/>
      <c r="W31" s="10">
        <f t="shared" ref="W31:W40" si="10">IFERROR(Q31-T31, "NA")</f>
        <v>-58790.13</v>
      </c>
      <c r="X31" s="8">
        <f>IFERROR(W31/W444, "NA")</f>
        <v>-2.0587670047510178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10289.41</v>
      </c>
      <c r="C33" s="8">
        <f>IFERROR(B33/B444, "NA")</f>
        <v>7.0211114203731315E-2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10289.41</v>
      </c>
      <c r="I33" s="8">
        <f>IFERROR(H33/H444, "NA")</f>
        <v>0.6839416708543048</v>
      </c>
      <c r="J33" s="9"/>
      <c r="K33" s="7">
        <v>7149.52</v>
      </c>
      <c r="L33" s="8">
        <f>IFERROR(K33/K444, "NA")</f>
        <v>6.3065460609447316E-2</v>
      </c>
      <c r="M33" s="9"/>
      <c r="N33" s="10">
        <f t="shared" si="9"/>
        <v>3139.8899999999994</v>
      </c>
      <c r="O33" s="8">
        <f>IFERROR(N33/N444, "NA")</f>
        <v>9.4623622861627066E-2</v>
      </c>
      <c r="P33" s="9"/>
      <c r="Q33" s="7">
        <v>25957.09</v>
      </c>
      <c r="R33" s="8">
        <f>IFERROR(Q33/Q444, "NA")</f>
        <v>7.7171077520883646E-2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25957.09</v>
      </c>
      <c r="X33" s="8">
        <f>IFERROR(W33/W444, "NA")</f>
        <v>0.90898932238034857</v>
      </c>
      <c r="Y33" s="9"/>
      <c r="Z33" s="7">
        <v>17235.310000000001</v>
      </c>
      <c r="AA33" s="8">
        <f>IFERROR(Z33/Z444, "NA")</f>
        <v>6.325466810870771E-2</v>
      </c>
      <c r="AB33" s="9"/>
      <c r="AC33" s="10">
        <f t="shared" si="11"/>
        <v>8721.7799999999988</v>
      </c>
      <c r="AD33" s="8">
        <f>IFERROR(AC33/AC444, "NA")</f>
        <v>0.13652774360062883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1777.9</v>
      </c>
      <c r="C35" s="8">
        <f>IFERROR(B35/B444, "NA")</f>
        <v>1.2131729607704806E-2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1777.9</v>
      </c>
      <c r="I35" s="8">
        <f>IFERROR(H35/H444, "NA")</f>
        <v>0.11817780578399234</v>
      </c>
      <c r="J35" s="9"/>
      <c r="K35" s="7">
        <v>0</v>
      </c>
      <c r="L35" s="8">
        <f>IFERROR(K35/K444, "NA")</f>
        <v>0</v>
      </c>
      <c r="M35" s="9"/>
      <c r="N35" s="10">
        <f t="shared" si="9"/>
        <v>1777.9</v>
      </c>
      <c r="O35" s="8">
        <f>IFERROR(N35/N444, "NA")</f>
        <v>5.3578736543537127E-2</v>
      </c>
      <c r="P35" s="9"/>
      <c r="Q35" s="7">
        <v>3756.42</v>
      </c>
      <c r="R35" s="8">
        <f>IFERROR(Q35/Q444, "NA")</f>
        <v>1.1167930573920178E-2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3756.42</v>
      </c>
      <c r="X35" s="8">
        <f>IFERROR(W35/W444, "NA")</f>
        <v>0.13154578076263512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3756.42</v>
      </c>
      <c r="AD35" s="8">
        <f>IFERROR(AC35/AC444, "NA")</f>
        <v>5.8801706373730389E-2</v>
      </c>
    </row>
    <row r="36" spans="1:30" ht="16.5" customHeight="1" x14ac:dyDescent="0.45">
      <c r="A36" s="12" t="s">
        <v>36</v>
      </c>
      <c r="B36" s="7">
        <v>13910.02</v>
      </c>
      <c r="C36" s="8">
        <f>IFERROR(B36/B444, "NA")</f>
        <v>9.4916812800363348E-2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13910.02</v>
      </c>
      <c r="I36" s="8">
        <f>IFERROR(H36/H444, "NA")</f>
        <v>0.92460523202173861</v>
      </c>
      <c r="J36" s="9"/>
      <c r="K36" s="7">
        <v>7326.69</v>
      </c>
      <c r="L36" s="8">
        <f>IFERROR(K36/K444, "NA")</f>
        <v>6.4628265896540124E-2</v>
      </c>
      <c r="M36" s="9"/>
      <c r="N36" s="10">
        <f t="shared" si="9"/>
        <v>6583.3300000000008</v>
      </c>
      <c r="O36" s="8">
        <f>IFERROR(N36/N444, "NA")</f>
        <v>0.19839501864512307</v>
      </c>
      <c r="P36" s="9"/>
      <c r="Q36" s="7">
        <v>36370.28</v>
      </c>
      <c r="R36" s="8">
        <f>IFERROR(Q36/Q444, "NA")</f>
        <v>0.10812975173011473</v>
      </c>
      <c r="S36" s="9"/>
      <c r="T36" s="7">
        <v>0</v>
      </c>
      <c r="U36" s="8">
        <f>IFERROR(T36/T444, "NA")</f>
        <v>0</v>
      </c>
      <c r="V36" s="9"/>
      <c r="W36" s="10">
        <f t="shared" si="10"/>
        <v>36370.28</v>
      </c>
      <c r="X36" s="8">
        <f>IFERROR(W36/W444, "NA")</f>
        <v>1.2736480157052867</v>
      </c>
      <c r="Y36" s="9"/>
      <c r="Z36" s="7">
        <v>21048.720000000001</v>
      </c>
      <c r="AA36" s="8">
        <f>IFERROR(Z36/Z444, "NA")</f>
        <v>7.7250121855256329E-2</v>
      </c>
      <c r="AB36" s="9"/>
      <c r="AC36" s="10">
        <f t="shared" si="11"/>
        <v>15321.559999999998</v>
      </c>
      <c r="AD36" s="8">
        <f>IFERROR(AC36/AC444, "NA")</f>
        <v>0.23983842922449897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1161.4000000000001</v>
      </c>
      <c r="C39" s="8">
        <f>IFERROR(B39/B444, "NA")</f>
        <v>7.9249624649239906E-3</v>
      </c>
      <c r="D39" s="9"/>
      <c r="E39" s="7">
        <v>0</v>
      </c>
      <c r="F39" s="8">
        <f>IFERROR(E39/E444, "NA")</f>
        <v>0</v>
      </c>
      <c r="G39" s="9"/>
      <c r="H39" s="10">
        <f t="shared" si="8"/>
        <v>1161.4000000000001</v>
      </c>
      <c r="I39" s="8">
        <f>IFERROR(H39/H444, "NA")</f>
        <v>7.7198775880268133E-2</v>
      </c>
      <c r="J39" s="9"/>
      <c r="K39" s="7">
        <v>1168.44</v>
      </c>
      <c r="L39" s="8">
        <f>IFERROR(K39/K444, "NA")</f>
        <v>1.0306734828981893E-2</v>
      </c>
      <c r="M39" s="9"/>
      <c r="N39" s="10">
        <f t="shared" si="9"/>
        <v>-7.0399999999999636</v>
      </c>
      <c r="O39" s="8">
        <f>IFERROR(N39/N444, "NA")</f>
        <v>-2.1215721090415626E-4</v>
      </c>
      <c r="P39" s="9"/>
      <c r="Q39" s="7">
        <v>2861.85</v>
      </c>
      <c r="R39" s="8">
        <f>IFERROR(Q39/Q444, "NA")</f>
        <v>8.5083515988556829E-3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2861.85</v>
      </c>
      <c r="X39" s="8">
        <f>IFERROR(W39/W444, "NA")</f>
        <v>0.10021890328438975</v>
      </c>
      <c r="Y39" s="9"/>
      <c r="Z39" s="7">
        <v>2467.0300000000002</v>
      </c>
      <c r="AA39" s="8">
        <f>IFERROR(Z39/Z444, "NA")</f>
        <v>9.0541547476793386E-3</v>
      </c>
      <c r="AB39" s="9"/>
      <c r="AC39" s="10">
        <f t="shared" si="11"/>
        <v>394.81999999999971</v>
      </c>
      <c r="AD39" s="8">
        <f>IFERROR(AC39/AC444, "NA")</f>
        <v>6.18037645164178E-3</v>
      </c>
    </row>
    <row r="40" spans="1:30" ht="16.5" customHeight="1" x14ac:dyDescent="0.45">
      <c r="A40" s="13" t="s">
        <v>40</v>
      </c>
      <c r="B40" s="14">
        <f>IFERROR(B31+B32+B33+B34+B35+B36+B37+B38+B39, "NA")</f>
        <v>27138.730000000003</v>
      </c>
      <c r="C40" s="15">
        <f>IFERROR(B40/B444, "NA")</f>
        <v>0.18518461907672348</v>
      </c>
      <c r="D40" s="2"/>
      <c r="E40" s="14">
        <f>IFERROR(E31+E32+E33+E34+E35+E36+E37+E38+E39, "NA")</f>
        <v>25117.51</v>
      </c>
      <c r="F40" s="15">
        <f>IFERROR(E40/E444, "NA")</f>
        <v>0.1909999679860836</v>
      </c>
      <c r="G40" s="2"/>
      <c r="H40" s="14">
        <f t="shared" si="8"/>
        <v>2021.2200000000048</v>
      </c>
      <c r="I40" s="15">
        <f>IFERROR(H40/H444, "NA")</f>
        <v>0.13435139468289642</v>
      </c>
      <c r="J40" s="2"/>
      <c r="K40" s="14">
        <f>IFERROR(K31+K32+K33+K34+K35+K36+K37+K38+K39, "NA")</f>
        <v>15644.65</v>
      </c>
      <c r="L40" s="15">
        <f>IFERROR(K40/K444, "NA")</f>
        <v>0.13800046133496932</v>
      </c>
      <c r="M40" s="2"/>
      <c r="N40" s="14">
        <f t="shared" si="9"/>
        <v>11494.080000000004</v>
      </c>
      <c r="O40" s="15">
        <f>IFERROR(N40/N444, "NA")</f>
        <v>0.34638522083938322</v>
      </c>
      <c r="P40" s="2"/>
      <c r="Q40" s="14">
        <f>IFERROR(Q31+Q32+Q33+Q34+Q35+Q36+Q37+Q38+Q39, "NA")</f>
        <v>68945.640000000014</v>
      </c>
      <c r="R40" s="15">
        <f>IFERROR(Q40/Q444, "NA")</f>
        <v>0.20497711142377428</v>
      </c>
      <c r="S40" s="2"/>
      <c r="T40" s="14">
        <f>IFERROR(T31+T32+T33+T34+T35+T36+T37+T38+T39, "NA")</f>
        <v>58790.13</v>
      </c>
      <c r="U40" s="15">
        <f>IFERROR(T40/T444, "NA")</f>
        <v>0.19099997998711896</v>
      </c>
      <c r="V40" s="2"/>
      <c r="W40" s="14">
        <f t="shared" si="10"/>
        <v>10155.510000000017</v>
      </c>
      <c r="X40" s="15">
        <f>IFERROR(W40/W444, "NA")</f>
        <v>0.35563501738164288</v>
      </c>
      <c r="Y40" s="2"/>
      <c r="Z40" s="14">
        <f>IFERROR(Z31+Z32+Z33+Z34+Z35+Z36+Z37+Z38+Z39, "NA")</f>
        <v>40751.06</v>
      </c>
      <c r="AA40" s="15">
        <f>IFERROR(Z40/Z444, "NA")</f>
        <v>0.14955894471164335</v>
      </c>
      <c r="AB40" s="2"/>
      <c r="AC40" s="14">
        <f t="shared" si="11"/>
        <v>28194.580000000016</v>
      </c>
      <c r="AD40" s="15">
        <f>IFERROR(AC40/AC444, "NA")</f>
        <v>0.44134825565050029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9518.93</v>
      </c>
      <c r="C43" s="8">
        <f>IFERROR(B43/B444, "NA")</f>
        <v>6.4953644701428379E-2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9518.93</v>
      </c>
      <c r="I43" s="8">
        <f>IFERROR(H43/H444, "NA")</f>
        <v>0.63272752168930657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9518.93</v>
      </c>
      <c r="O43" s="8">
        <f>IFERROR(N43/N444, "NA")</f>
        <v>0.28686216471476006</v>
      </c>
      <c r="P43" s="9"/>
      <c r="Q43" s="7">
        <v>13685.46</v>
      </c>
      <c r="R43" s="8">
        <f>IFERROR(Q43/Q444, "NA")</f>
        <v>4.0687214728960454E-2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13685.46</v>
      </c>
      <c r="X43" s="8">
        <f>IFERROR(W43/W444, "NA")</f>
        <v>0.47925006277141868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13685.46</v>
      </c>
      <c r="AD43" s="8">
        <f>IFERROR(AC43/AC444, "NA")</f>
        <v>0.21422748268549102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25906.55</v>
      </c>
      <c r="F46" s="8">
        <f>IFERROR(E46/E444, "NA")</f>
        <v>0.19700002988472481</v>
      </c>
      <c r="G46" s="9"/>
      <c r="H46" s="10">
        <f t="shared" ref="H46:H62" si="12">IFERROR(B46-E46, "NA")</f>
        <v>-25906.55</v>
      </c>
      <c r="I46" s="8">
        <f>IFERROR(H46/H444, "NA")</f>
        <v>-1.7220199304985018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60636.95</v>
      </c>
      <c r="U46" s="8">
        <f>IFERROR(T46/T444, "NA")</f>
        <v>0.19700001065620937</v>
      </c>
      <c r="V46" s="9"/>
      <c r="W46" s="10">
        <f t="shared" ref="W46:W62" si="14">IFERROR(Q46-T46, "NA")</f>
        <v>-60636.95</v>
      </c>
      <c r="X46" s="8">
        <f>IFERROR(W46/W444, "NA")</f>
        <v>-2.1234406511558528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16073.46</v>
      </c>
      <c r="C48" s="8">
        <f>IFERROR(B48/B444, "NA")</f>
        <v>0.10967932424785358</v>
      </c>
      <c r="D48" s="9"/>
      <c r="E48" s="7">
        <v>0</v>
      </c>
      <c r="F48" s="8">
        <f>IFERROR(E48/E444, "NA")</f>
        <v>0</v>
      </c>
      <c r="G48" s="9"/>
      <c r="H48" s="10">
        <f t="shared" si="12"/>
        <v>16073.46</v>
      </c>
      <c r="I48" s="8">
        <f>IFERROR(H48/H444, "NA")</f>
        <v>1.0684100535220031</v>
      </c>
      <c r="J48" s="9"/>
      <c r="K48" s="7">
        <v>14521.55</v>
      </c>
      <c r="L48" s="8">
        <f>IFERROR(K48/K444, "NA")</f>
        <v>0.12809366775855158</v>
      </c>
      <c r="M48" s="9"/>
      <c r="N48" s="10">
        <f t="shared" si="13"/>
        <v>1551.9099999999999</v>
      </c>
      <c r="O48" s="8">
        <f>IFERROR(N48/N444, "NA")</f>
        <v>4.6768309257708925E-2</v>
      </c>
      <c r="P48" s="9"/>
      <c r="Q48" s="7">
        <v>45473.13</v>
      </c>
      <c r="R48" s="8">
        <f>IFERROR(Q48/Q444, "NA")</f>
        <v>0.13519275235965278</v>
      </c>
      <c r="S48" s="9"/>
      <c r="T48" s="7">
        <v>0</v>
      </c>
      <c r="U48" s="8">
        <f>IFERROR(T48/T444, "NA")</f>
        <v>0</v>
      </c>
      <c r="V48" s="9"/>
      <c r="W48" s="10">
        <f t="shared" si="14"/>
        <v>45473.13</v>
      </c>
      <c r="X48" s="8">
        <f>IFERROR(W48/W444, "NA")</f>
        <v>1.592420014154649</v>
      </c>
      <c r="Y48" s="9"/>
      <c r="Z48" s="7">
        <v>35837.56</v>
      </c>
      <c r="AA48" s="8">
        <f>IFERROR(Z48/Z444, "NA")</f>
        <v>0.13152609170510415</v>
      </c>
      <c r="AB48" s="9"/>
      <c r="AC48" s="10">
        <f t="shared" si="15"/>
        <v>9635.57</v>
      </c>
      <c r="AD48" s="8">
        <f>IFERROR(AC48/AC444, "NA")</f>
        <v>0.15083189789308046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16073.46</v>
      </c>
      <c r="C61" s="15">
        <f>IFERROR(B61/B444, "NA")</f>
        <v>0.10967932424785358</v>
      </c>
      <c r="D61" s="2"/>
      <c r="E61" s="14">
        <f>IFERROR(E46+E47+E48+E49+E50+E51+E52+E53+E54+E55+E56+E57+E58+E59+E60, "NA")</f>
        <v>25906.55</v>
      </c>
      <c r="F61" s="15">
        <f>IFERROR(E61/E444, "NA")</f>
        <v>0.19700002988472481</v>
      </c>
      <c r="G61" s="2"/>
      <c r="H61" s="14">
        <f t="shared" si="12"/>
        <v>-9833.09</v>
      </c>
      <c r="I61" s="15">
        <f>IFERROR(H61/H444, "NA")</f>
        <v>-0.65360987697649875</v>
      </c>
      <c r="J61" s="2"/>
      <c r="K61" s="14">
        <f>IFERROR(K46+K47+K48+K49+K50+K51+K52+K53+K54+K55+K56+K57+K58+K59+K60, "NA")</f>
        <v>14521.55</v>
      </c>
      <c r="L61" s="15">
        <f>IFERROR(K61/K444, "NA")</f>
        <v>0.12809366775855158</v>
      </c>
      <c r="M61" s="2"/>
      <c r="N61" s="14">
        <f t="shared" si="13"/>
        <v>1551.9099999999999</v>
      </c>
      <c r="O61" s="15">
        <f>IFERROR(N61/N444, "NA")</f>
        <v>4.6768309257708925E-2</v>
      </c>
      <c r="P61" s="2"/>
      <c r="Q61" s="14">
        <f>IFERROR(Q46+Q47+Q48+Q49+Q50+Q51+Q52+Q53+Q54+Q55+Q56+Q57+Q58+Q59+Q60, "NA")</f>
        <v>45473.13</v>
      </c>
      <c r="R61" s="15">
        <f>IFERROR(Q61/Q444, "NA")</f>
        <v>0.13519275235965278</v>
      </c>
      <c r="S61" s="2"/>
      <c r="T61" s="14">
        <f>IFERROR(T46+T47+T48+T49+T50+T51+T52+T53+T54+T55+T56+T57+T58+T59+T60, "NA")</f>
        <v>60636.95</v>
      </c>
      <c r="U61" s="15">
        <f>IFERROR(T61/T444, "NA")</f>
        <v>0.19700001065620937</v>
      </c>
      <c r="V61" s="2"/>
      <c r="W61" s="14">
        <f t="shared" si="14"/>
        <v>-15163.82</v>
      </c>
      <c r="X61" s="15">
        <f>IFERROR(W61/W444, "NA")</f>
        <v>-0.53102063700120372</v>
      </c>
      <c r="Y61" s="2"/>
      <c r="Z61" s="14">
        <f>IFERROR(Z46+Z47+Z48+Z49+Z50+Z51+Z52+Z53+Z54+Z55+Z56+Z57+Z58+Z59+Z60, "NA")</f>
        <v>35837.56</v>
      </c>
      <c r="AA61" s="15">
        <f>IFERROR(Z61/Z444, "NA")</f>
        <v>0.13152609170510415</v>
      </c>
      <c r="AB61" s="2"/>
      <c r="AC61" s="14">
        <f t="shared" si="15"/>
        <v>9635.57</v>
      </c>
      <c r="AD61" s="15">
        <f>IFERROR(AC61/AC444, "NA")</f>
        <v>0.15083189789308046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25592.39</v>
      </c>
      <c r="C62" s="15">
        <f>IFERROR(B62/B444, "NA")</f>
        <v>0.17463296894928196</v>
      </c>
      <c r="D62" s="2"/>
      <c r="E62" s="14">
        <f>IFERROR(E42+E43+E44+E46+E47+E48+E49+E50+E51+E52+E53+E54+E55+E56+E57+E58+E59+E60, "NA")</f>
        <v>25906.55</v>
      </c>
      <c r="F62" s="15">
        <f>IFERROR(E62/E444, "NA")</f>
        <v>0.19700002988472481</v>
      </c>
      <c r="G62" s="2"/>
      <c r="H62" s="14">
        <f t="shared" si="12"/>
        <v>-314.15999999999985</v>
      </c>
      <c r="I62" s="15">
        <f>IFERROR(H62/H444, "NA")</f>
        <v>-2.0882355287192199E-2</v>
      </c>
      <c r="J62" s="2"/>
      <c r="K62" s="14">
        <f>IFERROR(K42+K43+K44+K46+K47+K48+K49+K50+K51+K52+K53+K54+K55+K56+K57+K58+K59+K60, "NA")</f>
        <v>14521.55</v>
      </c>
      <c r="L62" s="15">
        <f>IFERROR(K62/K444, "NA")</f>
        <v>0.12809366775855158</v>
      </c>
      <c r="M62" s="2"/>
      <c r="N62" s="14">
        <f t="shared" si="13"/>
        <v>11070.84</v>
      </c>
      <c r="O62" s="15">
        <f>IFERROR(N62/N444, "NA")</f>
        <v>0.33363047397246898</v>
      </c>
      <c r="P62" s="2"/>
      <c r="Q62" s="14">
        <f>IFERROR(Q42+Q43+Q44+Q46+Q47+Q48+Q49+Q50+Q51+Q52+Q53+Q54+Q55+Q56+Q57+Q58+Q59+Q60, "NA")</f>
        <v>59158.59</v>
      </c>
      <c r="R62" s="15">
        <f>IFERROR(Q62/Q444, "NA")</f>
        <v>0.17587996708861323</v>
      </c>
      <c r="S62" s="2"/>
      <c r="T62" s="14">
        <f>IFERROR(T42+T43+T44+T46+T47+T48+T49+T50+T51+T52+T53+T54+T55+T56+T57+T58+T59+T60, "NA")</f>
        <v>60636.95</v>
      </c>
      <c r="U62" s="15">
        <f>IFERROR(T62/T444, "NA")</f>
        <v>0.19700001065620937</v>
      </c>
      <c r="V62" s="2"/>
      <c r="W62" s="14">
        <f t="shared" si="14"/>
        <v>-1478.3600000000006</v>
      </c>
      <c r="X62" s="15">
        <f>IFERROR(W62/W444, "NA")</f>
        <v>-5.17705742297851E-2</v>
      </c>
      <c r="Y62" s="2"/>
      <c r="Z62" s="14">
        <f>IFERROR(Z42+Z43+Z44+Z46+Z47+Z48+Z49+Z50+Z51+Z52+Z53+Z54+Z55+Z56+Z57+Z58+Z59+Z60, "NA")</f>
        <v>35837.56</v>
      </c>
      <c r="AA62" s="15">
        <f>IFERROR(Z62/Z444, "NA")</f>
        <v>0.13152609170510415</v>
      </c>
      <c r="AB62" s="2"/>
      <c r="AC62" s="14">
        <f t="shared" si="15"/>
        <v>23321.03</v>
      </c>
      <c r="AD62" s="15">
        <f>IFERROR(AC62/AC444, "NA")</f>
        <v>0.36505938057857146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14811.27</v>
      </c>
      <c r="C66" s="8">
        <f>IFERROR(B66/B444, "NA")</f>
        <v>0.10106660823820797</v>
      </c>
      <c r="D66" s="9"/>
      <c r="E66" s="7">
        <v>0</v>
      </c>
      <c r="F66" s="8">
        <f>IFERROR(E66/E444, "NA")</f>
        <v>0</v>
      </c>
      <c r="G66" s="9"/>
      <c r="H66" s="10">
        <f t="shared" si="16"/>
        <v>14811.27</v>
      </c>
      <c r="I66" s="8">
        <f>IFERROR(H66/H444, "NA")</f>
        <v>0.9845117213984319</v>
      </c>
      <c r="J66" s="9"/>
      <c r="K66" s="7">
        <v>0</v>
      </c>
      <c r="L66" s="8">
        <f>IFERROR(K66/K444, "NA")</f>
        <v>0</v>
      </c>
      <c r="M66" s="9"/>
      <c r="N66" s="10">
        <f t="shared" si="17"/>
        <v>14811.27</v>
      </c>
      <c r="O66" s="8">
        <f>IFERROR(N66/N444, "NA")</f>
        <v>0.44635195073130951</v>
      </c>
      <c r="P66" s="9"/>
      <c r="Q66" s="7">
        <v>22267.99</v>
      </c>
      <c r="R66" s="8">
        <f>IFERROR(Q66/Q444, "NA")</f>
        <v>6.6203290990024768E-2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22267.99</v>
      </c>
      <c r="X66" s="8">
        <f>IFERROR(W66/W444, "NA")</f>
        <v>0.77980101547871428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22267.99</v>
      </c>
      <c r="AD66" s="8">
        <f>IFERROR(AC66/AC444, "NA")</f>
        <v>0.34857545469174495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14811.27</v>
      </c>
      <c r="C73" s="15">
        <f>IFERROR(B73/B444, "NA")</f>
        <v>0.10106660823820797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14811.27</v>
      </c>
      <c r="I73" s="15">
        <f>IFERROR(H73/H444, "NA")</f>
        <v>0.9845117213984319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14811.27</v>
      </c>
      <c r="O73" s="15">
        <f>IFERROR(N73/N444, "NA")</f>
        <v>0.44635195073130951</v>
      </c>
      <c r="P73" s="2"/>
      <c r="Q73" s="14">
        <f>IFERROR(Q64+Q65+Q66+Q67+Q68+Q69+Q70+Q71+Q72, "NA")</f>
        <v>22267.99</v>
      </c>
      <c r="R73" s="15">
        <f>IFERROR(Q73/Q444, "NA")</f>
        <v>6.6203290990024768E-2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22267.99</v>
      </c>
      <c r="X73" s="15">
        <f>IFERROR(W73/W444, "NA")</f>
        <v>0.77980101547871428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22267.99</v>
      </c>
      <c r="AD73" s="15">
        <f>IFERROR(AC73/AC444, "NA")</f>
        <v>0.34857545469174495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1972.58</v>
      </c>
      <c r="F75" s="8">
        <f>IFERROR(E75/E444, "NA")</f>
        <v>1.5000002661489487E-2</v>
      </c>
      <c r="G75" s="9"/>
      <c r="H75" s="10">
        <f t="shared" ref="H75:H92" si="20">IFERROR(B75-E75, "NA")</f>
        <v>-1972.58</v>
      </c>
      <c r="I75" s="8">
        <f>IFERROR(H75/H444, "NA")</f>
        <v>-0.13111827219381719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4617.03</v>
      </c>
      <c r="U75" s="8">
        <f>IFERROR(T75/T444, "NA")</f>
        <v>1.5000011695839555E-2</v>
      </c>
      <c r="V75" s="9"/>
      <c r="W75" s="10">
        <f t="shared" ref="W75:W92" si="22">IFERROR(Q75-T75, "NA")</f>
        <v>-4617.03</v>
      </c>
      <c r="X75" s="8">
        <f>IFERROR(W75/W444, "NA")</f>
        <v>-0.16168341563363767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723.11</v>
      </c>
      <c r="C77" s="8">
        <f>IFERROR(B77/B444, "NA")</f>
        <v>4.9342342070011931E-3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723.11</v>
      </c>
      <c r="I77" s="8">
        <f>IFERROR(H77/H444, "NA")</f>
        <v>4.8065444142225487E-2</v>
      </c>
      <c r="J77" s="9"/>
      <c r="K77" s="7">
        <v>104.65</v>
      </c>
      <c r="L77" s="8">
        <f>IFERROR(K77/K444, "NA")</f>
        <v>9.2311098546177391E-4</v>
      </c>
      <c r="M77" s="9"/>
      <c r="N77" s="10">
        <f t="shared" si="21"/>
        <v>618.46</v>
      </c>
      <c r="O77" s="8">
        <f>IFERROR(N77/N444, "NA")</f>
        <v>1.8637890434060393E-2</v>
      </c>
      <c r="P77" s="9"/>
      <c r="Q77" s="7">
        <v>1041.18</v>
      </c>
      <c r="R77" s="8">
        <f>IFERROR(Q77/Q444, "NA")</f>
        <v>3.0954541704479831E-3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1041.18</v>
      </c>
      <c r="X77" s="8">
        <f>IFERROR(W77/W444, "NA")</f>
        <v>3.6461001702269832E-2</v>
      </c>
      <c r="Y77" s="9"/>
      <c r="Z77" s="7">
        <v>221.26</v>
      </c>
      <c r="AA77" s="8">
        <f>IFERROR(Z77/Z444, "NA")</f>
        <v>8.1203806985384456E-4</v>
      </c>
      <c r="AB77" s="9"/>
      <c r="AC77" s="10">
        <f t="shared" si="23"/>
        <v>819.92000000000007</v>
      </c>
      <c r="AD77" s="8">
        <f>IFERROR(AC77/AC444, "NA")</f>
        <v>1.2834745606175301E-2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14.95</v>
      </c>
      <c r="AA79" s="8">
        <f>IFERROR(Z79/Z444, "NA")</f>
        <v>5.4867437152286797E-5</v>
      </c>
      <c r="AB79" s="9"/>
      <c r="AC79" s="10">
        <f t="shared" si="23"/>
        <v>-14.95</v>
      </c>
      <c r="AD79" s="8">
        <f>IFERROR(AC79/AC444, "NA")</f>
        <v>-2.3402215681081169E-4</v>
      </c>
    </row>
    <row r="80" spans="1:30" ht="16.5" customHeight="1" x14ac:dyDescent="0.45">
      <c r="A80" s="12" t="s">
        <v>76</v>
      </c>
      <c r="B80" s="7">
        <v>913.25</v>
      </c>
      <c r="C80" s="8">
        <f>IFERROR(B80/B444, "NA")</f>
        <v>6.2316789832028872E-3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913.25</v>
      </c>
      <c r="I80" s="8">
        <f>IFERROR(H80/H444, "NA")</f>
        <v>6.0704134727617411E-2</v>
      </c>
      <c r="J80" s="9"/>
      <c r="K80" s="7">
        <v>780</v>
      </c>
      <c r="L80" s="8">
        <f>IFERROR(K80/K444, "NA")</f>
        <v>6.8803303264231589E-3</v>
      </c>
      <c r="M80" s="9"/>
      <c r="N80" s="10">
        <f t="shared" si="21"/>
        <v>133.25</v>
      </c>
      <c r="O80" s="8">
        <f>IFERROR(N80/N444, "NA")</f>
        <v>4.0156176637754218E-3</v>
      </c>
      <c r="P80" s="9"/>
      <c r="Q80" s="7">
        <v>3574.98</v>
      </c>
      <c r="R80" s="8">
        <f>IFERROR(Q80/Q444, "NA")</f>
        <v>1.062850491775498E-2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3574.98</v>
      </c>
      <c r="X80" s="8">
        <f>IFERROR(W80/W444, "NA")</f>
        <v>0.12519194746881482</v>
      </c>
      <c r="Y80" s="9"/>
      <c r="Z80" s="7">
        <v>2445</v>
      </c>
      <c r="AA80" s="8">
        <f>IFERROR(Z80/Z444, "NA")</f>
        <v>8.9733032667117865E-3</v>
      </c>
      <c r="AB80" s="9"/>
      <c r="AC80" s="10">
        <f t="shared" si="23"/>
        <v>1129.98</v>
      </c>
      <c r="AD80" s="8">
        <f>IFERROR(AC80/AC444, "NA")</f>
        <v>1.7688318177463611E-2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1636.3600000000001</v>
      </c>
      <c r="C88" s="15">
        <f>IFERROR(B88/B444, "NA")</f>
        <v>1.1165913190204081E-2</v>
      </c>
      <c r="D88" s="2"/>
      <c r="E88" s="14">
        <f>IFERROR(E75+E76+E77+E78+E79+E80+E81+E82+E83+E84+E85+E86+E87, "NA")</f>
        <v>1972.58</v>
      </c>
      <c r="F88" s="15">
        <f>IFERROR(E88/E444, "NA")</f>
        <v>1.5000002661489487E-2</v>
      </c>
      <c r="G88" s="2"/>
      <c r="H88" s="14">
        <f t="shared" si="20"/>
        <v>-336.2199999999998</v>
      </c>
      <c r="I88" s="15">
        <f>IFERROR(H88/H444, "NA")</f>
        <v>-2.2348693323974284E-2</v>
      </c>
      <c r="J88" s="2"/>
      <c r="K88" s="14">
        <f>IFERROR(K75+K76+K77+K78+K79+K80+K81+K82+K83+K84+K85+K86+K87, "NA")</f>
        <v>884.65</v>
      </c>
      <c r="L88" s="15">
        <f>IFERROR(K88/K444, "NA")</f>
        <v>7.8034413118849332E-3</v>
      </c>
      <c r="M88" s="2"/>
      <c r="N88" s="14">
        <f t="shared" si="21"/>
        <v>751.71000000000015</v>
      </c>
      <c r="O88" s="15">
        <f>IFERROR(N88/N444, "NA")</f>
        <v>2.2653508097835819E-2</v>
      </c>
      <c r="P88" s="2"/>
      <c r="Q88" s="14">
        <f>IFERROR(Q75+Q76+Q77+Q78+Q79+Q80+Q81+Q82+Q83+Q84+Q85+Q86+Q87, "NA")</f>
        <v>4616.16</v>
      </c>
      <c r="R88" s="15">
        <f>IFERROR(Q88/Q444, "NA")</f>
        <v>1.3723959088202961E-2</v>
      </c>
      <c r="S88" s="2"/>
      <c r="T88" s="14">
        <f>IFERROR(T75+T76+T77+T78+T79+T80+T81+T82+T83+T84+T85+T86+T87, "NA")</f>
        <v>4617.03</v>
      </c>
      <c r="U88" s="15">
        <f>IFERROR(T88/T444, "NA")</f>
        <v>1.5000011695839555E-2</v>
      </c>
      <c r="V88" s="2"/>
      <c r="W88" s="14">
        <f t="shared" si="22"/>
        <v>-0.86999999999989086</v>
      </c>
      <c r="X88" s="15">
        <f>IFERROR(W88/W444, "NA")</f>
        <v>-3.0466462553036722E-5</v>
      </c>
      <c r="Y88" s="2"/>
      <c r="Z88" s="14">
        <f>IFERROR(Z75+Z76+Z77+Z78+Z79+Z80+Z81+Z82+Z83+Z84+Z85+Z86+Z87, "NA")</f>
        <v>2681.21</v>
      </c>
      <c r="AA88" s="15">
        <f>IFERROR(Z88/Z444, "NA")</f>
        <v>9.8402087737179192E-3</v>
      </c>
      <c r="AB88" s="2"/>
      <c r="AC88" s="14">
        <f t="shared" si="23"/>
        <v>1934.9499999999998</v>
      </c>
      <c r="AD88" s="15">
        <f>IFERROR(AC88/AC444, "NA")</f>
        <v>3.0289041626828096E-2</v>
      </c>
    </row>
    <row r="89" spans="1:30" ht="16.5" customHeight="1" x14ac:dyDescent="0.45">
      <c r="A89" s="6" t="s">
        <v>85</v>
      </c>
      <c r="B89" s="7">
        <v>-5.3</v>
      </c>
      <c r="C89" s="8">
        <f>IFERROR(B89/B444, "NA")</f>
        <v>-3.6165232533233286E-5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-5.3</v>
      </c>
      <c r="I89" s="8">
        <f>IFERROR(H89/H444, "NA")</f>
        <v>-3.5229336332479852E-4</v>
      </c>
      <c r="J89" s="9"/>
      <c r="K89" s="7">
        <v>-296.93</v>
      </c>
      <c r="L89" s="8">
        <f>IFERROR(K89/K444, "NA")</f>
        <v>-2.6192006202882421E-3</v>
      </c>
      <c r="M89" s="9"/>
      <c r="N89" s="10">
        <f t="shared" si="21"/>
        <v>291.63</v>
      </c>
      <c r="O89" s="8">
        <f>IFERROR(N89/N444, "NA")</f>
        <v>8.7885521897698021E-3</v>
      </c>
      <c r="P89" s="9"/>
      <c r="Q89" s="7">
        <v>-5.3</v>
      </c>
      <c r="R89" s="8">
        <f>IFERROR(Q89/Q444, "NA")</f>
        <v>-1.5757032504825591E-5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-5.3</v>
      </c>
      <c r="X89" s="8">
        <f>IFERROR(W89/W444, "NA")</f>
        <v>-1.85600289116224E-4</v>
      </c>
      <c r="Y89" s="9"/>
      <c r="Z89" s="7">
        <v>-1177.3499999999999</v>
      </c>
      <c r="AA89" s="8">
        <f>IFERROR(Z89/Z444, "NA")</f>
        <v>-4.3209483030933011E-3</v>
      </c>
      <c r="AB89" s="9"/>
      <c r="AC89" s="10">
        <f t="shared" si="23"/>
        <v>1172.05</v>
      </c>
      <c r="AD89" s="8">
        <f>IFERROR(AC89/AC444, "NA")</f>
        <v>1.8346867484288418E-2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-5654.73</v>
      </c>
      <c r="F94" s="8">
        <f>IFERROR(E94/E444, "NA")</f>
        <v>-4.3000012699106978E-2</v>
      </c>
      <c r="G94" s="9"/>
      <c r="H94" s="10">
        <f t="shared" ref="H94:H124" si="24">IFERROR(B94-E94, "NA")</f>
        <v>5654.73</v>
      </c>
      <c r="I94" s="8">
        <f>IFERROR(H94/H444, "NA")</f>
        <v>0.3758724246025732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-13235.47</v>
      </c>
      <c r="U94" s="8">
        <f>IFERROR(T94/T444, "NA")</f>
        <v>-4.2999981546564252E-2</v>
      </c>
      <c r="V94" s="9"/>
      <c r="W94" s="10">
        <f t="shared" ref="W94:W124" si="26">IFERROR(Q94-T94, "NA")</f>
        <v>13235.47</v>
      </c>
      <c r="X94" s="8">
        <f>IFERROR(W94/W444, "NA")</f>
        <v>0.46349189784700173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-1641.85</v>
      </c>
      <c r="C96" s="8">
        <f>IFERROR(B96/B444, "NA")</f>
        <v>-1.1203374912205485E-2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-1641.85</v>
      </c>
      <c r="I96" s="8">
        <f>IFERROR(H96/H444, "NA")</f>
        <v>-0.10913450161789065</v>
      </c>
      <c r="J96" s="9"/>
      <c r="K96" s="7">
        <v>-1580.45</v>
      </c>
      <c r="L96" s="8">
        <f>IFERROR(K96/K444, "NA")</f>
        <v>-1.3941048800507028E-2</v>
      </c>
      <c r="M96" s="9"/>
      <c r="N96" s="10">
        <f t="shared" si="25"/>
        <v>-61.399999999999864</v>
      </c>
      <c r="O96" s="8">
        <f>IFERROR(N96/N444, "NA")</f>
        <v>-1.8503484019197773E-3</v>
      </c>
      <c r="P96" s="9"/>
      <c r="Q96" s="7">
        <v>-4790.6000000000004</v>
      </c>
      <c r="R96" s="8">
        <f>IFERROR(Q96/Q444, "NA")</f>
        <v>-1.424257356936179E-2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-4790.6000000000004</v>
      </c>
      <c r="X96" s="8">
        <f>IFERROR(W96/W444, "NA")</f>
        <v>-0.16776165000758167</v>
      </c>
      <c r="Y96" s="9"/>
      <c r="Z96" s="7">
        <v>-3940.36</v>
      </c>
      <c r="AA96" s="8">
        <f>IFERROR(Z96/Z444, "NA")</f>
        <v>-1.4461368204507346E-2</v>
      </c>
      <c r="AB96" s="9"/>
      <c r="AC96" s="10">
        <f t="shared" si="27"/>
        <v>-850.24000000000024</v>
      </c>
      <c r="AD96" s="8">
        <f>IFERROR(AC96/AC444, "NA")</f>
        <v>-1.3309364455305993E-2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-3215.52</v>
      </c>
      <c r="C98" s="8">
        <f>IFERROR(B98/B444, "NA")</f>
        <v>-2.1941514814200435E-2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-3215.52</v>
      </c>
      <c r="I98" s="8">
        <f>IFERROR(H98/H444, "NA")</f>
        <v>-0.21373704823361439</v>
      </c>
      <c r="J98" s="9"/>
      <c r="K98" s="7">
        <v>-2894.36</v>
      </c>
      <c r="L98" s="8">
        <f>IFERROR(K98/K444, "NA")</f>
        <v>-2.553096523536684E-2</v>
      </c>
      <c r="M98" s="9"/>
      <c r="N98" s="10">
        <f t="shared" si="25"/>
        <v>-321.15999999999985</v>
      </c>
      <c r="O98" s="8">
        <f>IFERROR(N98/N444, "NA")</f>
        <v>-9.6784673088038554E-3</v>
      </c>
      <c r="P98" s="9"/>
      <c r="Q98" s="7">
        <v>-7204.75</v>
      </c>
      <c r="R98" s="8">
        <f>IFERROR(Q98/Q444, "NA")</f>
        <v>-2.1419901875309844E-2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-7204.75</v>
      </c>
      <c r="X98" s="8">
        <f>IFERROR(W98/W444, "NA")</f>
        <v>-0.25230258170002168</v>
      </c>
      <c r="Y98" s="9"/>
      <c r="Z98" s="7">
        <v>-7322.3</v>
      </c>
      <c r="AA98" s="8">
        <f>IFERROR(Z98/Z444, "NA")</f>
        <v>-2.6873300004026063E-2</v>
      </c>
      <c r="AB98" s="9"/>
      <c r="AC98" s="10">
        <f t="shared" si="27"/>
        <v>117.55000000000018</v>
      </c>
      <c r="AD98" s="8">
        <f>IFERROR(AC98/AC444, "NA")</f>
        <v>1.8400872597398633E-3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-418.75</v>
      </c>
      <c r="C100" s="8">
        <f>IFERROR(B100/B444, "NA")</f>
        <v>-2.8573945515644227E-3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-418.75</v>
      </c>
      <c r="I100" s="8">
        <f>IFERROR(H100/H444, "NA")</f>
        <v>-2.7834499224954602E-2</v>
      </c>
      <c r="J100" s="9"/>
      <c r="K100" s="7">
        <v>-182.52</v>
      </c>
      <c r="L100" s="8">
        <f>IFERROR(K100/K444, "NA")</f>
        <v>-1.6099972963830194E-3</v>
      </c>
      <c r="M100" s="9"/>
      <c r="N100" s="10">
        <f t="shared" si="25"/>
        <v>-236.23</v>
      </c>
      <c r="O100" s="8">
        <f>IFERROR(N100/N444, "NA")</f>
        <v>-7.1190195925978821E-3</v>
      </c>
      <c r="P100" s="9"/>
      <c r="Q100" s="7">
        <v>-2116.7199999999998</v>
      </c>
      <c r="R100" s="8">
        <f>IFERROR(Q100/Q444, "NA")</f>
        <v>-6.2930614799272498E-3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-2116.7199999999998</v>
      </c>
      <c r="X100" s="8">
        <f>IFERROR(W100/W444, "NA")</f>
        <v>-7.4125253580772391E-2</v>
      </c>
      <c r="Y100" s="9"/>
      <c r="Z100" s="7">
        <v>-331.76</v>
      </c>
      <c r="AA100" s="8">
        <f>IFERROR(Z100/Z444, "NA")</f>
        <v>-1.2175799966316165E-3</v>
      </c>
      <c r="AB100" s="9"/>
      <c r="AC100" s="10">
        <f t="shared" si="27"/>
        <v>-1784.9599999999998</v>
      </c>
      <c r="AD100" s="8">
        <f>IFERROR(AC100/AC444, "NA")</f>
        <v>-2.7941149767292735E-2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-389.35</v>
      </c>
      <c r="C102" s="8">
        <f>IFERROR(B102/B444, "NA")</f>
        <v>-2.6567798654366761E-3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-389.35</v>
      </c>
      <c r="I102" s="8">
        <f>IFERROR(H102/H444, "NA")</f>
        <v>-2.5880268115190626E-2</v>
      </c>
      <c r="J102" s="9"/>
      <c r="K102" s="7">
        <v>-100.43</v>
      </c>
      <c r="L102" s="8">
        <f>IFERROR(K102/K444, "NA")</f>
        <v>-8.8588663420856144E-4</v>
      </c>
      <c r="M102" s="9"/>
      <c r="N102" s="10">
        <f t="shared" si="25"/>
        <v>-288.92</v>
      </c>
      <c r="O102" s="8">
        <f>IFERROR(N102/N444, "NA")</f>
        <v>-8.7068837179586859E-3</v>
      </c>
      <c r="P102" s="9"/>
      <c r="Q102" s="7">
        <v>-922.64</v>
      </c>
      <c r="R102" s="8">
        <f>IFERROR(Q102/Q444, "NA")</f>
        <v>-2.7430317868400536E-3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-922.64</v>
      </c>
      <c r="X102" s="8">
        <f>IFERROR(W102/W444, "NA")</f>
        <v>-3.2309858632111874E-2</v>
      </c>
      <c r="Y102" s="9"/>
      <c r="Z102" s="7">
        <v>-1380.71</v>
      </c>
      <c r="AA102" s="8">
        <f>IFERROR(Z102/Z444, "NA")</f>
        <v>-5.067292250871833E-3</v>
      </c>
      <c r="AB102" s="9"/>
      <c r="AC102" s="10">
        <f t="shared" si="27"/>
        <v>458.07000000000005</v>
      </c>
      <c r="AD102" s="8">
        <f>IFERROR(AC102/AC444, "NA")</f>
        <v>7.1704701919952192E-3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-863.46</v>
      </c>
      <c r="C104" s="8">
        <f>IFERROR(B104/B444, "NA")</f>
        <v>-5.8919305062538905E-3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-863.46</v>
      </c>
      <c r="I104" s="8">
        <f>IFERROR(H104/H444, "NA")</f>
        <v>-5.7394571225741618E-2</v>
      </c>
      <c r="J104" s="9"/>
      <c r="K104" s="7">
        <v>-2290.79</v>
      </c>
      <c r="L104" s="8">
        <f>IFERROR(K104/K444, "NA")</f>
        <v>-2.0206912703162702E-2</v>
      </c>
      <c r="M104" s="9"/>
      <c r="N104" s="10">
        <f t="shared" si="25"/>
        <v>1427.33</v>
      </c>
      <c r="O104" s="8">
        <f>IFERROR(N104/N444, "NA")</f>
        <v>4.3013970431794162E-2</v>
      </c>
      <c r="P104" s="9"/>
      <c r="Q104" s="7">
        <v>-2031.93</v>
      </c>
      <c r="R104" s="8">
        <f>IFERROR(Q104/Q444, "NA")</f>
        <v>-6.0409786901000498E-3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-2031.93</v>
      </c>
      <c r="X104" s="8">
        <f>IFERROR(W104/W444, "NA")</f>
        <v>-7.1155999144137561E-2</v>
      </c>
      <c r="Y104" s="9"/>
      <c r="Z104" s="7">
        <v>-3878.92</v>
      </c>
      <c r="AA104" s="8">
        <f>IFERROR(Z104/Z444, "NA")</f>
        <v>-1.4235879553093533E-2</v>
      </c>
      <c r="AB104" s="9"/>
      <c r="AC104" s="10">
        <f t="shared" si="27"/>
        <v>1846.99</v>
      </c>
      <c r="AD104" s="8">
        <f>IFERROR(AC104/AC444, "NA")</f>
        <v>2.8912146047357933E-2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-130.1</v>
      </c>
      <c r="C106" s="8">
        <f>IFERROR(B106/B444, "NA")</f>
        <v>-8.8775410425917945E-4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-130.1</v>
      </c>
      <c r="I106" s="8">
        <f>IFERROR(H106/H444, "NA")</f>
        <v>-8.6478050129351492E-3</v>
      </c>
      <c r="J106" s="9"/>
      <c r="K106" s="7">
        <v>-350.9</v>
      </c>
      <c r="L106" s="8">
        <f>IFERROR(K106/K444, "NA")</f>
        <v>-3.0952665532588287E-3</v>
      </c>
      <c r="M106" s="9"/>
      <c r="N106" s="10">
        <f t="shared" si="25"/>
        <v>220.79999999999998</v>
      </c>
      <c r="O106" s="8">
        <f>IFERROR(N106/N444, "NA")</f>
        <v>6.6540216147212986E-3</v>
      </c>
      <c r="P106" s="9"/>
      <c r="Q106" s="7">
        <v>-140.1</v>
      </c>
      <c r="R106" s="8">
        <f>IFERROR(Q106/Q444, "NA")</f>
        <v>-4.165208026275595E-4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-140.1</v>
      </c>
      <c r="X106" s="8">
        <f>IFERROR(W106/W444, "NA")</f>
        <v>-4.9061510387137701E-3</v>
      </c>
      <c r="Y106" s="9"/>
      <c r="Z106" s="7">
        <v>-1449.15</v>
      </c>
      <c r="AA106" s="8">
        <f>IFERROR(Z106/Z444, "NA")</f>
        <v>-5.3184713410860483E-3</v>
      </c>
      <c r="AB106" s="9"/>
      <c r="AC106" s="10">
        <f t="shared" si="27"/>
        <v>1309.0500000000002</v>
      </c>
      <c r="AD106" s="8">
        <f>IFERROR(AC106/AC444, "NA")</f>
        <v>2.0491418352721946E-2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-6659.0300000000007</v>
      </c>
      <c r="C118" s="15">
        <f>IFERROR(B118/B444, "NA")</f>
        <v>-4.5438748753920094E-2</v>
      </c>
      <c r="D118" s="2"/>
      <c r="E118" s="14">
        <f>IFERROR(E94+E95+E96+E97+E98+E99+E100+E101+E102+E103+E104+E105+E106+E107+E108+E109+E110+E111+E112+E113+E114+E115+E116+E117, "NA")</f>
        <v>-5654.73</v>
      </c>
      <c r="F118" s="15">
        <f>IFERROR(E118/E444, "NA")</f>
        <v>-4.3000012699106978E-2</v>
      </c>
      <c r="G118" s="2"/>
      <c r="H118" s="14">
        <f t="shared" si="24"/>
        <v>-1004.3000000000011</v>
      </c>
      <c r="I118" s="15">
        <f>IFERROR(H118/H444, "NA")</f>
        <v>-6.6756268827753887E-2</v>
      </c>
      <c r="J118" s="2"/>
      <c r="K118" s="14">
        <f>IFERROR(K94+K95+K96+K97+K98+K99+K100+K101+K102+K103+K104+K105+K106+K107+K108+K109+K110+K111+K112+K113+K114+K115+K116+K117, "NA")</f>
        <v>-7399.4500000000007</v>
      </c>
      <c r="L118" s="15">
        <f>IFERROR(K118/K444, "NA")</f>
        <v>-6.5270077222886982E-2</v>
      </c>
      <c r="M118" s="2"/>
      <c r="N118" s="14">
        <f t="shared" si="25"/>
        <v>740.42000000000007</v>
      </c>
      <c r="O118" s="15">
        <f>IFERROR(N118/N444, "NA")</f>
        <v>2.2313273025235256E-2</v>
      </c>
      <c r="P118" s="2"/>
      <c r="Q118" s="14">
        <f>IFERROR(Q94+Q95+Q96+Q97+Q98+Q99+Q100+Q101+Q102+Q103+Q104+Q105+Q106+Q107+Q108+Q109+Q110+Q111+Q112+Q113+Q114+Q115+Q116+Q117, "NA")</f>
        <v>-17206.739999999998</v>
      </c>
      <c r="R118" s="15">
        <f>IFERROR(Q118/Q444, "NA")</f>
        <v>-5.1156068204166537E-2</v>
      </c>
      <c r="S118" s="2"/>
      <c r="T118" s="14">
        <f>IFERROR(T94+T95+T96+T97+T98+T99+T100+T101+T102+T103+T104+T105+T106+T107+T108+T109+T110+T111+T112+T113+T114+T115+T116+T117, "NA")</f>
        <v>-13235.47</v>
      </c>
      <c r="U118" s="15">
        <f>IFERROR(T118/T444, "NA")</f>
        <v>-4.2999981546564252E-2</v>
      </c>
      <c r="V118" s="2"/>
      <c r="W118" s="14">
        <f t="shared" si="26"/>
        <v>-3971.2699999999986</v>
      </c>
      <c r="X118" s="15">
        <f>IFERROR(W118/W444, "NA")</f>
        <v>-0.13906959625633711</v>
      </c>
      <c r="Y118" s="2"/>
      <c r="Z118" s="14">
        <f>IFERROR(Z94+Z95+Z96+Z97+Z98+Z99+Z100+Z101+Z102+Z103+Z104+Z105+Z106+Z107+Z108+Z109+Z110+Z111+Z112+Z113+Z114+Z115+Z116+Z117, "NA")</f>
        <v>-18303.200000000004</v>
      </c>
      <c r="AA118" s="15">
        <f>IFERROR(Z118/Z444, "NA")</f>
        <v>-6.7173891350216453E-2</v>
      </c>
      <c r="AB118" s="2"/>
      <c r="AC118" s="14">
        <f t="shared" si="27"/>
        <v>1096.4600000000064</v>
      </c>
      <c r="AD118" s="15">
        <f>IFERROR(AC118/AC444, "NA")</f>
        <v>1.7163607629216326E-2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146549.58999999997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131505.30999999997</v>
      </c>
      <c r="F122" s="15">
        <f>IFERROR(E122/E444, "NA")</f>
        <v>0.99999999999999978</v>
      </c>
      <c r="G122" s="2"/>
      <c r="H122" s="14">
        <f t="shared" si="24"/>
        <v>15044.279999999999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113366.65000000002</v>
      </c>
      <c r="L122" s="15">
        <f>IFERROR(K122/K444, "NA")</f>
        <v>1.0000000000000002</v>
      </c>
      <c r="M122" s="2"/>
      <c r="N122" s="14">
        <f t="shared" si="25"/>
        <v>33182.939999999944</v>
      </c>
      <c r="O122" s="15">
        <f>IFERROR(N122/N444, "NA")</f>
        <v>0.99999999999999822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336357.75000000006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307801.76000000007</v>
      </c>
      <c r="U122" s="15">
        <f>IFERROR(T122/T444, "NA")</f>
        <v>1.0000000000000002</v>
      </c>
      <c r="V122" s="2"/>
      <c r="W122" s="14">
        <f t="shared" si="26"/>
        <v>28555.989999999991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272474.91000000003</v>
      </c>
      <c r="AA122" s="15">
        <f>IFERROR(Z122/Z444, "NA")</f>
        <v>1.0000000000000002</v>
      </c>
      <c r="AB122" s="2"/>
      <c r="AC122" s="14">
        <f t="shared" si="27"/>
        <v>63882.840000000026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146549.58999999997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131505.30999999997</v>
      </c>
      <c r="F124" s="15">
        <f>IFERROR(E124/E444, "NA")</f>
        <v>0.99999999999999978</v>
      </c>
      <c r="G124" s="2"/>
      <c r="H124" s="14">
        <f t="shared" si="24"/>
        <v>15044.279999999999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113366.65000000002</v>
      </c>
      <c r="L124" s="15">
        <f>IFERROR(K124/K444, "NA")</f>
        <v>1.0000000000000002</v>
      </c>
      <c r="M124" s="2"/>
      <c r="N124" s="14">
        <f t="shared" si="25"/>
        <v>33182.939999999944</v>
      </c>
      <c r="O124" s="15">
        <f>IFERROR(N124/N444, "NA")</f>
        <v>0.99999999999999822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336357.75000000006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307801.76000000007</v>
      </c>
      <c r="U124" s="15">
        <f>IFERROR(T124/T444, "NA")</f>
        <v>1.0000000000000002</v>
      </c>
      <c r="V124" s="2"/>
      <c r="W124" s="14">
        <f t="shared" si="26"/>
        <v>28555.989999999991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272474.91000000003</v>
      </c>
      <c r="AA124" s="15">
        <f>IFERROR(Z124/Z444, "NA")</f>
        <v>1.0000000000000002</v>
      </c>
      <c r="AB124" s="2"/>
      <c r="AC124" s="14">
        <f t="shared" si="27"/>
        <v>63882.840000000026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30246.22</v>
      </c>
      <c r="F129" s="8">
        <f>IFERROR(E129/E444, "NA")</f>
        <v>0.22999999011446765</v>
      </c>
      <c r="G129" s="9"/>
      <c r="H129" s="10">
        <f t="shared" ref="H129:H141" si="28">IFERROR(-(B129-E129), "NA")</f>
        <v>30246.22</v>
      </c>
      <c r="I129" s="8">
        <f>IFERROR(H129/H444, "NA")</f>
        <v>2.0104797305022242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74677.25</v>
      </c>
      <c r="U129" s="8">
        <f>IFERROR(T129/T444, "NA")</f>
        <v>0.24261475957772299</v>
      </c>
      <c r="V129" s="9"/>
      <c r="W129" s="10">
        <f t="shared" ref="W129:W141" si="30">IFERROR(-(Q129-T129), "NA")</f>
        <v>74677.25</v>
      </c>
      <c r="X129" s="8">
        <f>IFERROR(W129/W444, "NA")</f>
        <v>2.6151168283782149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8542.1</v>
      </c>
      <c r="C130" s="8">
        <f>IFERROR(B130/B444, "NA")</f>
        <v>5.8288119400402287E-2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-8542.1</v>
      </c>
      <c r="I130" s="8">
        <f>IFERROR(H130/H444, "NA")</f>
        <v>-0.56779719601070977</v>
      </c>
      <c r="J130" s="9"/>
      <c r="K130" s="7">
        <v>7797.12</v>
      </c>
      <c r="L130" s="8">
        <f>IFERROR(K130/K444, "NA")</f>
        <v>6.8777898967641721E-2</v>
      </c>
      <c r="M130" s="9"/>
      <c r="N130" s="10">
        <f t="shared" si="29"/>
        <v>-744.98000000000047</v>
      </c>
      <c r="O130" s="8">
        <f>IFERROR(N130/N444, "NA")</f>
        <v>-2.2450693036843643E-2</v>
      </c>
      <c r="P130" s="9"/>
      <c r="Q130" s="7">
        <v>20340.64</v>
      </c>
      <c r="R130" s="8">
        <f>IFERROR(Q130/Q444, "NA")</f>
        <v>6.0473231254519928E-2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-20340.64</v>
      </c>
      <c r="X130" s="8">
        <f>IFERROR(W130/W444, "NA")</f>
        <v>-0.71230729524698688</v>
      </c>
      <c r="Y130" s="9"/>
      <c r="Z130" s="7">
        <v>19634.54</v>
      </c>
      <c r="AA130" s="8">
        <f>IFERROR(Z130/Z444, "NA")</f>
        <v>7.2059992606291728E-2</v>
      </c>
      <c r="AB130" s="9"/>
      <c r="AC130" s="10">
        <f t="shared" si="31"/>
        <v>-706.09999999999854</v>
      </c>
      <c r="AD130" s="8">
        <f>IFERROR(AC130/AC444, "NA")</f>
        <v>-1.1053046483218315E-2</v>
      </c>
    </row>
    <row r="131" spans="1:30" ht="16.5" customHeight="1" x14ac:dyDescent="0.45">
      <c r="A131" s="12" t="s">
        <v>123</v>
      </c>
      <c r="B131" s="7">
        <v>4926.88</v>
      </c>
      <c r="C131" s="8">
        <f>IFERROR(B131/B444, "NA")</f>
        <v>3.3619200162893666E-2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-4926.88</v>
      </c>
      <c r="I131" s="8">
        <f>IFERROR(H131/H444, "NA")</f>
        <v>-0.32749191054673277</v>
      </c>
      <c r="J131" s="9"/>
      <c r="K131" s="7">
        <v>3706.86</v>
      </c>
      <c r="L131" s="8">
        <f>IFERROR(K131/K444, "NA")</f>
        <v>3.2697975992057635E-2</v>
      </c>
      <c r="M131" s="9"/>
      <c r="N131" s="10">
        <f t="shared" si="29"/>
        <v>-1220.02</v>
      </c>
      <c r="O131" s="8">
        <f>IFERROR(N131/N444, "NA")</f>
        <v>-3.6766483018080977E-2</v>
      </c>
      <c r="P131" s="9"/>
      <c r="Q131" s="7">
        <v>11196.72</v>
      </c>
      <c r="R131" s="8">
        <f>IFERROR(Q131/Q444, "NA")</f>
        <v>3.3288128488194485E-2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-11196.72</v>
      </c>
      <c r="X131" s="8">
        <f>IFERROR(W131/W444, "NA")</f>
        <v>-0.39209706965158636</v>
      </c>
      <c r="Y131" s="9"/>
      <c r="Z131" s="7">
        <v>9512.77</v>
      </c>
      <c r="AA131" s="8">
        <f>IFERROR(Z131/Z444, "NA")</f>
        <v>3.4912462215328378E-2</v>
      </c>
      <c r="AB131" s="9"/>
      <c r="AC131" s="10">
        <f t="shared" si="31"/>
        <v>-1683.9499999999989</v>
      </c>
      <c r="AD131" s="8">
        <f>IFERROR(AC131/AC444, "NA")</f>
        <v>-2.635997397736228E-2</v>
      </c>
    </row>
    <row r="132" spans="1:30" ht="16.5" customHeight="1" x14ac:dyDescent="0.45">
      <c r="A132" s="12" t="s">
        <v>124</v>
      </c>
      <c r="B132" s="7">
        <v>5257.7</v>
      </c>
      <c r="C132" s="8">
        <f>IFERROR(B132/B444, "NA")</f>
        <v>3.5876593035845408E-2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-5257.7</v>
      </c>
      <c r="I132" s="8">
        <f>IFERROR(H132/H444, "NA")</f>
        <v>-0.34948166346279119</v>
      </c>
      <c r="J132" s="9"/>
      <c r="K132" s="7">
        <v>3895.21</v>
      </c>
      <c r="L132" s="8">
        <f>IFERROR(K132/K444, "NA")</f>
        <v>3.4359399347162506E-2</v>
      </c>
      <c r="M132" s="9"/>
      <c r="N132" s="10">
        <f t="shared" si="29"/>
        <v>-1362.4899999999998</v>
      </c>
      <c r="O132" s="8">
        <f>IFERROR(N132/N444, "NA")</f>
        <v>-4.1059954301818941E-2</v>
      </c>
      <c r="P132" s="9"/>
      <c r="Q132" s="7">
        <v>12394.95</v>
      </c>
      <c r="R132" s="8">
        <f>IFERROR(Q132/Q444, "NA")</f>
        <v>3.6850496235035467E-2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-12394.95</v>
      </c>
      <c r="X132" s="8">
        <f>IFERROR(W132/W444, "NA")</f>
        <v>-0.43405779312851717</v>
      </c>
      <c r="Y132" s="9"/>
      <c r="Z132" s="7">
        <v>9240.1200000000008</v>
      </c>
      <c r="AA132" s="8">
        <f>IFERROR(Z132/Z444, "NA")</f>
        <v>3.3911819624052729E-2</v>
      </c>
      <c r="AB132" s="9"/>
      <c r="AC132" s="10">
        <f t="shared" si="31"/>
        <v>-3154.83</v>
      </c>
      <c r="AD132" s="8">
        <f>IFERROR(AC132/AC444, "NA")</f>
        <v>-4.9384623476351378E-2</v>
      </c>
    </row>
    <row r="133" spans="1:30" ht="16.5" customHeight="1" x14ac:dyDescent="0.45">
      <c r="A133" s="12" t="s">
        <v>125</v>
      </c>
      <c r="B133" s="7">
        <v>3751.16</v>
      </c>
      <c r="C133" s="8">
        <f>IFERROR(B133/B444, "NA")</f>
        <v>2.5596523333842148E-2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-3751.16</v>
      </c>
      <c r="I133" s="8">
        <f>IFERROR(H133/H444, "NA")</f>
        <v>-0.24934127788102856</v>
      </c>
      <c r="J133" s="9"/>
      <c r="K133" s="7">
        <v>2756.95</v>
      </c>
      <c r="L133" s="8">
        <f>IFERROR(K133/K444, "NA")</f>
        <v>2.4318880376195291E-2</v>
      </c>
      <c r="M133" s="9"/>
      <c r="N133" s="10">
        <f t="shared" si="29"/>
        <v>-994.21</v>
      </c>
      <c r="O133" s="8">
        <f>IFERROR(N133/N444, "NA")</f>
        <v>-2.9961480206395212E-2</v>
      </c>
      <c r="P133" s="9"/>
      <c r="Q133" s="7">
        <v>8610.7999999999993</v>
      </c>
      <c r="R133" s="8">
        <f>IFERROR(Q133/Q444, "NA")</f>
        <v>2.5600123677840037E-2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-8610.7999999999993</v>
      </c>
      <c r="X133" s="8">
        <f>IFERROR(W133/W444, "NA")</f>
        <v>-0.30154093764565693</v>
      </c>
      <c r="Y133" s="9"/>
      <c r="Z133" s="7">
        <v>6220.93</v>
      </c>
      <c r="AA133" s="8">
        <f>IFERROR(Z133/Z444, "NA")</f>
        <v>2.2831203063797694E-2</v>
      </c>
      <c r="AB133" s="9"/>
      <c r="AC133" s="10">
        <f t="shared" si="31"/>
        <v>-2389.869999999999</v>
      </c>
      <c r="AD133" s="8">
        <f>IFERROR(AC133/AC444, "NA")</f>
        <v>-3.7410202802505309E-2</v>
      </c>
    </row>
    <row r="134" spans="1:30" ht="16.5" customHeight="1" x14ac:dyDescent="0.45">
      <c r="A134" s="12" t="s">
        <v>126</v>
      </c>
      <c r="B134" s="7">
        <v>1348.94</v>
      </c>
      <c r="C134" s="8">
        <f>IFERROR(B134/B444, "NA")</f>
        <v>9.2046658062980603E-3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-1348.94</v>
      </c>
      <c r="I134" s="8">
        <f>IFERROR(H134/H444, "NA")</f>
        <v>-8.966464330629316E-2</v>
      </c>
      <c r="J134" s="9"/>
      <c r="K134" s="7">
        <v>1604.72</v>
      </c>
      <c r="L134" s="8">
        <f>IFERROR(K134/K444, "NA")</f>
        <v>1.415513292489458E-2</v>
      </c>
      <c r="M134" s="9"/>
      <c r="N134" s="10">
        <f t="shared" si="29"/>
        <v>255.77999999999997</v>
      </c>
      <c r="O134" s="8">
        <f>IFERROR(N134/N444, "NA")</f>
        <v>7.7081777564013305E-3</v>
      </c>
      <c r="P134" s="9"/>
      <c r="Q134" s="7">
        <v>3278.99</v>
      </c>
      <c r="R134" s="8">
        <f>IFERROR(Q134/Q444, "NA")</f>
        <v>9.7485192477354838E-3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-3278.99</v>
      </c>
      <c r="X134" s="8">
        <f>IFERROR(W134/W444, "NA")</f>
        <v>-0.11482669660551081</v>
      </c>
      <c r="Y134" s="9"/>
      <c r="Z134" s="7">
        <v>3775.43</v>
      </c>
      <c r="AA134" s="8">
        <f>IFERROR(Z134/Z444, "NA")</f>
        <v>1.3856064765743019E-2</v>
      </c>
      <c r="AB134" s="9"/>
      <c r="AC134" s="10">
        <f t="shared" si="31"/>
        <v>496.44000000000005</v>
      </c>
      <c r="AD134" s="8">
        <f>IFERROR(AC134/AC444, "NA")</f>
        <v>7.7711009717163458E-3</v>
      </c>
    </row>
    <row r="135" spans="1:30" ht="16.5" customHeight="1" x14ac:dyDescent="0.45">
      <c r="A135" s="12" t="s">
        <v>127</v>
      </c>
      <c r="B135" s="7">
        <v>1039.54</v>
      </c>
      <c r="C135" s="8">
        <f>IFERROR(B135/B444, "NA")</f>
        <v>7.0934350618108172E-3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-1039.54</v>
      </c>
      <c r="I135" s="8">
        <f>IFERROR(H135/H444, "NA")</f>
        <v>-6.9098687341634171E-2</v>
      </c>
      <c r="J135" s="9"/>
      <c r="K135" s="7">
        <v>999.19</v>
      </c>
      <c r="L135" s="8">
        <f>IFERROR(K135/K444, "NA")</f>
        <v>8.8137913575112269E-3</v>
      </c>
      <c r="M135" s="9"/>
      <c r="N135" s="10">
        <f t="shared" si="29"/>
        <v>-40.349999999999909</v>
      </c>
      <c r="O135" s="8">
        <f>IFERROR(N135/N444, "NA")</f>
        <v>-1.2159862869293651E-3</v>
      </c>
      <c r="P135" s="9"/>
      <c r="Q135" s="7">
        <v>2593.21</v>
      </c>
      <c r="R135" s="8">
        <f>IFERROR(Q135/Q444, "NA")</f>
        <v>7.7096781626110888E-3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-2593.21</v>
      </c>
      <c r="X135" s="8">
        <f>IFERROR(W135/W444, "NA")</f>
        <v>-9.0811419950770425E-2</v>
      </c>
      <c r="Y135" s="9"/>
      <c r="Z135" s="7">
        <v>2120.9899999999998</v>
      </c>
      <c r="AA135" s="8">
        <f>IFERROR(Z135/Z444, "NA")</f>
        <v>7.7841662558949002E-3</v>
      </c>
      <c r="AB135" s="9"/>
      <c r="AC135" s="10">
        <f t="shared" si="31"/>
        <v>-472.22000000000025</v>
      </c>
      <c r="AD135" s="8">
        <f>IFERROR(AC135/AC444, "NA")</f>
        <v>-7.3919694240268605E-3</v>
      </c>
    </row>
    <row r="136" spans="1:30" ht="16.5" customHeight="1" x14ac:dyDescent="0.45">
      <c r="A136" s="12" t="s">
        <v>128</v>
      </c>
      <c r="B136" s="7">
        <v>1434.94</v>
      </c>
      <c r="C136" s="8">
        <f>IFERROR(B136/B444, "NA")</f>
        <v>9.7914978813656191E-3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-1434.94</v>
      </c>
      <c r="I136" s="8">
        <f>IFERROR(H136/H444, "NA")</f>
        <v>-9.5381101654582356E-2</v>
      </c>
      <c r="J136" s="9"/>
      <c r="K136" s="7">
        <v>1070.0899999999999</v>
      </c>
      <c r="L136" s="8">
        <f>IFERROR(K136/K444, "NA")</f>
        <v>9.4391957423104588E-3</v>
      </c>
      <c r="M136" s="9"/>
      <c r="N136" s="10">
        <f t="shared" si="29"/>
        <v>-364.85000000000014</v>
      </c>
      <c r="O136" s="8">
        <f>IFERROR(N136/N444, "NA")</f>
        <v>-1.0995107727042876E-2</v>
      </c>
      <c r="P136" s="9"/>
      <c r="Q136" s="7">
        <v>3096.35</v>
      </c>
      <c r="R136" s="8">
        <f>IFERROR(Q136/Q444, "NA")</f>
        <v>9.2055259615691915E-3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-3096.35</v>
      </c>
      <c r="X136" s="8">
        <f>IFERROR(W136/W444, "NA")</f>
        <v>-0.10843084060472079</v>
      </c>
      <c r="Y136" s="9"/>
      <c r="Z136" s="7">
        <v>2995.39</v>
      </c>
      <c r="AA136" s="8">
        <f>IFERROR(Z136/Z444, "NA")</f>
        <v>1.0993269068333669E-2</v>
      </c>
      <c r="AB136" s="9"/>
      <c r="AC136" s="10">
        <f t="shared" si="31"/>
        <v>-100.96000000000004</v>
      </c>
      <c r="AD136" s="8">
        <f>IFERROR(AC136/AC444, "NA")</f>
        <v>-1.580393107131743E-3</v>
      </c>
    </row>
    <row r="137" spans="1:30" ht="16.5" customHeight="1" x14ac:dyDescent="0.45">
      <c r="A137" s="12" t="s">
        <v>129</v>
      </c>
      <c r="B137" s="7">
        <v>617.12</v>
      </c>
      <c r="C137" s="8">
        <f>IFERROR(B137/B444, "NA")</f>
        <v>4.2109977926243257E-3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-617.12</v>
      </c>
      <c r="I137" s="8">
        <f>IFERROR(H137/H444, "NA")</f>
        <v>-4.1020241580188618E-2</v>
      </c>
      <c r="J137" s="9"/>
      <c r="K137" s="7">
        <v>605.65</v>
      </c>
      <c r="L137" s="8">
        <f>IFERROR(K137/K444, "NA")</f>
        <v>5.3424000797412646E-3</v>
      </c>
      <c r="M137" s="9"/>
      <c r="N137" s="10">
        <f t="shared" si="29"/>
        <v>-11.470000000000027</v>
      </c>
      <c r="O137" s="8">
        <f>IFERROR(N137/N444, "NA")</f>
        <v>-3.4565954674299583E-4</v>
      </c>
      <c r="P137" s="9"/>
      <c r="Q137" s="7">
        <v>1617.19</v>
      </c>
      <c r="R137" s="8">
        <f>IFERROR(Q137/Q444, "NA")</f>
        <v>4.8079463012224337E-3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-1617.19</v>
      </c>
      <c r="X137" s="8">
        <f>IFERROR(W137/W444, "NA")</f>
        <v>-5.6632251236955908E-2</v>
      </c>
      <c r="Y137" s="9"/>
      <c r="Z137" s="7">
        <v>1595.47</v>
      </c>
      <c r="AA137" s="8">
        <f>IFERROR(Z137/Z444, "NA")</f>
        <v>5.8554749132681619E-3</v>
      </c>
      <c r="AB137" s="9"/>
      <c r="AC137" s="10">
        <f t="shared" si="31"/>
        <v>-21.720000000000027</v>
      </c>
      <c r="AD137" s="8">
        <f>IFERROR(AC137/AC444, "NA")</f>
        <v>-3.3999740775457102E-4</v>
      </c>
    </row>
    <row r="138" spans="1:30" ht="16.5" customHeight="1" x14ac:dyDescent="0.45">
      <c r="A138" s="12" t="s">
        <v>130</v>
      </c>
      <c r="B138" s="7">
        <v>9656.84</v>
      </c>
      <c r="C138" s="8">
        <f>IFERROR(B138/B444, "NA")</f>
        <v>6.5894691346458228E-2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-9656.84</v>
      </c>
      <c r="I138" s="8">
        <f>IFERROR(H138/H444, "NA")</f>
        <v>-0.64189446088480151</v>
      </c>
      <c r="J138" s="9"/>
      <c r="K138" s="7">
        <v>5618.55</v>
      </c>
      <c r="L138" s="8">
        <f>IFERROR(K138/K444, "NA")</f>
        <v>4.9560871737852362E-2</v>
      </c>
      <c r="M138" s="9"/>
      <c r="N138" s="10">
        <f t="shared" si="29"/>
        <v>-4038.29</v>
      </c>
      <c r="O138" s="8">
        <f>IFERROR(N138/N444, "NA")</f>
        <v>-0.12169777602587353</v>
      </c>
      <c r="P138" s="9"/>
      <c r="Q138" s="7">
        <v>20082.52</v>
      </c>
      <c r="R138" s="8">
        <f>IFERROR(Q138/Q444, "NA")</f>
        <v>5.9705834041284912E-2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-20082.52</v>
      </c>
      <c r="X138" s="8">
        <f>IFERROR(W138/W444, "NA")</f>
        <v>-0.70326821097780212</v>
      </c>
      <c r="Y138" s="9"/>
      <c r="Z138" s="7">
        <v>15012.2</v>
      </c>
      <c r="AA138" s="8">
        <f>IFERROR(Z138/Z444, "NA")</f>
        <v>5.5095715051341802E-2</v>
      </c>
      <c r="AB138" s="9"/>
      <c r="AC138" s="10">
        <f t="shared" si="31"/>
        <v>-5070.32</v>
      </c>
      <c r="AD138" s="8">
        <f>IFERROR(AC138/AC444, "NA")</f>
        <v>-7.9369044957926072E-2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52</v>
      </c>
      <c r="L140" s="8">
        <f>IFERROR(K140/K444, "NA")</f>
        <v>4.5868868842821061E-4</v>
      </c>
      <c r="M140" s="9"/>
      <c r="N140" s="10">
        <f t="shared" si="29"/>
        <v>52</v>
      </c>
      <c r="O140" s="8">
        <f>IFERROR(N140/N444, "NA")</f>
        <v>1.5670703078147987E-3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52</v>
      </c>
      <c r="AA140" s="8">
        <f>IFERROR(Z140/Z444, "NA")</f>
        <v>1.9084325966012798E-4</v>
      </c>
      <c r="AB140" s="9"/>
      <c r="AC140" s="10">
        <f t="shared" si="31"/>
        <v>52</v>
      </c>
      <c r="AD140" s="8">
        <f>IFERROR(AC140/AC444, "NA")</f>
        <v>8.1399011064630159E-4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36575.22</v>
      </c>
      <c r="C141" s="15">
        <f>IFERROR(B141/B444, "NA")</f>
        <v>0.24957572382154056</v>
      </c>
      <c r="D141" s="2"/>
      <c r="E141" s="14">
        <f>IFERROR(E129+E130+E131+E132+E133+E134+E135+E136+E137+E138+E139+E140, "NA")</f>
        <v>30246.22</v>
      </c>
      <c r="F141" s="15">
        <f>IFERROR(E141/E444, "NA")</f>
        <v>0.22999999011446765</v>
      </c>
      <c r="G141" s="2"/>
      <c r="H141" s="14">
        <f t="shared" si="28"/>
        <v>-6329</v>
      </c>
      <c r="I141" s="15">
        <f>IFERROR(H141/H444, "NA")</f>
        <v>-0.42069145216653775</v>
      </c>
      <c r="J141" s="2"/>
      <c r="K141" s="14">
        <f>IFERROR(K129+K130+K131+K132+K133+K134+K135+K136+K137+K138+K139+K140, "NA")</f>
        <v>28106.34</v>
      </c>
      <c r="L141" s="15">
        <f>IFERROR(K141/K444, "NA")</f>
        <v>0.24792423521379525</v>
      </c>
      <c r="M141" s="2"/>
      <c r="N141" s="14">
        <f t="shared" si="29"/>
        <v>-8468.880000000001</v>
      </c>
      <c r="O141" s="15">
        <f>IFERROR(N141/N444, "NA")</f>
        <v>-0.25521789208551143</v>
      </c>
      <c r="P141" s="2"/>
      <c r="Q141" s="14">
        <f>IFERROR(Q129+Q130+Q131+Q132+Q133+Q134+Q135+Q136+Q137+Q138+Q139+Q140, "NA")</f>
        <v>83211.37</v>
      </c>
      <c r="R141" s="15">
        <f>IFERROR(Q141/Q444, "NA")</f>
        <v>0.24738948337001301</v>
      </c>
      <c r="S141" s="2"/>
      <c r="T141" s="14">
        <f>IFERROR(T129+T130+T131+T132+T133+T134+T135+T136+T137+T138+T139+T140, "NA")</f>
        <v>74677.25</v>
      </c>
      <c r="U141" s="15">
        <f>IFERROR(T141/T444, "NA")</f>
        <v>0.24261475957772299</v>
      </c>
      <c r="V141" s="2"/>
      <c r="W141" s="14">
        <f t="shared" si="30"/>
        <v>-8534.1199999999953</v>
      </c>
      <c r="X141" s="15">
        <f>IFERROR(W141/W444, "NA")</f>
        <v>-0.29885568667029222</v>
      </c>
      <c r="Y141" s="2"/>
      <c r="Z141" s="14">
        <f>IFERROR(Z129+Z130+Z131+Z132+Z133+Z134+Z135+Z136+Z137+Z138+Z139+Z140, "NA")</f>
        <v>70159.839999999997</v>
      </c>
      <c r="AA141" s="15">
        <f>IFERROR(Z141/Z444, "NA")</f>
        <v>0.25749101082371217</v>
      </c>
      <c r="AB141" s="2"/>
      <c r="AC141" s="14">
        <f t="shared" si="31"/>
        <v>-13051.529999999999</v>
      </c>
      <c r="AD141" s="15">
        <f>IFERROR(AC141/AC444, "NA")</f>
        <v>-0.2043041605539139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2109.48</v>
      </c>
      <c r="C144" s="8">
        <f>IFERROR(B144/B444, "NA")</f>
        <v>1.4394308438529239E-2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-2109.48</v>
      </c>
      <c r="I144" s="8">
        <f>IFERROR(H144/H444, "NA")</f>
        <v>-0.14021807623894264</v>
      </c>
      <c r="J144" s="9"/>
      <c r="K144" s="7">
        <v>1670.06</v>
      </c>
      <c r="L144" s="8">
        <f>IFERROR(K144/K444, "NA")</f>
        <v>1.4731492903777257E-2</v>
      </c>
      <c r="M144" s="9"/>
      <c r="N144" s="10">
        <f t="shared" si="33"/>
        <v>-439.42000000000007</v>
      </c>
      <c r="O144" s="8">
        <f>IFERROR(N144/N444, "NA")</f>
        <v>-1.3242346820384211E-2</v>
      </c>
      <c r="P144" s="9"/>
      <c r="Q144" s="7">
        <v>4484.57</v>
      </c>
      <c r="R144" s="8">
        <f>IFERROR(Q144/Q444, "NA")</f>
        <v>1.3332738728333151E-2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-4484.57</v>
      </c>
      <c r="X144" s="8">
        <f>IFERROR(W144/W444, "NA")</f>
        <v>-0.15704480916263105</v>
      </c>
      <c r="Y144" s="9"/>
      <c r="Z144" s="7">
        <v>3194.4</v>
      </c>
      <c r="AA144" s="8">
        <f>IFERROR(Z144/Z444, "NA")</f>
        <v>1.1723648243429094E-2</v>
      </c>
      <c r="AB144" s="9"/>
      <c r="AC144" s="10">
        <f t="shared" si="35"/>
        <v>-1290.1699999999996</v>
      </c>
      <c r="AD144" s="8">
        <f>IFERROR(AC144/AC444, "NA")</f>
        <v>-2.0195877327933435E-2</v>
      </c>
    </row>
    <row r="145" spans="1:30" ht="16.5" customHeight="1" x14ac:dyDescent="0.45">
      <c r="A145" s="12" t="s">
        <v>136</v>
      </c>
      <c r="B145" s="7">
        <v>83.89</v>
      </c>
      <c r="C145" s="8">
        <f>IFERROR(B145/B444, "NA")</f>
        <v>5.7243421834206429E-4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-83.89</v>
      </c>
      <c r="I145" s="8">
        <f>IFERROR(H145/H444, "NA")</f>
        <v>-5.5762057074183677E-3</v>
      </c>
      <c r="J145" s="9"/>
      <c r="K145" s="7">
        <v>81.5</v>
      </c>
      <c r="L145" s="8">
        <f>IFERROR(K145/K444, "NA")</f>
        <v>7.1890630974806092E-4</v>
      </c>
      <c r="M145" s="9"/>
      <c r="N145" s="10">
        <f t="shared" si="33"/>
        <v>-2.3900000000000006</v>
      </c>
      <c r="O145" s="8">
        <f>IFERROR(N145/N444, "NA")</f>
        <v>-7.2024962224564797E-5</v>
      </c>
      <c r="P145" s="9"/>
      <c r="Q145" s="7">
        <v>144.69999999999999</v>
      </c>
      <c r="R145" s="8">
        <f>IFERROR(Q145/Q444, "NA")</f>
        <v>4.3019671763174769E-4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-144.69999999999999</v>
      </c>
      <c r="X145" s="8">
        <f>IFERROR(W145/W444, "NA")</f>
        <v>-5.0672380820976628E-3</v>
      </c>
      <c r="Y145" s="9"/>
      <c r="Z145" s="7">
        <v>180.39</v>
      </c>
      <c r="AA145" s="8">
        <f>IFERROR(Z145/Z444, "NA")</f>
        <v>6.6204260788635546E-4</v>
      </c>
      <c r="AB145" s="9"/>
      <c r="AC145" s="10">
        <f t="shared" si="35"/>
        <v>35.69</v>
      </c>
      <c r="AD145" s="8">
        <f>IFERROR(AC145/AC444, "NA")</f>
        <v>5.5867898171089428E-4</v>
      </c>
    </row>
    <row r="146" spans="1:30" ht="16.5" customHeight="1" x14ac:dyDescent="0.45">
      <c r="A146" s="12" t="s">
        <v>137</v>
      </c>
      <c r="B146" s="7">
        <v>111.05</v>
      </c>
      <c r="C146" s="8">
        <f>IFERROR(B146/B444, "NA")</f>
        <v>7.5776397600293521E-4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-111.05</v>
      </c>
      <c r="I146" s="8">
        <f>IFERROR(H146/H444, "NA")</f>
        <v>-7.3815430183431846E-3</v>
      </c>
      <c r="J146" s="9"/>
      <c r="K146" s="7">
        <v>301.54000000000002</v>
      </c>
      <c r="L146" s="8">
        <f>IFERROR(K146/K444, "NA")</f>
        <v>2.6598651367046662E-3</v>
      </c>
      <c r="M146" s="9"/>
      <c r="N146" s="10">
        <f t="shared" si="33"/>
        <v>190.49</v>
      </c>
      <c r="O146" s="8">
        <f>IFERROR(N146/N444, "NA")</f>
        <v>5.7406004410700193E-3</v>
      </c>
      <c r="P146" s="9"/>
      <c r="Q146" s="7">
        <v>256.33</v>
      </c>
      <c r="R146" s="8">
        <f>IFERROR(Q146/Q444, "NA")</f>
        <v>7.6207549848338562E-4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-256.33</v>
      </c>
      <c r="X146" s="8">
        <f>IFERROR(W146/W444, "NA")</f>
        <v>-8.9764003979550377E-3</v>
      </c>
      <c r="Y146" s="9"/>
      <c r="Z146" s="7">
        <v>388.76</v>
      </c>
      <c r="AA146" s="8">
        <f>IFERROR(Z146/Z444, "NA")</f>
        <v>1.426773569720603E-3</v>
      </c>
      <c r="AB146" s="9"/>
      <c r="AC146" s="10">
        <f t="shared" si="35"/>
        <v>132.43</v>
      </c>
      <c r="AD146" s="8">
        <f>IFERROR(AC146/AC444, "NA")</f>
        <v>2.0730136606324947E-3</v>
      </c>
    </row>
    <row r="147" spans="1:30" ht="16.5" customHeight="1" x14ac:dyDescent="0.45">
      <c r="A147" s="12" t="s">
        <v>138</v>
      </c>
      <c r="B147" s="7">
        <v>19.670000000000002</v>
      </c>
      <c r="C147" s="8">
        <f>IFERROR(B147/B444, "NA")</f>
        <v>1.3422077809975449E-4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-19.670000000000002</v>
      </c>
      <c r="I147" s="8">
        <f>IFERROR(H147/H444, "NA")</f>
        <v>-1.3074736710563751E-3</v>
      </c>
      <c r="J147" s="9"/>
      <c r="K147" s="7">
        <v>71.17</v>
      </c>
      <c r="L147" s="8">
        <f>IFERROR(K147/K444, "NA")</f>
        <v>6.2778603760453361E-4</v>
      </c>
      <c r="M147" s="9"/>
      <c r="N147" s="10">
        <f t="shared" si="33"/>
        <v>51.5</v>
      </c>
      <c r="O147" s="8">
        <f>IFERROR(N147/N444, "NA")</f>
        <v>1.5520023240858103E-3</v>
      </c>
      <c r="P147" s="9"/>
      <c r="Q147" s="7">
        <v>40.15</v>
      </c>
      <c r="R147" s="8">
        <f>IFERROR(Q147/Q444, "NA")</f>
        <v>1.1936695378655613E-4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-40.15</v>
      </c>
      <c r="X147" s="8">
        <f>IFERROR(W147/W444, "NA")</f>
        <v>-1.4060097373615838E-3</v>
      </c>
      <c r="Y147" s="9"/>
      <c r="Z147" s="7">
        <v>132.06</v>
      </c>
      <c r="AA147" s="8">
        <f>IFERROR(Z147/Z444, "NA")</f>
        <v>4.8466847828300966E-4</v>
      </c>
      <c r="AB147" s="9"/>
      <c r="AC147" s="10">
        <f t="shared" si="35"/>
        <v>91.91</v>
      </c>
      <c r="AD147" s="8">
        <f>IFERROR(AC147/AC444, "NA")</f>
        <v>1.438727520567338E-3</v>
      </c>
    </row>
    <row r="148" spans="1:30" ht="16.5" customHeight="1" x14ac:dyDescent="0.45">
      <c r="A148" s="13" t="s">
        <v>139</v>
      </c>
      <c r="B148" s="14">
        <f>IFERROR(B143+B144+B145+B146+B147, "NA")</f>
        <v>2324.09</v>
      </c>
      <c r="C148" s="15">
        <f>IFERROR(B148/B444, "NA")</f>
        <v>1.5858727410973994E-2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-2324.09</v>
      </c>
      <c r="I148" s="15">
        <f>IFERROR(H148/H444, "NA")</f>
        <v>-0.1544832986357606</v>
      </c>
      <c r="J148" s="2"/>
      <c r="K148" s="14">
        <f>IFERROR(K143+K144+K145+K146+K147, "NA")</f>
        <v>2124.27</v>
      </c>
      <c r="L148" s="15">
        <f>IFERROR(K148/K444, "NA")</f>
        <v>1.8738050387834517E-2</v>
      </c>
      <c r="M148" s="2"/>
      <c r="N148" s="14">
        <f t="shared" si="33"/>
        <v>-199.82000000000016</v>
      </c>
      <c r="O148" s="15">
        <f>IFERROR(N148/N444, "NA")</f>
        <v>-6.0217690174529485E-3</v>
      </c>
      <c r="P148" s="2"/>
      <c r="Q148" s="14">
        <f>IFERROR(Q143+Q144+Q145+Q146+Q147, "NA")</f>
        <v>4925.7499999999991</v>
      </c>
      <c r="R148" s="15">
        <f>IFERROR(Q148/Q444, "NA")</f>
        <v>1.4644377898234837E-2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-4925.7499999999991</v>
      </c>
      <c r="X148" s="15">
        <f>IFERROR(W148/W444, "NA")</f>
        <v>-0.17249445738004532</v>
      </c>
      <c r="Y148" s="2"/>
      <c r="Z148" s="14">
        <f>IFERROR(Z143+Z144+Z145+Z146+Z147, "NA")</f>
        <v>3895.61</v>
      </c>
      <c r="AA148" s="15">
        <f>IFERROR(Z148/Z444, "NA")</f>
        <v>1.4297132899319063E-2</v>
      </c>
      <c r="AB148" s="2"/>
      <c r="AC148" s="14">
        <f t="shared" si="35"/>
        <v>-1030.139999999999</v>
      </c>
      <c r="AD148" s="15">
        <f>IFERROR(AC148/AC444, "NA")</f>
        <v>-1.6125457165022696E-2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38899.310000000005</v>
      </c>
      <c r="C149" s="15">
        <f>IFERROR(B149/B444, "NA")</f>
        <v>0.26543445123251458</v>
      </c>
      <c r="D149" s="2"/>
      <c r="E149" s="14">
        <f>IFERROR(E127+E129+E130+E131+E132+E133+E134+E135+E136+E137+E138+E139+E140+E143+E144+E145+E146+E147, "NA")</f>
        <v>30246.22</v>
      </c>
      <c r="F149" s="15">
        <f>IFERROR(E149/E444, "NA")</f>
        <v>0.22999999011446765</v>
      </c>
      <c r="G149" s="2"/>
      <c r="H149" s="14">
        <f t="shared" si="32"/>
        <v>-8653.0900000000038</v>
      </c>
      <c r="I149" s="15">
        <f>IFERROR(H149/H444, "NA")</f>
        <v>-0.57517475080229863</v>
      </c>
      <c r="J149" s="2"/>
      <c r="K149" s="14">
        <f>IFERROR(K127+K129+K130+K131+K132+K133+K134+K135+K136+K137+K138+K139+K140+K143+K144+K145+K146+K147, "NA")</f>
        <v>30230.61</v>
      </c>
      <c r="L149" s="15">
        <f>IFERROR(K149/K444, "NA")</f>
        <v>0.2666622856016298</v>
      </c>
      <c r="M149" s="2"/>
      <c r="N149" s="14">
        <f t="shared" si="33"/>
        <v>-8668.7000000000044</v>
      </c>
      <c r="O149" s="15">
        <f>IFERROR(N149/N444, "NA")</f>
        <v>-0.26123966110296448</v>
      </c>
      <c r="P149" s="2"/>
      <c r="Q149" s="14">
        <f>IFERROR(Q127+Q129+Q130+Q131+Q132+Q133+Q134+Q135+Q136+Q137+Q138+Q139+Q140+Q143+Q144+Q145+Q146+Q147, "NA")</f>
        <v>88137.12</v>
      </c>
      <c r="R149" s="15">
        <f>IFERROR(Q149/Q444, "NA")</f>
        <v>0.26203386126824785</v>
      </c>
      <c r="S149" s="2"/>
      <c r="T149" s="14">
        <f>IFERROR(T127+T129+T130+T131+T132+T133+T134+T135+T136+T137+T138+T139+T140+T143+T144+T145+T146+T147, "NA")</f>
        <v>74677.25</v>
      </c>
      <c r="U149" s="15">
        <f>IFERROR(T149/T444, "NA")</f>
        <v>0.24261475957772299</v>
      </c>
      <c r="V149" s="2"/>
      <c r="W149" s="14">
        <f t="shared" si="34"/>
        <v>-13459.869999999995</v>
      </c>
      <c r="X149" s="15">
        <f>IFERROR(W149/W444, "NA")</f>
        <v>-0.47135014405033759</v>
      </c>
      <c r="Y149" s="2"/>
      <c r="Z149" s="14">
        <f>IFERROR(Z127+Z129+Z130+Z131+Z132+Z133+Z134+Z135+Z136+Z137+Z138+Z139+Z140+Z143+Z144+Z145+Z146+Z147, "NA")</f>
        <v>74055.449999999983</v>
      </c>
      <c r="AA149" s="15">
        <f>IFERROR(Z149/Z444, "NA")</f>
        <v>0.27178814372303117</v>
      </c>
      <c r="AB149" s="2"/>
      <c r="AC149" s="14">
        <f t="shared" si="35"/>
        <v>-14081.670000000013</v>
      </c>
      <c r="AD149" s="15">
        <f>IFERROR(AC149/AC444, "NA")</f>
        <v>-0.22042961771893685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2235.59</v>
      </c>
      <c r="F153" s="8">
        <f>IFERROR(E153/E444, "NA")</f>
        <v>1.6999997946850968E-2</v>
      </c>
      <c r="G153" s="9"/>
      <c r="H153" s="10">
        <f t="shared" ref="H153:H158" si="36">IFERROR(-(B153-E153), "NA")</f>
        <v>2235.59</v>
      </c>
      <c r="I153" s="8">
        <f>IFERROR(H153/H444, "NA")</f>
        <v>0.14860066417269555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5761.52</v>
      </c>
      <c r="U153" s="8">
        <f>IFERROR(T153/T444, "NA")</f>
        <v>1.8718281532893122E-2</v>
      </c>
      <c r="V153" s="9"/>
      <c r="W153" s="10">
        <f t="shared" ref="W153:W158" si="38">IFERROR(-(Q153-T153), "NA")</f>
        <v>5761.52</v>
      </c>
      <c r="X153" s="8">
        <f>IFERROR(W153/W444, "NA")</f>
        <v>0.20176222221677492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4877.54</v>
      </c>
      <c r="C154" s="8">
        <f>IFERROR(B154/B444, "NA")</f>
        <v>3.3282522318895606E-2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-4877.54</v>
      </c>
      <c r="I154" s="8">
        <f>IFERROR(H154/H444, "NA")</f>
        <v>-0.32421225874551657</v>
      </c>
      <c r="J154" s="9"/>
      <c r="K154" s="7">
        <v>4048.38</v>
      </c>
      <c r="L154" s="8">
        <f>IFERROR(K154/K444, "NA")</f>
        <v>3.5710502162673061E-2</v>
      </c>
      <c r="M154" s="9"/>
      <c r="N154" s="10">
        <f t="shared" si="37"/>
        <v>-829.15999999999985</v>
      </c>
      <c r="O154" s="8">
        <f>IFERROR(N154/N444, "NA")</f>
        <v>-2.498753877745612E-2</v>
      </c>
      <c r="P154" s="9"/>
      <c r="Q154" s="7">
        <v>11313.31</v>
      </c>
      <c r="R154" s="8">
        <f>IFERROR(Q154/Q444, "NA")</f>
        <v>3.3634753473050644E-2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-11313.31</v>
      </c>
      <c r="X154" s="8">
        <f>IFERROR(W154/W444, "NA")</f>
        <v>-0.3961799258229185</v>
      </c>
      <c r="Y154" s="9"/>
      <c r="Z154" s="7">
        <v>10222.25</v>
      </c>
      <c r="AA154" s="8">
        <f>IFERROR(Z154/Z444, "NA")</f>
        <v>3.7516298289629678E-2</v>
      </c>
      <c r="AB154" s="9"/>
      <c r="AC154" s="10">
        <f t="shared" si="39"/>
        <v>-1091.0599999999995</v>
      </c>
      <c r="AD154" s="8">
        <f>IFERROR(AC154/AC444, "NA")</f>
        <v>-1.7079077886956794E-2</v>
      </c>
    </row>
    <row r="155" spans="1:30" ht="16.5" customHeight="1" x14ac:dyDescent="0.45">
      <c r="A155" s="12" t="s">
        <v>144</v>
      </c>
      <c r="B155" s="7">
        <v>1750.28</v>
      </c>
      <c r="C155" s="8">
        <f>IFERROR(B155/B444, "NA")</f>
        <v>1.19432609808052E-2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-1750.28</v>
      </c>
      <c r="I155" s="8">
        <f>IFERROR(H155/H444, "NA")</f>
        <v>-0.11634189206794876</v>
      </c>
      <c r="J155" s="9"/>
      <c r="K155" s="7">
        <v>1091.45</v>
      </c>
      <c r="L155" s="8">
        <f>IFERROR(K155/K444, "NA")</f>
        <v>9.6276109420186627E-3</v>
      </c>
      <c r="M155" s="9"/>
      <c r="N155" s="10">
        <f t="shared" si="37"/>
        <v>-658.82999999999993</v>
      </c>
      <c r="O155" s="8">
        <f>IFERROR(N155/N444, "NA")</f>
        <v>-1.9854479440338916E-2</v>
      </c>
      <c r="P155" s="9"/>
      <c r="Q155" s="7">
        <v>3428.71</v>
      </c>
      <c r="R155" s="8">
        <f>IFERROR(Q155/Q444, "NA")</f>
        <v>1.0193640550871803E-2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-3428.71</v>
      </c>
      <c r="X155" s="8">
        <f>IFERROR(W155/W444, "NA")</f>
        <v>-0.12006972967843178</v>
      </c>
      <c r="Y155" s="9"/>
      <c r="Z155" s="7">
        <v>2831.58</v>
      </c>
      <c r="AA155" s="8">
        <f>IFERROR(Z155/Z444, "NA")</f>
        <v>1.0392076099777407E-2</v>
      </c>
      <c r="AB155" s="9"/>
      <c r="AC155" s="10">
        <f t="shared" si="39"/>
        <v>-597.13000000000011</v>
      </c>
      <c r="AD155" s="8">
        <f>IFERROR(AC155/AC444, "NA")</f>
        <v>-9.3472675917351186E-3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6627.82</v>
      </c>
      <c r="C158" s="15">
        <f>IFERROR(B158/B444, "NA")</f>
        <v>4.5225783299700804E-2</v>
      </c>
      <c r="D158" s="2"/>
      <c r="E158" s="14">
        <f>IFERROR(E153+E154+E155+E156+E157, "NA")</f>
        <v>2235.59</v>
      </c>
      <c r="F158" s="15">
        <f>IFERROR(E158/E444, "NA")</f>
        <v>1.6999997946850968E-2</v>
      </c>
      <c r="G158" s="2"/>
      <c r="H158" s="14">
        <f t="shared" si="36"/>
        <v>-4392.2299999999996</v>
      </c>
      <c r="I158" s="15">
        <f>IFERROR(H158/H444, "NA")</f>
        <v>-0.29195348664076975</v>
      </c>
      <c r="J158" s="2"/>
      <c r="K158" s="14">
        <f>IFERROR(K153+K154+K155+K156+K157, "NA")</f>
        <v>5139.83</v>
      </c>
      <c r="L158" s="15">
        <f>IFERROR(K158/K444, "NA")</f>
        <v>4.5338113104691727E-2</v>
      </c>
      <c r="M158" s="2"/>
      <c r="N158" s="14">
        <f t="shared" si="37"/>
        <v>-1487.9899999999998</v>
      </c>
      <c r="O158" s="15">
        <f>IFERROR(N158/N444, "NA")</f>
        <v>-4.4842018217795036E-2</v>
      </c>
      <c r="P158" s="2"/>
      <c r="Q158" s="14">
        <f>IFERROR(Q153+Q154+Q155+Q156+Q157, "NA")</f>
        <v>14742.02</v>
      </c>
      <c r="R158" s="15">
        <f>IFERROR(Q158/Q444, "NA")</f>
        <v>4.3828394023922447E-2</v>
      </c>
      <c r="S158" s="2"/>
      <c r="T158" s="14">
        <f>IFERROR(T153+T154+T155+T156+T157, "NA")</f>
        <v>5761.52</v>
      </c>
      <c r="U158" s="15">
        <f>IFERROR(T158/T444, "NA")</f>
        <v>1.8718281532893122E-2</v>
      </c>
      <c r="V158" s="2"/>
      <c r="W158" s="14">
        <f t="shared" si="38"/>
        <v>-8980.5</v>
      </c>
      <c r="X158" s="15">
        <f>IFERROR(W158/W444, "NA")</f>
        <v>-0.3144874332845754</v>
      </c>
      <c r="Y158" s="2"/>
      <c r="Z158" s="14">
        <f>IFERROR(Z153+Z154+Z155+Z156+Z157, "NA")</f>
        <v>13053.83</v>
      </c>
      <c r="AA158" s="15">
        <f>IFERROR(Z158/Z444, "NA")</f>
        <v>4.7908374389407087E-2</v>
      </c>
      <c r="AB158" s="2"/>
      <c r="AC158" s="14">
        <f t="shared" si="39"/>
        <v>-1688.1900000000005</v>
      </c>
      <c r="AD158" s="15">
        <f>IFERROR(AC158/AC444, "NA")</f>
        <v>-2.6426345478691927E-2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410.88</v>
      </c>
      <c r="C161" s="8">
        <f>IFERROR(B161/B444, "NA")</f>
        <v>2.803692593066961E-3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-410.88</v>
      </c>
      <c r="I161" s="8">
        <f>IFERROR(H161/H444, "NA")</f>
        <v>-2.7311376815640231E-2</v>
      </c>
      <c r="J161" s="9"/>
      <c r="K161" s="7">
        <v>299.92</v>
      </c>
      <c r="L161" s="8">
        <f>IFERROR(K161/K444, "NA")</f>
        <v>2.6455752198728641E-3</v>
      </c>
      <c r="M161" s="9"/>
      <c r="N161" s="10">
        <f t="shared" si="41"/>
        <v>-110.95999999999998</v>
      </c>
      <c r="O161" s="8">
        <f>IFERROR(N161/N444, "NA")</f>
        <v>-3.343886949137116E-3</v>
      </c>
      <c r="P161" s="9"/>
      <c r="Q161" s="7">
        <v>1129.0899999999999</v>
      </c>
      <c r="R161" s="8">
        <f>IFERROR(Q161/Q444, "NA")</f>
        <v>3.3568127982780238E-3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-1129.0899999999999</v>
      </c>
      <c r="X161" s="8">
        <f>IFERROR(W161/W444, "NA")</f>
        <v>-3.9539515177025919E-2</v>
      </c>
      <c r="Y161" s="9"/>
      <c r="Z161" s="7">
        <v>1032.5999999999999</v>
      </c>
      <c r="AA161" s="8">
        <f>IFERROR(Z161/Z444, "NA")</f>
        <v>3.7897067293278489E-3</v>
      </c>
      <c r="AB161" s="9"/>
      <c r="AC161" s="10">
        <f t="shared" si="43"/>
        <v>-96.490000000000009</v>
      </c>
      <c r="AD161" s="8">
        <f>IFERROR(AC161/AC444, "NA")</f>
        <v>-1.5104212649281086E-3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410.88</v>
      </c>
      <c r="C166" s="15">
        <f>IFERROR(B166/B444, "NA")</f>
        <v>2.803692593066961E-3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-410.88</v>
      </c>
      <c r="I166" s="15">
        <f>IFERROR(H166/H444, "NA")</f>
        <v>-2.7311376815640231E-2</v>
      </c>
      <c r="J166" s="2"/>
      <c r="K166" s="14">
        <f>IFERROR(K160+K161+K162+K163+K164+K165, "NA")</f>
        <v>299.92</v>
      </c>
      <c r="L166" s="15">
        <f>IFERROR(K166/K444, "NA")</f>
        <v>2.6455752198728641E-3</v>
      </c>
      <c r="M166" s="2"/>
      <c r="N166" s="14">
        <f t="shared" si="41"/>
        <v>-110.95999999999998</v>
      </c>
      <c r="O166" s="15">
        <f>IFERROR(N166/N444, "NA")</f>
        <v>-3.343886949137116E-3</v>
      </c>
      <c r="P166" s="2"/>
      <c r="Q166" s="14">
        <f>IFERROR(Q160+Q161+Q162+Q163+Q164+Q165, "NA")</f>
        <v>1129.0899999999999</v>
      </c>
      <c r="R166" s="15">
        <f>IFERROR(Q166/Q444, "NA")</f>
        <v>3.3568127982780238E-3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-1129.0899999999999</v>
      </c>
      <c r="X166" s="15">
        <f>IFERROR(W166/W444, "NA")</f>
        <v>-3.9539515177025919E-2</v>
      </c>
      <c r="Y166" s="2"/>
      <c r="Z166" s="14">
        <f>IFERROR(Z160+Z161+Z162+Z163+Z164+Z165, "NA")</f>
        <v>1032.5999999999999</v>
      </c>
      <c r="AA166" s="15">
        <f>IFERROR(Z166/Z444, "NA")</f>
        <v>3.7897067293278489E-3</v>
      </c>
      <c r="AB166" s="2"/>
      <c r="AC166" s="14">
        <f t="shared" si="43"/>
        <v>-96.490000000000009</v>
      </c>
      <c r="AD166" s="15">
        <f>IFERROR(AC166/AC444, "NA")</f>
        <v>-1.5104212649281086E-3</v>
      </c>
    </row>
    <row r="167" spans="1:30" ht="16.5" customHeight="1" x14ac:dyDescent="0.45">
      <c r="A167" s="6" t="s">
        <v>155</v>
      </c>
      <c r="B167" s="7">
        <v>145.62</v>
      </c>
      <c r="C167" s="8">
        <f>IFERROR(B167/B444, "NA")</f>
        <v>9.9365682292253425E-4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-145.62</v>
      </c>
      <c r="I167" s="8">
        <f>IFERROR(H167/H444, "NA")</f>
        <v>-9.6794263334636158E-3</v>
      </c>
      <c r="J167" s="9"/>
      <c r="K167" s="7">
        <v>190.4</v>
      </c>
      <c r="L167" s="8">
        <f>IFERROR(K167/K444, "NA")</f>
        <v>1.6795062745525251E-3</v>
      </c>
      <c r="M167" s="9"/>
      <c r="N167" s="10">
        <f t="shared" si="41"/>
        <v>44.78</v>
      </c>
      <c r="O167" s="8">
        <f>IFERROR(N167/N444, "NA")</f>
        <v>1.3494886227682055E-3</v>
      </c>
      <c r="P167" s="9"/>
      <c r="Q167" s="7">
        <v>359.74</v>
      </c>
      <c r="R167" s="8">
        <f>IFERROR(Q167/Q444, "NA")</f>
        <v>1.0695160138275393E-3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-359.74</v>
      </c>
      <c r="X167" s="8">
        <f>IFERROR(W167/W444, "NA")</f>
        <v>-1.2597707171069892E-2</v>
      </c>
      <c r="Y167" s="9"/>
      <c r="Z167" s="7">
        <v>457.01</v>
      </c>
      <c r="AA167" s="8">
        <f>IFERROR(Z167/Z444, "NA")</f>
        <v>1.677255348024521E-3</v>
      </c>
      <c r="AB167" s="9"/>
      <c r="AC167" s="10">
        <f t="shared" si="43"/>
        <v>97.269999999999982</v>
      </c>
      <c r="AD167" s="8">
        <f>IFERROR(AC167/AC444, "NA")</f>
        <v>1.5226311165878025E-3</v>
      </c>
    </row>
    <row r="168" spans="1:30" ht="16.5" customHeight="1" x14ac:dyDescent="0.45">
      <c r="A168" s="6" t="s">
        <v>156</v>
      </c>
      <c r="B168" s="7">
        <v>41.8</v>
      </c>
      <c r="C168" s="8">
        <f>IFERROR(B168/B444, "NA")</f>
        <v>2.852276829979531E-4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-41.8</v>
      </c>
      <c r="I168" s="8">
        <f>IFERROR(H168/H444, "NA")</f>
        <v>-2.7784646390521845E-3</v>
      </c>
      <c r="J168" s="9"/>
      <c r="K168" s="7">
        <v>47.4</v>
      </c>
      <c r="L168" s="8">
        <f>IFERROR(K168/K444, "NA")</f>
        <v>4.1811238137494584E-4</v>
      </c>
      <c r="M168" s="9"/>
      <c r="N168" s="10">
        <f t="shared" si="41"/>
        <v>5.6000000000000014</v>
      </c>
      <c r="O168" s="8">
        <f>IFERROR(N168/N444, "NA")</f>
        <v>1.6876141776467067E-4</v>
      </c>
      <c r="P168" s="9"/>
      <c r="Q168" s="7">
        <v>129.4</v>
      </c>
      <c r="R168" s="8">
        <f>IFERROR(Q168/Q444, "NA")</f>
        <v>3.8470943511781727E-4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-129.4</v>
      </c>
      <c r="X168" s="8">
        <f>IFERROR(W168/W444, "NA")</f>
        <v>-4.5314485682338467E-3</v>
      </c>
      <c r="Y168" s="9"/>
      <c r="Z168" s="7">
        <v>132.1</v>
      </c>
      <c r="AA168" s="8">
        <f>IFERROR(Z168/Z444, "NA")</f>
        <v>4.8481528079044053E-4</v>
      </c>
      <c r="AB168" s="9"/>
      <c r="AC168" s="10">
        <f t="shared" si="43"/>
        <v>2.6999999999999886</v>
      </c>
      <c r="AD168" s="8">
        <f>IFERROR(AC168/AC444, "NA")</f>
        <v>4.2264871129711634E-5</v>
      </c>
    </row>
    <row r="169" spans="1:30" ht="16.5" customHeight="1" x14ac:dyDescent="0.45">
      <c r="A169" s="6" t="s">
        <v>157</v>
      </c>
      <c r="B169" s="7">
        <v>-4109.38</v>
      </c>
      <c r="C169" s="8">
        <f>IFERROR(B169/B444, "NA")</f>
        <v>-2.8040883635361929E-2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4109.38</v>
      </c>
      <c r="I169" s="8">
        <f>IFERROR(H169/H444, "NA")</f>
        <v>0.27315232101503034</v>
      </c>
      <c r="J169" s="9"/>
      <c r="K169" s="7">
        <v>-3570.39</v>
      </c>
      <c r="L169" s="8">
        <f>IFERROR(K169/K444, "NA")</f>
        <v>-3.1494182813023054E-2</v>
      </c>
      <c r="M169" s="9"/>
      <c r="N169" s="10">
        <f t="shared" si="41"/>
        <v>538.99000000000024</v>
      </c>
      <c r="O169" s="8">
        <f>IFERROR(N169/N444, "NA")</f>
        <v>1.6242985100174974E-2</v>
      </c>
      <c r="P169" s="9"/>
      <c r="Q169" s="7">
        <v>-10705.12</v>
      </c>
      <c r="R169" s="8">
        <f>IFERROR(Q169/Q444, "NA")</f>
        <v>-3.1826589397746893E-2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10705.12</v>
      </c>
      <c r="X169" s="8">
        <f>IFERROR(W169/W444, "NA")</f>
        <v>0.37488176736299472</v>
      </c>
      <c r="Y169" s="9"/>
      <c r="Z169" s="7">
        <v>-8599.7999999999993</v>
      </c>
      <c r="AA169" s="8">
        <f>IFERROR(Z169/Z444, "NA")</f>
        <v>-3.1561805085099398E-2</v>
      </c>
      <c r="AB169" s="9"/>
      <c r="AC169" s="10">
        <f t="shared" si="43"/>
        <v>2105.3200000000015</v>
      </c>
      <c r="AD169" s="8">
        <f>IFERROR(AC169/AC444, "NA")</f>
        <v>3.2955954995112939E-2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3116.74</v>
      </c>
      <c r="C170" s="15">
        <f>IFERROR(B170/B444, "NA")</f>
        <v>2.1267476763326323E-2</v>
      </c>
      <c r="D170" s="2"/>
      <c r="E170" s="14">
        <f>IFERROR(E151+E153+E154+E155+E156+E157+E160+E161+E162+E163+E164+E165+E167+E168+E169, "NA")</f>
        <v>2235.59</v>
      </c>
      <c r="F170" s="15">
        <f>IFERROR(E170/E444, "NA")</f>
        <v>1.6999997946850968E-2</v>
      </c>
      <c r="G170" s="2"/>
      <c r="H170" s="14">
        <f t="shared" si="40"/>
        <v>-881.14999999999964</v>
      </c>
      <c r="I170" s="15">
        <f>IFERROR(H170/H444, "NA")</f>
        <v>-5.8570433413895492E-2</v>
      </c>
      <c r="J170" s="2"/>
      <c r="K170" s="14">
        <f>IFERROR(K151+K153+K154+K155+K156+K157+K160+K161+K162+K163+K164+K165+K167+K168+K169, "NA")</f>
        <v>2107.1599999999994</v>
      </c>
      <c r="L170" s="15">
        <f>IFERROR(K170/K444, "NA")</f>
        <v>1.8587124167469E-2</v>
      </c>
      <c r="M170" s="2"/>
      <c r="N170" s="14">
        <f t="shared" si="41"/>
        <v>-1009.5800000000004</v>
      </c>
      <c r="O170" s="15">
        <f>IFERROR(N170/N444, "NA")</f>
        <v>-3.0424670026224329E-2</v>
      </c>
      <c r="P170" s="2"/>
      <c r="Q170" s="14">
        <f>IFERROR(Q151+Q153+Q154+Q155+Q156+Q157+Q160+Q161+Q162+Q163+Q164+Q165+Q167+Q168+Q169, "NA")</f>
        <v>5655.1299999999992</v>
      </c>
      <c r="R170" s="15">
        <f>IFERROR(Q170/Q444, "NA")</f>
        <v>1.6812842873398931E-2</v>
      </c>
      <c r="S170" s="2"/>
      <c r="T170" s="14">
        <f>IFERROR(T151+T153+T154+T155+T156+T157+T160+T161+T162+T163+T164+T165+T167+T168+T169, "NA")</f>
        <v>5761.52</v>
      </c>
      <c r="U170" s="15">
        <f>IFERROR(T170/T444, "NA")</f>
        <v>1.8718281532893122E-2</v>
      </c>
      <c r="V170" s="2"/>
      <c r="W170" s="14">
        <f t="shared" si="42"/>
        <v>106.39000000000124</v>
      </c>
      <c r="X170" s="15">
        <f>IFERROR(W170/W444, "NA")</f>
        <v>3.7256631620896795E-3</v>
      </c>
      <c r="Y170" s="2"/>
      <c r="Z170" s="14">
        <f>IFERROR(Z151+Z153+Z154+Z155+Z156+Z157+Z160+Z161+Z162+Z163+Z164+Z165+Z167+Z168+Z169, "NA")</f>
        <v>6075.7400000000016</v>
      </c>
      <c r="AA170" s="15">
        <f>IFERROR(Z170/Z444, "NA")</f>
        <v>2.2298346662450508E-2</v>
      </c>
      <c r="AB170" s="2"/>
      <c r="AC170" s="14">
        <f t="shared" si="43"/>
        <v>420.6100000000024</v>
      </c>
      <c r="AD170" s="15">
        <f>IFERROR(AC170/AC444, "NA")</f>
        <v>6.5840842392104392E-3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42016.05000000001</v>
      </c>
      <c r="C171" s="15">
        <f>IFERROR(B171/B444, "NA")</f>
        <v>0.28670192799584093</v>
      </c>
      <c r="D171" s="2"/>
      <c r="E171" s="14">
        <f>IFERROR(E127+E129+E130+E131+E132+E133+E134+E135+E136+E137+E138+E139+E140+E143+E144+E145+E146+E147+E151+E153+E154+E155+E156+E157+E160+E161+E162+E163+E164+E165+E167+E168+E169, "NA")</f>
        <v>32481.81</v>
      </c>
      <c r="F171" s="15">
        <f>IFERROR(E171/E444, "NA")</f>
        <v>0.24699998806131859</v>
      </c>
      <c r="G171" s="2"/>
      <c r="H171" s="14">
        <f t="shared" si="40"/>
        <v>-9534.2400000000089</v>
      </c>
      <c r="I171" s="15">
        <f>IFERROR(H171/H444, "NA")</f>
        <v>-0.63374518421619441</v>
      </c>
      <c r="J171" s="2"/>
      <c r="K171" s="14">
        <f>IFERROR(K127+K129+K130+K131+K132+K133+K134+K135+K136+K137+K138+K139+K140+K143+K144+K145+K146+K147+K151+K153+K154+K155+K156+K157+K160+K161+K162+K163+K164+K165+K167+K168+K169, "NA")</f>
        <v>32337.769999999997</v>
      </c>
      <c r="L171" s="15">
        <f>IFERROR(K171/K444, "NA")</f>
        <v>0.28524940976909874</v>
      </c>
      <c r="M171" s="2"/>
      <c r="N171" s="14">
        <f t="shared" si="41"/>
        <v>-9678.2800000000134</v>
      </c>
      <c r="O171" s="15">
        <f>IFERROR(N171/N444, "NA")</f>
        <v>-0.29166433112918905</v>
      </c>
      <c r="P171" s="2"/>
      <c r="Q171" s="14">
        <f>IFERROR(Q127+Q129+Q130+Q131+Q132+Q133+Q134+Q135+Q136+Q137+Q138+Q139+Q140+Q143+Q144+Q145+Q146+Q147+Q151+Q153+Q154+Q155+Q156+Q157+Q160+Q161+Q162+Q163+Q164+Q165+Q167+Q168+Q169, "NA")</f>
        <v>93792.25</v>
      </c>
      <c r="R171" s="15">
        <f>IFERROR(Q171/Q444, "NA")</f>
        <v>0.27884670414164681</v>
      </c>
      <c r="S171" s="2"/>
      <c r="T171" s="14">
        <f>IFERROR(T127+T129+T130+T131+T132+T133+T134+T135+T136+T137+T138+T139+T140+T143+T144+T145+T146+T147+T151+T153+T154+T155+T156+T157+T160+T161+T162+T163+T164+T165+T167+T168+T169, "NA")</f>
        <v>80438.77</v>
      </c>
      <c r="U171" s="15">
        <f>IFERROR(T171/T444, "NA")</f>
        <v>0.26133304111061612</v>
      </c>
      <c r="V171" s="2"/>
      <c r="W171" s="14">
        <f t="shared" si="42"/>
        <v>-13353.479999999996</v>
      </c>
      <c r="X171" s="15">
        <f>IFERROR(W171/W444, "NA")</f>
        <v>-0.46762448088824798</v>
      </c>
      <c r="Y171" s="2"/>
      <c r="Z171" s="14">
        <f>IFERROR(Z127+Z129+Z130+Z131+Z132+Z133+Z134+Z135+Z136+Z137+Z138+Z139+Z140+Z143+Z144+Z145+Z146+Z147+Z151+Z153+Z154+Z155+Z156+Z157+Z160+Z161+Z162+Z163+Z164+Z165+Z167+Z168+Z169, "NA")</f>
        <v>80131.189999999988</v>
      </c>
      <c r="AA171" s="15">
        <f>IFERROR(Z171/Z444, "NA")</f>
        <v>0.29408649038548174</v>
      </c>
      <c r="AB171" s="2"/>
      <c r="AC171" s="14">
        <f t="shared" si="43"/>
        <v>-13661.060000000012</v>
      </c>
      <c r="AD171" s="15">
        <f>IFERROR(AC171/AC444, "NA")</f>
        <v>-0.21384553347972643</v>
      </c>
    </row>
    <row r="172" spans="1:30" ht="16.5" customHeight="1" x14ac:dyDescent="0.45">
      <c r="A172" s="22" t="s">
        <v>160</v>
      </c>
      <c r="B172" s="23">
        <f>IFERROR(B124-B171, "NA")</f>
        <v>104533.53999999995</v>
      </c>
      <c r="C172" s="24">
        <f>IFERROR(B172/B444, "NA")</f>
        <v>0.71329807200415885</v>
      </c>
      <c r="D172" s="25"/>
      <c r="E172" s="23">
        <f>IFERROR(E124-E171, "NA")</f>
        <v>99023.499999999971</v>
      </c>
      <c r="F172" s="24">
        <f>IFERROR(E172/E444, "NA")</f>
        <v>0.75300001193868116</v>
      </c>
      <c r="G172" s="25"/>
      <c r="H172" s="23">
        <f>IFERROR(B172-E172, "NA")</f>
        <v>5510.039999999979</v>
      </c>
      <c r="I172" s="24">
        <f>IFERROR(H172/H444, "NA")</f>
        <v>0.36625481578380487</v>
      </c>
      <c r="J172" s="25"/>
      <c r="K172" s="23">
        <f>IFERROR(K124-K171, "NA")</f>
        <v>81028.880000000034</v>
      </c>
      <c r="L172" s="24">
        <f>IFERROR(K172/K444, "NA")</f>
        <v>0.71475059023090159</v>
      </c>
      <c r="M172" s="25"/>
      <c r="N172" s="23">
        <f>IFERROR(B172-K172, "NA")</f>
        <v>23504.659999999916</v>
      </c>
      <c r="O172" s="24">
        <f>IFERROR(N172/N444, "NA")</f>
        <v>0.70833566887080879</v>
      </c>
      <c r="P172" s="25"/>
      <c r="Q172" s="23">
        <f>IFERROR(Q124-Q171, "NA")</f>
        <v>242565.50000000006</v>
      </c>
      <c r="R172" s="24">
        <f>IFERROR(Q172/Q444, "NA")</f>
        <v>0.72115329585835342</v>
      </c>
      <c r="S172" s="25"/>
      <c r="T172" s="23">
        <f>IFERROR(T124-T171, "NA")</f>
        <v>227362.99000000005</v>
      </c>
      <c r="U172" s="24">
        <f>IFERROR(T172/T444, "NA")</f>
        <v>0.73866695888938405</v>
      </c>
      <c r="V172" s="25"/>
      <c r="W172" s="23">
        <f>IFERROR(Q172-T172, "NA")</f>
        <v>15202.510000000009</v>
      </c>
      <c r="X172" s="24">
        <f>IFERROR(W172/W444, "NA")</f>
        <v>0.53237551911175252</v>
      </c>
      <c r="Y172" s="25"/>
      <c r="Z172" s="23">
        <f>IFERROR(Z124-Z171, "NA")</f>
        <v>192343.72000000003</v>
      </c>
      <c r="AA172" s="24">
        <f>IFERROR(Z172/Z444, "NA")</f>
        <v>0.70591350961451849</v>
      </c>
      <c r="AB172" s="25"/>
      <c r="AC172" s="23">
        <f>IFERROR(Q172-Z172, "NA")</f>
        <v>50221.780000000028</v>
      </c>
      <c r="AD172" s="24">
        <f>IFERROR(AC172/AC444, "NA")</f>
        <v>0.78615446652027376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6490.4</v>
      </c>
      <c r="C178" s="8">
        <f>IFERROR(B178/B444, "NA")</f>
        <v>4.4288080232773079E-2</v>
      </c>
      <c r="D178" s="9"/>
      <c r="E178" s="7">
        <v>6826.92</v>
      </c>
      <c r="F178" s="8">
        <f>IFERROR(E178/E444, "NA")</f>
        <v>5.191364516003194E-2</v>
      </c>
      <c r="G178" s="9"/>
      <c r="H178" s="10">
        <f t="shared" si="44"/>
        <v>336.52000000000044</v>
      </c>
      <c r="I178" s="8">
        <f>IFERROR(H178/H444, "NA")</f>
        <v>2.2368634457747429E-2</v>
      </c>
      <c r="J178" s="9"/>
      <c r="K178" s="7">
        <v>6490.4</v>
      </c>
      <c r="L178" s="8">
        <f>IFERROR(K178/K444, "NA")</f>
        <v>5.7251405064893422E-2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16875.04</v>
      </c>
      <c r="R178" s="8">
        <f>IFERROR(Q178/Q444, "NA")</f>
        <v>5.016991581136454E-2</v>
      </c>
      <c r="S178" s="9"/>
      <c r="T178" s="7">
        <v>17750</v>
      </c>
      <c r="U178" s="8">
        <f>IFERROR(T178/T444, "NA")</f>
        <v>5.7666986699491253E-2</v>
      </c>
      <c r="V178" s="9"/>
      <c r="W178" s="10">
        <f t="shared" si="46"/>
        <v>874.95999999999913</v>
      </c>
      <c r="X178" s="8">
        <f>IFERROR(W178/W444, "NA")</f>
        <v>3.0640156408515321E-2</v>
      </c>
      <c r="Y178" s="9"/>
      <c r="Z178" s="7">
        <v>16875.04</v>
      </c>
      <c r="AA178" s="8">
        <f>IFERROR(Z178/Z444, "NA")</f>
        <v>6.1932454624904737E-2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28014.12</v>
      </c>
      <c r="C180" s="8">
        <f>IFERROR(B180/B444, "NA")</f>
        <v>0.19115795547432102</v>
      </c>
      <c r="D180" s="9"/>
      <c r="E180" s="7">
        <v>27879.13</v>
      </c>
      <c r="F180" s="8">
        <f>IFERROR(E180/E444, "NA")</f>
        <v>0.2120000325462143</v>
      </c>
      <c r="G180" s="9"/>
      <c r="H180" s="10">
        <f t="shared" si="44"/>
        <v>-134.98999999999796</v>
      </c>
      <c r="I180" s="8">
        <f>IFERROR(H180/H444, "NA")</f>
        <v>-8.972845493436573E-3</v>
      </c>
      <c r="J180" s="9"/>
      <c r="K180" s="7">
        <v>26738.89</v>
      </c>
      <c r="L180" s="8">
        <f>IFERROR(K180/K444, "NA")</f>
        <v>0.2358620458485807</v>
      </c>
      <c r="M180" s="9"/>
      <c r="N180" s="10">
        <f t="shared" si="45"/>
        <v>-1275.2299999999996</v>
      </c>
      <c r="O180" s="8">
        <f>IFERROR(N180/N444, "NA")</f>
        <v>-3.8430289781435867E-2</v>
      </c>
      <c r="P180" s="9"/>
      <c r="Q180" s="7">
        <v>68545.7</v>
      </c>
      <c r="R180" s="8">
        <f>IFERROR(Q180/Q444, "NA")</f>
        <v>0.20378807980491009</v>
      </c>
      <c r="S180" s="9"/>
      <c r="T180" s="7">
        <v>67915.649999999994</v>
      </c>
      <c r="U180" s="8">
        <f>IFERROR(T180/T444, "NA")</f>
        <v>0.22064737381618607</v>
      </c>
      <c r="V180" s="9"/>
      <c r="W180" s="10">
        <f t="shared" si="46"/>
        <v>-630.05000000000291</v>
      </c>
      <c r="X180" s="8">
        <f>IFERROR(W180/W444, "NA")</f>
        <v>-2.2063672105222167E-2</v>
      </c>
      <c r="Y180" s="9"/>
      <c r="Z180" s="7">
        <v>69260.44</v>
      </c>
      <c r="AA180" s="8">
        <f>IFERROR(Z180/Z444, "NA")</f>
        <v>0.25419015644412912</v>
      </c>
      <c r="AB180" s="9"/>
      <c r="AC180" s="10">
        <f t="shared" si="47"/>
        <v>714.74000000000524</v>
      </c>
      <c r="AD180" s="8">
        <f>IFERROR(AC180/AC444, "NA")</f>
        <v>1.1188294070833497E-2</v>
      </c>
    </row>
    <row r="181" spans="1:30" ht="16.5" customHeight="1" x14ac:dyDescent="0.45">
      <c r="A181" s="12" t="s">
        <v>166</v>
      </c>
      <c r="B181" s="7">
        <v>103.5</v>
      </c>
      <c r="C181" s="8">
        <f>IFERROR(B181/B444, "NA")</f>
        <v>7.0624557871502749E-4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-103.5</v>
      </c>
      <c r="I181" s="8">
        <f>IFERROR(H181/H444, "NA")</f>
        <v>-6.8796911517201229E-3</v>
      </c>
      <c r="J181" s="9"/>
      <c r="K181" s="7">
        <v>26.76</v>
      </c>
      <c r="L181" s="8">
        <f>IFERROR(K181/K444, "NA")</f>
        <v>2.3604825581420994E-4</v>
      </c>
      <c r="M181" s="9"/>
      <c r="N181" s="10">
        <f t="shared" si="45"/>
        <v>-76.739999999999995</v>
      </c>
      <c r="O181" s="8">
        <f>IFERROR(N181/N444, "NA")</f>
        <v>-2.3126341427251468E-3</v>
      </c>
      <c r="P181" s="9"/>
      <c r="Q181" s="7">
        <v>184.03</v>
      </c>
      <c r="R181" s="8">
        <f>IFERROR(Q181/Q444, "NA")</f>
        <v>5.4712579091755723E-4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-184.03</v>
      </c>
      <c r="X181" s="8">
        <f>IFERROR(W181/W444, "NA")</f>
        <v>-6.4445323030299442E-3</v>
      </c>
      <c r="Y181" s="9"/>
      <c r="Z181" s="7">
        <v>421.4</v>
      </c>
      <c r="AA181" s="8">
        <f>IFERROR(Z181/Z444, "NA")</f>
        <v>1.546564415784191E-3</v>
      </c>
      <c r="AB181" s="9"/>
      <c r="AC181" s="10">
        <f t="shared" si="47"/>
        <v>237.36999999999998</v>
      </c>
      <c r="AD181" s="8">
        <f>IFERROR(AC181/AC444, "NA")</f>
        <v>3.7157083185406265E-3</v>
      </c>
    </row>
    <row r="182" spans="1:30" ht="16.5" customHeight="1" x14ac:dyDescent="0.45">
      <c r="A182" s="13" t="s">
        <v>167</v>
      </c>
      <c r="B182" s="14">
        <f>IFERROR(B177+B178+B179+B180+B181, "NA")</f>
        <v>34608.019999999997</v>
      </c>
      <c r="C182" s="15">
        <f>IFERROR(B182/B444, "NA")</f>
        <v>0.23615228128580912</v>
      </c>
      <c r="D182" s="2"/>
      <c r="E182" s="14">
        <f>IFERROR(E177+E178+E179+E180+E181, "NA")</f>
        <v>34706.050000000003</v>
      </c>
      <c r="F182" s="15">
        <f>IFERROR(E182/E444, "NA")</f>
        <v>0.26391367770624624</v>
      </c>
      <c r="G182" s="2"/>
      <c r="H182" s="14">
        <f t="shared" si="44"/>
        <v>98.030000000006112</v>
      </c>
      <c r="I182" s="15">
        <f>IFERROR(H182/H444, "NA")</f>
        <v>6.516097812590973E-3</v>
      </c>
      <c r="J182" s="2"/>
      <c r="K182" s="14">
        <f>IFERROR(K177+K178+K179+K180+K181, "NA")</f>
        <v>33256.050000000003</v>
      </c>
      <c r="L182" s="15">
        <f>IFERROR(K182/K444, "NA")</f>
        <v>0.29334949916928837</v>
      </c>
      <c r="M182" s="2"/>
      <c r="N182" s="14">
        <f t="shared" si="45"/>
        <v>-1351.9699999999939</v>
      </c>
      <c r="O182" s="15">
        <f>IFERROR(N182/N444, "NA")</f>
        <v>-4.0742923924160845E-2</v>
      </c>
      <c r="P182" s="2"/>
      <c r="Q182" s="14">
        <f>IFERROR(Q177+Q178+Q179+Q180+Q181, "NA")</f>
        <v>85604.76999999999</v>
      </c>
      <c r="R182" s="15">
        <f>IFERROR(Q182/Q444, "NA")</f>
        <v>0.25450512140719217</v>
      </c>
      <c r="S182" s="2"/>
      <c r="T182" s="14">
        <f>IFERROR(T177+T178+T179+T180+T181, "NA")</f>
        <v>85665.65</v>
      </c>
      <c r="U182" s="15">
        <f>IFERROR(T182/T444, "NA")</f>
        <v>0.27831436051567732</v>
      </c>
      <c r="V182" s="2"/>
      <c r="W182" s="14">
        <f t="shared" si="46"/>
        <v>60.880000000004657</v>
      </c>
      <c r="X182" s="15">
        <f>IFERROR(W182/W444, "NA")</f>
        <v>2.1319520002635061E-3</v>
      </c>
      <c r="Y182" s="2"/>
      <c r="Z182" s="14">
        <f>IFERROR(Z177+Z178+Z179+Z180+Z181, "NA")</f>
        <v>86556.88</v>
      </c>
      <c r="AA182" s="15">
        <f>IFERROR(Z182/Z444, "NA")</f>
        <v>0.3176691754848181</v>
      </c>
      <c r="AB182" s="2"/>
      <c r="AC182" s="14">
        <f t="shared" si="47"/>
        <v>952.11000000001513</v>
      </c>
      <c r="AD182" s="15">
        <f>IFERROR(AC182/AC444, "NA")</f>
        <v>1.4904002389374279E-2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3.4118143899276691E-3</v>
      </c>
      <c r="D184" s="9"/>
      <c r="E184" s="7">
        <v>500</v>
      </c>
      <c r="F184" s="8">
        <f>IFERROR(E184/E444, "NA")</f>
        <v>3.8021278380317874E-3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800</v>
      </c>
      <c r="L184" s="8">
        <f>IFERROR(K184/K444, "NA")</f>
        <v>7.0567490527417018E-3</v>
      </c>
      <c r="M184" s="9"/>
      <c r="N184" s="10">
        <f t="shared" si="45"/>
        <v>300</v>
      </c>
      <c r="O184" s="8">
        <f>IFERROR(N184/N444, "NA")</f>
        <v>9.0407902373930687E-3</v>
      </c>
      <c r="P184" s="9"/>
      <c r="Q184" s="7">
        <v>1500</v>
      </c>
      <c r="R184" s="8">
        <f>IFERROR(Q184/Q444, "NA")</f>
        <v>4.4595375013657332E-3</v>
      </c>
      <c r="S184" s="9"/>
      <c r="T184" s="7">
        <v>1500</v>
      </c>
      <c r="U184" s="8">
        <f>IFERROR(T184/T444, "NA")</f>
        <v>4.8732664816471486E-3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1400</v>
      </c>
      <c r="AA184" s="8">
        <f>IFERROR(Z184/Z444, "NA")</f>
        <v>5.1380877600803688E-3</v>
      </c>
      <c r="AB184" s="9"/>
      <c r="AC184" s="10">
        <f t="shared" si="47"/>
        <v>-100</v>
      </c>
      <c r="AD184" s="8">
        <f>IFERROR(AC184/AC444, "NA")</f>
        <v>-1.5653655973967338E-3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3295</v>
      </c>
      <c r="C186" s="8">
        <f>IFERROR(B186/B444, "NA")</f>
        <v>2.2483856829623339E-2</v>
      </c>
      <c r="D186" s="9"/>
      <c r="E186" s="7">
        <v>4183.18</v>
      </c>
      <c r="F186" s="8">
        <f>IFERROR(E186/E444, "NA")</f>
        <v>3.180997025899563E-2</v>
      </c>
      <c r="G186" s="9"/>
      <c r="H186" s="10">
        <f t="shared" ref="H186:H197" si="48">IFERROR(-(B186-E186), "NA")</f>
        <v>888.18000000000029</v>
      </c>
      <c r="I186" s="8">
        <f>IFERROR(H186/H444, "NA")</f>
        <v>5.9037720648645223E-2</v>
      </c>
      <c r="J186" s="9"/>
      <c r="K186" s="7">
        <v>3742.54</v>
      </c>
      <c r="L186" s="8">
        <f>IFERROR(K186/K444, "NA")</f>
        <v>3.3012706999809911E-2</v>
      </c>
      <c r="M186" s="9"/>
      <c r="N186" s="10">
        <f t="shared" ref="N186:N197" si="49">IFERROR(-(B186-K186), "NA")</f>
        <v>447.53999999999996</v>
      </c>
      <c r="O186" s="8">
        <f>IFERROR(N186/N444, "NA")</f>
        <v>1.348705087614298E-2</v>
      </c>
      <c r="P186" s="9"/>
      <c r="Q186" s="7">
        <v>8344.65</v>
      </c>
      <c r="R186" s="8">
        <f>IFERROR(Q186/Q444, "NA")</f>
        <v>2.4808853073847711E-2</v>
      </c>
      <c r="S186" s="9"/>
      <c r="T186" s="7">
        <v>10826</v>
      </c>
      <c r="U186" s="8">
        <f>IFERROR(T186/T444, "NA")</f>
        <v>3.5171988620208018E-2</v>
      </c>
      <c r="V186" s="9"/>
      <c r="W186" s="10">
        <f t="shared" ref="W186:W197" si="50">IFERROR(-(Q186-T186), "NA")</f>
        <v>2481.3500000000004</v>
      </c>
      <c r="X186" s="8">
        <f>IFERROR(W186/W444, "NA")</f>
        <v>8.6894203282743873E-2</v>
      </c>
      <c r="Y186" s="9"/>
      <c r="Z186" s="7">
        <v>10141.74</v>
      </c>
      <c r="AA186" s="8">
        <f>IFERROR(Z186/Z444, "NA")</f>
        <v>3.7220821542798203E-2</v>
      </c>
      <c r="AB186" s="9"/>
      <c r="AC186" s="10">
        <f t="shared" ref="AC186:AC197" si="51">IFERROR(-(Q186-Z186), "NA")</f>
        <v>1797.0900000000001</v>
      </c>
      <c r="AD186" s="8">
        <f>IFERROR(AC186/AC444, "NA")</f>
        <v>2.8131028614256964E-2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0.01</v>
      </c>
      <c r="L187" s="8">
        <f>IFERROR(K187/K444, "NA")</f>
        <v>8.820936315927127E-8</v>
      </c>
      <c r="M187" s="9"/>
      <c r="N187" s="10">
        <f t="shared" si="49"/>
        <v>0.01</v>
      </c>
      <c r="O187" s="8">
        <f>IFERROR(N187/N444, "NA")</f>
        <v>3.0135967457976899E-7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3295</v>
      </c>
      <c r="C193" s="15">
        <f>IFERROR(B193/B444, "NA")</f>
        <v>2.2483856829623339E-2</v>
      </c>
      <c r="D193" s="2"/>
      <c r="E193" s="14">
        <f>IFERROR(E186+E187+E188+E189+E190+E191+E192, "NA")</f>
        <v>4183.18</v>
      </c>
      <c r="F193" s="15">
        <f>IFERROR(E193/E444, "NA")</f>
        <v>3.180997025899563E-2</v>
      </c>
      <c r="G193" s="2"/>
      <c r="H193" s="14">
        <f t="shared" si="48"/>
        <v>888.18000000000029</v>
      </c>
      <c r="I193" s="15">
        <f>IFERROR(H193/H444, "NA")</f>
        <v>5.9037720648645223E-2</v>
      </c>
      <c r="J193" s="2"/>
      <c r="K193" s="14">
        <f>IFERROR(K186+K187+K188+K189+K190+K191+K192, "NA")</f>
        <v>3742.55</v>
      </c>
      <c r="L193" s="15">
        <f>IFERROR(K193/K444, "NA")</f>
        <v>3.3012795209173072E-2</v>
      </c>
      <c r="M193" s="2"/>
      <c r="N193" s="14">
        <f t="shared" si="49"/>
        <v>447.55000000000018</v>
      </c>
      <c r="O193" s="15">
        <f>IFERROR(N193/N444, "NA")</f>
        <v>1.3487352235817566E-2</v>
      </c>
      <c r="P193" s="2"/>
      <c r="Q193" s="14">
        <f>IFERROR(Q186+Q187+Q188+Q189+Q190+Q191+Q192, "NA")</f>
        <v>8344.65</v>
      </c>
      <c r="R193" s="15">
        <f>IFERROR(Q193/Q444, "NA")</f>
        <v>2.4808853073847711E-2</v>
      </c>
      <c r="S193" s="2"/>
      <c r="T193" s="14">
        <f>IFERROR(T186+T187+T188+T189+T190+T191+T192, "NA")</f>
        <v>10826</v>
      </c>
      <c r="U193" s="15">
        <f>IFERROR(T193/T444, "NA")</f>
        <v>3.5171988620208018E-2</v>
      </c>
      <c r="V193" s="2"/>
      <c r="W193" s="14">
        <f t="shared" si="50"/>
        <v>2481.3500000000004</v>
      </c>
      <c r="X193" s="15">
        <f>IFERROR(W193/W444, "NA")</f>
        <v>8.6894203282743873E-2</v>
      </c>
      <c r="Y193" s="2"/>
      <c r="Z193" s="14">
        <f>IFERROR(Z186+Z187+Z188+Z189+Z190+Z191+Z192, "NA")</f>
        <v>10141.74</v>
      </c>
      <c r="AA193" s="15">
        <f>IFERROR(Z193/Z444, "NA")</f>
        <v>3.7220821542798203E-2</v>
      </c>
      <c r="AB193" s="2"/>
      <c r="AC193" s="14">
        <f t="shared" si="51"/>
        <v>1797.0900000000001</v>
      </c>
      <c r="AD193" s="15">
        <f>IFERROR(AC193/AC444, "NA")</f>
        <v>2.8131028614256964E-2</v>
      </c>
    </row>
    <row r="194" spans="1:30" ht="16.5" customHeight="1" x14ac:dyDescent="0.45">
      <c r="A194" s="6" t="s">
        <v>178</v>
      </c>
      <c r="B194" s="7">
        <v>262.88</v>
      </c>
      <c r="C194" s="8">
        <f>IFERROR(B194/B444, "NA")</f>
        <v>1.7937955336483711E-3</v>
      </c>
      <c r="D194" s="9"/>
      <c r="E194" s="7">
        <v>281.64999999999998</v>
      </c>
      <c r="F194" s="8">
        <f>IFERROR(E194/E444, "NA")</f>
        <v>2.1417386111633055E-3</v>
      </c>
      <c r="G194" s="9"/>
      <c r="H194" s="10">
        <f t="shared" si="48"/>
        <v>18.769999999999982</v>
      </c>
      <c r="I194" s="8">
        <f>IFERROR(H194/H444, "NA")</f>
        <v>1.2476502697370683E-3</v>
      </c>
      <c r="J194" s="9"/>
      <c r="K194" s="7">
        <v>551.20000000000005</v>
      </c>
      <c r="L194" s="8">
        <f>IFERROR(K194/K444, "NA")</f>
        <v>4.8621000973390329E-3</v>
      </c>
      <c r="M194" s="9"/>
      <c r="N194" s="10">
        <f t="shared" si="49"/>
        <v>288.32000000000005</v>
      </c>
      <c r="O194" s="8">
        <f>IFERROR(N194/N444, "NA")</f>
        <v>8.6888021374838999E-3</v>
      </c>
      <c r="P194" s="9"/>
      <c r="Q194" s="7">
        <v>896.36</v>
      </c>
      <c r="R194" s="8">
        <f>IFERROR(Q194/Q444, "NA")</f>
        <v>2.6649006898161261E-3</v>
      </c>
      <c r="S194" s="9"/>
      <c r="T194" s="7">
        <v>697.33</v>
      </c>
      <c r="U194" s="8">
        <f>IFERROR(T194/T444, "NA")</f>
        <v>2.2655166104313374E-3</v>
      </c>
      <c r="V194" s="9"/>
      <c r="W194" s="10">
        <f t="shared" si="50"/>
        <v>-199.02999999999997</v>
      </c>
      <c r="X194" s="8">
        <f>IFERROR(W194/W444, "NA")</f>
        <v>-6.9698161401513317E-3</v>
      </c>
      <c r="Y194" s="9"/>
      <c r="Z194" s="7">
        <v>963.54</v>
      </c>
      <c r="AA194" s="8">
        <f>IFERROR(Z194/Z444, "NA")</f>
        <v>3.536252200248456E-3</v>
      </c>
      <c r="AB194" s="9"/>
      <c r="AC194" s="10">
        <f t="shared" si="51"/>
        <v>67.17999999999995</v>
      </c>
      <c r="AD194" s="8">
        <f>IFERROR(AC194/AC444, "NA")</f>
        <v>1.051612608331125E-3</v>
      </c>
    </row>
    <row r="195" spans="1:30" ht="16.5" customHeight="1" x14ac:dyDescent="0.45">
      <c r="A195" s="6" t="s">
        <v>179</v>
      </c>
      <c r="B195" s="7">
        <v>747.6</v>
      </c>
      <c r="C195" s="8">
        <f>IFERROR(B195/B444, "NA")</f>
        <v>5.1013448758198505E-3</v>
      </c>
      <c r="D195" s="9"/>
      <c r="E195" s="7">
        <v>246.44</v>
      </c>
      <c r="F195" s="8">
        <f>IFERROR(E195/E444, "NA")</f>
        <v>1.8739927688091074E-3</v>
      </c>
      <c r="G195" s="9"/>
      <c r="H195" s="10">
        <f t="shared" si="48"/>
        <v>-501.16</v>
      </c>
      <c r="I195" s="8">
        <f>IFERROR(H195/H444, "NA")</f>
        <v>-3.3312328672425673E-2</v>
      </c>
      <c r="J195" s="9"/>
      <c r="K195" s="7">
        <v>616.57000000000005</v>
      </c>
      <c r="L195" s="8">
        <f>IFERROR(K195/K444, "NA")</f>
        <v>5.438724704311189E-3</v>
      </c>
      <c r="M195" s="9"/>
      <c r="N195" s="10">
        <f t="shared" si="49"/>
        <v>-131.02999999999997</v>
      </c>
      <c r="O195" s="8">
        <f>IFERROR(N195/N444, "NA")</f>
        <v>-3.948715816018712E-3</v>
      </c>
      <c r="P195" s="9"/>
      <c r="Q195" s="7">
        <v>2507.7600000000002</v>
      </c>
      <c r="R195" s="8">
        <f>IFERROR(Q195/Q444, "NA")</f>
        <v>7.455633176283288E-3</v>
      </c>
      <c r="S195" s="9"/>
      <c r="T195" s="7">
        <v>610.15</v>
      </c>
      <c r="U195" s="8">
        <f>IFERROR(T195/T444, "NA")</f>
        <v>1.9822823625180049E-3</v>
      </c>
      <c r="V195" s="9"/>
      <c r="W195" s="10">
        <f t="shared" si="50"/>
        <v>-1897.6100000000001</v>
      </c>
      <c r="X195" s="8">
        <f>IFERROR(W195/W444, "NA")</f>
        <v>-6.64522574773279E-2</v>
      </c>
      <c r="Y195" s="9"/>
      <c r="Z195" s="7">
        <v>2238.0700000000002</v>
      </c>
      <c r="AA195" s="8">
        <f>IFERROR(Z195/Z444, "NA")</f>
        <v>8.2138571951450509E-3</v>
      </c>
      <c r="AB195" s="9"/>
      <c r="AC195" s="10">
        <f t="shared" si="51"/>
        <v>-269.69000000000005</v>
      </c>
      <c r="AD195" s="8">
        <f>IFERROR(AC195/AC444, "NA")</f>
        <v>-4.2216344796192525E-3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39413.499999999993</v>
      </c>
      <c r="C196" s="15">
        <f>IFERROR(B196/B444, "NA")</f>
        <v>0.26894309291482832</v>
      </c>
      <c r="D196" s="2"/>
      <c r="E196" s="14">
        <f>IFERROR(E175+E177+E178+E179+E180+E181+E183+E184+E186+E187+E188+E189+E190+E191+E192+E194+E195, "NA")</f>
        <v>39917.320000000007</v>
      </c>
      <c r="F196" s="15">
        <f>IFERROR(E196/E444, "NA")</f>
        <v>0.30354150718324613</v>
      </c>
      <c r="G196" s="2"/>
      <c r="H196" s="14">
        <f t="shared" si="48"/>
        <v>503.82000000001426</v>
      </c>
      <c r="I196" s="15">
        <f>IFERROR(H196/H444, "NA")</f>
        <v>3.3489140058548118E-2</v>
      </c>
      <c r="J196" s="2"/>
      <c r="K196" s="14">
        <f>IFERROR(K175+K177+K178+K179+K180+K181+K183+K184+K186+K187+K188+K189+K190+K191+K192+K194+K195, "NA")</f>
        <v>38966.370000000003</v>
      </c>
      <c r="L196" s="15">
        <f>IFERROR(K196/K444, "NA")</f>
        <v>0.34371986823285333</v>
      </c>
      <c r="M196" s="2"/>
      <c r="N196" s="14">
        <f t="shared" si="49"/>
        <v>-447.1299999999901</v>
      </c>
      <c r="O196" s="15">
        <f>IFERROR(N196/N444, "NA")</f>
        <v>-1.3474695129484912E-2</v>
      </c>
      <c r="P196" s="2"/>
      <c r="Q196" s="14">
        <f>IFERROR(Q175+Q177+Q178+Q179+Q180+Q181+Q183+Q184+Q186+Q187+Q188+Q189+Q190+Q191+Q192+Q194+Q195, "NA")</f>
        <v>98853.539999999979</v>
      </c>
      <c r="R196" s="15">
        <f>IFERROR(Q196/Q444, "NA")</f>
        <v>0.29389404584850498</v>
      </c>
      <c r="S196" s="2"/>
      <c r="T196" s="14">
        <f>IFERROR(T175+T177+T178+T179+T180+T181+T183+T184+T186+T187+T188+T189+T190+T191+T192+T194+T195, "NA")</f>
        <v>99299.12999999999</v>
      </c>
      <c r="U196" s="15">
        <f>IFERROR(T196/T444, "NA")</f>
        <v>0.32260741459048181</v>
      </c>
      <c r="V196" s="2"/>
      <c r="W196" s="14">
        <f t="shared" si="50"/>
        <v>445.59000000001106</v>
      </c>
      <c r="X196" s="15">
        <f>IFERROR(W196/W444, "NA")</f>
        <v>1.560408166552836E-2</v>
      </c>
      <c r="Y196" s="2"/>
      <c r="Z196" s="14">
        <f>IFERROR(Z175+Z177+Z178+Z179+Z180+Z181+Z183+Z184+Z186+Z187+Z188+Z189+Z190+Z191+Z192+Z194+Z195, "NA")</f>
        <v>101300.23000000001</v>
      </c>
      <c r="AA196" s="15">
        <f>IFERROR(Z196/Z444, "NA")</f>
        <v>0.37177819418309016</v>
      </c>
      <c r="AB196" s="2"/>
      <c r="AC196" s="14">
        <f t="shared" si="51"/>
        <v>2446.6900000000314</v>
      </c>
      <c r="AD196" s="15">
        <f>IFERROR(AC196/AC444, "NA")</f>
        <v>3.8299643534946637E-2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39413.499999999993</v>
      </c>
      <c r="C197" s="15">
        <f>IFERROR(B197/B444, "NA")</f>
        <v>0.26894309291482832</v>
      </c>
      <c r="D197" s="2"/>
      <c r="E197" s="14">
        <f>IFERROR(E175+E177+E178+E179+E180+E181+E183+E184+E186+E187+E188+E189+E190+E191+E192+E194+E195, "NA")</f>
        <v>39917.320000000007</v>
      </c>
      <c r="F197" s="15">
        <f>IFERROR(E197/E444, "NA")</f>
        <v>0.30354150718324613</v>
      </c>
      <c r="G197" s="2"/>
      <c r="H197" s="14">
        <f t="shared" si="48"/>
        <v>503.82000000001426</v>
      </c>
      <c r="I197" s="15">
        <f>IFERROR(H197/H444, "NA")</f>
        <v>3.3489140058548118E-2</v>
      </c>
      <c r="J197" s="2"/>
      <c r="K197" s="14">
        <f>IFERROR(K175+K177+K178+K179+K180+K181+K183+K184+K186+K187+K188+K189+K190+K191+K192+K194+K195, "NA")</f>
        <v>38966.370000000003</v>
      </c>
      <c r="L197" s="15">
        <f>IFERROR(K197/K444, "NA")</f>
        <v>0.34371986823285333</v>
      </c>
      <c r="M197" s="2"/>
      <c r="N197" s="14">
        <f t="shared" si="49"/>
        <v>-447.1299999999901</v>
      </c>
      <c r="O197" s="15">
        <f>IFERROR(N197/N444, "NA")</f>
        <v>-1.3474695129484912E-2</v>
      </c>
      <c r="P197" s="2"/>
      <c r="Q197" s="14">
        <f>IFERROR(Q175+Q177+Q178+Q179+Q180+Q181+Q183+Q184+Q186+Q187+Q188+Q189+Q190+Q191+Q192+Q194+Q195, "NA")</f>
        <v>98853.539999999979</v>
      </c>
      <c r="R197" s="15">
        <f>IFERROR(Q197/Q444, "NA")</f>
        <v>0.29389404584850498</v>
      </c>
      <c r="S197" s="2"/>
      <c r="T197" s="14">
        <f>IFERROR(T175+T177+T178+T179+T180+T181+T183+T184+T186+T187+T188+T189+T190+T191+T192+T194+T195, "NA")</f>
        <v>99299.12999999999</v>
      </c>
      <c r="U197" s="15">
        <f>IFERROR(T197/T444, "NA")</f>
        <v>0.32260741459048181</v>
      </c>
      <c r="V197" s="2"/>
      <c r="W197" s="14">
        <f t="shared" si="50"/>
        <v>445.59000000001106</v>
      </c>
      <c r="X197" s="15">
        <f>IFERROR(W197/W444, "NA")</f>
        <v>1.560408166552836E-2</v>
      </c>
      <c r="Y197" s="2"/>
      <c r="Z197" s="14">
        <f>IFERROR(Z175+Z177+Z178+Z179+Z180+Z181+Z183+Z184+Z186+Z187+Z188+Z189+Z190+Z191+Z192+Z194+Z195, "NA")</f>
        <v>101300.23000000001</v>
      </c>
      <c r="AA197" s="15">
        <f>IFERROR(Z197/Z444, "NA")</f>
        <v>0.37177819418309016</v>
      </c>
      <c r="AB197" s="2"/>
      <c r="AC197" s="14">
        <f t="shared" si="51"/>
        <v>2446.6900000000314</v>
      </c>
      <c r="AD197" s="15">
        <f>IFERROR(AC197/AC444, "NA")</f>
        <v>3.8299643534946637E-2</v>
      </c>
    </row>
    <row r="198" spans="1:30" ht="16.5" customHeight="1" x14ac:dyDescent="0.45">
      <c r="A198" s="22" t="s">
        <v>181</v>
      </c>
      <c r="B198" s="23">
        <f>IFERROR(B172-B197, "NA")</f>
        <v>65120.039999999957</v>
      </c>
      <c r="C198" s="24">
        <f>IFERROR(B198/B444, "NA")</f>
        <v>0.44435497908933053</v>
      </c>
      <c r="D198" s="25"/>
      <c r="E198" s="23">
        <f>IFERROR(E172-E197, "NA")</f>
        <v>59106.179999999964</v>
      </c>
      <c r="F198" s="24">
        <f>IFERROR(E198/E444, "NA")</f>
        <v>0.44945850475543508</v>
      </c>
      <c r="G198" s="25"/>
      <c r="H198" s="23">
        <f>IFERROR(B198-E198, "NA")</f>
        <v>6013.8599999999933</v>
      </c>
      <c r="I198" s="24">
        <f>IFERROR(H198/H444, "NA")</f>
        <v>0.39974395584235295</v>
      </c>
      <c r="J198" s="25"/>
      <c r="K198" s="23">
        <f>IFERROR(K172-K197, "NA")</f>
        <v>42062.510000000031</v>
      </c>
      <c r="L198" s="24">
        <f>IFERROR(K198/K444, "NA")</f>
        <v>0.37103072199804821</v>
      </c>
      <c r="M198" s="25"/>
      <c r="N198" s="23">
        <f>IFERROR(B198-K198, "NA")</f>
        <v>23057.529999999926</v>
      </c>
      <c r="O198" s="24">
        <f>IFERROR(N198/N444, "NA")</f>
        <v>0.69486097374132383</v>
      </c>
      <c r="P198" s="25"/>
      <c r="Q198" s="23">
        <f>IFERROR(Q172-Q197, "NA")</f>
        <v>143711.96000000008</v>
      </c>
      <c r="R198" s="24">
        <f>IFERROR(Q198/Q444, "NA")</f>
        <v>0.42725925000984838</v>
      </c>
      <c r="S198" s="25"/>
      <c r="T198" s="23">
        <f>IFERROR(T172-T197, "NA")</f>
        <v>128063.86000000006</v>
      </c>
      <c r="U198" s="24">
        <f>IFERROR(T198/T444, "NA")</f>
        <v>0.41605954429890218</v>
      </c>
      <c r="V198" s="25"/>
      <c r="W198" s="23">
        <f>IFERROR(Q198-T198, "NA")</f>
        <v>15648.10000000002</v>
      </c>
      <c r="X198" s="24">
        <f>IFERROR(W198/W444, "NA")</f>
        <v>0.54797960077728092</v>
      </c>
      <c r="Y198" s="25"/>
      <c r="Z198" s="23">
        <f>IFERROR(Z172-Z197, "NA")</f>
        <v>91043.49000000002</v>
      </c>
      <c r="AA198" s="24">
        <f>IFERROR(Z198/Z444, "NA")</f>
        <v>0.33413531543142827</v>
      </c>
      <c r="AB198" s="25"/>
      <c r="AC198" s="23">
        <f>IFERROR(Q198-Z198, "NA")</f>
        <v>52668.470000000059</v>
      </c>
      <c r="AD198" s="24">
        <f>IFERROR(AC198/AC444, "NA")</f>
        <v>0.8244541100552204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2630.11</v>
      </c>
      <c r="F201" s="8">
        <f>IFERROR(E201/E444, "NA")</f>
        <v>2.0000028896171571E-2</v>
      </c>
      <c r="G201" s="9"/>
      <c r="H201" s="10">
        <f t="shared" ref="H201:H209" si="52">IFERROR(-(B201-E201), "NA")</f>
        <v>2630.11</v>
      </c>
      <c r="I201" s="8">
        <f>IFERROR(H201/H444, "NA")</f>
        <v>0.17482458449324265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6156.04</v>
      </c>
      <c r="U201" s="8">
        <f>IFERROR(T201/T444, "NA")</f>
        <v>2.000001559445274E-2</v>
      </c>
      <c r="V201" s="9"/>
      <c r="W201" s="10">
        <f t="shared" ref="W201:W209" si="54">IFERROR(-(Q201-T201), "NA")</f>
        <v>6156.04</v>
      </c>
      <c r="X201" s="8">
        <f>IFERROR(W201/W444, "NA")</f>
        <v>0.21557788751151691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1283.3800000000001</v>
      </c>
      <c r="C202" s="8">
        <f>IFERROR(B202/B444, "NA")</f>
        <v>8.7573087034907449E-3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-1283.3800000000001</v>
      </c>
      <c r="I202" s="8">
        <f>IFERROR(H202/H444, "NA")</f>
        <v>-8.5306840872411319E-2</v>
      </c>
      <c r="J202" s="9"/>
      <c r="K202" s="7">
        <v>1131.75</v>
      </c>
      <c r="L202" s="8">
        <f>IFERROR(K202/K444, "NA")</f>
        <v>9.9830946755505266E-3</v>
      </c>
      <c r="M202" s="9"/>
      <c r="N202" s="10">
        <f t="shared" si="53"/>
        <v>-151.63000000000011</v>
      </c>
      <c r="O202" s="8">
        <f>IFERROR(N202/N444, "NA")</f>
        <v>-4.5695167456530402E-3</v>
      </c>
      <c r="P202" s="9"/>
      <c r="Q202" s="7">
        <v>2942.37</v>
      </c>
      <c r="R202" s="8">
        <f>IFERROR(Q202/Q444, "NA")</f>
        <v>8.7477395719289947E-3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-2942.37</v>
      </c>
      <c r="X202" s="8">
        <f>IFERROR(W202/W444, "NA")</f>
        <v>-0.10303862692205737</v>
      </c>
      <c r="Y202" s="9"/>
      <c r="Z202" s="7">
        <v>2433.42</v>
      </c>
      <c r="AA202" s="8">
        <f>IFERROR(Z202/Z444, "NA")</f>
        <v>8.930803940810552E-3</v>
      </c>
      <c r="AB202" s="9"/>
      <c r="AC202" s="10">
        <f t="shared" si="55"/>
        <v>-508.94999999999982</v>
      </c>
      <c r="AD202" s="8">
        <f>IFERROR(AC202/AC444, "NA")</f>
        <v>-7.9669282079506739E-3</v>
      </c>
    </row>
    <row r="203" spans="1:30" ht="16.5" customHeight="1" x14ac:dyDescent="0.45">
      <c r="A203" s="6" t="s">
        <v>185</v>
      </c>
      <c r="B203" s="7">
        <v>1158.06</v>
      </c>
      <c r="C203" s="8">
        <f>IFERROR(B203/B444, "NA")</f>
        <v>7.9021715447992729E-3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-1158.06</v>
      </c>
      <c r="I203" s="8">
        <f>IFERROR(H203/H444, "NA")</f>
        <v>-7.6976764590927588E-2</v>
      </c>
      <c r="J203" s="9"/>
      <c r="K203" s="7">
        <v>817.67</v>
      </c>
      <c r="L203" s="8">
        <f>IFERROR(K203/K444, "NA")</f>
        <v>7.2126149974441334E-3</v>
      </c>
      <c r="M203" s="9"/>
      <c r="N203" s="10">
        <f t="shared" si="53"/>
        <v>-340.39</v>
      </c>
      <c r="O203" s="8">
        <f>IFERROR(N203/N444, "NA")</f>
        <v>-1.0257981963020756E-2</v>
      </c>
      <c r="P203" s="9"/>
      <c r="Q203" s="7">
        <v>2323.02</v>
      </c>
      <c r="R203" s="8">
        <f>IFERROR(Q203/Q444, "NA")</f>
        <v>6.9063965376150839E-3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-2323.02</v>
      </c>
      <c r="X203" s="8">
        <f>IFERROR(W203/W444, "NA")</f>
        <v>-8.1349657287315233E-2</v>
      </c>
      <c r="Y203" s="9"/>
      <c r="Z203" s="7">
        <v>1716.41</v>
      </c>
      <c r="AA203" s="8">
        <f>IFERROR(Z203/Z444, "NA")</f>
        <v>6.2993322944853904E-3</v>
      </c>
      <c r="AB203" s="9"/>
      <c r="AC203" s="10">
        <f t="shared" si="55"/>
        <v>-606.6099999999999</v>
      </c>
      <c r="AD203" s="8">
        <f>IFERROR(AC203/AC444, "NA")</f>
        <v>-9.4956642503683259E-3</v>
      </c>
    </row>
    <row r="204" spans="1:30" ht="16.5" customHeight="1" x14ac:dyDescent="0.45">
      <c r="A204" s="6" t="s">
        <v>186</v>
      </c>
      <c r="B204" s="7">
        <v>49</v>
      </c>
      <c r="C204" s="8">
        <f>IFERROR(B204/B444, "NA")</f>
        <v>3.3435781021291154E-4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-49</v>
      </c>
      <c r="I204" s="8">
        <f>IFERROR(H204/H444, "NA")</f>
        <v>-3.2570518496066281E-3</v>
      </c>
      <c r="J204" s="9"/>
      <c r="K204" s="7">
        <v>250.19</v>
      </c>
      <c r="L204" s="8">
        <f>IFERROR(K204/K444, "NA")</f>
        <v>2.2069100568818077E-3</v>
      </c>
      <c r="M204" s="9"/>
      <c r="N204" s="10">
        <f t="shared" si="53"/>
        <v>201.19</v>
      </c>
      <c r="O204" s="8">
        <f>IFERROR(N204/N444, "NA")</f>
        <v>6.0630552928703724E-3</v>
      </c>
      <c r="P204" s="9"/>
      <c r="Q204" s="7">
        <v>270.85000000000002</v>
      </c>
      <c r="R204" s="8">
        <f>IFERROR(Q204/Q444, "NA")</f>
        <v>8.0524382149660596E-4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-270.85000000000002</v>
      </c>
      <c r="X204" s="8">
        <f>IFERROR(W204/W444, "NA")</f>
        <v>-9.4848751522885431E-3</v>
      </c>
      <c r="Y204" s="9"/>
      <c r="Z204" s="7">
        <v>322.16000000000003</v>
      </c>
      <c r="AA204" s="8">
        <f>IFERROR(Z204/Z444, "NA")</f>
        <v>1.1823473948482084E-3</v>
      </c>
      <c r="AB204" s="9"/>
      <c r="AC204" s="10">
        <f t="shared" si="55"/>
        <v>51.31</v>
      </c>
      <c r="AD204" s="8">
        <f>IFERROR(AC204/AC444, "NA")</f>
        <v>8.0318908802426414E-4</v>
      </c>
    </row>
    <row r="205" spans="1:30" ht="16.5" customHeight="1" x14ac:dyDescent="0.45">
      <c r="A205" s="6" t="s">
        <v>187</v>
      </c>
      <c r="B205" s="7">
        <v>455.3</v>
      </c>
      <c r="C205" s="8">
        <f>IFERROR(B205/B444, "NA")</f>
        <v>3.1067981834681352E-3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-455.3</v>
      </c>
      <c r="I205" s="8">
        <f>IFERROR(H205/H444, "NA")</f>
        <v>-3.0263994022977508E-2</v>
      </c>
      <c r="J205" s="9"/>
      <c r="K205" s="7">
        <v>452.09</v>
      </c>
      <c r="L205" s="8">
        <f>IFERROR(K205/K444, "NA")</f>
        <v>3.9878570990674947E-3</v>
      </c>
      <c r="M205" s="9"/>
      <c r="N205" s="10">
        <f t="shared" si="53"/>
        <v>-3.2100000000000364</v>
      </c>
      <c r="O205" s="8">
        <f>IFERROR(N205/N444, "NA")</f>
        <v>-9.6736455540106942E-5</v>
      </c>
      <c r="P205" s="9"/>
      <c r="Q205" s="7">
        <v>1183.78</v>
      </c>
      <c r="R205" s="8">
        <f>IFERROR(Q205/Q444, "NA")</f>
        <v>3.5194075355778186E-3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-1183.78</v>
      </c>
      <c r="X205" s="8">
        <f>IFERROR(W205/W444, "NA")</f>
        <v>-4.1454700047170501E-2</v>
      </c>
      <c r="Y205" s="9"/>
      <c r="Z205" s="7">
        <v>1270.3800000000001</v>
      </c>
      <c r="AA205" s="8">
        <f>IFERROR(Z205/Z444, "NA")</f>
        <v>4.6623742347506429E-3</v>
      </c>
      <c r="AB205" s="9"/>
      <c r="AC205" s="10">
        <f t="shared" si="55"/>
        <v>86.600000000000136</v>
      </c>
      <c r="AD205" s="8">
        <f>IFERROR(AC205/AC444, "NA")</f>
        <v>1.3556066073455737E-3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14.46</v>
      </c>
      <c r="L206" s="8">
        <f>IFERROR(K206/K444, "NA")</f>
        <v>1.2755073912830626E-4</v>
      </c>
      <c r="M206" s="9"/>
      <c r="N206" s="10">
        <f t="shared" si="53"/>
        <v>14.46</v>
      </c>
      <c r="O206" s="8">
        <f>IFERROR(N206/N444, "NA")</f>
        <v>4.3576608944234597E-4</v>
      </c>
      <c r="P206" s="9"/>
      <c r="Q206" s="7">
        <v>135.76</v>
      </c>
      <c r="R206" s="8">
        <f>IFERROR(Q206/Q444, "NA")</f>
        <v>4.0361787412360796E-4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-135.76</v>
      </c>
      <c r="X206" s="8">
        <f>IFERROR(W206/W444, "NA")</f>
        <v>-4.7541689151733152E-3</v>
      </c>
      <c r="Y206" s="9"/>
      <c r="Z206" s="7">
        <v>22.46</v>
      </c>
      <c r="AA206" s="8">
        <f>IFERROR(Z206/Z444, "NA")</f>
        <v>8.2429607922432209E-5</v>
      </c>
      <c r="AB206" s="9"/>
      <c r="AC206" s="10">
        <f t="shared" si="55"/>
        <v>-113.29999999999998</v>
      </c>
      <c r="AD206" s="8">
        <f>IFERROR(AC206/AC444, "NA")</f>
        <v>-1.7735592218504992E-3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99.6</v>
      </c>
      <c r="R207" s="8">
        <f>IFERROR(Q207/Q444, "NA")</f>
        <v>2.9611329009068468E-4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-3.487884678486021E-3</v>
      </c>
      <c r="Y207" s="9"/>
      <c r="Z207" s="7">
        <v>154.16999999999999</v>
      </c>
      <c r="AA207" s="8">
        <f>IFERROR(Z207/Z444, "NA")</f>
        <v>5.6581356426542169E-4</v>
      </c>
      <c r="AB207" s="9"/>
      <c r="AC207" s="10">
        <f t="shared" si="55"/>
        <v>54.569999999999993</v>
      </c>
      <c r="AD207" s="8">
        <f>IFERROR(AC207/AC444, "NA")</f>
        <v>8.5422000649939753E-4</v>
      </c>
    </row>
    <row r="208" spans="1:30" ht="16.5" customHeight="1" x14ac:dyDescent="0.45">
      <c r="A208" s="6" t="s">
        <v>190</v>
      </c>
      <c r="B208" s="7">
        <v>152.33000000000001</v>
      </c>
      <c r="C208" s="8">
        <f>IFERROR(B208/B444, "NA")</f>
        <v>1.0394433720353638E-3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-152.33000000000001</v>
      </c>
      <c r="I208" s="8">
        <f>IFERROR(H208/H444, "NA")</f>
        <v>-1.0125443025521994E-2</v>
      </c>
      <c r="J208" s="9"/>
      <c r="K208" s="7">
        <v>193.77</v>
      </c>
      <c r="L208" s="8">
        <f>IFERROR(K208/K444, "NA")</f>
        <v>1.7092328299371995E-3</v>
      </c>
      <c r="M208" s="9"/>
      <c r="N208" s="10">
        <f t="shared" si="53"/>
        <v>41.44</v>
      </c>
      <c r="O208" s="8">
        <f>IFERROR(N208/N444, "NA")</f>
        <v>1.2488344914585625E-3</v>
      </c>
      <c r="P208" s="9"/>
      <c r="Q208" s="7">
        <v>561.98</v>
      </c>
      <c r="R208" s="8">
        <f>IFERROR(Q208/Q444, "NA")</f>
        <v>1.6707805900116766E-3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-561.98</v>
      </c>
      <c r="X208" s="8">
        <f>IFERROR(W208/W444, "NA")</f>
        <v>-1.9679934052365202E-2</v>
      </c>
      <c r="Y208" s="9"/>
      <c r="Z208" s="7">
        <v>262.64999999999998</v>
      </c>
      <c r="AA208" s="8">
        <f>IFERROR(Z208/Z444, "NA")</f>
        <v>9.639419644179349E-4</v>
      </c>
      <c r="AB208" s="9"/>
      <c r="AC208" s="10">
        <f t="shared" si="55"/>
        <v>-299.33000000000004</v>
      </c>
      <c r="AD208" s="8">
        <f>IFERROR(AC208/AC444, "NA")</f>
        <v>-4.6856088426876436E-3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3098.07</v>
      </c>
      <c r="C209" s="15">
        <f>IFERROR(B209/B444, "NA")</f>
        <v>2.1140079614006428E-2</v>
      </c>
      <c r="D209" s="2"/>
      <c r="E209" s="14">
        <f>IFERROR(E201+E202+E203+E204+E205+E206+E207+E208, "NA")</f>
        <v>2630.11</v>
      </c>
      <c r="F209" s="15">
        <f>IFERROR(E209/E444, "NA")</f>
        <v>2.0000028896171571E-2</v>
      </c>
      <c r="G209" s="2"/>
      <c r="H209" s="14">
        <f t="shared" si="52"/>
        <v>-467.96000000000004</v>
      </c>
      <c r="I209" s="15">
        <f>IFERROR(H209/H444, "NA")</f>
        <v>-3.1105509868202406E-2</v>
      </c>
      <c r="J209" s="2"/>
      <c r="K209" s="14">
        <f>IFERROR(K201+K202+K203+K204+K205+K206+K207+K208, "NA")</f>
        <v>2859.9300000000003</v>
      </c>
      <c r="L209" s="15">
        <f>IFERROR(K209/K444, "NA")</f>
        <v>2.522726039800947E-2</v>
      </c>
      <c r="M209" s="2"/>
      <c r="N209" s="14">
        <f t="shared" si="53"/>
        <v>-238.13999999999987</v>
      </c>
      <c r="O209" s="15">
        <f>IFERROR(N209/N444, "NA")</f>
        <v>-7.176579290442615E-3</v>
      </c>
      <c r="P209" s="2"/>
      <c r="Q209" s="14">
        <f>IFERROR(Q201+Q202+Q203+Q204+Q205+Q206+Q207+Q208, "NA")</f>
        <v>7517.3600000000006</v>
      </c>
      <c r="R209" s="15">
        <f>IFERROR(Q209/Q444, "NA")</f>
        <v>2.2349299220844474E-2</v>
      </c>
      <c r="S209" s="2"/>
      <c r="T209" s="14">
        <f>IFERROR(T201+T202+T203+T204+T205+T206+T207+T208, "NA")</f>
        <v>6156.04</v>
      </c>
      <c r="U209" s="15">
        <f>IFERROR(T209/T444, "NA")</f>
        <v>2.000001559445274E-2</v>
      </c>
      <c r="V209" s="2"/>
      <c r="W209" s="14">
        <f t="shared" si="54"/>
        <v>-1361.3200000000006</v>
      </c>
      <c r="X209" s="15">
        <f>IFERROR(W209/W444, "NA")</f>
        <v>-4.7671959543339283E-2</v>
      </c>
      <c r="Y209" s="2"/>
      <c r="Z209" s="14">
        <f>IFERROR(Z201+Z202+Z203+Z204+Z205+Z206+Z207+Z208, "NA")</f>
        <v>6181.65</v>
      </c>
      <c r="AA209" s="15">
        <f>IFERROR(Z209/Z444, "NA")</f>
        <v>2.2687043001500578E-2</v>
      </c>
      <c r="AB209" s="2"/>
      <c r="AC209" s="14">
        <f t="shared" si="55"/>
        <v>-1335.7100000000009</v>
      </c>
      <c r="AD209" s="15">
        <f>IFERROR(AC209/AC444, "NA")</f>
        <v>-2.0908744820987927E-2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3435.82</v>
      </c>
      <c r="F213" s="8">
        <f>IFERROR(E213/E444, "NA")</f>
        <v>2.6126853736932753E-2</v>
      </c>
      <c r="G213" s="9"/>
      <c r="H213" s="10">
        <f t="shared" ref="H213:H227" si="56">IFERROR(-(B213-E213), "NA")</f>
        <v>3435.82</v>
      </c>
      <c r="I213" s="8">
        <f>IFERROR(H213/H444, "NA")</f>
        <v>0.22838048746766215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8257.94</v>
      </c>
      <c r="U213" s="8">
        <f>IFERROR(T213/T444, "NA")</f>
        <v>2.6828761472968837E-2</v>
      </c>
      <c r="V213" s="9"/>
      <c r="W213" s="10">
        <f t="shared" ref="W213:W227" si="58">IFERROR(-(Q213-T213), "NA")</f>
        <v>8257.94</v>
      </c>
      <c r="X213" s="8">
        <f>IFERROR(W213/W444, "NA")</f>
        <v>0.28918416066121339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3362.42</v>
      </c>
      <c r="C214" s="8">
        <f>IFERROR(B214/B444, "NA")</f>
        <v>2.2943905881961185E-2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-3362.42</v>
      </c>
      <c r="I214" s="8">
        <f>IFERROR(H214/H444, "NA")</f>
        <v>-0.22350155673784325</v>
      </c>
      <c r="J214" s="9"/>
      <c r="K214" s="7">
        <v>615</v>
      </c>
      <c r="L214" s="8">
        <f>IFERROR(K214/K444, "NA")</f>
        <v>5.4248758342951833E-3</v>
      </c>
      <c r="M214" s="9"/>
      <c r="N214" s="10">
        <f t="shared" si="57"/>
        <v>-2747.42</v>
      </c>
      <c r="O214" s="8">
        <f>IFERROR(N214/N444, "NA")</f>
        <v>-8.2796159713394893E-2</v>
      </c>
      <c r="P214" s="9"/>
      <c r="Q214" s="7">
        <v>8149.19</v>
      </c>
      <c r="R214" s="8">
        <f>IFERROR(Q214/Q444, "NA")</f>
        <v>2.4227745607169747E-2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-8149.19</v>
      </c>
      <c r="X214" s="8">
        <f>IFERROR(W214/W444, "NA")</f>
        <v>-0.28537585284208328</v>
      </c>
      <c r="Y214" s="9"/>
      <c r="Z214" s="7">
        <v>1360</v>
      </c>
      <c r="AA214" s="8">
        <f>IFERROR(Z214/Z444, "NA")</f>
        <v>4.991285252649501E-3</v>
      </c>
      <c r="AB214" s="9"/>
      <c r="AC214" s="10">
        <f t="shared" si="59"/>
        <v>-6789.19</v>
      </c>
      <c r="AD214" s="8">
        <f>IFERROR(AC214/AC444, "NA")</f>
        <v>-0.1062756446018993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2.1</v>
      </c>
      <c r="R216" s="8">
        <f>IFERROR(Q216/Q444, "NA")</f>
        <v>6.2433525019120272E-6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-7.3539737196994423E-5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-2.1</v>
      </c>
      <c r="AD216" s="8">
        <f>IFERROR(AC216/AC444, "NA")</f>
        <v>-3.2872677545331411E-5</v>
      </c>
    </row>
    <row r="217" spans="1:30" ht="16.5" customHeight="1" x14ac:dyDescent="0.45">
      <c r="A217" s="12" t="s">
        <v>197</v>
      </c>
      <c r="B217" s="7">
        <v>2954.05</v>
      </c>
      <c r="C217" s="8">
        <f>IFERROR(B217/B444, "NA")</f>
        <v>2.0157340597131663E-2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-2954.05</v>
      </c>
      <c r="I217" s="8">
        <f>IFERROR(H217/H444, "NA")</f>
        <v>-0.19635702074143796</v>
      </c>
      <c r="J217" s="9"/>
      <c r="K217" s="7">
        <v>181</v>
      </c>
      <c r="L217" s="8">
        <f>IFERROR(K217/K444, "NA")</f>
        <v>1.59658947318281E-3</v>
      </c>
      <c r="M217" s="9"/>
      <c r="N217" s="10">
        <f t="shared" si="57"/>
        <v>-2773.05</v>
      </c>
      <c r="O217" s="8">
        <f>IFERROR(N217/N444, "NA")</f>
        <v>-8.3568544559342844E-2</v>
      </c>
      <c r="P217" s="9"/>
      <c r="Q217" s="7">
        <v>7649.03</v>
      </c>
      <c r="R217" s="8">
        <f>IFERROR(Q217/Q444, "NA")</f>
        <v>2.2740757422714357E-2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-7649.03</v>
      </c>
      <c r="X217" s="8">
        <f>IFERROR(W217/W444, "NA")</f>
        <v>-0.26786078857710771</v>
      </c>
      <c r="Y217" s="9"/>
      <c r="Z217" s="7">
        <v>735.84</v>
      </c>
      <c r="AA217" s="8">
        <f>IFERROR(Z217/Z444, "NA")</f>
        <v>2.7005789266982419E-3</v>
      </c>
      <c r="AB217" s="9"/>
      <c r="AC217" s="10">
        <f t="shared" si="59"/>
        <v>-6913.19</v>
      </c>
      <c r="AD217" s="8">
        <f>IFERROR(AC217/AC444, "NA")</f>
        <v>-0.10821669794267125</v>
      </c>
    </row>
    <row r="218" spans="1:30" ht="16.5" customHeight="1" x14ac:dyDescent="0.45">
      <c r="A218" s="13" t="s">
        <v>198</v>
      </c>
      <c r="B218" s="14">
        <f>IFERROR(B213+B214+B215+B216+B217, "NA")</f>
        <v>6316.47</v>
      </c>
      <c r="C218" s="15">
        <f>IFERROR(B218/B444, "NA")</f>
        <v>4.3101246479092845E-2</v>
      </c>
      <c r="D218" s="2"/>
      <c r="E218" s="14">
        <f>IFERROR(E213+E214+E215+E216+E217, "NA")</f>
        <v>3435.82</v>
      </c>
      <c r="F218" s="15">
        <f>IFERROR(E218/E444, "NA")</f>
        <v>2.6126853736932753E-2</v>
      </c>
      <c r="G218" s="2"/>
      <c r="H218" s="14">
        <f t="shared" si="56"/>
        <v>-2880.65</v>
      </c>
      <c r="I218" s="15">
        <f>IFERROR(H218/H444, "NA")</f>
        <v>-0.19147809001161906</v>
      </c>
      <c r="J218" s="2"/>
      <c r="K218" s="14">
        <f>IFERROR(K213+K214+K215+K216+K217, "NA")</f>
        <v>796</v>
      </c>
      <c r="L218" s="15">
        <f>IFERROR(K218/K444, "NA")</f>
        <v>7.0214653074779929E-3</v>
      </c>
      <c r="M218" s="2"/>
      <c r="N218" s="14">
        <f t="shared" si="57"/>
        <v>-5520.47</v>
      </c>
      <c r="O218" s="15">
        <f>IFERROR(N218/N444, "NA")</f>
        <v>-0.16636470427273772</v>
      </c>
      <c r="P218" s="2"/>
      <c r="Q218" s="14">
        <f>IFERROR(Q213+Q214+Q215+Q216+Q217, "NA")</f>
        <v>15800.32</v>
      </c>
      <c r="R218" s="15">
        <f>IFERROR(Q218/Q444, "NA")</f>
        <v>4.6974746382386016E-2</v>
      </c>
      <c r="S218" s="2"/>
      <c r="T218" s="14">
        <f>IFERROR(T213+T214+T215+T216+T217, "NA")</f>
        <v>8257.94</v>
      </c>
      <c r="U218" s="15">
        <f>IFERROR(T218/T444, "NA")</f>
        <v>2.6828761472968837E-2</v>
      </c>
      <c r="V218" s="2"/>
      <c r="W218" s="14">
        <f t="shared" si="58"/>
        <v>-7542.3799999999992</v>
      </c>
      <c r="X218" s="15">
        <f>IFERROR(W218/W444, "NA")</f>
        <v>-0.26412602049517464</v>
      </c>
      <c r="Y218" s="2"/>
      <c r="Z218" s="14">
        <f>IFERROR(Z213+Z214+Z215+Z216+Z217, "NA")</f>
        <v>2095.84</v>
      </c>
      <c r="AA218" s="15">
        <f>IFERROR(Z218/Z444, "NA")</f>
        <v>7.6918641793477438E-3</v>
      </c>
      <c r="AB218" s="2"/>
      <c r="AC218" s="14">
        <f t="shared" si="59"/>
        <v>-13704.48</v>
      </c>
      <c r="AD218" s="15">
        <f>IFERROR(AC218/AC444, "NA")</f>
        <v>-0.2145252152221159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157.18</v>
      </c>
      <c r="C222" s="8">
        <f>IFERROR(B222/B444, "NA")</f>
        <v>1.0725379716176621E-3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-157.18</v>
      </c>
      <c r="I222" s="8">
        <f>IFERROR(H222/H444, "NA")</f>
        <v>-1.0447824688187139E-2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-157.18</v>
      </c>
      <c r="O222" s="8">
        <f>IFERROR(N222/N444, "NA")</f>
        <v>-4.7367713650448093E-3</v>
      </c>
      <c r="P222" s="9"/>
      <c r="Q222" s="7">
        <v>449.56</v>
      </c>
      <c r="R222" s="8">
        <f>IFERROR(Q222/Q444, "NA")</f>
        <v>1.3365531194093193E-3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-449.56</v>
      </c>
      <c r="X222" s="8">
        <f>IFERROR(W222/W444, "NA")</f>
        <v>-1.5743106787752769E-2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-449.56</v>
      </c>
      <c r="AD222" s="8">
        <f>IFERROR(AC222/AC444, "NA")</f>
        <v>-7.0372575796567565E-3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131.51</v>
      </c>
      <c r="F226" s="8">
        <f>IFERROR(E226/E444, "NA")</f>
        <v>1.0000356639591208E-3</v>
      </c>
      <c r="G226" s="9"/>
      <c r="H226" s="10">
        <f t="shared" si="56"/>
        <v>131.51</v>
      </c>
      <c r="I226" s="8">
        <f>IFERROR(H226/H444, "NA")</f>
        <v>8.7415283416687282E-3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307.81</v>
      </c>
      <c r="U226" s="8">
        <f>IFERROR(T226/T444, "NA")</f>
        <v>1.0000267704772059E-3</v>
      </c>
      <c r="V226" s="9"/>
      <c r="W226" s="10">
        <f t="shared" si="58"/>
        <v>307.81</v>
      </c>
      <c r="X226" s="8">
        <f>IFERROR(W226/W444, "NA")</f>
        <v>1.0779174526955645E-2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6473.6500000000005</v>
      </c>
      <c r="C227" s="15">
        <f>IFERROR(B227/B444, "NA")</f>
        <v>4.4173784450710511E-2</v>
      </c>
      <c r="D227" s="2"/>
      <c r="E227" s="14">
        <f>IFERROR(E211+E213+E214+E215+E216+E217+E219+E220+E221+E222+E223+E224+E225+E226, "NA")</f>
        <v>3567.33</v>
      </c>
      <c r="F227" s="15">
        <f>IFERROR(E227/E444, "NA")</f>
        <v>2.7126889400891873E-2</v>
      </c>
      <c r="G227" s="2"/>
      <c r="H227" s="14">
        <f t="shared" si="56"/>
        <v>-2906.3200000000006</v>
      </c>
      <c r="I227" s="15">
        <f>IFERROR(H227/H444, "NA")</f>
        <v>-0.19318438635813751</v>
      </c>
      <c r="J227" s="2"/>
      <c r="K227" s="14">
        <f>IFERROR(K211+K213+K214+K215+K216+K217+K219+K220+K221+K222+K223+K224+K225+K226, "NA")</f>
        <v>796</v>
      </c>
      <c r="L227" s="15">
        <f>IFERROR(K227/K444, "NA")</f>
        <v>7.0214653074779929E-3</v>
      </c>
      <c r="M227" s="2"/>
      <c r="N227" s="14">
        <f t="shared" si="57"/>
        <v>-5677.6500000000005</v>
      </c>
      <c r="O227" s="15">
        <f>IFERROR(N227/N444, "NA")</f>
        <v>-0.17110147563778255</v>
      </c>
      <c r="P227" s="2"/>
      <c r="Q227" s="14">
        <f>IFERROR(Q211+Q213+Q214+Q215+Q216+Q217+Q219+Q220+Q221+Q222+Q223+Q224+Q225+Q226, "NA")</f>
        <v>16249.88</v>
      </c>
      <c r="R227" s="15">
        <f>IFERROR(Q227/Q444, "NA")</f>
        <v>4.8311299501795336E-2</v>
      </c>
      <c r="S227" s="2"/>
      <c r="T227" s="14">
        <f>IFERROR(T211+T213+T214+T215+T216+T217+T219+T220+T221+T222+T223+T224+T225+T226, "NA")</f>
        <v>8565.75</v>
      </c>
      <c r="U227" s="15">
        <f>IFERROR(T227/T444, "NA")</f>
        <v>2.7828788243446041E-2</v>
      </c>
      <c r="V227" s="2"/>
      <c r="W227" s="14">
        <f t="shared" si="58"/>
        <v>-7684.1299999999992</v>
      </c>
      <c r="X227" s="15">
        <f>IFERROR(W227/W444, "NA")</f>
        <v>-0.26908995275597175</v>
      </c>
      <c r="Y227" s="2"/>
      <c r="Z227" s="14">
        <f>IFERROR(Z211+Z213+Z214+Z215+Z216+Z217+Z219+Z220+Z221+Z222+Z223+Z224+Z225+Z226, "NA")</f>
        <v>2095.84</v>
      </c>
      <c r="AA227" s="15">
        <f>IFERROR(Z227/Z444, "NA")</f>
        <v>7.6918641793477438E-3</v>
      </c>
      <c r="AB227" s="2"/>
      <c r="AC227" s="14">
        <f t="shared" si="59"/>
        <v>-14154.039999999999</v>
      </c>
      <c r="AD227" s="15">
        <f>IFERROR(AC227/AC444, "NA")</f>
        <v>-0.22156247280177263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1935.76</v>
      </c>
      <c r="F229" s="8">
        <f>IFERROR(E229/E444, "NA")</f>
        <v>1.4720013967496826E-2</v>
      </c>
      <c r="G229" s="9"/>
      <c r="H229" s="10">
        <f t="shared" ref="H229:H236" si="60">IFERROR(-(B229-E229), "NA")</f>
        <v>1935.76</v>
      </c>
      <c r="I229" s="8">
        <f>IFERROR(H229/H444, "NA")</f>
        <v>0.1286708303753985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4530.8500000000004</v>
      </c>
      <c r="U229" s="8">
        <f>IFERROR(T229/T444, "NA")</f>
        <v>1.4720026292247322E-2</v>
      </c>
      <c r="V229" s="9"/>
      <c r="W229" s="10">
        <f t="shared" ref="W229:W236" si="62">IFERROR(-(Q229-T229), "NA")</f>
        <v>4530.8500000000004</v>
      </c>
      <c r="X229" s="8">
        <f>IFERROR(W229/W444, "NA")</f>
        <v>0.15866548489476295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-9.4562835161593429E-4</v>
      </c>
      <c r="AB230" s="9"/>
      <c r="AC230" s="10">
        <f t="shared" si="63"/>
        <v>-257.66000000000003</v>
      </c>
      <c r="AD230" s="8">
        <f>IFERROR(AC230/AC444, "NA")</f>
        <v>-4.0333209982524243E-3</v>
      </c>
    </row>
    <row r="231" spans="1:30" ht="16.5" customHeight="1" x14ac:dyDescent="0.45">
      <c r="A231" s="6" t="s">
        <v>210</v>
      </c>
      <c r="B231" s="7">
        <v>210</v>
      </c>
      <c r="C231" s="8">
        <f>IFERROR(B231/B444, "NA")</f>
        <v>1.432962043769621E-3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-210</v>
      </c>
      <c r="I231" s="8">
        <f>IFERROR(H231/H444, "NA")</f>
        <v>-1.3958793641171264E-2</v>
      </c>
      <c r="J231" s="9"/>
      <c r="K231" s="7">
        <v>391.77</v>
      </c>
      <c r="L231" s="8">
        <f>IFERROR(K231/K444, "NA")</f>
        <v>3.4557782204907702E-3</v>
      </c>
      <c r="M231" s="9"/>
      <c r="N231" s="10">
        <f t="shared" si="61"/>
        <v>181.76999999999998</v>
      </c>
      <c r="O231" s="8">
        <f>IFERROR(N231/N444, "NA")</f>
        <v>5.4778148048364606E-3</v>
      </c>
      <c r="P231" s="9"/>
      <c r="Q231" s="7">
        <v>546.04999999999995</v>
      </c>
      <c r="R231" s="8">
        <f>IFERROR(Q231/Q444, "NA")</f>
        <v>1.6234203017471724E-3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-546.04999999999995</v>
      </c>
      <c r="X231" s="8">
        <f>IFERROR(W231/W444, "NA")</f>
        <v>-1.9122082617342287E-2</v>
      </c>
      <c r="Y231" s="9"/>
      <c r="Z231" s="7">
        <v>575.89</v>
      </c>
      <c r="AA231" s="8">
        <f>IFERROR(Z231/Z444, "NA")</f>
        <v>2.1135524001090599E-3</v>
      </c>
      <c r="AB231" s="9"/>
      <c r="AC231" s="10">
        <f t="shared" si="63"/>
        <v>29.840000000000032</v>
      </c>
      <c r="AD231" s="8">
        <f>IFERROR(AC231/AC444, "NA")</f>
        <v>4.6710509426318585E-4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1845.72</v>
      </c>
      <c r="C234" s="8">
        <f>IFERROR(B234/B444, "NA")</f>
        <v>1.2594508111554594E-2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-1845.72</v>
      </c>
      <c r="I234" s="8">
        <f>IFERROR(H234/H444, "NA")</f>
        <v>-0.12268583142563155</v>
      </c>
      <c r="J234" s="9"/>
      <c r="K234" s="7">
        <v>750.28</v>
      </c>
      <c r="L234" s="8">
        <f>IFERROR(K234/K444, "NA")</f>
        <v>6.6181720991138051E-3</v>
      </c>
      <c r="M234" s="9"/>
      <c r="N234" s="10">
        <f t="shared" si="61"/>
        <v>-1095.44</v>
      </c>
      <c r="O234" s="8">
        <f>IFERROR(N234/N444, "NA")</f>
        <v>-3.3012144192166214E-2</v>
      </c>
      <c r="P234" s="9"/>
      <c r="Q234" s="7">
        <v>4747.8599999999997</v>
      </c>
      <c r="R234" s="8">
        <f>IFERROR(Q234/Q444, "NA")</f>
        <v>1.4115506480822873E-2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-4747.8599999999997</v>
      </c>
      <c r="X234" s="8">
        <f>IFERROR(W234/W444, "NA")</f>
        <v>-0.16626494126101043</v>
      </c>
      <c r="Y234" s="9"/>
      <c r="Z234" s="7">
        <v>2406.41</v>
      </c>
      <c r="AA234" s="8">
        <f>IFERROR(Z234/Z444, "NA")</f>
        <v>8.8316755476678579E-3</v>
      </c>
      <c r="AB234" s="9"/>
      <c r="AC234" s="10">
        <f t="shared" si="63"/>
        <v>-2341.4499999999998</v>
      </c>
      <c r="AD234" s="8">
        <f>IFERROR(AC234/AC444, "NA")</f>
        <v>-3.6652252780245823E-2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2055.7200000000003</v>
      </c>
      <c r="C236" s="15">
        <f>IFERROR(B236/B444, "NA")</f>
        <v>1.4027470155324217E-2</v>
      </c>
      <c r="D236" s="2"/>
      <c r="E236" s="14">
        <f>IFERROR(E229+E230+E231+E232+E233+E234+E235, "NA")</f>
        <v>1935.76</v>
      </c>
      <c r="F236" s="15">
        <f>IFERROR(E236/E444, "NA")</f>
        <v>1.4720013967496826E-2</v>
      </c>
      <c r="G236" s="2"/>
      <c r="H236" s="14">
        <f t="shared" si="60"/>
        <v>-119.96000000000026</v>
      </c>
      <c r="I236" s="15">
        <f>IFERROR(H236/H444, "NA")</f>
        <v>-7.9737946914043255E-3</v>
      </c>
      <c r="J236" s="2"/>
      <c r="K236" s="14">
        <f>IFERROR(K229+K230+K231+K232+K233+K234+K235, "NA")</f>
        <v>1142.05</v>
      </c>
      <c r="L236" s="15">
        <f>IFERROR(K236/K444, "NA")</f>
        <v>1.0073950319604575E-2</v>
      </c>
      <c r="M236" s="2"/>
      <c r="N236" s="14">
        <f t="shared" si="61"/>
        <v>-913.6700000000003</v>
      </c>
      <c r="O236" s="15">
        <f>IFERROR(N236/N444, "NA")</f>
        <v>-2.7534329387329762E-2</v>
      </c>
      <c r="P236" s="2"/>
      <c r="Q236" s="14">
        <f>IFERROR(Q229+Q230+Q231+Q232+Q233+Q234+Q235, "NA")</f>
        <v>5293.91</v>
      </c>
      <c r="R236" s="15">
        <f>IFERROR(Q236/Q444, "NA")</f>
        <v>1.5738926782570047E-2</v>
      </c>
      <c r="S236" s="2"/>
      <c r="T236" s="14">
        <f>IFERROR(T229+T230+T231+T232+T233+T234+T235, "NA")</f>
        <v>4530.8500000000004</v>
      </c>
      <c r="U236" s="15">
        <f>IFERROR(T236/T444, "NA")</f>
        <v>1.4720026292247322E-2</v>
      </c>
      <c r="V236" s="2"/>
      <c r="W236" s="14">
        <f t="shared" si="62"/>
        <v>-763.05999999999949</v>
      </c>
      <c r="X236" s="15">
        <f>IFERROR(W236/W444, "NA")</f>
        <v>-2.6721538983589775E-2</v>
      </c>
      <c r="Y236" s="2"/>
      <c r="Z236" s="14">
        <f>IFERROR(Z229+Z230+Z231+Z232+Z233+Z234+Z235, "NA")</f>
        <v>2724.64</v>
      </c>
      <c r="AA236" s="15">
        <f>IFERROR(Z236/Z444, "NA")</f>
        <v>9.9995995961609831E-3</v>
      </c>
      <c r="AB236" s="2"/>
      <c r="AC236" s="14">
        <f t="shared" si="63"/>
        <v>-2569.27</v>
      </c>
      <c r="AD236" s="15">
        <f>IFERROR(AC236/AC444, "NA")</f>
        <v>-4.0218468684235065E-2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6888.25</v>
      </c>
      <c r="F240" s="8">
        <f>IFERROR(E240/E444, "NA")</f>
        <v>5.2380014160644923E-2</v>
      </c>
      <c r="G240" s="9"/>
      <c r="H240" s="10">
        <f t="shared" ref="H240:H263" si="64">IFERROR(-(B240-E240), "NA")</f>
        <v>6888.25</v>
      </c>
      <c r="I240" s="8">
        <f>IFERROR(H240/H444, "NA")</f>
        <v>0.45786504904189501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16479.48</v>
      </c>
      <c r="U240" s="8">
        <f>IFERROR(T240/T444, "NA")</f>
        <v>5.3539265012649696E-2</v>
      </c>
      <c r="V240" s="9"/>
      <c r="W240" s="10">
        <f t="shared" ref="W240:W263" si="66">IFERROR(-(Q240-T240), "NA")</f>
        <v>16479.48</v>
      </c>
      <c r="X240" s="8">
        <f>IFERROR(W240/W444, "NA")</f>
        <v>0.57709363254434554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1347.71</v>
      </c>
      <c r="C242" s="8">
        <f>IFERROR(B242/B444, "NA")</f>
        <v>9.1962727428988381E-3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-1347.71</v>
      </c>
      <c r="I242" s="8">
        <f>IFERROR(H242/H444, "NA")</f>
        <v>-8.958288465782345E-2</v>
      </c>
      <c r="J242" s="9"/>
      <c r="K242" s="7">
        <v>1138.3499999999999</v>
      </c>
      <c r="L242" s="8">
        <f>IFERROR(K242/K444, "NA")</f>
        <v>1.0041312855235645E-2</v>
      </c>
      <c r="M242" s="9"/>
      <c r="N242" s="10">
        <f t="shared" si="65"/>
        <v>-209.36000000000013</v>
      </c>
      <c r="O242" s="8">
        <f>IFERROR(N242/N444, "NA")</f>
        <v>-6.3092661470020468E-3</v>
      </c>
      <c r="P242" s="9"/>
      <c r="Q242" s="7">
        <v>3427.53</v>
      </c>
      <c r="R242" s="8">
        <f>IFERROR(Q242/Q444, "NA")</f>
        <v>1.0190132381370729E-2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-3427.53</v>
      </c>
      <c r="X242" s="8">
        <f>IFERROR(W242/W444, "NA")</f>
        <v>-0.12002840734991158</v>
      </c>
      <c r="Y242" s="9"/>
      <c r="Z242" s="7">
        <v>2748.73</v>
      </c>
      <c r="AA242" s="8">
        <f>IFERROR(Z242/Z444, "NA")</f>
        <v>1.0088011406261223E-2</v>
      </c>
      <c r="AB242" s="9"/>
      <c r="AC242" s="10">
        <f t="shared" si="67"/>
        <v>-678.80000000000018</v>
      </c>
      <c r="AD242" s="8">
        <f>IFERROR(AC242/AC444, "NA")</f>
        <v>-1.0625701675129032E-2</v>
      </c>
    </row>
    <row r="243" spans="1:30" ht="16.5" customHeight="1" x14ac:dyDescent="0.45">
      <c r="A243" s="12" t="s">
        <v>220</v>
      </c>
      <c r="B243" s="7">
        <v>2933.98</v>
      </c>
      <c r="C243" s="8">
        <f>IFERROR(B243/B444, "NA")</f>
        <v>2.0020390367519965E-2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-2933.98</v>
      </c>
      <c r="I243" s="8">
        <f>IFERROR(H243/H444, "NA")</f>
        <v>-0.19502295889201746</v>
      </c>
      <c r="J243" s="9"/>
      <c r="K243" s="7">
        <v>2508.09</v>
      </c>
      <c r="L243" s="8">
        <f>IFERROR(K243/K444, "NA")</f>
        <v>2.2123702164613668E-2</v>
      </c>
      <c r="M243" s="9"/>
      <c r="N243" s="10">
        <f t="shared" si="65"/>
        <v>-425.88999999999987</v>
      </c>
      <c r="O243" s="8">
        <f>IFERROR(N243/N444, "NA")</f>
        <v>-1.2834607180677778E-2</v>
      </c>
      <c r="P243" s="9"/>
      <c r="Q243" s="7">
        <v>8937.43</v>
      </c>
      <c r="R243" s="8">
        <f>IFERROR(Q243/Q444, "NA")</f>
        <v>2.6571202833887433E-2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-8937.43</v>
      </c>
      <c r="X243" s="8">
        <f>IFERROR(W243/W444, "NA")</f>
        <v>-0.31297916829358757</v>
      </c>
      <c r="Y243" s="9"/>
      <c r="Z243" s="7">
        <v>5899.8</v>
      </c>
      <c r="AA243" s="8">
        <f>IFERROR(Z243/Z444, "NA")</f>
        <v>2.1652635833515829E-2</v>
      </c>
      <c r="AB243" s="9"/>
      <c r="AC243" s="10">
        <f t="shared" si="67"/>
        <v>-3037.63</v>
      </c>
      <c r="AD243" s="8">
        <f>IFERROR(AC243/AC444, "NA")</f>
        <v>-4.7550014996202407E-2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501.4</v>
      </c>
      <c r="C246" s="8">
        <f>IFERROR(B246/B444, "NA")</f>
        <v>3.421367470219466E-3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-501.4</v>
      </c>
      <c r="I246" s="8">
        <f>IFERROR(H246/H444, "NA")</f>
        <v>-3.3328281579444147E-2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-501.4</v>
      </c>
      <c r="O246" s="8">
        <f>IFERROR(N246/N444, "NA")</f>
        <v>-1.5110174083429616E-2</v>
      </c>
      <c r="P246" s="9"/>
      <c r="Q246" s="7">
        <v>1090.8</v>
      </c>
      <c r="R246" s="8">
        <f>IFERROR(Q246/Q444, "NA")</f>
        <v>3.2429756709931611E-3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-1090.8</v>
      </c>
      <c r="X246" s="8">
        <f>IFERROR(W246/W444, "NA")</f>
        <v>-3.8198640635467386E-2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-1090.8</v>
      </c>
      <c r="AD246" s="8">
        <f>IFERROR(AC246/AC444, "NA")</f>
        <v>-1.7075007936403572E-2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336.45</v>
      </c>
      <c r="C248" s="8">
        <f>IFERROR(B248/B444, "NA")</f>
        <v>2.2958099029823285E-3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-336.45</v>
      </c>
      <c r="I248" s="8">
        <f>IFERROR(H248/H444, "NA")</f>
        <v>-2.2363981526533672E-2</v>
      </c>
      <c r="J248" s="9"/>
      <c r="K248" s="7">
        <v>508.69</v>
      </c>
      <c r="L248" s="8">
        <f>IFERROR(K248/K444, "NA")</f>
        <v>4.4871220945489707E-3</v>
      </c>
      <c r="M248" s="9"/>
      <c r="N248" s="10">
        <f t="shared" si="65"/>
        <v>172.24</v>
      </c>
      <c r="O248" s="8">
        <f>IFERROR(N248/N444, "NA")</f>
        <v>5.1906190349619409E-3</v>
      </c>
      <c r="P248" s="9"/>
      <c r="Q248" s="7">
        <v>828.7</v>
      </c>
      <c r="R248" s="8">
        <f>IFERROR(Q248/Q444, "NA")</f>
        <v>2.4637458182545221E-3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-828.7</v>
      </c>
      <c r="X248" s="8">
        <f>IFERROR(W248/W444, "NA")</f>
        <v>-2.9020181054832991E-2</v>
      </c>
      <c r="Y248" s="9"/>
      <c r="Z248" s="7">
        <v>653.25</v>
      </c>
      <c r="AA248" s="8">
        <f>IFERROR(Z248/Z444, "NA")</f>
        <v>2.3974684494803577E-3</v>
      </c>
      <c r="AB248" s="9"/>
      <c r="AC248" s="10">
        <f t="shared" si="67"/>
        <v>-175.45000000000005</v>
      </c>
      <c r="AD248" s="8">
        <f>IFERROR(AC248/AC444, "NA")</f>
        <v>-2.74643394063257E-3</v>
      </c>
    </row>
    <row r="249" spans="1:30" ht="16.5" customHeight="1" x14ac:dyDescent="0.45">
      <c r="A249" s="12" t="s">
        <v>226</v>
      </c>
      <c r="B249" s="7">
        <v>1829.56</v>
      </c>
      <c r="C249" s="8">
        <f>IFERROR(B249/B444, "NA")</f>
        <v>1.2484238270472131E-2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-1829.56</v>
      </c>
      <c r="I249" s="8">
        <f>IFERROR(H249/H444, "NA")</f>
        <v>-0.12161166901972045</v>
      </c>
      <c r="J249" s="9"/>
      <c r="K249" s="7">
        <v>1206.73</v>
      </c>
      <c r="L249" s="8">
        <f>IFERROR(K249/K444, "NA")</f>
        <v>1.0644488480518742E-2</v>
      </c>
      <c r="M249" s="9"/>
      <c r="N249" s="10">
        <f t="shared" si="65"/>
        <v>-622.82999999999993</v>
      </c>
      <c r="O249" s="8">
        <f>IFERROR(N249/N444, "NA")</f>
        <v>-1.8769584611851749E-2</v>
      </c>
      <c r="P249" s="9"/>
      <c r="Q249" s="7">
        <v>4787.3599999999997</v>
      </c>
      <c r="R249" s="8">
        <f>IFERROR(Q249/Q444, "NA")</f>
        <v>1.4232940968358837E-2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-4787.3599999999997</v>
      </c>
      <c r="X249" s="8">
        <f>IFERROR(W249/W444, "NA")</f>
        <v>-0.16764818869876341</v>
      </c>
      <c r="Y249" s="9"/>
      <c r="Z249" s="7">
        <v>3469.6</v>
      </c>
      <c r="AA249" s="8">
        <f>IFERROR(Z249/Z444, "NA")</f>
        <v>1.2733649494553462E-2</v>
      </c>
      <c r="AB249" s="9"/>
      <c r="AC249" s="10">
        <f t="shared" si="67"/>
        <v>-1317.7599999999998</v>
      </c>
      <c r="AD249" s="8">
        <f>IFERROR(AC249/AC444, "NA")</f>
        <v>-2.0627761696255194E-2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732.85</v>
      </c>
      <c r="C254" s="8">
        <f>IFERROR(B254/B444, "NA")</f>
        <v>5.0006963513169848E-3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-732.85</v>
      </c>
      <c r="I254" s="8">
        <f>IFERROR(H254/H444, "NA")</f>
        <v>-4.8712866285392196E-2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-732.85</v>
      </c>
      <c r="O254" s="8">
        <f>IFERROR(N254/N444, "NA")</f>
        <v>-2.2085143751578371E-2</v>
      </c>
      <c r="P254" s="9"/>
      <c r="Q254" s="7">
        <v>2223.0500000000002</v>
      </c>
      <c r="R254" s="8">
        <f>IFERROR(Q254/Q444, "NA")</f>
        <v>6.6091832282740631E-3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-2223.0500000000002</v>
      </c>
      <c r="X254" s="8">
        <f>IFERROR(W254/W444, "NA")</f>
        <v>-7.7848815607513555E-2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-2223.0500000000002</v>
      </c>
      <c r="AD254" s="8">
        <f>IFERROR(AC254/AC444, "NA")</f>
        <v>-3.4798859912928096E-2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7681.9500000000007</v>
      </c>
      <c r="C262" s="15">
        <f>IFERROR(B262/B444, "NA")</f>
        <v>5.2418775105409716E-2</v>
      </c>
      <c r="D262" s="2"/>
      <c r="E262" s="14">
        <f>IFERROR(E240+E241+E242+E243+E244+E245+E246+E247+E248+E249+E250+E251+E252+E253+E254+E255+E256+E257+E258+E259+E260+E261, "NA")</f>
        <v>6888.25</v>
      </c>
      <c r="F262" s="15">
        <f>IFERROR(E262/E444, "NA")</f>
        <v>5.2380014160644923E-2</v>
      </c>
      <c r="G262" s="2"/>
      <c r="H262" s="14">
        <f t="shared" si="64"/>
        <v>-793.70000000000073</v>
      </c>
      <c r="I262" s="15">
        <f>IFERROR(H262/H444, "NA")</f>
        <v>-5.2757592919036388E-2</v>
      </c>
      <c r="J262" s="2"/>
      <c r="K262" s="14">
        <f>IFERROR(K240+K241+K242+K243+K244+K245+K246+K247+K248+K249+K250+K251+K252+K253+K254+K255+K256+K257+K258+K259+K260+K261, "NA")</f>
        <v>5361.8600000000006</v>
      </c>
      <c r="L262" s="15">
        <f>IFERROR(K262/K444, "NA")</f>
        <v>4.7296625594917034E-2</v>
      </c>
      <c r="M262" s="2"/>
      <c r="N262" s="14">
        <f t="shared" si="65"/>
        <v>-2320.09</v>
      </c>
      <c r="O262" s="15">
        <f>IFERROR(N262/N444, "NA")</f>
        <v>-6.991815673957763E-2</v>
      </c>
      <c r="P262" s="2"/>
      <c r="Q262" s="14">
        <f>IFERROR(Q240+Q241+Q242+Q243+Q244+Q245+Q246+Q247+Q248+Q249+Q250+Q251+Q252+Q253+Q254+Q255+Q256+Q257+Q258+Q259+Q260+Q261, "NA")</f>
        <v>21294.87</v>
      </c>
      <c r="R262" s="15">
        <f>IFERROR(Q262/Q444, "NA")</f>
        <v>6.3310180901138741E-2</v>
      </c>
      <c r="S262" s="2"/>
      <c r="T262" s="14">
        <f>IFERROR(T240+T241+T242+T243+T244+T245+T246+T247+T248+T249+T250+T251+T252+T253+T254+T255+T256+T257+T258+T259+T260+T261, "NA")</f>
        <v>16479.48</v>
      </c>
      <c r="U262" s="15">
        <f>IFERROR(T262/T444, "NA")</f>
        <v>5.3539265012649696E-2</v>
      </c>
      <c r="V262" s="2"/>
      <c r="W262" s="14">
        <f t="shared" si="66"/>
        <v>-4815.3899999999994</v>
      </c>
      <c r="X262" s="15">
        <f>IFERROR(W262/W444, "NA")</f>
        <v>-0.16862976909573091</v>
      </c>
      <c r="Y262" s="2"/>
      <c r="Z262" s="14">
        <f>IFERROR(Z240+Z241+Z242+Z243+Z244+Z245+Z246+Z247+Z248+Z249+Z250+Z251+Z252+Z253+Z254+Z255+Z256+Z257+Z258+Z259+Z260+Z261, "NA")</f>
        <v>12771.380000000001</v>
      </c>
      <c r="AA262" s="15">
        <f>IFERROR(Z262/Z444, "NA")</f>
        <v>4.6871765183810879E-2</v>
      </c>
      <c r="AB262" s="2"/>
      <c r="AC262" s="14">
        <f t="shared" si="67"/>
        <v>-8523.489999999998</v>
      </c>
      <c r="AD262" s="15">
        <f>IFERROR(AC262/AC444, "NA")</f>
        <v>-0.13342378015755083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7681.9500000000007</v>
      </c>
      <c r="C263" s="15">
        <f>IFERROR(B263/B444, "NA")</f>
        <v>5.2418775105409716E-2</v>
      </c>
      <c r="D263" s="2"/>
      <c r="E263" s="14">
        <f>IFERROR(E238+E240+E241+E242+E243+E244+E245+E246+E247+E248+E249+E250+E251+E252+E253+E254+E255+E256+E257+E258+E259+E260+E261, "NA")</f>
        <v>6888.25</v>
      </c>
      <c r="F263" s="15">
        <f>IFERROR(E263/E444, "NA")</f>
        <v>5.2380014160644923E-2</v>
      </c>
      <c r="G263" s="2"/>
      <c r="H263" s="14">
        <f t="shared" si="64"/>
        <v>-793.70000000000073</v>
      </c>
      <c r="I263" s="15">
        <f>IFERROR(H263/H444, "NA")</f>
        <v>-5.2757592919036388E-2</v>
      </c>
      <c r="J263" s="2"/>
      <c r="K263" s="14">
        <f>IFERROR(K238+K240+K241+K242+K243+K244+K245+K246+K247+K248+K249+K250+K251+K252+K253+K254+K255+K256+K257+K258+K259+K260+K261, "NA")</f>
        <v>5361.8600000000006</v>
      </c>
      <c r="L263" s="15">
        <f>IFERROR(K263/K444, "NA")</f>
        <v>4.7296625594917034E-2</v>
      </c>
      <c r="M263" s="2"/>
      <c r="N263" s="14">
        <f t="shared" si="65"/>
        <v>-2320.09</v>
      </c>
      <c r="O263" s="15">
        <f>IFERROR(N263/N444, "NA")</f>
        <v>-6.991815673957763E-2</v>
      </c>
      <c r="P263" s="2"/>
      <c r="Q263" s="14">
        <f>IFERROR(Q238+Q240+Q241+Q242+Q243+Q244+Q245+Q246+Q247+Q248+Q249+Q250+Q251+Q252+Q253+Q254+Q255+Q256+Q257+Q258+Q259+Q260+Q261, "NA")</f>
        <v>21294.87</v>
      </c>
      <c r="R263" s="15">
        <f>IFERROR(Q263/Q444, "NA")</f>
        <v>6.3310180901138741E-2</v>
      </c>
      <c r="S263" s="2"/>
      <c r="T263" s="14">
        <f>IFERROR(T238+T240+T241+T242+T243+T244+T245+T246+T247+T248+T249+T250+T251+T252+T253+T254+T255+T256+T257+T258+T259+T260+T261, "NA")</f>
        <v>16479.48</v>
      </c>
      <c r="U263" s="15">
        <f>IFERROR(T263/T444, "NA")</f>
        <v>5.3539265012649696E-2</v>
      </c>
      <c r="V263" s="2"/>
      <c r="W263" s="14">
        <f t="shared" si="66"/>
        <v>-4815.3899999999994</v>
      </c>
      <c r="X263" s="15">
        <f>IFERROR(W263/W444, "NA")</f>
        <v>-0.16862976909573091</v>
      </c>
      <c r="Y263" s="2"/>
      <c r="Z263" s="14">
        <f>IFERROR(Z238+Z240+Z241+Z242+Z243+Z244+Z245+Z246+Z247+Z248+Z249+Z250+Z251+Z252+Z253+Z254+Z255+Z256+Z257+Z258+Z259+Z260+Z261, "NA")</f>
        <v>12771.380000000001</v>
      </c>
      <c r="AA263" s="15">
        <f>IFERROR(Z263/Z444, "NA")</f>
        <v>4.6871765183810879E-2</v>
      </c>
      <c r="AB263" s="2"/>
      <c r="AC263" s="14">
        <f t="shared" si="67"/>
        <v>-8523.489999999998</v>
      </c>
      <c r="AD263" s="15">
        <f>IFERROR(AC263/AC444, "NA")</f>
        <v>-0.13342378015755083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3675.09</v>
      </c>
      <c r="C265" s="8">
        <f>IFERROR(B265/B444, "NA")</f>
        <v>2.5077449892558553E-2</v>
      </c>
      <c r="D265" s="9"/>
      <c r="E265" s="7">
        <v>3682.15</v>
      </c>
      <c r="F265" s="8">
        <f>IFERROR(E265/E444, "NA")</f>
        <v>2.8000010037617495E-2</v>
      </c>
      <c r="G265" s="9"/>
      <c r="H265" s="10">
        <f>IFERROR(-(B265-E265), "NA")</f>
        <v>7.0599999999999454</v>
      </c>
      <c r="I265" s="8">
        <f>IFERROR(H265/H444, "NA")</f>
        <v>4.6928134812699218E-4</v>
      </c>
      <c r="J265" s="9"/>
      <c r="K265" s="7">
        <v>3351.91</v>
      </c>
      <c r="L265" s="8">
        <f>IFERROR(K265/K444, "NA")</f>
        <v>2.9566984646719297E-2</v>
      </c>
      <c r="M265" s="9"/>
      <c r="N265" s="10">
        <f>IFERROR(-(B265-K265), "NA")</f>
        <v>-323.18000000000029</v>
      </c>
      <c r="O265" s="8">
        <f>IFERROR(N265/N444, "NA")</f>
        <v>-9.7393419630689825E-3</v>
      </c>
      <c r="P265" s="9"/>
      <c r="Q265" s="7">
        <v>8650.14</v>
      </c>
      <c r="R265" s="8">
        <f>IFERROR(Q265/Q444, "NA")</f>
        <v>2.5717082481375855E-2</v>
      </c>
      <c r="S265" s="9"/>
      <c r="T265" s="7">
        <v>8794.75</v>
      </c>
      <c r="U265" s="8">
        <f>IFERROR(T265/T444, "NA")</f>
        <v>2.8572773592977507E-2</v>
      </c>
      <c r="V265" s="9"/>
      <c r="W265" s="10">
        <f>IFERROR(-(Q265-T265), "NA")</f>
        <v>144.61000000000058</v>
      </c>
      <c r="X265" s="8">
        <f>IFERROR(W265/W444, "NA")</f>
        <v>5.0640863790749552E-3</v>
      </c>
      <c r="Y265" s="9"/>
      <c r="Z265" s="7">
        <v>7897.96</v>
      </c>
      <c r="AA265" s="8">
        <f>IFERROR(Z265/Z444, "NA")</f>
        <v>2.8986008289717393E-2</v>
      </c>
      <c r="AB265" s="9"/>
      <c r="AC265" s="10">
        <f>IFERROR(-(Q265-Z265), "NA")</f>
        <v>-752.17999999999938</v>
      </c>
      <c r="AD265" s="8">
        <f>IFERROR(AC265/AC444, "NA")</f>
        <v>-1.1774366950498742E-2</v>
      </c>
    </row>
    <row r="266" spans="1:30" ht="16.5" customHeight="1" x14ac:dyDescent="0.45">
      <c r="A266" s="6" t="s">
        <v>242</v>
      </c>
      <c r="B266" s="7">
        <v>31.54</v>
      </c>
      <c r="C266" s="8">
        <f>IFERROR(B266/B444, "NA")</f>
        <v>2.1521725171663736E-4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-31.54</v>
      </c>
      <c r="I266" s="8">
        <f>IFERROR(H266/H444, "NA")</f>
        <v>-2.096477864012103E-3</v>
      </c>
      <c r="J266" s="9"/>
      <c r="K266" s="7">
        <v>-49.23</v>
      </c>
      <c r="L266" s="8">
        <f>IFERROR(K266/K444, "NA")</f>
        <v>-4.3425469483309245E-4</v>
      </c>
      <c r="M266" s="9"/>
      <c r="N266" s="10">
        <f>IFERROR(-(B266-K266), "NA")</f>
        <v>-80.77</v>
      </c>
      <c r="O266" s="8">
        <f>IFERROR(N266/N444, "NA")</f>
        <v>-2.4340820915807939E-3</v>
      </c>
      <c r="P266" s="9"/>
      <c r="Q266" s="7">
        <v>31.54</v>
      </c>
      <c r="R266" s="8">
        <f>IFERROR(Q266/Q444, "NA")</f>
        <v>9.3769208528716812E-5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-31.54</v>
      </c>
      <c r="X266" s="8">
        <f>IFERROR(W266/W444, "NA")</f>
        <v>-1.1044968148539067E-3</v>
      </c>
      <c r="Y266" s="9"/>
      <c r="Z266" s="7">
        <v>-49.23</v>
      </c>
      <c r="AA266" s="8">
        <f>IFERROR(Z266/Z444, "NA")</f>
        <v>-1.8067718602054038E-4</v>
      </c>
      <c r="AB266" s="9"/>
      <c r="AC266" s="10">
        <f>IFERROR(-(Q266-Z266), "NA")</f>
        <v>-80.77</v>
      </c>
      <c r="AD266" s="8">
        <f>IFERROR(AC266/AC444, "NA")</f>
        <v>-1.2643457930173417E-3</v>
      </c>
    </row>
    <row r="267" spans="1:30" ht="16.5" customHeight="1" x14ac:dyDescent="0.45">
      <c r="A267" s="19" t="s">
        <v>243</v>
      </c>
      <c r="B267" s="14">
        <f>IFERROR(B265+B266, "NA")</f>
        <v>3706.63</v>
      </c>
      <c r="C267" s="15">
        <f>IFERROR(B267/B444, "NA")</f>
        <v>2.529266714427519E-2</v>
      </c>
      <c r="D267" s="2"/>
      <c r="E267" s="14">
        <f>IFERROR(E265+E266, "NA")</f>
        <v>3682.15</v>
      </c>
      <c r="F267" s="15">
        <f>IFERROR(E267/E444, "NA")</f>
        <v>2.8000010037617495E-2</v>
      </c>
      <c r="G267" s="2"/>
      <c r="H267" s="14">
        <f>IFERROR(-(B267-E267), "NA")</f>
        <v>-24.480000000000018</v>
      </c>
      <c r="I267" s="15">
        <f>IFERROR(H267/H444, "NA")</f>
        <v>-1.6271965158851085E-3</v>
      </c>
      <c r="J267" s="2"/>
      <c r="K267" s="14">
        <f>IFERROR(K265+K266, "NA")</f>
        <v>3302.68</v>
      </c>
      <c r="L267" s="15">
        <f>IFERROR(K267/K444, "NA")</f>
        <v>2.9132729951886201E-2</v>
      </c>
      <c r="M267" s="2"/>
      <c r="N267" s="14">
        <f>IFERROR(-(B267-K267), "NA")</f>
        <v>-403.95000000000027</v>
      </c>
      <c r="O267" s="15">
        <f>IFERROR(N267/N444, "NA")</f>
        <v>-1.2173424054649776E-2</v>
      </c>
      <c r="P267" s="2"/>
      <c r="Q267" s="14">
        <f>IFERROR(Q265+Q266, "NA")</f>
        <v>8681.68</v>
      </c>
      <c r="R267" s="15">
        <f>IFERROR(Q267/Q444, "NA")</f>
        <v>2.5810851689904574E-2</v>
      </c>
      <c r="S267" s="2"/>
      <c r="T267" s="14">
        <f>IFERROR(T265+T266, "NA")</f>
        <v>8794.75</v>
      </c>
      <c r="U267" s="15">
        <f>IFERROR(T267/T444, "NA")</f>
        <v>2.8572773592977507E-2</v>
      </c>
      <c r="V267" s="2"/>
      <c r="W267" s="14">
        <f>IFERROR(-(Q267-T267), "NA")</f>
        <v>113.06999999999971</v>
      </c>
      <c r="X267" s="15">
        <f>IFERROR(W267/W444, "NA")</f>
        <v>3.9595895642210183E-3</v>
      </c>
      <c r="Y267" s="2"/>
      <c r="Z267" s="14">
        <f>IFERROR(Z265+Z266, "NA")</f>
        <v>7848.7300000000005</v>
      </c>
      <c r="AA267" s="15">
        <f>IFERROR(Z267/Z444, "NA")</f>
        <v>2.8805331103696857E-2</v>
      </c>
      <c r="AB267" s="2"/>
      <c r="AC267" s="14">
        <f>IFERROR(-(Q267-Z267), "NA")</f>
        <v>-832.94999999999982</v>
      </c>
      <c r="AD267" s="15">
        <f>IFERROR(AC267/AC444, "NA")</f>
        <v>-1.3038712743516092E-2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6.1269362814321082E-4</v>
      </c>
      <c r="D270" s="9"/>
      <c r="E270" s="7">
        <v>281.64999999999998</v>
      </c>
      <c r="F270" s="8">
        <f>IFERROR(E270/E444, "NA")</f>
        <v>2.1417386111633055E-3</v>
      </c>
      <c r="G270" s="9"/>
      <c r="H270" s="10">
        <f>IFERROR(-(B270-E270), "NA")</f>
        <v>191.85999999999996</v>
      </c>
      <c r="I270" s="8">
        <f>IFERROR(H270/H444, "NA")</f>
        <v>1.2753019752357705E-2</v>
      </c>
      <c r="J270" s="9"/>
      <c r="K270" s="7">
        <v>213.08</v>
      </c>
      <c r="L270" s="8">
        <f>IFERROR(K270/K444, "NA")</f>
        <v>1.8795651101977523E-3</v>
      </c>
      <c r="M270" s="9"/>
      <c r="N270" s="10">
        <f>IFERROR(-(B270-K270), "NA")</f>
        <v>123.29</v>
      </c>
      <c r="O270" s="8">
        <f>IFERROR(N270/N444, "NA")</f>
        <v>3.715463427893972E-3</v>
      </c>
      <c r="P270" s="9"/>
      <c r="Q270" s="7">
        <v>528.17999999999995</v>
      </c>
      <c r="R270" s="8">
        <f>IFERROR(Q270/Q444, "NA")</f>
        <v>1.570292344980902E-3</v>
      </c>
      <c r="S270" s="9"/>
      <c r="T270" s="7">
        <v>697.33</v>
      </c>
      <c r="U270" s="8">
        <f>IFERROR(T270/T444, "NA")</f>
        <v>2.2655166104313374E-3</v>
      </c>
      <c r="V270" s="9"/>
      <c r="W270" s="10">
        <f>IFERROR(-(Q270-T270), "NA")</f>
        <v>169.15000000000009</v>
      </c>
      <c r="X270" s="8">
        <f>IFERROR(W270/W444, "NA")</f>
        <v>5.9234507366055303E-3</v>
      </c>
      <c r="Y270" s="9"/>
      <c r="Z270" s="7">
        <v>630.24</v>
      </c>
      <c r="AA270" s="8">
        <f>IFERROR(Z270/Z444, "NA")</f>
        <v>2.3130203070807513E-3</v>
      </c>
      <c r="AB270" s="9"/>
      <c r="AC270" s="10">
        <f>IFERROR(-(Q270-Z270), "NA")</f>
        <v>102.06000000000006</v>
      </c>
      <c r="AD270" s="8">
        <f>IFERROR(AC270/AC444, "NA")</f>
        <v>1.5976121287031074E-3</v>
      </c>
    </row>
    <row r="271" spans="1:30" ht="16.5" customHeight="1" x14ac:dyDescent="0.45">
      <c r="A271" s="6" t="s">
        <v>246</v>
      </c>
      <c r="B271" s="7">
        <v>1039.08</v>
      </c>
      <c r="C271" s="8">
        <f>IFERROR(B271/B444, "NA")</f>
        <v>7.0902961925720836E-3</v>
      </c>
      <c r="D271" s="9"/>
      <c r="E271" s="7">
        <v>920.54</v>
      </c>
      <c r="F271" s="8">
        <f>IFERROR(E271/E444, "NA")</f>
        <v>7.0000215200435633E-3</v>
      </c>
      <c r="G271" s="9"/>
      <c r="H271" s="10">
        <f>IFERROR(-(B271-E271), "NA")</f>
        <v>-118.53999999999996</v>
      </c>
      <c r="I271" s="8">
        <f>IFERROR(H271/H444, "NA")</f>
        <v>-7.8794066582116244E-3</v>
      </c>
      <c r="J271" s="9"/>
      <c r="K271" s="7">
        <v>970.58</v>
      </c>
      <c r="L271" s="8">
        <f>IFERROR(K271/K444, "NA")</f>
        <v>8.5614243695125523E-3</v>
      </c>
      <c r="M271" s="9"/>
      <c r="N271" s="10">
        <f>IFERROR(-(B271-K271), "NA")</f>
        <v>-68.499999999999886</v>
      </c>
      <c r="O271" s="8">
        <f>IFERROR(N271/N444, "NA")</f>
        <v>-2.0643137708714139E-3</v>
      </c>
      <c r="P271" s="9"/>
      <c r="Q271" s="7">
        <v>2884.7</v>
      </c>
      <c r="R271" s="8">
        <f>IFERROR(Q271/Q444, "NA")</f>
        <v>8.5762852201264859E-3</v>
      </c>
      <c r="S271" s="9"/>
      <c r="T271" s="7">
        <v>2154.62</v>
      </c>
      <c r="U271" s="8">
        <f>IFERROR(T271/T444, "NA")</f>
        <v>7.0000249511243855E-3</v>
      </c>
      <c r="V271" s="9"/>
      <c r="W271" s="10">
        <f>IFERROR(-(Q271-T271), "NA")</f>
        <v>-730.07999999999993</v>
      </c>
      <c r="X271" s="8">
        <f>IFERROR(W271/W444, "NA")</f>
        <v>-2.5566614920372228E-2</v>
      </c>
      <c r="Y271" s="9"/>
      <c r="Z271" s="7">
        <v>2790.54</v>
      </c>
      <c r="AA271" s="8">
        <f>IFERROR(Z271/Z444, "NA")</f>
        <v>1.0241456727153337E-2</v>
      </c>
      <c r="AB271" s="9"/>
      <c r="AC271" s="10">
        <f>IFERROR(-(Q271-Z271), "NA")</f>
        <v>-94.159999999999854</v>
      </c>
      <c r="AD271" s="8">
        <f>IFERROR(AC271/AC444, "NA")</f>
        <v>-1.4739482465087623E-3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1128.8699999999999</v>
      </c>
      <c r="C273" s="15">
        <f>IFERROR(B273/B444, "NA")</f>
        <v>7.7029898207152947E-3</v>
      </c>
      <c r="D273" s="2"/>
      <c r="E273" s="14">
        <f>IFERROR(E269+E270+E271+E272, "NA")</f>
        <v>1202.19</v>
      </c>
      <c r="F273" s="15">
        <f>IFERROR(E273/E444, "NA")</f>
        <v>9.1417601312068705E-3</v>
      </c>
      <c r="G273" s="2"/>
      <c r="H273" s="14">
        <f>IFERROR(-(B273-E273), "NA")</f>
        <v>73.320000000000164</v>
      </c>
      <c r="I273" s="15">
        <f>IFERROR(H273/H444, "NA")</f>
        <v>4.8736130941460917E-3</v>
      </c>
      <c r="J273" s="2"/>
      <c r="K273" s="14">
        <f>IFERROR(K269+K270+K271+K272, "NA")</f>
        <v>1183.6600000000001</v>
      </c>
      <c r="L273" s="15">
        <f>IFERROR(K273/K444, "NA")</f>
        <v>1.0440989479710304E-2</v>
      </c>
      <c r="M273" s="2"/>
      <c r="N273" s="14">
        <f>IFERROR(-(B273-K273), "NA")</f>
        <v>54.790000000000191</v>
      </c>
      <c r="O273" s="15">
        <f>IFERROR(N273/N444, "NA")</f>
        <v>1.65114965702256E-3</v>
      </c>
      <c r="P273" s="2"/>
      <c r="Q273" s="14">
        <f>IFERROR(Q269+Q270+Q271+Q272, "NA")</f>
        <v>3412.8799999999997</v>
      </c>
      <c r="R273" s="15">
        <f>IFERROR(Q273/Q444, "NA")</f>
        <v>1.0146577565107388E-2</v>
      </c>
      <c r="S273" s="2"/>
      <c r="T273" s="14">
        <f>IFERROR(T269+T270+T271+T272, "NA")</f>
        <v>2851.95</v>
      </c>
      <c r="U273" s="15">
        <f>IFERROR(T273/T444, "NA")</f>
        <v>9.2655415615557225E-3</v>
      </c>
      <c r="V273" s="2"/>
      <c r="W273" s="14">
        <f>IFERROR(-(Q273-T273), "NA")</f>
        <v>-560.92999999999984</v>
      </c>
      <c r="X273" s="15">
        <f>IFERROR(W273/W444, "NA")</f>
        <v>-1.9643164183766697E-2</v>
      </c>
      <c r="Y273" s="2"/>
      <c r="Z273" s="14">
        <f>IFERROR(Z269+Z270+Z271+Z272, "NA")</f>
        <v>3420.7799999999997</v>
      </c>
      <c r="AA273" s="15">
        <f>IFERROR(Z273/Z444, "NA")</f>
        <v>1.2554477034234087E-2</v>
      </c>
      <c r="AB273" s="2"/>
      <c r="AC273" s="14">
        <f>IFERROR(-(Q273-Z273), "NA")</f>
        <v>7.9000000000000909</v>
      </c>
      <c r="AD273" s="15">
        <f>IFERROR(AC273/AC444, "NA")</f>
        <v>1.2366388219434339E-4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2.7147192763546965E-3</v>
      </c>
      <c r="G287" s="9"/>
      <c r="H287" s="10">
        <f t="shared" si="72"/>
        <v>357</v>
      </c>
      <c r="I287" s="8">
        <f>IFERROR(H287/H444, "NA")</f>
        <v>2.3729949189991148E-2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1071</v>
      </c>
      <c r="U287" s="8">
        <f>IFERROR(T287/T444, "NA")</f>
        <v>3.479512267896064E-3</v>
      </c>
      <c r="V287" s="9"/>
      <c r="W287" s="10">
        <f t="shared" si="74"/>
        <v>1071</v>
      </c>
      <c r="X287" s="8">
        <f>IFERROR(W287/W444, "NA")</f>
        <v>3.7505265970467154E-2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1.0803851447144957E-3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-1.0524265700984031E-2</v>
      </c>
      <c r="J288" s="9"/>
      <c r="K288" s="7">
        <v>158.33000000000001</v>
      </c>
      <c r="L288" s="8">
        <f>IFERROR(K288/K444, "NA")</f>
        <v>1.3966188469007421E-3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475.01</v>
      </c>
      <c r="R288" s="8">
        <f>IFERROR(Q288/Q444, "NA")</f>
        <v>1.4122166056824913E-3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-475.01</v>
      </c>
      <c r="X288" s="8">
        <f>IFERROR(W288/W444, "NA")</f>
        <v>-1.663433836473539E-2</v>
      </c>
      <c r="Y288" s="9"/>
      <c r="Z288" s="7">
        <v>475.01</v>
      </c>
      <c r="AA288" s="8">
        <f>IFERROR(Z288/Z444, "NA")</f>
        <v>1.7433164763684115E-3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208.48</v>
      </c>
      <c r="C289" s="8">
        <f>IFERROR(B289/B444, "NA")</f>
        <v>1.4225901280242408E-3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-208.48</v>
      </c>
      <c r="I289" s="8">
        <f>IFERROR(H289/H444, "NA")</f>
        <v>-1.3857758563387546E-2</v>
      </c>
      <c r="J289" s="9"/>
      <c r="K289" s="7">
        <v>198.68</v>
      </c>
      <c r="L289" s="8">
        <f>IFERROR(K289/K444, "NA")</f>
        <v>1.7525436272484017E-3</v>
      </c>
      <c r="M289" s="9"/>
      <c r="N289" s="10">
        <f t="shared" si="73"/>
        <v>-9.7999999999999829</v>
      </c>
      <c r="O289" s="8">
        <f>IFERROR(N289/N444, "NA")</f>
        <v>-2.9533248108817308E-4</v>
      </c>
      <c r="P289" s="9"/>
      <c r="Q289" s="7">
        <v>622.69000000000005</v>
      </c>
      <c r="R289" s="8">
        <f>IFERROR(Q289/Q444, "NA")</f>
        <v>1.8512729378169525E-3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-622.69000000000005</v>
      </c>
      <c r="X289" s="8">
        <f>IFERROR(W289/W444, "NA")</f>
        <v>-2.1805932835807836E-2</v>
      </c>
      <c r="Y289" s="9"/>
      <c r="Z289" s="7">
        <v>596.04</v>
      </c>
      <c r="AA289" s="8">
        <f>IFERROR(Z289/Z444, "NA")</f>
        <v>2.1875041632273594E-3</v>
      </c>
      <c r="AB289" s="9"/>
      <c r="AC289" s="10">
        <f t="shared" si="75"/>
        <v>-26.650000000000091</v>
      </c>
      <c r="AD289" s="8">
        <f>IFERROR(AC289/AC444, "NA")</f>
        <v>-4.17169931706231E-4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195.67</v>
      </c>
      <c r="L290" s="8">
        <f>IFERROR(K290/K444, "NA")</f>
        <v>1.7259926089374608E-3</v>
      </c>
      <c r="M290" s="9"/>
      <c r="N290" s="10">
        <f t="shared" si="73"/>
        <v>195.67</v>
      </c>
      <c r="O290" s="8">
        <f>IFERROR(N290/N444, "NA")</f>
        <v>5.8967047525023391E-3</v>
      </c>
      <c r="P290" s="9"/>
      <c r="Q290" s="7">
        <v>0</v>
      </c>
      <c r="R290" s="8">
        <f>IFERROR(Q290/Q444, "NA")</f>
        <v>0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0</v>
      </c>
      <c r="X290" s="8">
        <f>IFERROR(W290/W444, "NA")</f>
        <v>0</v>
      </c>
      <c r="Y290" s="9"/>
      <c r="Z290" s="7">
        <v>195.67</v>
      </c>
      <c r="AA290" s="8">
        <f>IFERROR(Z290/Z444, "NA")</f>
        <v>7.1812116572494695E-4</v>
      </c>
      <c r="AB290" s="9"/>
      <c r="AC290" s="10">
        <f t="shared" si="75"/>
        <v>195.67</v>
      </c>
      <c r="AD290" s="8">
        <f>IFERROR(AC290/AC444, "NA")</f>
        <v>3.0629508644261887E-3</v>
      </c>
    </row>
    <row r="291" spans="1:30" ht="16.5" customHeight="1" x14ac:dyDescent="0.45">
      <c r="A291" s="6" t="s">
        <v>264</v>
      </c>
      <c r="B291" s="7">
        <v>-115.89</v>
      </c>
      <c r="C291" s="8">
        <f>IFERROR(B291/B444, "NA")</f>
        <v>-7.9079033929743507E-4</v>
      </c>
      <c r="D291" s="9"/>
      <c r="E291" s="7">
        <v>1315.05</v>
      </c>
      <c r="F291" s="8">
        <f>IFERROR(E291/E444, "NA")</f>
        <v>9.9999764268074044E-3</v>
      </c>
      <c r="G291" s="9"/>
      <c r="H291" s="10">
        <f t="shared" si="72"/>
        <v>1430.94</v>
      </c>
      <c r="I291" s="8">
        <f>IFERROR(H291/H444, "NA")</f>
        <v>9.5115219870940987E-2</v>
      </c>
      <c r="J291" s="9"/>
      <c r="K291" s="7">
        <v>206.43</v>
      </c>
      <c r="L291" s="8">
        <f>IFERROR(K291/K444, "NA")</f>
        <v>1.8209058836968369E-3</v>
      </c>
      <c r="M291" s="9"/>
      <c r="N291" s="10">
        <f t="shared" si="73"/>
        <v>322.32</v>
      </c>
      <c r="O291" s="8">
        <f>IFERROR(N291/N444, "NA")</f>
        <v>9.7134250310551128E-3</v>
      </c>
      <c r="P291" s="9"/>
      <c r="Q291" s="7">
        <v>0</v>
      </c>
      <c r="R291" s="8">
        <f>IFERROR(Q291/Q444, "NA")</f>
        <v>0</v>
      </c>
      <c r="S291" s="9"/>
      <c r="T291" s="7">
        <v>3078.02</v>
      </c>
      <c r="U291" s="8">
        <f>IFERROR(T291/T444, "NA")</f>
        <v>1.000000779722637E-2</v>
      </c>
      <c r="V291" s="9"/>
      <c r="W291" s="10">
        <f t="shared" si="74"/>
        <v>3078.02</v>
      </c>
      <c r="X291" s="8">
        <f>IFERROR(W291/W444, "NA")</f>
        <v>0.10778894375575845</v>
      </c>
      <c r="Y291" s="9"/>
      <c r="Z291" s="7">
        <v>206.43</v>
      </c>
      <c r="AA291" s="8">
        <f>IFERROR(Z291/Z444, "NA")</f>
        <v>7.5761104022385045E-4</v>
      </c>
      <c r="AB291" s="9"/>
      <c r="AC291" s="10">
        <f t="shared" si="75"/>
        <v>206.43</v>
      </c>
      <c r="AD291" s="8">
        <f>IFERROR(AC291/AC444, "NA")</f>
        <v>3.2313842027060775E-3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523.98</v>
      </c>
      <c r="C294" s="8">
        <f>IFERROR(B294/B444, "NA")</f>
        <v>3.5754450080686001E-3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-523.98</v>
      </c>
      <c r="I294" s="8">
        <f>IFERROR(H294/H444, "NA")</f>
        <v>-3.4829184248099616E-2</v>
      </c>
      <c r="J294" s="9"/>
      <c r="K294" s="7">
        <v>124.25</v>
      </c>
      <c r="L294" s="8">
        <f>IFERROR(K294/K444, "NA")</f>
        <v>1.0960013372539456E-3</v>
      </c>
      <c r="M294" s="9"/>
      <c r="N294" s="10">
        <f t="shared" si="73"/>
        <v>-399.73</v>
      </c>
      <c r="O294" s="8">
        <f>IFERROR(N294/N444, "NA")</f>
        <v>-1.2046250271977105E-2</v>
      </c>
      <c r="P294" s="9"/>
      <c r="Q294" s="7">
        <v>1173.97</v>
      </c>
      <c r="R294" s="8">
        <f>IFERROR(Q294/Q444, "NA")</f>
        <v>3.4902421603188868E-3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-1173.97</v>
      </c>
      <c r="X294" s="8">
        <f>IFERROR(W294/W444, "NA")</f>
        <v>-4.1111164417693115E-2</v>
      </c>
      <c r="Y294" s="9"/>
      <c r="Z294" s="7">
        <v>372.75</v>
      </c>
      <c r="AA294" s="8">
        <f>IFERROR(Z294/Z444, "NA")</f>
        <v>1.3680158661213983E-3</v>
      </c>
      <c r="AB294" s="9"/>
      <c r="AC294" s="10">
        <f t="shared" si="75"/>
        <v>-801.22</v>
      </c>
      <c r="AD294" s="8">
        <f>IFERROR(AC294/AC444, "NA")</f>
        <v>-1.2542022239462111E-2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774.90000000000009</v>
      </c>
      <c r="C295" s="15">
        <f>IFERROR(B295/B444, "NA")</f>
        <v>5.2876299415099016E-3</v>
      </c>
      <c r="D295" s="2"/>
      <c r="E295" s="14">
        <f>IFERROR(E286+E287+E288+E289+E290+E291+E292+E293+E294, "NA")</f>
        <v>1672.05</v>
      </c>
      <c r="F295" s="15">
        <f>IFERROR(E295/E444, "NA")</f>
        <v>1.27146957031621E-2</v>
      </c>
      <c r="G295" s="2"/>
      <c r="H295" s="14">
        <f t="shared" si="72"/>
        <v>897.14999999999986</v>
      </c>
      <c r="I295" s="15">
        <f>IFERROR(H295/H444, "NA")</f>
        <v>5.9633960548460936E-2</v>
      </c>
      <c r="J295" s="2"/>
      <c r="K295" s="14">
        <f>IFERROR(K286+K287+K288+K289+K290+K291+K292+K293+K294, "NA")</f>
        <v>883.3599999999999</v>
      </c>
      <c r="L295" s="15">
        <f>IFERROR(K295/K444, "NA")</f>
        <v>7.7920623040373862E-3</v>
      </c>
      <c r="M295" s="2"/>
      <c r="N295" s="14">
        <f t="shared" si="73"/>
        <v>108.45999999999981</v>
      </c>
      <c r="O295" s="15">
        <f>IFERROR(N295/N444, "NA")</f>
        <v>3.2685470304921688E-3</v>
      </c>
      <c r="P295" s="2"/>
      <c r="Q295" s="14">
        <f>IFERROR(Q286+Q287+Q288+Q289+Q290+Q291+Q292+Q293+Q294, "NA")</f>
        <v>2271.67</v>
      </c>
      <c r="R295" s="15">
        <f>IFERROR(Q295/Q444, "NA")</f>
        <v>6.7537317038183307E-3</v>
      </c>
      <c r="S295" s="2"/>
      <c r="T295" s="14">
        <f>IFERROR(T286+T287+T288+T289+T290+T291+T292+T293+T294, "NA")</f>
        <v>4149.0200000000004</v>
      </c>
      <c r="U295" s="15">
        <f>IFERROR(T295/T444, "NA")</f>
        <v>1.3479520065122435E-2</v>
      </c>
      <c r="V295" s="2"/>
      <c r="W295" s="14">
        <f t="shared" si="74"/>
        <v>1877.3500000000004</v>
      </c>
      <c r="X295" s="15">
        <f>IFERROR(W295/W444, "NA")</f>
        <v>6.5742774107989288E-2</v>
      </c>
      <c r="Y295" s="2"/>
      <c r="Z295" s="14">
        <f>IFERROR(Z286+Z287+Z288+Z289+Z290+Z291+Z292+Z293+Z294, "NA")</f>
        <v>1845.9</v>
      </c>
      <c r="AA295" s="15">
        <f>IFERROR(Z295/Z444, "NA")</f>
        <v>6.7745687116659665E-3</v>
      </c>
      <c r="AB295" s="2"/>
      <c r="AC295" s="14">
        <f t="shared" si="75"/>
        <v>-425.77</v>
      </c>
      <c r="AD295" s="15">
        <f>IFERROR(AC295/AC444, "NA")</f>
        <v>-6.6648571040360729E-3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1709.57</v>
      </c>
      <c r="F297" s="8">
        <f>IFERROR(E297/E444, "NA")</f>
        <v>1.3000007376128005E-2</v>
      </c>
      <c r="G297" s="9"/>
      <c r="H297" s="10">
        <f t="shared" ref="H297:H325" si="76">IFERROR(-(B297-E297), "NA")</f>
        <v>1709.57</v>
      </c>
      <c r="I297" s="8">
        <f>IFERROR(H297/H444, "NA")</f>
        <v>0.11363588021493884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4001.43</v>
      </c>
      <c r="U297" s="8">
        <f>IFERROR(T297/T444, "NA")</f>
        <v>1.3000023131771565E-2</v>
      </c>
      <c r="V297" s="9"/>
      <c r="W297" s="10">
        <f t="shared" ref="W297:W325" si="78">IFERROR(-(Q297-T297), "NA")</f>
        <v>4001.43</v>
      </c>
      <c r="X297" s="8">
        <f>IFERROR(W297/W444, "NA")</f>
        <v>0.14012576695817588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3.2016466235081243E-3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-3.1187933221131222E-2</v>
      </c>
      <c r="J299" s="9"/>
      <c r="K299" s="7">
        <v>183.75</v>
      </c>
      <c r="L299" s="8">
        <f>IFERROR(K299/K444, "NA")</f>
        <v>1.6208470480516097E-3</v>
      </c>
      <c r="M299" s="9"/>
      <c r="N299" s="10">
        <f t="shared" si="77"/>
        <v>-285.45</v>
      </c>
      <c r="O299" s="8">
        <f>IFERROR(N299/N444, "NA")</f>
        <v>-8.6023119108795051E-3</v>
      </c>
      <c r="P299" s="9"/>
      <c r="Q299" s="7">
        <v>1407.6</v>
      </c>
      <c r="R299" s="8">
        <f>IFERROR(Q299/Q444, "NA")</f>
        <v>4.1848299912816038E-3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-1407.6</v>
      </c>
      <c r="X299" s="8">
        <f>IFERROR(W299/W444, "NA")</f>
        <v>-4.9292635275471113E-2</v>
      </c>
      <c r="Y299" s="9"/>
      <c r="Z299" s="7">
        <v>551.25</v>
      </c>
      <c r="AA299" s="8">
        <f>IFERROR(Z299/Z444, "NA")</f>
        <v>2.0231220555316453E-3</v>
      </c>
      <c r="AB299" s="9"/>
      <c r="AC299" s="10">
        <f t="shared" si="79"/>
        <v>-856.34999999999991</v>
      </c>
      <c r="AD299" s="8">
        <f>IFERROR(AC299/AC444, "NA")</f>
        <v>-1.3405008293306929E-2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28.59</v>
      </c>
      <c r="L310" s="8">
        <f>IFERROR(K310/K444, "NA")</f>
        <v>2.5219056927235659E-4</v>
      </c>
      <c r="M310" s="9"/>
      <c r="N310" s="10">
        <f t="shared" si="77"/>
        <v>28.59</v>
      </c>
      <c r="O310" s="8">
        <f>IFERROR(N310/N444, "NA")</f>
        <v>8.6158730962355946E-4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66.22</v>
      </c>
      <c r="AA310" s="8">
        <f>IFERROR(Z310/Z444, "NA")</f>
        <v>2.4303155105180144E-4</v>
      </c>
      <c r="AB310" s="9"/>
      <c r="AC310" s="10">
        <f t="shared" si="79"/>
        <v>66.22</v>
      </c>
      <c r="AD310" s="8">
        <f>IFERROR(AC310/AC444, "NA")</f>
        <v>1.0365850985961172E-3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7.9379767524310045E-5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-9.3500523007607184E-4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-4.1795261450492793E-4</v>
      </c>
    </row>
    <row r="312" spans="1:30" ht="16.5" customHeight="1" x14ac:dyDescent="0.45">
      <c r="A312" s="6" t="s">
        <v>284</v>
      </c>
      <c r="B312" s="7">
        <v>639.24</v>
      </c>
      <c r="C312" s="8">
        <f>IFERROR(B312/B444, "NA")</f>
        <v>4.361936461234726E-3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-639.24</v>
      </c>
      <c r="I312" s="8">
        <f>IFERROR(H312/H444, "NA")</f>
        <v>-4.2490567843725326E-2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-639.24</v>
      </c>
      <c r="O312" s="8">
        <f>IFERROR(N312/N444, "NA")</f>
        <v>-1.9264115837837152E-2</v>
      </c>
      <c r="P312" s="9"/>
      <c r="Q312" s="7">
        <v>1130.46</v>
      </c>
      <c r="R312" s="8">
        <f>IFERROR(Q312/Q444, "NA")</f>
        <v>3.3608858425292713E-3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-1130.46</v>
      </c>
      <c r="X312" s="8">
        <f>IFERROR(W312/W444, "NA")</f>
        <v>-3.9587491100816337E-2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-1130.46</v>
      </c>
      <c r="AD312" s="8">
        <f>IFERROR(AC312/AC444, "NA")</f>
        <v>-1.7695831932331117E-2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14</v>
      </c>
      <c r="R313" s="8">
        <f>IFERROR(Q313/Q444, "NA")</f>
        <v>4.1622350012746843E-5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-14</v>
      </c>
      <c r="X313" s="8">
        <f>IFERROR(W313/W444, "NA")</f>
        <v>-4.9026491464662951E-4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-14</v>
      </c>
      <c r="AD313" s="8">
        <f>IFERROR(AC313/AC444, "NA")</f>
        <v>-2.1915118363554273E-4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3.5663959120738166E-3</v>
      </c>
      <c r="G318" s="9"/>
      <c r="H318" s="10">
        <f t="shared" si="76"/>
        <v>469</v>
      </c>
      <c r="I318" s="8">
        <f>IFERROR(H318/H444, "NA")</f>
        <v>3.1174639131949154E-2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1407</v>
      </c>
      <c r="U318" s="8">
        <f>IFERROR(T318/T444, "NA")</f>
        <v>4.5711239597850247E-3</v>
      </c>
      <c r="V318" s="9"/>
      <c r="W318" s="10">
        <f t="shared" si="78"/>
        <v>1407</v>
      </c>
      <c r="X318" s="8">
        <f>IFERROR(W318/W444, "NA")</f>
        <v>4.9271623921986259E-2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296.62</v>
      </c>
      <c r="C319" s="8">
        <f>IFERROR(B319/B444, "NA")</f>
        <v>2.0240247686806904E-3</v>
      </c>
      <c r="D319" s="9"/>
      <c r="E319" s="7">
        <v>232</v>
      </c>
      <c r="F319" s="8">
        <f>IFERROR(E319/E444, "NA")</f>
        <v>1.7641873168467493E-3</v>
      </c>
      <c r="G319" s="9"/>
      <c r="H319" s="10">
        <f t="shared" si="76"/>
        <v>-64.62</v>
      </c>
      <c r="I319" s="8">
        <f>IFERROR(H319/H444, "NA")</f>
        <v>-4.2953202147261293E-3</v>
      </c>
      <c r="J319" s="9"/>
      <c r="K319" s="7">
        <v>231.51</v>
      </c>
      <c r="L319" s="8">
        <f>IFERROR(K319/K444, "NA")</f>
        <v>2.0421349665002892E-3</v>
      </c>
      <c r="M319" s="9"/>
      <c r="N319" s="10">
        <f t="shared" si="77"/>
        <v>-65.110000000000014</v>
      </c>
      <c r="O319" s="8">
        <f>IFERROR(N319/N444, "NA")</f>
        <v>-1.9621528411888764E-3</v>
      </c>
      <c r="P319" s="9"/>
      <c r="Q319" s="7">
        <v>788.32</v>
      </c>
      <c r="R319" s="8">
        <f>IFERROR(Q319/Q444, "NA")</f>
        <v>2.3436950687177566E-3</v>
      </c>
      <c r="S319" s="9"/>
      <c r="T319" s="7">
        <v>696</v>
      </c>
      <c r="U319" s="8">
        <f>IFERROR(T319/T444, "NA")</f>
        <v>2.2611956474842768E-3</v>
      </c>
      <c r="V319" s="9"/>
      <c r="W319" s="10">
        <f t="shared" si="78"/>
        <v>-92.32000000000005</v>
      </c>
      <c r="X319" s="8">
        <f>IFERROR(W319/W444, "NA")</f>
        <v>-3.2329469228697754E-3</v>
      </c>
      <c r="Y319" s="9"/>
      <c r="Z319" s="7">
        <v>664.13</v>
      </c>
      <c r="AA319" s="8">
        <f>IFERROR(Z319/Z444, "NA")</f>
        <v>2.4373987315015537E-3</v>
      </c>
      <c r="AB319" s="9"/>
      <c r="AC319" s="10">
        <f t="shared" si="79"/>
        <v>-124.19000000000005</v>
      </c>
      <c r="AD319" s="8">
        <f>IFERROR(AC319/AC444, "NA")</f>
        <v>-1.9440275354070046E-3</v>
      </c>
    </row>
    <row r="320" spans="1:30" ht="16.5" customHeight="1" x14ac:dyDescent="0.45">
      <c r="A320" s="6" t="s">
        <v>292</v>
      </c>
      <c r="B320" s="7">
        <v>1081.07</v>
      </c>
      <c r="C320" s="8">
        <f>IFERROR(B320/B444, "NA")</f>
        <v>7.3768203650382098E-3</v>
      </c>
      <c r="D320" s="9"/>
      <c r="E320" s="7">
        <v>905</v>
      </c>
      <c r="F320" s="8">
        <f>IFERROR(E320/E444, "NA")</f>
        <v>6.8818513868375356E-3</v>
      </c>
      <c r="G320" s="9"/>
      <c r="H320" s="10">
        <f t="shared" si="76"/>
        <v>-176.06999999999994</v>
      </c>
      <c r="I320" s="8">
        <f>IFERROR(H320/H444, "NA")</f>
        <v>-1.1703451411433445E-2</v>
      </c>
      <c r="J320" s="9"/>
      <c r="K320" s="7">
        <v>929.4</v>
      </c>
      <c r="L320" s="8">
        <f>IFERROR(K320/K444, "NA")</f>
        <v>8.1981782120226724E-3</v>
      </c>
      <c r="M320" s="9"/>
      <c r="N320" s="10">
        <f t="shared" si="77"/>
        <v>-151.66999999999996</v>
      </c>
      <c r="O320" s="8">
        <f>IFERROR(N320/N444, "NA")</f>
        <v>-4.5707221843513546E-3</v>
      </c>
      <c r="P320" s="9"/>
      <c r="Q320" s="7">
        <v>3243.21</v>
      </c>
      <c r="R320" s="8">
        <f>IFERROR(Q320/Q444, "NA")</f>
        <v>9.642144413202906E-3</v>
      </c>
      <c r="S320" s="9"/>
      <c r="T320" s="7">
        <v>2715</v>
      </c>
      <c r="U320" s="8">
        <f>IFERROR(T320/T444, "NA")</f>
        <v>8.8206123317813388E-3</v>
      </c>
      <c r="V320" s="9"/>
      <c r="W320" s="10">
        <f t="shared" si="78"/>
        <v>-528.21</v>
      </c>
      <c r="X320" s="8">
        <f>IFERROR(W320/W444, "NA")</f>
        <v>-1.8497345040392583E-2</v>
      </c>
      <c r="Y320" s="9"/>
      <c r="Z320" s="7">
        <v>2836.52</v>
      </c>
      <c r="AA320" s="8">
        <f>IFERROR(Z320/Z444, "NA")</f>
        <v>1.0410206209445121E-2</v>
      </c>
      <c r="AB320" s="9"/>
      <c r="AC320" s="10">
        <f t="shared" si="79"/>
        <v>-406.69000000000005</v>
      </c>
      <c r="AD320" s="8">
        <f>IFERROR(AC320/AC444, "NA")</f>
        <v>-6.3661853480527775E-3</v>
      </c>
    </row>
    <row r="321" spans="1:30" ht="16.5" customHeight="1" x14ac:dyDescent="0.45">
      <c r="A321" s="6" t="s">
        <v>293</v>
      </c>
      <c r="B321" s="7">
        <v>4109.38</v>
      </c>
      <c r="C321" s="8">
        <f>IFERROR(B321/B444, "NA")</f>
        <v>2.8040883635361929E-2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-4109.38</v>
      </c>
      <c r="I321" s="8">
        <f>IFERROR(H321/H444, "NA")</f>
        <v>-0.27315232101503034</v>
      </c>
      <c r="J321" s="9"/>
      <c r="K321" s="7">
        <v>3570.39</v>
      </c>
      <c r="L321" s="8">
        <f>IFERROR(K321/K444, "NA")</f>
        <v>3.1494182813023054E-2</v>
      </c>
      <c r="M321" s="9"/>
      <c r="N321" s="10">
        <f t="shared" si="77"/>
        <v>-538.99000000000024</v>
      </c>
      <c r="O321" s="8">
        <f>IFERROR(N321/N444, "NA")</f>
        <v>-1.6242985100174974E-2</v>
      </c>
      <c r="P321" s="9"/>
      <c r="Q321" s="7">
        <v>10705.12</v>
      </c>
      <c r="R321" s="8">
        <f>IFERROR(Q321/Q444, "NA")</f>
        <v>3.1826589397746893E-2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-10705.12</v>
      </c>
      <c r="X321" s="8">
        <f>IFERROR(W321/W444, "NA")</f>
        <v>-0.37488176736299472</v>
      </c>
      <c r="Y321" s="9"/>
      <c r="Z321" s="7">
        <v>8599.7999999999993</v>
      </c>
      <c r="AA321" s="8">
        <f>IFERROR(Z321/Z444, "NA")</f>
        <v>3.1561805085099398E-2</v>
      </c>
      <c r="AB321" s="9"/>
      <c r="AC321" s="10">
        <f t="shared" si="79"/>
        <v>-2105.3200000000015</v>
      </c>
      <c r="AD321" s="8">
        <f>IFERROR(AC321/AC444, "NA")</f>
        <v>-3.2955954995112939E-2</v>
      </c>
    </row>
    <row r="322" spans="1:30" ht="16.5" customHeight="1" x14ac:dyDescent="0.45">
      <c r="A322" s="6" t="s">
        <v>294</v>
      </c>
      <c r="B322" s="7">
        <v>769.2</v>
      </c>
      <c r="C322" s="8">
        <f>IFERROR(B322/B444, "NA")</f>
        <v>5.2487352574647258E-3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-769.2</v>
      </c>
      <c r="I322" s="8">
        <f>IFERROR(H322/H444, "NA")</f>
        <v>-5.112906699423303E-2</v>
      </c>
      <c r="J322" s="9"/>
      <c r="K322" s="7">
        <v>352.08</v>
      </c>
      <c r="L322" s="8">
        <f>IFERROR(K322/K444, "NA")</f>
        <v>3.1056752581116228E-3</v>
      </c>
      <c r="M322" s="9"/>
      <c r="N322" s="10">
        <f t="shared" si="77"/>
        <v>-417.12000000000006</v>
      </c>
      <c r="O322" s="8">
        <f>IFERROR(N322/N444, "NA")</f>
        <v>-1.2570314746071325E-2</v>
      </c>
      <c r="P322" s="9"/>
      <c r="Q322" s="7">
        <v>1307.5999999999999</v>
      </c>
      <c r="R322" s="8">
        <f>IFERROR(Q322/Q444, "NA")</f>
        <v>3.8875274911905552E-3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-1307.5999999999999</v>
      </c>
      <c r="X322" s="8">
        <f>IFERROR(W322/W444, "NA")</f>
        <v>-4.5790743027995191E-2</v>
      </c>
      <c r="Y322" s="9"/>
      <c r="Z322" s="7">
        <v>812.49</v>
      </c>
      <c r="AA322" s="8">
        <f>IFERROR(Z322/Z444, "NA")</f>
        <v>2.981889231562642E-3</v>
      </c>
      <c r="AB322" s="9"/>
      <c r="AC322" s="10">
        <f t="shared" si="79"/>
        <v>-495.1099999999999</v>
      </c>
      <c r="AD322" s="8">
        <f>IFERROR(AC322/AC444, "NA")</f>
        <v>-7.7502816092709674E-3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7364.71</v>
      </c>
      <c r="C324" s="15">
        <f>IFERROR(B324/B444, "NA")</f>
        <v>5.0254047111288405E-2</v>
      </c>
      <c r="D324" s="2"/>
      <c r="E324" s="14">
        <f>IFERROR(E297+E298+E299+E300+E301+E302+E303+E304+E305+E306+E307+E308+E309+E310+E311+E312+E313+E314+E315+E316+E317+E318+E319+E320+E321+E322+E323, "NA")</f>
        <v>3315.5699999999997</v>
      </c>
      <c r="F324" s="15">
        <f>IFERROR(E324/E444, "NA")</f>
        <v>2.5212441991886107E-2</v>
      </c>
      <c r="G324" s="2"/>
      <c r="H324" s="14">
        <f t="shared" si="76"/>
        <v>-4049.1400000000003</v>
      </c>
      <c r="I324" s="15">
        <f>IFERROR(H324/H444, "NA")</f>
        <v>-0.26914814135339149</v>
      </c>
      <c r="J324" s="2"/>
      <c r="K324" s="14">
        <f>IFERROR(K297+K298+K299+K300+K301+K302+K303+K304+K305+K306+K307+K308+K309+K310+K311+K312+K313+K314+K315+K316+K317+K318+K319+K320+K321+K322+K323, "NA")</f>
        <v>5295.7199999999993</v>
      </c>
      <c r="L324" s="15">
        <f>IFERROR(K324/K444, "NA")</f>
        <v>4.6713208866981597E-2</v>
      </c>
      <c r="M324" s="2"/>
      <c r="N324" s="14">
        <f t="shared" si="77"/>
        <v>-2068.9900000000007</v>
      </c>
      <c r="O324" s="15">
        <f>IFERROR(N324/N444, "NA")</f>
        <v>-6.2351015310879644E-2</v>
      </c>
      <c r="P324" s="2"/>
      <c r="Q324" s="14">
        <f>IFERROR(Q297+Q298+Q299+Q300+Q301+Q302+Q303+Q304+Q305+Q306+Q307+Q308+Q309+Q310+Q311+Q312+Q313+Q314+Q315+Q316+Q317+Q318+Q319+Q320+Q321+Q322+Q323, "NA")</f>
        <v>18623.010000000002</v>
      </c>
      <c r="R324" s="15">
        <f>IFERROR(Q324/Q444, "NA")</f>
        <v>5.5366674322206051E-2</v>
      </c>
      <c r="S324" s="2"/>
      <c r="T324" s="14">
        <f>IFERROR(T297+T298+T299+T300+T301+T302+T303+T304+T305+T306+T307+T308+T309+T310+T311+T312+T313+T314+T315+T316+T317+T318+T319+T320+T321+T322+T323, "NA")</f>
        <v>8819.43</v>
      </c>
      <c r="U324" s="15">
        <f>IFERROR(T324/T444, "NA")</f>
        <v>2.8652955070822207E-2</v>
      </c>
      <c r="V324" s="2"/>
      <c r="W324" s="14">
        <f t="shared" si="78"/>
        <v>-9803.5800000000017</v>
      </c>
      <c r="X324" s="15">
        <f>IFERROR(W324/W444, "NA")</f>
        <v>-0.34331080799510033</v>
      </c>
      <c r="Y324" s="2"/>
      <c r="Z324" s="14">
        <f>IFERROR(Z297+Z298+Z299+Z300+Z301+Z302+Z303+Z304+Z305+Z306+Z307+Z308+Z309+Z310+Z311+Z312+Z313+Z314+Z315+Z316+Z317+Z318+Z319+Z320+Z321+Z322+Z323, "NA")</f>
        <v>13530.409999999998</v>
      </c>
      <c r="AA324" s="15">
        <f>IFERROR(Z324/Z444, "NA")</f>
        <v>4.9657452864192153E-2</v>
      </c>
      <c r="AB324" s="2"/>
      <c r="AC324" s="14">
        <f t="shared" si="79"/>
        <v>-5092.600000000004</v>
      </c>
      <c r="AD324" s="15">
        <f>IFERROR(AC324/AC444, "NA")</f>
        <v>-7.9717808413026128E-2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32284.500000000011</v>
      </c>
      <c r="C325" s="15">
        <f>IFERROR(B325/B444, "NA")</f>
        <v>0.22029744334323972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24893.410000000003</v>
      </c>
      <c r="F325" s="15">
        <f>IFERROR(E325/E444, "NA")</f>
        <v>0.18929585428907778</v>
      </c>
      <c r="G325" s="2"/>
      <c r="H325" s="14">
        <f t="shared" si="76"/>
        <v>-7391.0900000000074</v>
      </c>
      <c r="I325" s="15">
        <f>IFERROR(H325/H444, "NA")</f>
        <v>-0.49128904806345058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20825.260000000002</v>
      </c>
      <c r="L325" s="15">
        <f>IFERROR(K325/K444, "NA")</f>
        <v>0.18369829222262457</v>
      </c>
      <c r="M325" s="2"/>
      <c r="N325" s="14">
        <f t="shared" si="77"/>
        <v>-11459.240000000009</v>
      </c>
      <c r="O325" s="15">
        <f>IFERROR(N325/N444, "NA")</f>
        <v>-0.34533528373314748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83345.260000000024</v>
      </c>
      <c r="R325" s="15">
        <f>IFERROR(Q325/Q444, "NA")</f>
        <v>0.24778754168738501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60347.27</v>
      </c>
      <c r="U325" s="15">
        <f>IFERROR(T325/T444, "NA")</f>
        <v>0.19605888543327366</v>
      </c>
      <c r="V325" s="2"/>
      <c r="W325" s="14">
        <f t="shared" si="78"/>
        <v>-22997.990000000027</v>
      </c>
      <c r="X325" s="15">
        <f>IFERROR(W325/W444, "NA")</f>
        <v>-0.80536482888528937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50419.329999999994</v>
      </c>
      <c r="AA325" s="15">
        <f>IFERROR(Z325/Z444, "NA")</f>
        <v>0.18504210167460922</v>
      </c>
      <c r="AB325" s="2"/>
      <c r="AC325" s="14">
        <f t="shared" si="79"/>
        <v>-32925.930000000029</v>
      </c>
      <c r="AD325" s="15">
        <f>IFERROR(AC325/AC444, "NA")</f>
        <v>-0.51541118084293081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19569.79</v>
      </c>
      <c r="C329" s="8">
        <f>IFERROR(B329/B444, "NA")</f>
        <v>0.13353698225972521</v>
      </c>
      <c r="D329" s="9"/>
      <c r="E329" s="7">
        <v>22583</v>
      </c>
      <c r="F329" s="8">
        <f>IFERROR(E329/E444, "NA")</f>
        <v>0.17172690593254372</v>
      </c>
      <c r="G329" s="9"/>
      <c r="H329" s="10">
        <f t="shared" si="80"/>
        <v>3013.2099999999991</v>
      </c>
      <c r="I329" s="8">
        <f>IFERROR(H329/H444, "NA")</f>
        <v>0.20028941232149358</v>
      </c>
      <c r="J329" s="9"/>
      <c r="K329" s="7">
        <v>19092.48</v>
      </c>
      <c r="L329" s="8">
        <f>IFERROR(K329/K444, "NA")</f>
        <v>0.16841355019311235</v>
      </c>
      <c r="M329" s="9"/>
      <c r="N329" s="10">
        <f t="shared" si="81"/>
        <v>-477.31000000000131</v>
      </c>
      <c r="O329" s="8">
        <f>IFERROR(N329/N444, "NA")</f>
        <v>-1.4384198627366993E-2</v>
      </c>
      <c r="P329" s="9"/>
      <c r="Q329" s="7">
        <v>58709.37</v>
      </c>
      <c r="R329" s="8">
        <f>IFERROR(Q329/Q444, "NA")</f>
        <v>0.17454442479770424</v>
      </c>
      <c r="S329" s="9"/>
      <c r="T329" s="7">
        <v>58707</v>
      </c>
      <c r="U329" s="8">
        <f>IFERROR(T329/T444, "NA")</f>
        <v>0.19072990355870609</v>
      </c>
      <c r="V329" s="9"/>
      <c r="W329" s="10">
        <f t="shared" si="82"/>
        <v>-2.3700000000026193</v>
      </c>
      <c r="X329" s="8">
        <f>IFERROR(W329/W444, "NA")</f>
        <v>-8.2994846265271142E-5</v>
      </c>
      <c r="Y329" s="9"/>
      <c r="Z329" s="7">
        <v>57277.440000000002</v>
      </c>
      <c r="AA329" s="8">
        <f>IFERROR(Z329/Z444, "NA")</f>
        <v>0.21021179528052697</v>
      </c>
      <c r="AB329" s="9"/>
      <c r="AC329" s="10">
        <f t="shared" si="83"/>
        <v>-1431.9300000000003</v>
      </c>
      <c r="AD329" s="8">
        <f>IFERROR(AC329/AC444, "NA")</f>
        <v>-2.2414939598803054E-2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4.4934277878225385E-3</v>
      </c>
      <c r="D330" s="9"/>
      <c r="E330" s="7">
        <v>659</v>
      </c>
      <c r="F330" s="8">
        <f>IFERROR(E330/E444, "NA")</f>
        <v>5.0112044905258959E-3</v>
      </c>
      <c r="G330" s="9"/>
      <c r="H330" s="10">
        <f t="shared" si="80"/>
        <v>0.49000000000000909</v>
      </c>
      <c r="I330" s="8">
        <f>IFERROR(H330/H444, "NA")</f>
        <v>3.2570518496066884E-5</v>
      </c>
      <c r="J330" s="9"/>
      <c r="K330" s="7">
        <v>658.51</v>
      </c>
      <c r="L330" s="8">
        <f>IFERROR(K330/K444, "NA")</f>
        <v>5.8086747734011727E-3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1975.53</v>
      </c>
      <c r="R330" s="8">
        <f>IFERROR(Q330/Q444, "NA")</f>
        <v>5.8733000800486983E-3</v>
      </c>
      <c r="S330" s="9"/>
      <c r="T330" s="7">
        <v>1977</v>
      </c>
      <c r="U330" s="8">
        <f>IFERROR(T330/T444, "NA")</f>
        <v>6.4229652228109417E-3</v>
      </c>
      <c r="V330" s="9"/>
      <c r="W330" s="10">
        <f t="shared" si="82"/>
        <v>1.4700000000000273</v>
      </c>
      <c r="X330" s="8">
        <f>IFERROR(W330/W444, "NA")</f>
        <v>5.1477816037897048E-5</v>
      </c>
      <c r="Y330" s="9"/>
      <c r="Z330" s="7">
        <v>2027.27</v>
      </c>
      <c r="AA330" s="8">
        <f>IFERROR(Z330/Z444, "NA")</f>
        <v>7.4402079809843778E-3</v>
      </c>
      <c r="AB330" s="9"/>
      <c r="AC330" s="10">
        <f t="shared" si="83"/>
        <v>51.740000000000009</v>
      </c>
      <c r="AD330" s="8">
        <f>IFERROR(AC330/AC444, "NA")</f>
        <v>8.099201600930702E-4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5.8405485815415789E-3</v>
      </c>
      <c r="D333" s="9"/>
      <c r="E333" s="7">
        <v>761</v>
      </c>
      <c r="F333" s="8">
        <f>IFERROR(E333/E444, "NA")</f>
        <v>5.7868385694843805E-3</v>
      </c>
      <c r="G333" s="9"/>
      <c r="H333" s="10">
        <f t="shared" si="80"/>
        <v>-94.92999999999995</v>
      </c>
      <c r="I333" s="8">
        <f>IFERROR(H333/H444, "NA")</f>
        <v>-6.3100394302685109E-3</v>
      </c>
      <c r="J333" s="9"/>
      <c r="K333" s="7">
        <v>760.64</v>
      </c>
      <c r="L333" s="8">
        <f>IFERROR(K333/K444, "NA")</f>
        <v>6.7095569993468095E-3</v>
      </c>
      <c r="M333" s="9"/>
      <c r="N333" s="10">
        <f t="shared" si="81"/>
        <v>-95.289999999999964</v>
      </c>
      <c r="O333" s="8">
        <f>IFERROR(N333/N444, "NA")</f>
        <v>-2.8716563390706177E-3</v>
      </c>
      <c r="P333" s="9"/>
      <c r="Q333" s="7">
        <v>2472.5</v>
      </c>
      <c r="R333" s="8">
        <f>IFERROR(Q333/Q444, "NA")</f>
        <v>7.3508043147511842E-3</v>
      </c>
      <c r="S333" s="9"/>
      <c r="T333" s="7">
        <v>2283</v>
      </c>
      <c r="U333" s="8">
        <f>IFERROR(T333/T444, "NA")</f>
        <v>7.4171115850669598E-3</v>
      </c>
      <c r="V333" s="9"/>
      <c r="W333" s="10">
        <f t="shared" si="82"/>
        <v>-189.5</v>
      </c>
      <c r="X333" s="8">
        <f>IFERROR(W333/W444, "NA")</f>
        <v>-6.6360858089668778E-3</v>
      </c>
      <c r="Y333" s="9"/>
      <c r="Z333" s="7">
        <v>2125.5</v>
      </c>
      <c r="AA333" s="8">
        <f>IFERROR(Z333/Z444, "NA")</f>
        <v>7.8007182386077316E-3</v>
      </c>
      <c r="AB333" s="9"/>
      <c r="AC333" s="10">
        <f t="shared" si="83"/>
        <v>-347</v>
      </c>
      <c r="AD333" s="8">
        <f>IFERROR(AC333/AC444, "NA")</f>
        <v>-5.4318186229666658E-3</v>
      </c>
    </row>
    <row r="334" spans="1:30" ht="16.5" customHeight="1" x14ac:dyDescent="0.45">
      <c r="A334" s="6" t="s">
        <v>305</v>
      </c>
      <c r="B334" s="7">
        <v>3013.74</v>
      </c>
      <c r="C334" s="8">
        <f>IFERROR(B334/B444, "NA")</f>
        <v>2.0564642999001223E-2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-3013.74</v>
      </c>
      <c r="I334" s="8">
        <f>IFERROR(H334/H444, "NA")</f>
        <v>-0.2003246416578261</v>
      </c>
      <c r="J334" s="9"/>
      <c r="K334" s="7">
        <v>2940.24</v>
      </c>
      <c r="L334" s="8">
        <f>IFERROR(K334/K444, "NA")</f>
        <v>2.5935669793541574E-2</v>
      </c>
      <c r="M334" s="9"/>
      <c r="N334" s="10">
        <f t="shared" si="81"/>
        <v>-73.5</v>
      </c>
      <c r="O334" s="8">
        <f>IFERROR(N334/N444, "NA")</f>
        <v>-2.2149936081613019E-3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5176.8599999999997</v>
      </c>
      <c r="F337" s="8">
        <f>IFERROR(E337/E444, "NA")</f>
        <v>3.9366167039186474E-2</v>
      </c>
      <c r="G337" s="9"/>
      <c r="H337" s="10">
        <f t="shared" ref="H337:H344" si="84">IFERROR(-(B337-E337), "NA")</f>
        <v>5176.8599999999997</v>
      </c>
      <c r="I337" s="8">
        <f>IFERROR(H337/H444, "NA")</f>
        <v>0.34410819261539932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15530.58</v>
      </c>
      <c r="U337" s="8">
        <f>IFERROR(T337/T444, "NA")</f>
        <v>5.0456436636359715E-2</v>
      </c>
      <c r="V337" s="9"/>
      <c r="W337" s="10">
        <f t="shared" ref="W337:W344" si="86">IFERROR(-(Q337-T337), "NA")</f>
        <v>15530.58</v>
      </c>
      <c r="X337" s="8">
        <f>IFERROR(W337/W444, "NA")</f>
        <v>0.54386417700804646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1853.93</v>
      </c>
      <c r="C338" s="8">
        <f>IFERROR(B338/B444, "NA")</f>
        <v>1.2650530103837206E-2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-1853.93</v>
      </c>
      <c r="I338" s="8">
        <f>IFERROR(H338/H444, "NA")</f>
        <v>-0.12323155378655544</v>
      </c>
      <c r="J338" s="9"/>
      <c r="K338" s="7">
        <v>1636.55</v>
      </c>
      <c r="L338" s="8">
        <f>IFERROR(K338/K444, "NA")</f>
        <v>1.443590332783054E-2</v>
      </c>
      <c r="M338" s="9"/>
      <c r="N338" s="10">
        <f t="shared" si="85"/>
        <v>-217.38000000000011</v>
      </c>
      <c r="O338" s="8">
        <f>IFERROR(N338/N444, "NA")</f>
        <v>-6.5509566060150213E-3</v>
      </c>
      <c r="P338" s="9"/>
      <c r="Q338" s="7">
        <v>5381.28</v>
      </c>
      <c r="R338" s="8">
        <f>IFERROR(Q338/Q444, "NA")</f>
        <v>1.5998679976899594E-2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-5381.28</v>
      </c>
      <c r="X338" s="8">
        <f>IFERROR(W338/W444, "NA")</f>
        <v>-0.18844662713497243</v>
      </c>
      <c r="Y338" s="9"/>
      <c r="Z338" s="7">
        <v>5017.04</v>
      </c>
      <c r="AA338" s="8">
        <f>IFERROR(Z338/Z444, "NA")</f>
        <v>1.841285129702401E-2</v>
      </c>
      <c r="AB338" s="9"/>
      <c r="AC338" s="10">
        <f t="shared" si="87"/>
        <v>-364.23999999999978</v>
      </c>
      <c r="AD338" s="8">
        <f>IFERROR(AC338/AC444, "NA")</f>
        <v>-5.7016876519578596E-3</v>
      </c>
    </row>
    <row r="339" spans="1:30" ht="16.5" customHeight="1" x14ac:dyDescent="0.45">
      <c r="A339" s="12" t="s">
        <v>309</v>
      </c>
      <c r="B339" s="7">
        <v>1218.93</v>
      </c>
      <c r="C339" s="8">
        <f>IFERROR(B339/B444, "NA")</f>
        <v>8.3175258286290674E-3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-1218.93</v>
      </c>
      <c r="I339" s="8">
        <f>IFERROR(H339/H444, "NA")</f>
        <v>-8.102282063348995E-2</v>
      </c>
      <c r="J339" s="9"/>
      <c r="K339" s="7">
        <v>1402.23</v>
      </c>
      <c r="L339" s="8">
        <f>IFERROR(K339/K444, "NA")</f>
        <v>1.2368981530282496E-2</v>
      </c>
      <c r="M339" s="9"/>
      <c r="N339" s="10">
        <f t="shared" si="85"/>
        <v>183.29999999999995</v>
      </c>
      <c r="O339" s="8">
        <f>IFERROR(N339/N444, "NA")</f>
        <v>5.5239228350471639E-3</v>
      </c>
      <c r="P339" s="9"/>
      <c r="Q339" s="7">
        <v>3739.83</v>
      </c>
      <c r="R339" s="8">
        <f>IFERROR(Q339/Q444, "NA")</f>
        <v>1.1118608089155074E-2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-3739.83</v>
      </c>
      <c r="X339" s="8">
        <f>IFERROR(W339/W444, "NA")</f>
        <v>-0.13096481683877886</v>
      </c>
      <c r="Y339" s="9"/>
      <c r="Z339" s="7">
        <v>3693.63</v>
      </c>
      <c r="AA339" s="8">
        <f>IFERROR(Z339/Z444, "NA")</f>
        <v>1.3555853638046896E-2</v>
      </c>
      <c r="AB339" s="9"/>
      <c r="AC339" s="10">
        <f t="shared" si="87"/>
        <v>-46.199999999999818</v>
      </c>
      <c r="AD339" s="8">
        <f>IFERROR(AC339/AC444, "NA")</f>
        <v>-7.2319890599728813E-4</v>
      </c>
    </row>
    <row r="340" spans="1:30" ht="16.5" customHeight="1" x14ac:dyDescent="0.45">
      <c r="A340" s="12" t="s">
        <v>310</v>
      </c>
      <c r="B340" s="7">
        <v>831.95</v>
      </c>
      <c r="C340" s="8">
        <f>IFERROR(B340/B444, "NA")</f>
        <v>5.6769179634006484E-3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-831.95</v>
      </c>
      <c r="I340" s="8">
        <f>IFERROR(H340/H444, "NA")</f>
        <v>-5.5300087475106827E-2</v>
      </c>
      <c r="J340" s="9"/>
      <c r="K340" s="7">
        <v>831.09</v>
      </c>
      <c r="L340" s="8">
        <f>IFERROR(K340/K444, "NA")</f>
        <v>7.3309919628038768E-3</v>
      </c>
      <c r="M340" s="9"/>
      <c r="N340" s="10">
        <f t="shared" si="85"/>
        <v>-0.86000000000001364</v>
      </c>
      <c r="O340" s="8">
        <f>IFERROR(N340/N444, "NA")</f>
        <v>-2.5916932013860542E-5</v>
      </c>
      <c r="P340" s="9"/>
      <c r="Q340" s="7">
        <v>2633.15</v>
      </c>
      <c r="R340" s="8">
        <f>IFERROR(Q340/Q444, "NA")</f>
        <v>7.8284207811474549E-3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-2633.15</v>
      </c>
      <c r="X340" s="8">
        <f>IFERROR(W340/W444, "NA")</f>
        <v>-9.221007571441231E-2</v>
      </c>
      <c r="Y340" s="9"/>
      <c r="Z340" s="7">
        <v>2602.2399999999998</v>
      </c>
      <c r="AA340" s="8">
        <f>IFERROR(Z340/Z444, "NA")</f>
        <v>9.5503839234225268E-3</v>
      </c>
      <c r="AB340" s="9"/>
      <c r="AC340" s="10">
        <f t="shared" si="87"/>
        <v>-30.910000000000309</v>
      </c>
      <c r="AD340" s="8">
        <f>IFERROR(AC340/AC444, "NA")</f>
        <v>-4.8385450615533523E-4</v>
      </c>
    </row>
    <row r="341" spans="1:30" ht="16.5" customHeight="1" x14ac:dyDescent="0.45">
      <c r="A341" s="12" t="s">
        <v>311</v>
      </c>
      <c r="B341" s="7">
        <v>1012.86</v>
      </c>
      <c r="C341" s="8">
        <f>IFERROR(B341/B444, "NA")</f>
        <v>6.9113806459642777E-3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-1012.86</v>
      </c>
      <c r="I341" s="8">
        <f>IFERROR(H341/H444, "NA")</f>
        <v>-6.7325255844746315E-2</v>
      </c>
      <c r="J341" s="9"/>
      <c r="K341" s="7">
        <v>957.58</v>
      </c>
      <c r="L341" s="8">
        <f>IFERROR(K341/K444, "NA")</f>
        <v>8.4467521974054983E-3</v>
      </c>
      <c r="M341" s="9"/>
      <c r="N341" s="10">
        <f t="shared" si="85"/>
        <v>-55.279999999999973</v>
      </c>
      <c r="O341" s="8">
        <f>IFERROR(N341/N444, "NA")</f>
        <v>-1.6659162810769622E-3</v>
      </c>
      <c r="P341" s="9"/>
      <c r="Q341" s="7">
        <v>3077.42</v>
      </c>
      <c r="R341" s="8">
        <f>IFERROR(Q341/Q444, "NA")</f>
        <v>9.1492465983019564E-3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-3077.42</v>
      </c>
      <c r="X341" s="8">
        <f>IFERROR(W341/W444, "NA")</f>
        <v>-0.1077679324022736</v>
      </c>
      <c r="Y341" s="9"/>
      <c r="Z341" s="7">
        <v>2872.74</v>
      </c>
      <c r="AA341" s="8">
        <f>IFERROR(Z341/Z444, "NA")</f>
        <v>1.054313587992377E-2</v>
      </c>
      <c r="AB341" s="9"/>
      <c r="AC341" s="10">
        <f t="shared" si="87"/>
        <v>-204.68000000000029</v>
      </c>
      <c r="AD341" s="8">
        <f>IFERROR(AC341/AC444, "NA")</f>
        <v>-3.2039903047516392E-3</v>
      </c>
    </row>
    <row r="342" spans="1:30" ht="16.5" customHeight="1" x14ac:dyDescent="0.45">
      <c r="A342" s="13" t="s">
        <v>312</v>
      </c>
      <c r="B342" s="14">
        <f>IFERROR(B337+B338+B339+B340+B341, "NA")</f>
        <v>4917.67</v>
      </c>
      <c r="C342" s="15">
        <f>IFERROR(B342/B444, "NA")</f>
        <v>3.3556354541831201E-2</v>
      </c>
      <c r="D342" s="2"/>
      <c r="E342" s="14">
        <f>IFERROR(E337+E338+E339+E340+E341, "NA")</f>
        <v>5176.8599999999997</v>
      </c>
      <c r="F342" s="15">
        <f>IFERROR(E342/E444, "NA")</f>
        <v>3.9366167039186474E-2</v>
      </c>
      <c r="G342" s="2"/>
      <c r="H342" s="14">
        <f t="shared" si="84"/>
        <v>259.1899999999996</v>
      </c>
      <c r="I342" s="15">
        <f>IFERROR(H342/H444, "NA")</f>
        <v>1.7228474875500829E-2</v>
      </c>
      <c r="J342" s="2"/>
      <c r="K342" s="14">
        <f>IFERROR(K337+K338+K339+K340+K341, "NA")</f>
        <v>4827.45</v>
      </c>
      <c r="L342" s="15">
        <f>IFERROR(K342/K444, "NA")</f>
        <v>4.258262901832241E-2</v>
      </c>
      <c r="M342" s="2"/>
      <c r="N342" s="14">
        <f t="shared" si="85"/>
        <v>-90.220000000000255</v>
      </c>
      <c r="O342" s="15">
        <f>IFERROR(N342/N444, "NA")</f>
        <v>-2.7188669840586834E-3</v>
      </c>
      <c r="P342" s="2"/>
      <c r="Q342" s="14">
        <f>IFERROR(Q337+Q338+Q339+Q340+Q341, "NA")</f>
        <v>14831.68</v>
      </c>
      <c r="R342" s="15">
        <f>IFERROR(Q342/Q444, "NA")</f>
        <v>4.4094955445504083E-2</v>
      </c>
      <c r="S342" s="2"/>
      <c r="T342" s="14">
        <f>IFERROR(T337+T338+T339+T340+T341, "NA")</f>
        <v>15530.58</v>
      </c>
      <c r="U342" s="15">
        <f>IFERROR(T342/T444, "NA")</f>
        <v>5.0456436636359715E-2</v>
      </c>
      <c r="V342" s="2"/>
      <c r="W342" s="14">
        <f t="shared" si="86"/>
        <v>698.89999999999964</v>
      </c>
      <c r="X342" s="15">
        <f>IFERROR(W342/W444, "NA")</f>
        <v>2.4474724917609225E-2</v>
      </c>
      <c r="Y342" s="2"/>
      <c r="Z342" s="14">
        <f>IFERROR(Z337+Z338+Z339+Z340+Z341, "NA")</f>
        <v>14185.65</v>
      </c>
      <c r="AA342" s="15">
        <f>IFERROR(Z342/Z444, "NA")</f>
        <v>5.2062224738417207E-2</v>
      </c>
      <c r="AB342" s="2"/>
      <c r="AC342" s="14">
        <f t="shared" si="87"/>
        <v>-646.03000000000065</v>
      </c>
      <c r="AD342" s="15">
        <f>IFERROR(AC342/AC444, "NA")</f>
        <v>-1.011273136886213E-2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29015.640000000003</v>
      </c>
      <c r="C343" s="15">
        <f>IFERROR(B343/B444, "NA")</f>
        <v>0.19799195616992177</v>
      </c>
      <c r="D343" s="2"/>
      <c r="E343" s="14">
        <f>IFERROR(E328+E329+E330+E331+E332+E333+E334+E335+E337+E338+E339+E340+E341, "NA")</f>
        <v>29179.86</v>
      </c>
      <c r="F343" s="15">
        <f>IFERROR(E343/E444, "NA")</f>
        <v>0.22189111603174047</v>
      </c>
      <c r="G343" s="2"/>
      <c r="H343" s="14">
        <f t="shared" si="84"/>
        <v>164.21999999999753</v>
      </c>
      <c r="I343" s="15">
        <f>IFERROR(H343/H444, "NA")</f>
        <v>1.0915776627395764E-2</v>
      </c>
      <c r="J343" s="2"/>
      <c r="K343" s="14">
        <f>IFERROR(K328+K329+K330+K331+K332+K333+K334+K335+K337+K338+K339+K340+K341, "NA")</f>
        <v>28279.319999999996</v>
      </c>
      <c r="L343" s="15">
        <f>IFERROR(K343/K444, "NA")</f>
        <v>0.24945008077772429</v>
      </c>
      <c r="M343" s="2"/>
      <c r="N343" s="14">
        <f t="shared" si="85"/>
        <v>-736.32000000000698</v>
      </c>
      <c r="O343" s="15">
        <f>IFERROR(N343/N444, "NA")</f>
        <v>-2.2189715558657761E-2</v>
      </c>
      <c r="P343" s="2"/>
      <c r="Q343" s="14">
        <f>IFERROR(Q328+Q329+Q330+Q331+Q332+Q333+Q334+Q335+Q337+Q338+Q339+Q340+Q341, "NA")</f>
        <v>77989.08</v>
      </c>
      <c r="R343" s="15">
        <f>IFERROR(Q343/Q444, "NA")</f>
        <v>0.23186348463800821</v>
      </c>
      <c r="S343" s="2"/>
      <c r="T343" s="14">
        <f>IFERROR(T328+T329+T330+T331+T332+T333+T334+T335+T337+T338+T339+T340+T341, "NA")</f>
        <v>78497.58</v>
      </c>
      <c r="U343" s="15">
        <f>IFERROR(T343/T444, "NA")</f>
        <v>0.25502641700294371</v>
      </c>
      <c r="V343" s="2"/>
      <c r="W343" s="14">
        <f t="shared" si="86"/>
        <v>508.5</v>
      </c>
      <c r="X343" s="15">
        <f>IFERROR(W343/W444, "NA")</f>
        <v>1.7807122078415078E-2</v>
      </c>
      <c r="Y343" s="2"/>
      <c r="Z343" s="14">
        <f>IFERROR(Z328+Z329+Z330+Z331+Z332+Z333+Z334+Z335+Z337+Z338+Z339+Z340+Z341, "NA")</f>
        <v>75615.860000000015</v>
      </c>
      <c r="AA343" s="15">
        <f>IFERROR(Z343/Z444, "NA")</f>
        <v>0.27751494623853634</v>
      </c>
      <c r="AB343" s="2"/>
      <c r="AC343" s="14">
        <f t="shared" si="87"/>
        <v>-2373.2199999999866</v>
      </c>
      <c r="AD343" s="15">
        <f>IFERROR(AC343/AC444, "NA")</f>
        <v>-3.7149569430538557E-2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29015.640000000003</v>
      </c>
      <c r="C344" s="15">
        <f>IFERROR(B344/B444, "NA")</f>
        <v>0.19799195616992177</v>
      </c>
      <c r="D344" s="2"/>
      <c r="E344" s="14">
        <f>IFERROR(E328+E329+E330+E331+E332+E333+E334+E335+E337+E338+E339+E340+E341, "NA")</f>
        <v>29179.86</v>
      </c>
      <c r="F344" s="15">
        <f>IFERROR(E344/E444, "NA")</f>
        <v>0.22189111603174047</v>
      </c>
      <c r="G344" s="2"/>
      <c r="H344" s="14">
        <f t="shared" si="84"/>
        <v>164.21999999999753</v>
      </c>
      <c r="I344" s="15">
        <f>IFERROR(H344/H444, "NA")</f>
        <v>1.0915776627395764E-2</v>
      </c>
      <c r="J344" s="2"/>
      <c r="K344" s="14">
        <f>IFERROR(K328+K329+K330+K331+K332+K333+K334+K335+K337+K338+K339+K340+K341, "NA")</f>
        <v>28279.319999999996</v>
      </c>
      <c r="L344" s="15">
        <f>IFERROR(K344/K444, "NA")</f>
        <v>0.24945008077772429</v>
      </c>
      <c r="M344" s="2"/>
      <c r="N344" s="14">
        <f t="shared" si="85"/>
        <v>-736.32000000000698</v>
      </c>
      <c r="O344" s="15">
        <f>IFERROR(N344/N444, "NA")</f>
        <v>-2.2189715558657761E-2</v>
      </c>
      <c r="P344" s="2"/>
      <c r="Q344" s="14">
        <f>IFERROR(Q328+Q329+Q330+Q331+Q332+Q333+Q334+Q335+Q337+Q338+Q339+Q340+Q341, "NA")</f>
        <v>77989.08</v>
      </c>
      <c r="R344" s="15">
        <f>IFERROR(Q344/Q444, "NA")</f>
        <v>0.23186348463800821</v>
      </c>
      <c r="S344" s="2"/>
      <c r="T344" s="14">
        <f>IFERROR(T328+T329+T330+T331+T332+T333+T334+T335+T337+T338+T339+T340+T341, "NA")</f>
        <v>78497.58</v>
      </c>
      <c r="U344" s="15">
        <f>IFERROR(T344/T444, "NA")</f>
        <v>0.25502641700294371</v>
      </c>
      <c r="V344" s="2"/>
      <c r="W344" s="14">
        <f t="shared" si="86"/>
        <v>508.5</v>
      </c>
      <c r="X344" s="15">
        <f>IFERROR(W344/W444, "NA")</f>
        <v>1.7807122078415078E-2</v>
      </c>
      <c r="Y344" s="2"/>
      <c r="Z344" s="14">
        <f>IFERROR(Z328+Z329+Z330+Z331+Z332+Z333+Z334+Z335+Z337+Z338+Z339+Z340+Z341, "NA")</f>
        <v>75615.860000000015</v>
      </c>
      <c r="AA344" s="15">
        <f>IFERROR(Z344/Z444, "NA")</f>
        <v>0.27751494623853634</v>
      </c>
      <c r="AB344" s="2"/>
      <c r="AC344" s="14">
        <f t="shared" si="87"/>
        <v>-2373.2199999999866</v>
      </c>
      <c r="AD344" s="15">
        <f>IFERROR(AC344/AC444, "NA")</f>
        <v>-3.7149569430538557E-2</v>
      </c>
    </row>
    <row r="345" spans="1:30" ht="16.5" customHeight="1" x14ac:dyDescent="0.45">
      <c r="A345" s="22" t="s">
        <v>315</v>
      </c>
      <c r="B345" s="23">
        <f>IFERROR(B198-B325-B344, "NA")</f>
        <v>3819.8999999999469</v>
      </c>
      <c r="C345" s="24">
        <f>IFERROR(B345/B444, "NA")</f>
        <v>2.6065579576169041E-2</v>
      </c>
      <c r="D345" s="25"/>
      <c r="E345" s="23">
        <f>IFERROR(E198-E325-E344, "NA")</f>
        <v>5032.9099999999598</v>
      </c>
      <c r="F345" s="24">
        <f>IFERROR(E345/E444, "NA")</f>
        <v>3.8271534434616825E-2</v>
      </c>
      <c r="G345" s="25"/>
      <c r="H345" s="23">
        <f>IFERROR(B345-E345, "NA")</f>
        <v>-1213.010000000013</v>
      </c>
      <c r="I345" s="24">
        <f>IFERROR(H345/H444, "NA")</f>
        <v>-8.0629315593701595E-2</v>
      </c>
      <c r="J345" s="25"/>
      <c r="K345" s="23">
        <f>IFERROR(K198-K325-K344, "NA")</f>
        <v>-7042.069999999967</v>
      </c>
      <c r="L345" s="24">
        <f>IFERROR(K345/K444, "NA")</f>
        <v>-6.2117651002300656E-2</v>
      </c>
      <c r="M345" s="25"/>
      <c r="N345" s="23">
        <f>IFERROR(B345-K345, "NA")</f>
        <v>10861.969999999914</v>
      </c>
      <c r="O345" s="24">
        <f>IFERROR(N345/N444, "NA")</f>
        <v>0.32733597444951873</v>
      </c>
      <c r="P345" s="25"/>
      <c r="Q345" s="23">
        <f>IFERROR(Q198-Q325-Q344, "NA")</f>
        <v>-17622.379999999946</v>
      </c>
      <c r="R345" s="24">
        <f>IFERROR(Q345/Q444, "NA")</f>
        <v>-5.239177631554482E-2</v>
      </c>
      <c r="S345" s="25"/>
      <c r="T345" s="23">
        <f>IFERROR(T198-T325-T344, "NA")</f>
        <v>-10780.989999999947</v>
      </c>
      <c r="U345" s="24">
        <f>IFERROR(T345/T444, "NA")</f>
        <v>-3.5025758137315219E-2</v>
      </c>
      <c r="V345" s="25"/>
      <c r="W345" s="23">
        <f>IFERROR(Q345-T345, "NA")</f>
        <v>-6841.3899999999994</v>
      </c>
      <c r="X345" s="24">
        <f>IFERROR(W345/W444, "NA")</f>
        <v>-0.23957810602959315</v>
      </c>
      <c r="Y345" s="25"/>
      <c r="Z345" s="23">
        <f>IFERROR(Z198-Z325-Z344, "NA")</f>
        <v>-34991.69999999999</v>
      </c>
      <c r="AA345" s="24">
        <f>IFERROR(Z345/Z444, "NA")</f>
        <v>-0.12842173248171729</v>
      </c>
      <c r="AB345" s="25"/>
      <c r="AC345" s="23">
        <f>IFERROR(Q345-Z345, "NA")</f>
        <v>17369.320000000043</v>
      </c>
      <c r="AD345" s="24">
        <f>IFERROR(AC345/AC444, "NA")</f>
        <v>0.27189335978175105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3819.8999999999469</v>
      </c>
      <c r="C404" s="24">
        <f>IFERROR(B404/B444, "NA")</f>
        <v>2.6065579576169041E-2</v>
      </c>
      <c r="D404" s="25"/>
      <c r="E404" s="23">
        <f>IFERROR(E345-E403, "NA")</f>
        <v>5032.9099999999598</v>
      </c>
      <c r="F404" s="24">
        <f>IFERROR(E404/E444, "NA")</f>
        <v>3.8271534434616825E-2</v>
      </c>
      <c r="G404" s="25"/>
      <c r="H404" s="23">
        <f>IFERROR(B404-E404, "NA")</f>
        <v>-1213.010000000013</v>
      </c>
      <c r="I404" s="24">
        <f>IFERROR(H404/H444, "NA")</f>
        <v>-8.0629315593701595E-2</v>
      </c>
      <c r="J404" s="25"/>
      <c r="K404" s="23">
        <f>IFERROR(K345-K403, "NA")</f>
        <v>-7042.069999999967</v>
      </c>
      <c r="L404" s="24">
        <f>IFERROR(K404/K444, "NA")</f>
        <v>-6.2117651002300656E-2</v>
      </c>
      <c r="M404" s="25"/>
      <c r="N404" s="23">
        <f>IFERROR(B404-K404, "NA")</f>
        <v>10861.969999999914</v>
      </c>
      <c r="O404" s="24">
        <f>IFERROR(N404/N444, "NA")</f>
        <v>0.32733597444951873</v>
      </c>
      <c r="P404" s="25"/>
      <c r="Q404" s="23">
        <f>IFERROR(Q345-Q403, "NA")</f>
        <v>-17622.379999999946</v>
      </c>
      <c r="R404" s="24">
        <f>IFERROR(Q404/Q444, "NA")</f>
        <v>-5.239177631554482E-2</v>
      </c>
      <c r="S404" s="25"/>
      <c r="T404" s="23">
        <f>IFERROR(T345-T403, "NA")</f>
        <v>-10780.989999999947</v>
      </c>
      <c r="U404" s="24">
        <f>IFERROR(T404/T444, "NA")</f>
        <v>-3.5025758137315219E-2</v>
      </c>
      <c r="V404" s="25"/>
      <c r="W404" s="23">
        <f>IFERROR(Q404-T404, "NA")</f>
        <v>-6841.3899999999994</v>
      </c>
      <c r="X404" s="24">
        <f>IFERROR(W404/W444, "NA")</f>
        <v>-0.23957810602959315</v>
      </c>
      <c r="Y404" s="25"/>
      <c r="Z404" s="23">
        <f>IFERROR(Z345-Z403, "NA")</f>
        <v>-34991.69999999999</v>
      </c>
      <c r="AA404" s="24">
        <f>IFERROR(Z404/Z444, "NA")</f>
        <v>-0.12842173248171729</v>
      </c>
      <c r="AB404" s="25"/>
      <c r="AC404" s="23">
        <f>IFERROR(Q404-Z404, "NA")</f>
        <v>17369.320000000043</v>
      </c>
      <c r="AD404" s="24">
        <f>IFERROR(AC404/AC444, "NA")</f>
        <v>0.27189335978175105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9780.89</v>
      </c>
      <c r="C410" s="8">
        <f>IFERROR(B410/B444, "NA")</f>
        <v>6.6741162496599268E-2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-9780.89</v>
      </c>
      <c r="I410" s="8">
        <f>IFERROR(H410/H444, "NA")</f>
        <v>-0.65014011969997898</v>
      </c>
      <c r="J410" s="9"/>
      <c r="K410" s="7">
        <v>9542.9</v>
      </c>
      <c r="L410" s="8">
        <f>IFERROR(K410/K444, "NA")</f>
        <v>8.4177313169260984E-2</v>
      </c>
      <c r="M410" s="9"/>
      <c r="N410" s="10">
        <f t="shared" si="101"/>
        <v>-237.98999999999978</v>
      </c>
      <c r="O410" s="8">
        <f>IFERROR(N410/N444, "NA")</f>
        <v>-7.1720588953239151E-3</v>
      </c>
      <c r="P410" s="9"/>
      <c r="Q410" s="7">
        <v>29342.69</v>
      </c>
      <c r="R410" s="8">
        <f>IFERROR(Q410/Q444, "NA")</f>
        <v>8.7236550963966195E-2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-29342.69</v>
      </c>
      <c r="X410" s="8">
        <f>IFERROR(W410/W444, "NA")</f>
        <v>-1.0275493863108933</v>
      </c>
      <c r="Y410" s="9"/>
      <c r="Z410" s="7">
        <v>28628.69</v>
      </c>
      <c r="AA410" s="8">
        <f>IFERROR(Z410/Z444, "NA")</f>
        <v>0.10506908691152518</v>
      </c>
      <c r="AB410" s="9"/>
      <c r="AC410" s="10">
        <f t="shared" si="103"/>
        <v>-714</v>
      </c>
      <c r="AD410" s="8">
        <f>IFERROR(AC410/AC444, "NA")</f>
        <v>-1.1176710365412679E-2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398.66</v>
      </c>
      <c r="C416" s="8">
        <f>IFERROR(B416/B444, "NA")</f>
        <v>2.7203078493771293E-3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-398.66</v>
      </c>
      <c r="I416" s="8">
        <f>IFERROR(H416/H444, "NA")</f>
        <v>-2.6499107966615885E-2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-398.66</v>
      </c>
      <c r="O416" s="8">
        <f>IFERROR(N416/N444, "NA")</f>
        <v>-1.201400478679707E-2</v>
      </c>
      <c r="P416" s="9"/>
      <c r="Q416" s="7">
        <v>295.86</v>
      </c>
      <c r="R416" s="8">
        <f>IFERROR(Q416/Q444, "NA")</f>
        <v>8.7959917676937725E-4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-295.86</v>
      </c>
      <c r="X416" s="8">
        <f>IFERROR(W416/W444, "NA")</f>
        <v>-1.0360698403382272E-2</v>
      </c>
      <c r="Y416" s="9"/>
      <c r="Z416" s="7">
        <v>-48.11</v>
      </c>
      <c r="AA416" s="8">
        <f>IFERROR(Z416/Z444, "NA")</f>
        <v>-1.765667158124761E-4</v>
      </c>
      <c r="AB416" s="9"/>
      <c r="AC416" s="10">
        <f t="shared" si="103"/>
        <v>-343.97</v>
      </c>
      <c r="AD416" s="8">
        <f>IFERROR(AC416/AC444, "NA")</f>
        <v>-5.3843880453655459E-3</v>
      </c>
    </row>
    <row r="417" spans="1:30" ht="16.5" customHeight="1" x14ac:dyDescent="0.45">
      <c r="A417" s="6" t="s">
        <v>382</v>
      </c>
      <c r="B417" s="7">
        <v>-55.19</v>
      </c>
      <c r="C417" s="8">
        <f>IFERROR(B417/B444, "NA")</f>
        <v>-3.7659607236021606E-4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55.19</v>
      </c>
      <c r="I417" s="8">
        <f>IFERROR(H417/H444, "NA")</f>
        <v>3.6685039097916288E-3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55.19</v>
      </c>
      <c r="O417" s="8">
        <f>IFERROR(N417/N444, "NA")</f>
        <v>1.663204044005745E-3</v>
      </c>
      <c r="P417" s="9"/>
      <c r="Q417" s="7">
        <v>-21.33</v>
      </c>
      <c r="R417" s="8">
        <f>IFERROR(Q417/Q444, "NA")</f>
        <v>-6.341462326942072E-5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21.33</v>
      </c>
      <c r="X417" s="8">
        <f>IFERROR(W417/W444, "NA")</f>
        <v>7.4695361638661467E-4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21.33</v>
      </c>
      <c r="AD417" s="8">
        <f>IFERROR(AC417/AC444, "NA")</f>
        <v>3.3389248192472329E-4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8.9843134547691023E-5</v>
      </c>
      <c r="AB424" s="9"/>
      <c r="AC424" s="10">
        <f t="shared" si="103"/>
        <v>24.48</v>
      </c>
      <c r="AD424" s="8">
        <f>IFERROR(AC424/AC444, "NA")</f>
        <v>3.8320149824272042E-4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10124.359999999999</v>
      </c>
      <c r="C428" s="15">
        <f>IFERROR(B428/B444, "NA")</f>
        <v>6.9084874273616176E-2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-10124.359999999999</v>
      </c>
      <c r="I428" s="15">
        <f>IFERROR(H428/H444, "NA")</f>
        <v>-0.67297072375680322</v>
      </c>
      <c r="J428" s="2"/>
      <c r="K428" s="14">
        <f>IFERROR(K407+K408+K409+K410+K411+K412+K413+K414+K415+K416+K417+K418+K419+K420+K421+K422+K423+K424+K425+K426+K427, "NA")</f>
        <v>9542.9</v>
      </c>
      <c r="L428" s="15">
        <f>IFERROR(K428/K444, "NA")</f>
        <v>8.4177313169260984E-2</v>
      </c>
      <c r="M428" s="2"/>
      <c r="N428" s="14">
        <f t="shared" si="101"/>
        <v>-581.45999999999913</v>
      </c>
      <c r="O428" s="15">
        <f>IFERROR(N428/N444, "NA")</f>
        <v>-1.7522859638115222E-2</v>
      </c>
      <c r="P428" s="2"/>
      <c r="Q428" s="14">
        <f>IFERROR(Q407+Q408+Q409+Q410+Q411+Q412+Q413+Q414+Q415+Q416+Q417+Q418+Q419+Q420+Q421+Q422+Q423+Q424+Q425+Q426+Q427, "NA")</f>
        <v>29617.219999999998</v>
      </c>
      <c r="R428" s="15">
        <f>IFERROR(Q428/Q444, "NA")</f>
        <v>8.8052735517466146E-2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-29617.219999999998</v>
      </c>
      <c r="X428" s="15">
        <f>IFERROR(W428/W444, "NA")</f>
        <v>-1.037163131097889</v>
      </c>
      <c r="Y428" s="2"/>
      <c r="Z428" s="14">
        <f>IFERROR(Z407+Z408+Z409+Z410+Z411+Z412+Z413+Z414+Z415+Z416+Z417+Z418+Z419+Z420+Z421+Z422+Z423+Z424+Z425+Z426+Z427, "NA")</f>
        <v>28605.059999999998</v>
      </c>
      <c r="AA428" s="15">
        <f>IFERROR(Z428/Z444, "NA")</f>
        <v>0.1049823633302604</v>
      </c>
      <c r="AB428" s="2"/>
      <c r="AC428" s="14">
        <f t="shared" si="103"/>
        <v>-1012.1599999999999</v>
      </c>
      <c r="AD428" s="15">
        <f>IFERROR(AC428/AC444, "NA")</f>
        <v>-1.5844004430610778E-2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10124.359999999999</v>
      </c>
      <c r="C429" s="15">
        <f>IFERROR(B429/B444, "NA")</f>
        <v>6.9084874273616176E-2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-10124.359999999999</v>
      </c>
      <c r="I429" s="15">
        <f>IFERROR(H429/H444, "NA")</f>
        <v>-0.67297072375680322</v>
      </c>
      <c r="J429" s="2"/>
      <c r="K429" s="14">
        <f>IFERROR(K407+K408+K409+K410+K411+K412+K413+K414+K415+K416+K417+K418+K419+K420+K421+K422+K423+K424+K425+K426+K427, "NA")</f>
        <v>9542.9</v>
      </c>
      <c r="L429" s="15">
        <f>IFERROR(K429/K444, "NA")</f>
        <v>8.4177313169260984E-2</v>
      </c>
      <c r="M429" s="2"/>
      <c r="N429" s="14">
        <f t="shared" si="101"/>
        <v>-581.45999999999913</v>
      </c>
      <c r="O429" s="15">
        <f>IFERROR(N429/N444, "NA")</f>
        <v>-1.7522859638115222E-2</v>
      </c>
      <c r="P429" s="2"/>
      <c r="Q429" s="14">
        <f>IFERROR(Q407+Q408+Q409+Q410+Q411+Q412+Q413+Q414+Q415+Q416+Q417+Q418+Q419+Q420+Q421+Q422+Q423+Q424+Q425+Q426+Q427, "NA")</f>
        <v>29617.219999999998</v>
      </c>
      <c r="R429" s="15">
        <f>IFERROR(Q429/Q444, "NA")</f>
        <v>8.8052735517466146E-2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-29617.219999999998</v>
      </c>
      <c r="X429" s="15">
        <f>IFERROR(W429/W444, "NA")</f>
        <v>-1.037163131097889</v>
      </c>
      <c r="Y429" s="2"/>
      <c r="Z429" s="14">
        <f>IFERROR(Z407+Z408+Z409+Z410+Z411+Z412+Z413+Z414+Z415+Z416+Z417+Z418+Z419+Z420+Z421+Z422+Z423+Z424+Z425+Z426+Z427, "NA")</f>
        <v>28605.059999999998</v>
      </c>
      <c r="AA429" s="15">
        <f>IFERROR(Z429/Z444, "NA")</f>
        <v>0.1049823633302604</v>
      </c>
      <c r="AB429" s="2"/>
      <c r="AC429" s="14">
        <f t="shared" si="103"/>
        <v>-1012.1599999999999</v>
      </c>
      <c r="AD429" s="15">
        <f>IFERROR(AC429/AC444, "NA")</f>
        <v>-1.5844004430610778E-2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-6304.4600000000519</v>
      </c>
      <c r="C443" s="24">
        <f>IFERROR(B443/B444, "NA")</f>
        <v>-4.3019294697447134E-2</v>
      </c>
      <c r="D443" s="25"/>
      <c r="E443" s="23">
        <f>IFERROR(E404-E429-E442, "NA")</f>
        <v>5032.9099999999598</v>
      </c>
      <c r="F443" s="24">
        <f>IFERROR(E443/E444, "NA")</f>
        <v>3.8271534434616825E-2</v>
      </c>
      <c r="G443" s="25"/>
      <c r="H443" s="23">
        <f>IFERROR(B443-E443, "NA")</f>
        <v>-11337.370000000012</v>
      </c>
      <c r="I443" s="24">
        <f>IFERROR(H443/H444, "NA")</f>
        <v>-0.75360003935050479</v>
      </c>
      <c r="J443" s="25"/>
      <c r="K443" s="23">
        <f>IFERROR(K404-K429-K442, "NA")</f>
        <v>-16584.969999999965</v>
      </c>
      <c r="L443" s="24">
        <f>IFERROR(K443/K444, "NA")</f>
        <v>-0.14629496417156163</v>
      </c>
      <c r="M443" s="25"/>
      <c r="N443" s="23">
        <f>IFERROR(B443-K443, "NA")</f>
        <v>10280.509999999913</v>
      </c>
      <c r="O443" s="24">
        <f>IFERROR(N443/N444, "NA")</f>
        <v>0.30981311481140344</v>
      </c>
      <c r="P443" s="25"/>
      <c r="Q443" s="23">
        <f>IFERROR(Q404-Q429-Q442, "NA")</f>
        <v>-47239.599999999948</v>
      </c>
      <c r="R443" s="24">
        <f>IFERROR(Q443/Q444, "NA")</f>
        <v>-0.14044451183301099</v>
      </c>
      <c r="S443" s="25"/>
      <c r="T443" s="23">
        <f>IFERROR(T404-T429-T442, "NA")</f>
        <v>-10780.989999999947</v>
      </c>
      <c r="U443" s="24">
        <f>IFERROR(T443/T444, "NA")</f>
        <v>-3.5025758137315219E-2</v>
      </c>
      <c r="V443" s="25"/>
      <c r="W443" s="23">
        <f>IFERROR(Q443-T443, "NA")</f>
        <v>-36458.61</v>
      </c>
      <c r="X443" s="24">
        <f>IFERROR(W443/W444, "NA")</f>
        <v>-1.2767412371274822</v>
      </c>
      <c r="Y443" s="25"/>
      <c r="Z443" s="23">
        <f>IFERROR(Z404-Z429-Z442, "NA")</f>
        <v>-63596.759999999987</v>
      </c>
      <c r="AA443" s="24">
        <f>IFERROR(Z443/Z444, "NA")</f>
        <v>-0.23340409581197769</v>
      </c>
      <c r="AB443" s="25"/>
      <c r="AC443" s="23">
        <f>IFERROR(Q443-Z443, "NA")</f>
        <v>16357.16000000004</v>
      </c>
      <c r="AD443" s="24">
        <f>IFERROR(AC443/AC444, "NA")</f>
        <v>0.25604935535114021</v>
      </c>
    </row>
    <row r="444" spans="1:30" ht="15.75" hidden="1" x14ac:dyDescent="0.45">
      <c r="A444" s="26" t="s">
        <v>117</v>
      </c>
      <c r="B444" s="7">
        <v>146549.59</v>
      </c>
      <c r="C444" s="27"/>
      <c r="D444" s="9"/>
      <c r="E444" s="7">
        <v>131505.31</v>
      </c>
      <c r="F444" s="27"/>
      <c r="G444" s="9"/>
      <c r="H444" s="10">
        <f>IFERROR(B444-E444, "NA")</f>
        <v>15044.279999999999</v>
      </c>
      <c r="I444" s="27"/>
      <c r="J444" s="9"/>
      <c r="K444" s="7">
        <v>113366.65</v>
      </c>
      <c r="L444" s="27"/>
      <c r="M444" s="9"/>
      <c r="N444" s="10">
        <f>IFERROR(B444-K444, "NA")</f>
        <v>33182.94</v>
      </c>
      <c r="O444" s="27"/>
      <c r="P444" s="9"/>
      <c r="Q444" s="7">
        <v>336357.75</v>
      </c>
      <c r="R444" s="27"/>
      <c r="S444" s="9"/>
      <c r="T444" s="7">
        <v>307801.76</v>
      </c>
      <c r="U444" s="27"/>
      <c r="V444" s="9"/>
      <c r="W444" s="10">
        <f>IFERROR(Q444-T444, "NA")</f>
        <v>28555.989999999991</v>
      </c>
      <c r="X444" s="27"/>
      <c r="Y444" s="9"/>
      <c r="Z444" s="7">
        <v>272474.90999999997</v>
      </c>
      <c r="AA444" s="27"/>
      <c r="AB444" s="9"/>
      <c r="AC444" s="10">
        <f>IFERROR(Q444-Z444, "NA")</f>
        <v>63882.840000000026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2026-04-07T01:51:08Z</dcterms:created>
  <dcterms:modified xsi:type="dcterms:W3CDTF">2026-04-07T01:51:37Z</dcterms:modified>
</cp:coreProperties>
</file>