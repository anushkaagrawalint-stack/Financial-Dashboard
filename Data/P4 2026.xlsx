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913924B8-9833-4A93-8B34-B09F29A95415}" xr6:coauthVersionLast="47" xr6:coauthVersionMax="47" xr10:uidLastSave="{00000000-0000-0000-0000-000000000000}"/>
  <bookViews>
    <workbookView xWindow="1440" yWindow="1440" windowWidth="16200" windowHeight="9315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X440" i="7" s="1"/>
  <c r="N444" i="7"/>
  <c r="H444" i="7"/>
  <c r="AC442" i="7"/>
  <c r="AD442" i="7" s="1"/>
  <c r="Z442" i="7"/>
  <c r="AA442" i="7" s="1"/>
  <c r="T442" i="7"/>
  <c r="U442" i="7" s="1"/>
  <c r="Q442" i="7"/>
  <c r="K442" i="7"/>
  <c r="L442" i="7" s="1"/>
  <c r="H442" i="7"/>
  <c r="I442" i="7" s="1"/>
  <c r="E442" i="7"/>
  <c r="F442" i="7" s="1"/>
  <c r="B442" i="7"/>
  <c r="C442" i="7" s="1"/>
  <c r="Z441" i="7"/>
  <c r="AA441" i="7" s="1"/>
  <c r="W441" i="7"/>
  <c r="X441" i="7" s="1"/>
  <c r="T441" i="7"/>
  <c r="U441" i="7" s="1"/>
  <c r="Q441" i="7"/>
  <c r="R441" i="7" s="1"/>
  <c r="K441" i="7"/>
  <c r="L441" i="7" s="1"/>
  <c r="E441" i="7"/>
  <c r="F441" i="7" s="1"/>
  <c r="B441" i="7"/>
  <c r="AC440" i="7"/>
  <c r="AD440" i="7" s="1"/>
  <c r="AA440" i="7"/>
  <c r="W440" i="7"/>
  <c r="U440" i="7"/>
  <c r="R440" i="7"/>
  <c r="O440" i="7"/>
  <c r="N440" i="7"/>
  <c r="L440" i="7"/>
  <c r="H440" i="7"/>
  <c r="I440" i="7" s="1"/>
  <c r="F440" i="7"/>
  <c r="C440" i="7"/>
  <c r="AC439" i="7"/>
  <c r="AD439" i="7" s="1"/>
  <c r="AA439" i="7"/>
  <c r="X439" i="7"/>
  <c r="W439" i="7"/>
  <c r="U439" i="7"/>
  <c r="R439" i="7"/>
  <c r="O439" i="7"/>
  <c r="N439" i="7"/>
  <c r="L439" i="7"/>
  <c r="H439" i="7"/>
  <c r="I439" i="7" s="1"/>
  <c r="F439" i="7"/>
  <c r="C439" i="7"/>
  <c r="AC438" i="7"/>
  <c r="AD438" i="7" s="1"/>
  <c r="AA438" i="7"/>
  <c r="X438" i="7"/>
  <c r="W438" i="7"/>
  <c r="U438" i="7"/>
  <c r="R438" i="7"/>
  <c r="O438" i="7"/>
  <c r="N438" i="7"/>
  <c r="L438" i="7"/>
  <c r="H438" i="7"/>
  <c r="I438" i="7" s="1"/>
  <c r="F438" i="7"/>
  <c r="C438" i="7"/>
  <c r="AC437" i="7"/>
  <c r="AD437" i="7" s="1"/>
  <c r="AA437" i="7"/>
  <c r="W437" i="7"/>
  <c r="U437" i="7"/>
  <c r="R437" i="7"/>
  <c r="O437" i="7"/>
  <c r="N437" i="7"/>
  <c r="L437" i="7"/>
  <c r="H437" i="7"/>
  <c r="I437" i="7" s="1"/>
  <c r="F437" i="7"/>
  <c r="C437" i="7"/>
  <c r="AC436" i="7"/>
  <c r="AD436" i="7" s="1"/>
  <c r="AA436" i="7"/>
  <c r="W436" i="7"/>
  <c r="U436" i="7"/>
  <c r="R436" i="7"/>
  <c r="O436" i="7"/>
  <c r="N436" i="7"/>
  <c r="L436" i="7"/>
  <c r="H436" i="7"/>
  <c r="I436" i="7" s="1"/>
  <c r="F436" i="7"/>
  <c r="C436" i="7"/>
  <c r="AC435" i="7"/>
  <c r="AD435" i="7" s="1"/>
  <c r="AA435" i="7"/>
  <c r="X435" i="7"/>
  <c r="W435" i="7"/>
  <c r="U435" i="7"/>
  <c r="R435" i="7"/>
  <c r="O435" i="7"/>
  <c r="N435" i="7"/>
  <c r="L435" i="7"/>
  <c r="H435" i="7"/>
  <c r="I435" i="7" s="1"/>
  <c r="F435" i="7"/>
  <c r="C435" i="7"/>
  <c r="AC434" i="7"/>
  <c r="AD434" i="7" s="1"/>
  <c r="AA434" i="7"/>
  <c r="X434" i="7"/>
  <c r="W434" i="7"/>
  <c r="U434" i="7"/>
  <c r="R434" i="7"/>
  <c r="O434" i="7"/>
  <c r="N434" i="7"/>
  <c r="L434" i="7"/>
  <c r="H434" i="7"/>
  <c r="I434" i="7" s="1"/>
  <c r="F434" i="7"/>
  <c r="C434" i="7"/>
  <c r="AC433" i="7"/>
  <c r="AD433" i="7" s="1"/>
  <c r="AA433" i="7"/>
  <c r="W433" i="7"/>
  <c r="U433" i="7"/>
  <c r="R433" i="7"/>
  <c r="O433" i="7"/>
  <c r="N433" i="7"/>
  <c r="L433" i="7"/>
  <c r="H433" i="7"/>
  <c r="I433" i="7" s="1"/>
  <c r="F433" i="7"/>
  <c r="C433" i="7"/>
  <c r="AC432" i="7"/>
  <c r="AD432" i="7" s="1"/>
  <c r="AA432" i="7"/>
  <c r="W432" i="7"/>
  <c r="U432" i="7"/>
  <c r="R432" i="7"/>
  <c r="O432" i="7"/>
  <c r="N432" i="7"/>
  <c r="L432" i="7"/>
  <c r="H432" i="7"/>
  <c r="I432" i="7" s="1"/>
  <c r="F432" i="7"/>
  <c r="C432" i="7"/>
  <c r="Z429" i="7"/>
  <c r="AA429" i="7" s="1"/>
  <c r="T429" i="7"/>
  <c r="U429" i="7" s="1"/>
  <c r="Q429" i="7"/>
  <c r="N429" i="7"/>
  <c r="O429" i="7" s="1"/>
  <c r="K429" i="7"/>
  <c r="L429" i="7" s="1"/>
  <c r="E429" i="7"/>
  <c r="F429" i="7" s="1"/>
  <c r="B429" i="7"/>
  <c r="Z428" i="7"/>
  <c r="AA428" i="7" s="1"/>
  <c r="W428" i="7"/>
  <c r="X428" i="7" s="1"/>
  <c r="T428" i="7"/>
  <c r="U428" i="7" s="1"/>
  <c r="Q428" i="7"/>
  <c r="R428" i="7" s="1"/>
  <c r="K428" i="7"/>
  <c r="L428" i="7" s="1"/>
  <c r="H428" i="7"/>
  <c r="I428" i="7" s="1"/>
  <c r="E428" i="7"/>
  <c r="F428" i="7" s="1"/>
  <c r="B428" i="7"/>
  <c r="C428" i="7" s="1"/>
  <c r="AC427" i="7"/>
  <c r="AD427" i="7" s="1"/>
  <c r="AA427" i="7"/>
  <c r="X427" i="7"/>
  <c r="W427" i="7"/>
  <c r="U427" i="7"/>
  <c r="R427" i="7"/>
  <c r="O427" i="7"/>
  <c r="N427" i="7"/>
  <c r="L427" i="7"/>
  <c r="H427" i="7"/>
  <c r="I427" i="7" s="1"/>
  <c r="F427" i="7"/>
  <c r="C427" i="7"/>
  <c r="AC426" i="7"/>
  <c r="AD426" i="7" s="1"/>
  <c r="AA426" i="7"/>
  <c r="X426" i="7"/>
  <c r="W426" i="7"/>
  <c r="U426" i="7"/>
  <c r="R426" i="7"/>
  <c r="O426" i="7"/>
  <c r="N426" i="7"/>
  <c r="L426" i="7"/>
  <c r="H426" i="7"/>
  <c r="I426" i="7" s="1"/>
  <c r="F426" i="7"/>
  <c r="C426" i="7"/>
  <c r="AC425" i="7"/>
  <c r="AD425" i="7" s="1"/>
  <c r="AA425" i="7"/>
  <c r="W425" i="7"/>
  <c r="U425" i="7"/>
  <c r="R425" i="7"/>
  <c r="O425" i="7"/>
  <c r="N425" i="7"/>
  <c r="L425" i="7"/>
  <c r="H425" i="7"/>
  <c r="I425" i="7" s="1"/>
  <c r="F425" i="7"/>
  <c r="C425" i="7"/>
  <c r="AC424" i="7"/>
  <c r="AD424" i="7" s="1"/>
  <c r="AA424" i="7"/>
  <c r="W424" i="7"/>
  <c r="U424" i="7"/>
  <c r="R424" i="7"/>
  <c r="O424" i="7"/>
  <c r="N424" i="7"/>
  <c r="L424" i="7"/>
  <c r="H424" i="7"/>
  <c r="I424" i="7" s="1"/>
  <c r="F424" i="7"/>
  <c r="C424" i="7"/>
  <c r="AC423" i="7"/>
  <c r="AD423" i="7" s="1"/>
  <c r="AA423" i="7"/>
  <c r="X423" i="7"/>
  <c r="W423" i="7"/>
  <c r="U423" i="7"/>
  <c r="R423" i="7"/>
  <c r="O423" i="7"/>
  <c r="N423" i="7"/>
  <c r="L423" i="7"/>
  <c r="H423" i="7"/>
  <c r="I423" i="7" s="1"/>
  <c r="F423" i="7"/>
  <c r="C423" i="7"/>
  <c r="AC422" i="7"/>
  <c r="AD422" i="7" s="1"/>
  <c r="AA422" i="7"/>
  <c r="X422" i="7"/>
  <c r="W422" i="7"/>
  <c r="U422" i="7"/>
  <c r="R422" i="7"/>
  <c r="O422" i="7"/>
  <c r="N422" i="7"/>
  <c r="L422" i="7"/>
  <c r="H422" i="7"/>
  <c r="I422" i="7" s="1"/>
  <c r="F422" i="7"/>
  <c r="C422" i="7"/>
  <c r="AC421" i="7"/>
  <c r="AD421" i="7" s="1"/>
  <c r="AA421" i="7"/>
  <c r="W421" i="7"/>
  <c r="U421" i="7"/>
  <c r="R421" i="7"/>
  <c r="O421" i="7"/>
  <c r="N421" i="7"/>
  <c r="L421" i="7"/>
  <c r="H421" i="7"/>
  <c r="I421" i="7" s="1"/>
  <c r="F421" i="7"/>
  <c r="C421" i="7"/>
  <c r="AC420" i="7"/>
  <c r="AD420" i="7" s="1"/>
  <c r="AA420" i="7"/>
  <c r="W420" i="7"/>
  <c r="U420" i="7"/>
  <c r="R420" i="7"/>
  <c r="O420" i="7"/>
  <c r="N420" i="7"/>
  <c r="L420" i="7"/>
  <c r="H420" i="7"/>
  <c r="I420" i="7" s="1"/>
  <c r="F420" i="7"/>
  <c r="C420" i="7"/>
  <c r="AC419" i="7"/>
  <c r="AD419" i="7" s="1"/>
  <c r="AA419" i="7"/>
  <c r="X419" i="7"/>
  <c r="W419" i="7"/>
  <c r="U419" i="7"/>
  <c r="R419" i="7"/>
  <c r="O419" i="7"/>
  <c r="N419" i="7"/>
  <c r="L419" i="7"/>
  <c r="H419" i="7"/>
  <c r="I419" i="7" s="1"/>
  <c r="F419" i="7"/>
  <c r="C419" i="7"/>
  <c r="AC418" i="7"/>
  <c r="AD418" i="7" s="1"/>
  <c r="AA418" i="7"/>
  <c r="X418" i="7"/>
  <c r="W418" i="7"/>
  <c r="U418" i="7"/>
  <c r="R418" i="7"/>
  <c r="O418" i="7"/>
  <c r="N418" i="7"/>
  <c r="L418" i="7"/>
  <c r="H418" i="7"/>
  <c r="I418" i="7" s="1"/>
  <c r="F418" i="7"/>
  <c r="C418" i="7"/>
  <c r="AC417" i="7"/>
  <c r="AD417" i="7" s="1"/>
  <c r="AA417" i="7"/>
  <c r="W417" i="7"/>
  <c r="U417" i="7"/>
  <c r="R417" i="7"/>
  <c r="O417" i="7"/>
  <c r="N417" i="7"/>
  <c r="L417" i="7"/>
  <c r="H417" i="7"/>
  <c r="I417" i="7" s="1"/>
  <c r="F417" i="7"/>
  <c r="C417" i="7"/>
  <c r="AC416" i="7"/>
  <c r="AD416" i="7" s="1"/>
  <c r="AA416" i="7"/>
  <c r="W416" i="7"/>
  <c r="U416" i="7"/>
  <c r="R416" i="7"/>
  <c r="O416" i="7"/>
  <c r="N416" i="7"/>
  <c r="L416" i="7"/>
  <c r="H416" i="7"/>
  <c r="I416" i="7" s="1"/>
  <c r="F416" i="7"/>
  <c r="C416" i="7"/>
  <c r="AC415" i="7"/>
  <c r="AD415" i="7" s="1"/>
  <c r="AA415" i="7"/>
  <c r="X415" i="7"/>
  <c r="W415" i="7"/>
  <c r="U415" i="7"/>
  <c r="R415" i="7"/>
  <c r="O415" i="7"/>
  <c r="N415" i="7"/>
  <c r="L415" i="7"/>
  <c r="H415" i="7"/>
  <c r="I415" i="7" s="1"/>
  <c r="F415" i="7"/>
  <c r="C415" i="7"/>
  <c r="AC414" i="7"/>
  <c r="AD414" i="7" s="1"/>
  <c r="AA414" i="7"/>
  <c r="X414" i="7"/>
  <c r="W414" i="7"/>
  <c r="U414" i="7"/>
  <c r="R414" i="7"/>
  <c r="O414" i="7"/>
  <c r="N414" i="7"/>
  <c r="L414" i="7"/>
  <c r="H414" i="7"/>
  <c r="I414" i="7" s="1"/>
  <c r="F414" i="7"/>
  <c r="C414" i="7"/>
  <c r="AC413" i="7"/>
  <c r="AD413" i="7" s="1"/>
  <c r="AA413" i="7"/>
  <c r="W413" i="7"/>
  <c r="U413" i="7"/>
  <c r="R413" i="7"/>
  <c r="O413" i="7"/>
  <c r="N413" i="7"/>
  <c r="L413" i="7"/>
  <c r="H413" i="7"/>
  <c r="I413" i="7" s="1"/>
  <c r="F413" i="7"/>
  <c r="C413" i="7"/>
  <c r="AC412" i="7"/>
  <c r="AD412" i="7" s="1"/>
  <c r="AA412" i="7"/>
  <c r="W412" i="7"/>
  <c r="U412" i="7"/>
  <c r="R412" i="7"/>
  <c r="O412" i="7"/>
  <c r="N412" i="7"/>
  <c r="L412" i="7"/>
  <c r="H412" i="7"/>
  <c r="I412" i="7" s="1"/>
  <c r="F412" i="7"/>
  <c r="C412" i="7"/>
  <c r="AC411" i="7"/>
  <c r="AD411" i="7" s="1"/>
  <c r="AA411" i="7"/>
  <c r="X411" i="7"/>
  <c r="W411" i="7"/>
  <c r="U411" i="7"/>
  <c r="R411" i="7"/>
  <c r="O411" i="7"/>
  <c r="N411" i="7"/>
  <c r="L411" i="7"/>
  <c r="H411" i="7"/>
  <c r="I411" i="7" s="1"/>
  <c r="F411" i="7"/>
  <c r="C411" i="7"/>
  <c r="AC410" i="7"/>
  <c r="AD410" i="7" s="1"/>
  <c r="AA410" i="7"/>
  <c r="X410" i="7"/>
  <c r="W410" i="7"/>
  <c r="U410" i="7"/>
  <c r="R410" i="7"/>
  <c r="O410" i="7"/>
  <c r="N410" i="7"/>
  <c r="L410" i="7"/>
  <c r="H410" i="7"/>
  <c r="I410" i="7" s="1"/>
  <c r="F410" i="7"/>
  <c r="C410" i="7"/>
  <c r="AC409" i="7"/>
  <c r="AD409" i="7" s="1"/>
  <c r="AA409" i="7"/>
  <c r="W409" i="7"/>
  <c r="U409" i="7"/>
  <c r="R409" i="7"/>
  <c r="O409" i="7"/>
  <c r="N409" i="7"/>
  <c r="L409" i="7"/>
  <c r="H409" i="7"/>
  <c r="I409" i="7" s="1"/>
  <c r="F409" i="7"/>
  <c r="C409" i="7"/>
  <c r="AC408" i="7"/>
  <c r="AD408" i="7" s="1"/>
  <c r="AA408" i="7"/>
  <c r="W408" i="7"/>
  <c r="U408" i="7"/>
  <c r="R408" i="7"/>
  <c r="O408" i="7"/>
  <c r="N408" i="7"/>
  <c r="L408" i="7"/>
  <c r="H408" i="7"/>
  <c r="I408" i="7" s="1"/>
  <c r="F408" i="7"/>
  <c r="C408" i="7"/>
  <c r="AC407" i="7"/>
  <c r="AD407" i="7" s="1"/>
  <c r="AA407" i="7"/>
  <c r="X407" i="7"/>
  <c r="W407" i="7"/>
  <c r="U407" i="7"/>
  <c r="R407" i="7"/>
  <c r="O407" i="7"/>
  <c r="N407" i="7"/>
  <c r="L407" i="7"/>
  <c r="H407" i="7"/>
  <c r="I407" i="7" s="1"/>
  <c r="F407" i="7"/>
  <c r="C407" i="7"/>
  <c r="AC403" i="7"/>
  <c r="AD403" i="7" s="1"/>
  <c r="Z403" i="7"/>
  <c r="AA403" i="7" s="1"/>
  <c r="T403" i="7"/>
  <c r="U403" i="7" s="1"/>
  <c r="Q403" i="7"/>
  <c r="K403" i="7"/>
  <c r="L403" i="7" s="1"/>
  <c r="H403" i="7"/>
  <c r="I403" i="7" s="1"/>
  <c r="E403" i="7"/>
  <c r="F403" i="7" s="1"/>
  <c r="B403" i="7"/>
  <c r="C403" i="7" s="1"/>
  <c r="AC402" i="7"/>
  <c r="AD402" i="7" s="1"/>
  <c r="AA402" i="7"/>
  <c r="X402" i="7"/>
  <c r="W402" i="7"/>
  <c r="U402" i="7"/>
  <c r="R402" i="7"/>
  <c r="O402" i="7"/>
  <c r="N402" i="7"/>
  <c r="L402" i="7"/>
  <c r="H402" i="7"/>
  <c r="I402" i="7" s="1"/>
  <c r="F402" i="7"/>
  <c r="C402" i="7"/>
  <c r="AC401" i="7"/>
  <c r="AD401" i="7" s="1"/>
  <c r="AA401" i="7"/>
  <c r="W401" i="7"/>
  <c r="U401" i="7"/>
  <c r="R401" i="7"/>
  <c r="O401" i="7"/>
  <c r="N401" i="7"/>
  <c r="L401" i="7"/>
  <c r="H401" i="7"/>
  <c r="I401" i="7" s="1"/>
  <c r="F401" i="7"/>
  <c r="C401" i="7"/>
  <c r="AC400" i="7"/>
  <c r="AD400" i="7" s="1"/>
  <c r="AA400" i="7"/>
  <c r="W400" i="7"/>
  <c r="U400" i="7"/>
  <c r="R400" i="7"/>
  <c r="O400" i="7"/>
  <c r="N400" i="7"/>
  <c r="L400" i="7"/>
  <c r="H400" i="7"/>
  <c r="I400" i="7" s="1"/>
  <c r="F400" i="7"/>
  <c r="C400" i="7"/>
  <c r="AC399" i="7"/>
  <c r="AD399" i="7" s="1"/>
  <c r="AA399" i="7"/>
  <c r="X399" i="7"/>
  <c r="W399" i="7"/>
  <c r="U399" i="7"/>
  <c r="R399" i="7"/>
  <c r="O399" i="7"/>
  <c r="N399" i="7"/>
  <c r="L399" i="7"/>
  <c r="H399" i="7"/>
  <c r="I399" i="7" s="1"/>
  <c r="F399" i="7"/>
  <c r="C399" i="7"/>
  <c r="AC398" i="7"/>
  <c r="AD398" i="7" s="1"/>
  <c r="AA398" i="7"/>
  <c r="X398" i="7"/>
  <c r="W398" i="7"/>
  <c r="U398" i="7"/>
  <c r="R398" i="7"/>
  <c r="O398" i="7"/>
  <c r="N398" i="7"/>
  <c r="L398" i="7"/>
  <c r="H398" i="7"/>
  <c r="I398" i="7" s="1"/>
  <c r="F398" i="7"/>
  <c r="C398" i="7"/>
  <c r="AC397" i="7"/>
  <c r="AD397" i="7" s="1"/>
  <c r="AA397" i="7"/>
  <c r="W397" i="7"/>
  <c r="U397" i="7"/>
  <c r="R397" i="7"/>
  <c r="O397" i="7"/>
  <c r="N397" i="7"/>
  <c r="L397" i="7"/>
  <c r="H397" i="7"/>
  <c r="I397" i="7" s="1"/>
  <c r="F397" i="7"/>
  <c r="C397" i="7"/>
  <c r="AC396" i="7"/>
  <c r="AD396" i="7" s="1"/>
  <c r="Z396" i="7"/>
  <c r="AA396" i="7" s="1"/>
  <c r="T396" i="7"/>
  <c r="U396" i="7" s="1"/>
  <c r="Q396" i="7"/>
  <c r="K396" i="7"/>
  <c r="L396" i="7" s="1"/>
  <c r="H396" i="7"/>
  <c r="I396" i="7" s="1"/>
  <c r="E396" i="7"/>
  <c r="F396" i="7" s="1"/>
  <c r="B396" i="7"/>
  <c r="C396" i="7" s="1"/>
  <c r="AC395" i="7"/>
  <c r="AD395" i="7" s="1"/>
  <c r="AA395" i="7"/>
  <c r="X395" i="7"/>
  <c r="W395" i="7"/>
  <c r="U395" i="7"/>
  <c r="R395" i="7"/>
  <c r="O395" i="7"/>
  <c r="N395" i="7"/>
  <c r="L395" i="7"/>
  <c r="H395" i="7"/>
  <c r="I395" i="7" s="1"/>
  <c r="F395" i="7"/>
  <c r="C395" i="7"/>
  <c r="AC394" i="7"/>
  <c r="AD394" i="7" s="1"/>
  <c r="AA394" i="7"/>
  <c r="W394" i="7"/>
  <c r="U394" i="7"/>
  <c r="R394" i="7"/>
  <c r="O394" i="7"/>
  <c r="N394" i="7"/>
  <c r="L394" i="7"/>
  <c r="H394" i="7"/>
  <c r="I394" i="7" s="1"/>
  <c r="F394" i="7"/>
  <c r="C394" i="7"/>
  <c r="AC393" i="7"/>
  <c r="AD393" i="7" s="1"/>
  <c r="Z393" i="7"/>
  <c r="AA393" i="7" s="1"/>
  <c r="T393" i="7"/>
  <c r="U393" i="7" s="1"/>
  <c r="Q393" i="7"/>
  <c r="K393" i="7"/>
  <c r="L393" i="7" s="1"/>
  <c r="E393" i="7"/>
  <c r="B393" i="7"/>
  <c r="C393" i="7" s="1"/>
  <c r="AC392" i="7"/>
  <c r="AD392" i="7" s="1"/>
  <c r="AA392" i="7"/>
  <c r="X392" i="7"/>
  <c r="W392" i="7"/>
  <c r="U392" i="7"/>
  <c r="R392" i="7"/>
  <c r="O392" i="7"/>
  <c r="N392" i="7"/>
  <c r="L392" i="7"/>
  <c r="H392" i="7"/>
  <c r="I392" i="7" s="1"/>
  <c r="F392" i="7"/>
  <c r="C392" i="7"/>
  <c r="AC391" i="7"/>
  <c r="AD391" i="7" s="1"/>
  <c r="AA391" i="7"/>
  <c r="W391" i="7"/>
  <c r="U391" i="7"/>
  <c r="R391" i="7"/>
  <c r="O391" i="7"/>
  <c r="N391" i="7"/>
  <c r="L391" i="7"/>
  <c r="H391" i="7"/>
  <c r="I391" i="7" s="1"/>
  <c r="F391" i="7"/>
  <c r="C391" i="7"/>
  <c r="AC390" i="7"/>
  <c r="AD390" i="7" s="1"/>
  <c r="AA390" i="7"/>
  <c r="W390" i="7"/>
  <c r="U390" i="7"/>
  <c r="R390" i="7"/>
  <c r="O390" i="7"/>
  <c r="N390" i="7"/>
  <c r="L390" i="7"/>
  <c r="H390" i="7"/>
  <c r="I390" i="7" s="1"/>
  <c r="F390" i="7"/>
  <c r="C390" i="7"/>
  <c r="AC389" i="7"/>
  <c r="AD389" i="7" s="1"/>
  <c r="AA389" i="7"/>
  <c r="X389" i="7"/>
  <c r="W389" i="7"/>
  <c r="U389" i="7"/>
  <c r="R389" i="7"/>
  <c r="O389" i="7"/>
  <c r="N389" i="7"/>
  <c r="L389" i="7"/>
  <c r="H389" i="7"/>
  <c r="I389" i="7" s="1"/>
  <c r="F389" i="7"/>
  <c r="C389" i="7"/>
  <c r="AC388" i="7"/>
  <c r="AD388" i="7" s="1"/>
  <c r="AA388" i="7"/>
  <c r="X388" i="7"/>
  <c r="W388" i="7"/>
  <c r="U388" i="7"/>
  <c r="R388" i="7"/>
  <c r="O388" i="7"/>
  <c r="N388" i="7"/>
  <c r="L388" i="7"/>
  <c r="H388" i="7"/>
  <c r="I388" i="7" s="1"/>
  <c r="F388" i="7"/>
  <c r="C388" i="7"/>
  <c r="AC386" i="7"/>
  <c r="AD386" i="7" s="1"/>
  <c r="AA386" i="7"/>
  <c r="W386" i="7"/>
  <c r="U386" i="7"/>
  <c r="R386" i="7"/>
  <c r="O386" i="7"/>
  <c r="N386" i="7"/>
  <c r="L386" i="7"/>
  <c r="H386" i="7"/>
  <c r="I386" i="7" s="1"/>
  <c r="F386" i="7"/>
  <c r="C386" i="7"/>
  <c r="AC385" i="7"/>
  <c r="AD385" i="7" s="1"/>
  <c r="AA385" i="7"/>
  <c r="W385" i="7"/>
  <c r="U385" i="7"/>
  <c r="R385" i="7"/>
  <c r="O385" i="7"/>
  <c r="N385" i="7"/>
  <c r="L385" i="7"/>
  <c r="H385" i="7"/>
  <c r="I385" i="7" s="1"/>
  <c r="F385" i="7"/>
  <c r="C385" i="7"/>
  <c r="AC383" i="7"/>
  <c r="AD383" i="7" s="1"/>
  <c r="AA383" i="7"/>
  <c r="X383" i="7"/>
  <c r="W383" i="7"/>
  <c r="U383" i="7"/>
  <c r="R383" i="7"/>
  <c r="O383" i="7"/>
  <c r="N383" i="7"/>
  <c r="L383" i="7"/>
  <c r="H383" i="7"/>
  <c r="I383" i="7" s="1"/>
  <c r="F383" i="7"/>
  <c r="C383" i="7"/>
  <c r="AC382" i="7"/>
  <c r="AD382" i="7" s="1"/>
  <c r="AA382" i="7"/>
  <c r="X382" i="7"/>
  <c r="W382" i="7"/>
  <c r="U382" i="7"/>
  <c r="R382" i="7"/>
  <c r="O382" i="7"/>
  <c r="N382" i="7"/>
  <c r="L382" i="7"/>
  <c r="H382" i="7"/>
  <c r="I382" i="7" s="1"/>
  <c r="F382" i="7"/>
  <c r="C382" i="7"/>
  <c r="AC381" i="7"/>
  <c r="AD381" i="7" s="1"/>
  <c r="AA381" i="7"/>
  <c r="W381" i="7"/>
  <c r="U381" i="7"/>
  <c r="R381" i="7"/>
  <c r="O381" i="7"/>
  <c r="N381" i="7"/>
  <c r="L381" i="7"/>
  <c r="H381" i="7"/>
  <c r="I381" i="7" s="1"/>
  <c r="F381" i="7"/>
  <c r="C381" i="7"/>
  <c r="AC380" i="7"/>
  <c r="AD380" i="7" s="1"/>
  <c r="AA380" i="7"/>
  <c r="W380" i="7"/>
  <c r="U380" i="7"/>
  <c r="R380" i="7"/>
  <c r="O380" i="7"/>
  <c r="N380" i="7"/>
  <c r="L380" i="7"/>
  <c r="H380" i="7"/>
  <c r="I380" i="7" s="1"/>
  <c r="F380" i="7"/>
  <c r="C380" i="7"/>
  <c r="AC379" i="7"/>
  <c r="AD379" i="7" s="1"/>
  <c r="AA379" i="7"/>
  <c r="X379" i="7"/>
  <c r="W379" i="7"/>
  <c r="U379" i="7"/>
  <c r="R379" i="7"/>
  <c r="O379" i="7"/>
  <c r="N379" i="7"/>
  <c r="L379" i="7"/>
  <c r="H379" i="7"/>
  <c r="I379" i="7" s="1"/>
  <c r="F379" i="7"/>
  <c r="C379" i="7"/>
  <c r="AC378" i="7"/>
  <c r="AD378" i="7" s="1"/>
  <c r="AA378" i="7"/>
  <c r="X378" i="7"/>
  <c r="W378" i="7"/>
  <c r="U378" i="7"/>
  <c r="R378" i="7"/>
  <c r="O378" i="7"/>
  <c r="N378" i="7"/>
  <c r="L378" i="7"/>
  <c r="H378" i="7"/>
  <c r="I378" i="7" s="1"/>
  <c r="F378" i="7"/>
  <c r="C378" i="7"/>
  <c r="AC377" i="7"/>
  <c r="AD377" i="7" s="1"/>
  <c r="AA377" i="7"/>
  <c r="W377" i="7"/>
  <c r="X377" i="7" s="1"/>
  <c r="U377" i="7"/>
  <c r="R377" i="7"/>
  <c r="O377" i="7"/>
  <c r="N377" i="7"/>
  <c r="L377" i="7"/>
  <c r="H377" i="7"/>
  <c r="I377" i="7" s="1"/>
  <c r="F377" i="7"/>
  <c r="C377" i="7"/>
  <c r="AC376" i="7"/>
  <c r="AD376" i="7" s="1"/>
  <c r="AA376" i="7"/>
  <c r="W376" i="7"/>
  <c r="U376" i="7"/>
  <c r="R376" i="7"/>
  <c r="O376" i="7"/>
  <c r="N376" i="7"/>
  <c r="L376" i="7"/>
  <c r="H376" i="7"/>
  <c r="I376" i="7" s="1"/>
  <c r="F376" i="7"/>
  <c r="C376" i="7"/>
  <c r="AC375" i="7"/>
  <c r="AD375" i="7" s="1"/>
  <c r="AA375" i="7"/>
  <c r="X375" i="7"/>
  <c r="W375" i="7"/>
  <c r="U375" i="7"/>
  <c r="R375" i="7"/>
  <c r="N375" i="7"/>
  <c r="O375" i="7" s="1"/>
  <c r="L375" i="7"/>
  <c r="H375" i="7"/>
  <c r="I375" i="7" s="1"/>
  <c r="F375" i="7"/>
  <c r="C375" i="7"/>
  <c r="AC374" i="7"/>
  <c r="AD374" i="7" s="1"/>
  <c r="AA374" i="7"/>
  <c r="X374" i="7"/>
  <c r="W374" i="7"/>
  <c r="U374" i="7"/>
  <c r="R374" i="7"/>
  <c r="O374" i="7"/>
  <c r="N374" i="7"/>
  <c r="L374" i="7"/>
  <c r="H374" i="7"/>
  <c r="I374" i="7" s="1"/>
  <c r="F374" i="7"/>
  <c r="C374" i="7"/>
  <c r="AC373" i="7"/>
  <c r="AD373" i="7" s="1"/>
  <c r="AA373" i="7"/>
  <c r="W373" i="7"/>
  <c r="X373" i="7" s="1"/>
  <c r="U373" i="7"/>
  <c r="R373" i="7"/>
  <c r="O373" i="7"/>
  <c r="N373" i="7"/>
  <c r="L373" i="7"/>
  <c r="H373" i="7"/>
  <c r="I373" i="7" s="1"/>
  <c r="F373" i="7"/>
  <c r="C373" i="7"/>
  <c r="AC372" i="7"/>
  <c r="AD372" i="7" s="1"/>
  <c r="AA372" i="7"/>
  <c r="W372" i="7"/>
  <c r="U372" i="7"/>
  <c r="R372" i="7"/>
  <c r="O372" i="7"/>
  <c r="N372" i="7"/>
  <c r="L372" i="7"/>
  <c r="H372" i="7"/>
  <c r="I372" i="7" s="1"/>
  <c r="F372" i="7"/>
  <c r="C372" i="7"/>
  <c r="AC371" i="7"/>
  <c r="AD371" i="7" s="1"/>
  <c r="AA371" i="7"/>
  <c r="X371" i="7"/>
  <c r="W371" i="7"/>
  <c r="U371" i="7"/>
  <c r="R371" i="7"/>
  <c r="N371" i="7"/>
  <c r="O371" i="7" s="1"/>
  <c r="L371" i="7"/>
  <c r="H371" i="7"/>
  <c r="I371" i="7" s="1"/>
  <c r="F371" i="7"/>
  <c r="C371" i="7"/>
  <c r="AC370" i="7"/>
  <c r="AD370" i="7" s="1"/>
  <c r="AA370" i="7"/>
  <c r="X370" i="7"/>
  <c r="W370" i="7"/>
  <c r="U370" i="7"/>
  <c r="R370" i="7"/>
  <c r="O370" i="7"/>
  <c r="N370" i="7"/>
  <c r="L370" i="7"/>
  <c r="H370" i="7"/>
  <c r="I370" i="7" s="1"/>
  <c r="F370" i="7"/>
  <c r="C370" i="7"/>
  <c r="AC369" i="7"/>
  <c r="AD369" i="7" s="1"/>
  <c r="AA369" i="7"/>
  <c r="W369" i="7"/>
  <c r="X369" i="7" s="1"/>
  <c r="U369" i="7"/>
  <c r="R369" i="7"/>
  <c r="O369" i="7"/>
  <c r="N369" i="7"/>
  <c r="L369" i="7"/>
  <c r="H369" i="7"/>
  <c r="I369" i="7" s="1"/>
  <c r="F369" i="7"/>
  <c r="C369" i="7"/>
  <c r="Z368" i="7"/>
  <c r="AA368" i="7" s="1"/>
  <c r="T368" i="7"/>
  <c r="U368" i="7" s="1"/>
  <c r="Q368" i="7"/>
  <c r="K368" i="7"/>
  <c r="L368" i="7" s="1"/>
  <c r="H368" i="7"/>
  <c r="I368" i="7" s="1"/>
  <c r="E368" i="7"/>
  <c r="F368" i="7" s="1"/>
  <c r="B368" i="7"/>
  <c r="C368" i="7" s="1"/>
  <c r="AC367" i="7"/>
  <c r="AD367" i="7" s="1"/>
  <c r="AA367" i="7"/>
  <c r="X367" i="7"/>
  <c r="W367" i="7"/>
  <c r="U367" i="7"/>
  <c r="R367" i="7"/>
  <c r="O367" i="7"/>
  <c r="N367" i="7"/>
  <c r="L367" i="7"/>
  <c r="H367" i="7"/>
  <c r="I367" i="7" s="1"/>
  <c r="F367" i="7"/>
  <c r="C367" i="7"/>
  <c r="AC366" i="7"/>
  <c r="AD366" i="7" s="1"/>
  <c r="AA366" i="7"/>
  <c r="W366" i="7"/>
  <c r="X366" i="7" s="1"/>
  <c r="U366" i="7"/>
  <c r="R366" i="7"/>
  <c r="O366" i="7"/>
  <c r="N366" i="7"/>
  <c r="L366" i="7"/>
  <c r="H366" i="7"/>
  <c r="I366" i="7" s="1"/>
  <c r="F366" i="7"/>
  <c r="C366" i="7"/>
  <c r="AC365" i="7"/>
  <c r="AD365" i="7" s="1"/>
  <c r="AA365" i="7"/>
  <c r="W365" i="7"/>
  <c r="U365" i="7"/>
  <c r="R365" i="7"/>
  <c r="O365" i="7"/>
  <c r="N365" i="7"/>
  <c r="L365" i="7"/>
  <c r="H365" i="7"/>
  <c r="I365" i="7" s="1"/>
  <c r="F365" i="7"/>
  <c r="C365" i="7"/>
  <c r="AC364" i="7"/>
  <c r="AD364" i="7" s="1"/>
  <c r="AA364" i="7"/>
  <c r="X364" i="7"/>
  <c r="W364" i="7"/>
  <c r="U364" i="7"/>
  <c r="R364" i="7"/>
  <c r="N364" i="7"/>
  <c r="O364" i="7" s="1"/>
  <c r="L364" i="7"/>
  <c r="H364" i="7"/>
  <c r="I364" i="7" s="1"/>
  <c r="F364" i="7"/>
  <c r="C364" i="7"/>
  <c r="AC363" i="7"/>
  <c r="AD363" i="7" s="1"/>
  <c r="AA363" i="7"/>
  <c r="X363" i="7"/>
  <c r="W363" i="7"/>
  <c r="U363" i="7"/>
  <c r="R363" i="7"/>
  <c r="O363" i="7"/>
  <c r="N363" i="7"/>
  <c r="L363" i="7"/>
  <c r="H363" i="7"/>
  <c r="I363" i="7" s="1"/>
  <c r="F363" i="7"/>
  <c r="C363" i="7"/>
  <c r="AC362" i="7"/>
  <c r="AD362" i="7" s="1"/>
  <c r="AA362" i="7"/>
  <c r="W362" i="7"/>
  <c r="X362" i="7" s="1"/>
  <c r="U362" i="7"/>
  <c r="R362" i="7"/>
  <c r="O362" i="7"/>
  <c r="N362" i="7"/>
  <c r="L362" i="7"/>
  <c r="H362" i="7"/>
  <c r="I362" i="7" s="1"/>
  <c r="F362" i="7"/>
  <c r="C362" i="7"/>
  <c r="AC361" i="7"/>
  <c r="AD361" i="7" s="1"/>
  <c r="AA361" i="7"/>
  <c r="W361" i="7"/>
  <c r="U361" i="7"/>
  <c r="R361" i="7"/>
  <c r="O361" i="7"/>
  <c r="N361" i="7"/>
  <c r="L361" i="7"/>
  <c r="H361" i="7"/>
  <c r="I361" i="7" s="1"/>
  <c r="F361" i="7"/>
  <c r="C361" i="7"/>
  <c r="AC360" i="7"/>
  <c r="AD360" i="7" s="1"/>
  <c r="AA360" i="7"/>
  <c r="X360" i="7"/>
  <c r="W360" i="7"/>
  <c r="U360" i="7"/>
  <c r="R360" i="7"/>
  <c r="N360" i="7"/>
  <c r="O360" i="7" s="1"/>
  <c r="L360" i="7"/>
  <c r="H360" i="7"/>
  <c r="I360" i="7" s="1"/>
  <c r="F360" i="7"/>
  <c r="C360" i="7"/>
  <c r="Z358" i="7"/>
  <c r="AA358" i="7" s="1"/>
  <c r="W358" i="7"/>
  <c r="X358" i="7" s="1"/>
  <c r="T358" i="7"/>
  <c r="U358" i="7" s="1"/>
  <c r="R358" i="7"/>
  <c r="Q358" i="7"/>
  <c r="AC358" i="7" s="1"/>
  <c r="AD358" i="7" s="1"/>
  <c r="K358" i="7"/>
  <c r="L358" i="7" s="1"/>
  <c r="F358" i="7"/>
  <c r="E358" i="7"/>
  <c r="B358" i="7"/>
  <c r="AC357" i="7"/>
  <c r="AD357" i="7" s="1"/>
  <c r="AA357" i="7"/>
  <c r="W357" i="7"/>
  <c r="U357" i="7"/>
  <c r="R357" i="7"/>
  <c r="O357" i="7"/>
  <c r="N357" i="7"/>
  <c r="L357" i="7"/>
  <c r="H357" i="7"/>
  <c r="I357" i="7" s="1"/>
  <c r="F357" i="7"/>
  <c r="C357" i="7"/>
  <c r="AC356" i="7"/>
  <c r="AD356" i="7" s="1"/>
  <c r="AA356" i="7"/>
  <c r="X356" i="7"/>
  <c r="W356" i="7"/>
  <c r="U356" i="7"/>
  <c r="R356" i="7"/>
  <c r="N356" i="7"/>
  <c r="O356" i="7" s="1"/>
  <c r="L356" i="7"/>
  <c r="H356" i="7"/>
  <c r="I356" i="7" s="1"/>
  <c r="F356" i="7"/>
  <c r="C356" i="7"/>
  <c r="AD355" i="7"/>
  <c r="AC355" i="7"/>
  <c r="AA355" i="7"/>
  <c r="X355" i="7"/>
  <c r="W355" i="7"/>
  <c r="U355" i="7"/>
  <c r="R355" i="7"/>
  <c r="N355" i="7"/>
  <c r="O355" i="7" s="1"/>
  <c r="L355" i="7"/>
  <c r="H355" i="7"/>
  <c r="I355" i="7" s="1"/>
  <c r="F355" i="7"/>
  <c r="C355" i="7"/>
  <c r="AC354" i="7"/>
  <c r="AD354" i="7" s="1"/>
  <c r="AA354" i="7"/>
  <c r="W354" i="7"/>
  <c r="X354" i="7" s="1"/>
  <c r="U354" i="7"/>
  <c r="R354" i="7"/>
  <c r="O354" i="7"/>
  <c r="N354" i="7"/>
  <c r="L354" i="7"/>
  <c r="I354" i="7"/>
  <c r="H354" i="7"/>
  <c r="F354" i="7"/>
  <c r="C354" i="7"/>
  <c r="AC353" i="7"/>
  <c r="AD353" i="7" s="1"/>
  <c r="AA353" i="7"/>
  <c r="W353" i="7"/>
  <c r="U353" i="7"/>
  <c r="R353" i="7"/>
  <c r="O353" i="7"/>
  <c r="N353" i="7"/>
  <c r="L353" i="7"/>
  <c r="H353" i="7"/>
  <c r="I353" i="7" s="1"/>
  <c r="F353" i="7"/>
  <c r="C353" i="7"/>
  <c r="AC352" i="7"/>
  <c r="AD352" i="7" s="1"/>
  <c r="AA352" i="7"/>
  <c r="X352" i="7"/>
  <c r="W352" i="7"/>
  <c r="U352" i="7"/>
  <c r="R352" i="7"/>
  <c r="N352" i="7"/>
  <c r="O352" i="7" s="1"/>
  <c r="L352" i="7"/>
  <c r="H352" i="7"/>
  <c r="I352" i="7" s="1"/>
  <c r="F352" i="7"/>
  <c r="C352" i="7"/>
  <c r="AD351" i="7"/>
  <c r="AC351" i="7"/>
  <c r="AA351" i="7"/>
  <c r="X351" i="7"/>
  <c r="W351" i="7"/>
  <c r="U351" i="7"/>
  <c r="R351" i="7"/>
  <c r="O351" i="7"/>
  <c r="N351" i="7"/>
  <c r="L351" i="7"/>
  <c r="H351" i="7"/>
  <c r="I351" i="7" s="1"/>
  <c r="F351" i="7"/>
  <c r="C351" i="7"/>
  <c r="AC350" i="7"/>
  <c r="AD350" i="7" s="1"/>
  <c r="AA350" i="7"/>
  <c r="W350" i="7"/>
  <c r="X350" i="7" s="1"/>
  <c r="U350" i="7"/>
  <c r="R350" i="7"/>
  <c r="O350" i="7"/>
  <c r="N350" i="7"/>
  <c r="L350" i="7"/>
  <c r="I350" i="7"/>
  <c r="H350" i="7"/>
  <c r="F350" i="7"/>
  <c r="C350" i="7"/>
  <c r="AC349" i="7"/>
  <c r="AD349" i="7" s="1"/>
  <c r="AA349" i="7"/>
  <c r="W349" i="7"/>
  <c r="U349" i="7"/>
  <c r="R349" i="7"/>
  <c r="O349" i="7"/>
  <c r="N349" i="7"/>
  <c r="L349" i="7"/>
  <c r="H349" i="7"/>
  <c r="I349" i="7" s="1"/>
  <c r="F349" i="7"/>
  <c r="C349" i="7"/>
  <c r="AC347" i="7"/>
  <c r="AD347" i="7" s="1"/>
  <c r="AA347" i="7"/>
  <c r="X347" i="7"/>
  <c r="W347" i="7"/>
  <c r="U347" i="7"/>
  <c r="R347" i="7"/>
  <c r="N347" i="7"/>
  <c r="O347" i="7" s="1"/>
  <c r="L347" i="7"/>
  <c r="H347" i="7"/>
  <c r="I347" i="7" s="1"/>
  <c r="F347" i="7"/>
  <c r="C347" i="7"/>
  <c r="Z344" i="7"/>
  <c r="AA344" i="7" s="1"/>
  <c r="T344" i="7"/>
  <c r="U344" i="7" s="1"/>
  <c r="Q344" i="7"/>
  <c r="L344" i="7"/>
  <c r="K344" i="7"/>
  <c r="E344" i="7"/>
  <c r="B344" i="7"/>
  <c r="C344" i="7" s="1"/>
  <c r="Z343" i="7"/>
  <c r="AA343" i="7" s="1"/>
  <c r="W343" i="7"/>
  <c r="X343" i="7" s="1"/>
  <c r="T343" i="7"/>
  <c r="U343" i="7" s="1"/>
  <c r="R343" i="7"/>
  <c r="Q343" i="7"/>
  <c r="K343" i="7"/>
  <c r="L343" i="7" s="1"/>
  <c r="F343" i="7"/>
  <c r="E343" i="7"/>
  <c r="B343" i="7"/>
  <c r="AC342" i="7"/>
  <c r="AD342" i="7" s="1"/>
  <c r="Z342" i="7"/>
  <c r="AA342" i="7" s="1"/>
  <c r="T342" i="7"/>
  <c r="U342" i="7" s="1"/>
  <c r="Q342" i="7"/>
  <c r="L342" i="7"/>
  <c r="K342" i="7"/>
  <c r="H342" i="7"/>
  <c r="I342" i="7" s="1"/>
  <c r="E342" i="7"/>
  <c r="F342" i="7" s="1"/>
  <c r="B342" i="7"/>
  <c r="C342" i="7" s="1"/>
  <c r="AD341" i="7"/>
  <c r="AC341" i="7"/>
  <c r="AA341" i="7"/>
  <c r="X341" i="7"/>
  <c r="W341" i="7"/>
  <c r="U341" i="7"/>
  <c r="R341" i="7"/>
  <c r="N341" i="7"/>
  <c r="O341" i="7" s="1"/>
  <c r="L341" i="7"/>
  <c r="H341" i="7"/>
  <c r="I341" i="7" s="1"/>
  <c r="F341" i="7"/>
  <c r="C341" i="7"/>
  <c r="AC340" i="7"/>
  <c r="AD340" i="7" s="1"/>
  <c r="AA340" i="7"/>
  <c r="W340" i="7"/>
  <c r="X340" i="7" s="1"/>
  <c r="U340" i="7"/>
  <c r="R340" i="7"/>
  <c r="O340" i="7"/>
  <c r="N340" i="7"/>
  <c r="L340" i="7"/>
  <c r="I340" i="7"/>
  <c r="H340" i="7"/>
  <c r="F340" i="7"/>
  <c r="C340" i="7"/>
  <c r="AC339" i="7"/>
  <c r="AD339" i="7" s="1"/>
  <c r="AA339" i="7"/>
  <c r="W339" i="7"/>
  <c r="X339" i="7" s="1"/>
  <c r="U339" i="7"/>
  <c r="R339" i="7"/>
  <c r="O339" i="7"/>
  <c r="N339" i="7"/>
  <c r="L339" i="7"/>
  <c r="H339" i="7"/>
  <c r="I339" i="7" s="1"/>
  <c r="F339" i="7"/>
  <c r="C339" i="7"/>
  <c r="AC338" i="7"/>
  <c r="AD338" i="7" s="1"/>
  <c r="AA338" i="7"/>
  <c r="X338" i="7"/>
  <c r="W338" i="7"/>
  <c r="U338" i="7"/>
  <c r="R338" i="7"/>
  <c r="N338" i="7"/>
  <c r="O338" i="7" s="1"/>
  <c r="L338" i="7"/>
  <c r="H338" i="7"/>
  <c r="I338" i="7" s="1"/>
  <c r="F338" i="7"/>
  <c r="C338" i="7"/>
  <c r="AD337" i="7"/>
  <c r="AC337" i="7"/>
  <c r="AA337" i="7"/>
  <c r="X337" i="7"/>
  <c r="W337" i="7"/>
  <c r="U337" i="7"/>
  <c r="R337" i="7"/>
  <c r="N337" i="7"/>
  <c r="O337" i="7" s="1"/>
  <c r="L337" i="7"/>
  <c r="H337" i="7"/>
  <c r="I337" i="7" s="1"/>
  <c r="F337" i="7"/>
  <c r="C337" i="7"/>
  <c r="AC335" i="7"/>
  <c r="AD335" i="7" s="1"/>
  <c r="AA335" i="7"/>
  <c r="W335" i="7"/>
  <c r="X335" i="7" s="1"/>
  <c r="U335" i="7"/>
  <c r="R335" i="7"/>
  <c r="O335" i="7"/>
  <c r="N335" i="7"/>
  <c r="L335" i="7"/>
  <c r="I335" i="7"/>
  <c r="H335" i="7"/>
  <c r="F335" i="7"/>
  <c r="C335" i="7"/>
  <c r="AC334" i="7"/>
  <c r="AD334" i="7" s="1"/>
  <c r="AA334" i="7"/>
  <c r="W334" i="7"/>
  <c r="X334" i="7" s="1"/>
  <c r="U334" i="7"/>
  <c r="R334" i="7"/>
  <c r="O334" i="7"/>
  <c r="N334" i="7"/>
  <c r="L334" i="7"/>
  <c r="H334" i="7"/>
  <c r="I334" i="7" s="1"/>
  <c r="F334" i="7"/>
  <c r="C334" i="7"/>
  <c r="AC333" i="7"/>
  <c r="AD333" i="7" s="1"/>
  <c r="AA333" i="7"/>
  <c r="X333" i="7"/>
  <c r="W333" i="7"/>
  <c r="U333" i="7"/>
  <c r="R333" i="7"/>
  <c r="N333" i="7"/>
  <c r="O333" i="7" s="1"/>
  <c r="L333" i="7"/>
  <c r="H333" i="7"/>
  <c r="I333" i="7" s="1"/>
  <c r="F333" i="7"/>
  <c r="C333" i="7"/>
  <c r="AD332" i="7"/>
  <c r="AC332" i="7"/>
  <c r="AA332" i="7"/>
  <c r="X332" i="7"/>
  <c r="W332" i="7"/>
  <c r="U332" i="7"/>
  <c r="R332" i="7"/>
  <c r="N332" i="7"/>
  <c r="O332" i="7" s="1"/>
  <c r="L332" i="7"/>
  <c r="H332" i="7"/>
  <c r="I332" i="7" s="1"/>
  <c r="F332" i="7"/>
  <c r="C332" i="7"/>
  <c r="AC331" i="7"/>
  <c r="AD331" i="7" s="1"/>
  <c r="AA331" i="7"/>
  <c r="W331" i="7"/>
  <c r="X331" i="7" s="1"/>
  <c r="U331" i="7"/>
  <c r="R331" i="7"/>
  <c r="O331" i="7"/>
  <c r="N331" i="7"/>
  <c r="L331" i="7"/>
  <c r="I331" i="7"/>
  <c r="H331" i="7"/>
  <c r="F331" i="7"/>
  <c r="C331" i="7"/>
  <c r="AD330" i="7"/>
  <c r="AC330" i="7"/>
  <c r="AA330" i="7"/>
  <c r="W330" i="7"/>
  <c r="X330" i="7" s="1"/>
  <c r="U330" i="7"/>
  <c r="R330" i="7"/>
  <c r="O330" i="7"/>
  <c r="N330" i="7"/>
  <c r="L330" i="7"/>
  <c r="H330" i="7"/>
  <c r="I330" i="7" s="1"/>
  <c r="F330" i="7"/>
  <c r="C330" i="7"/>
  <c r="AC329" i="7"/>
  <c r="AD329" i="7" s="1"/>
  <c r="AA329" i="7"/>
  <c r="X329" i="7"/>
  <c r="W329" i="7"/>
  <c r="U329" i="7"/>
  <c r="R329" i="7"/>
  <c r="N329" i="7"/>
  <c r="O329" i="7" s="1"/>
  <c r="L329" i="7"/>
  <c r="I329" i="7"/>
  <c r="H329" i="7"/>
  <c r="F329" i="7"/>
  <c r="C329" i="7"/>
  <c r="AD328" i="7"/>
  <c r="AC328" i="7"/>
  <c r="AA328" i="7"/>
  <c r="W328" i="7"/>
  <c r="X328" i="7" s="1"/>
  <c r="U328" i="7"/>
  <c r="R328" i="7"/>
  <c r="O328" i="7"/>
  <c r="N328" i="7"/>
  <c r="L328" i="7"/>
  <c r="H328" i="7"/>
  <c r="I328" i="7" s="1"/>
  <c r="F328" i="7"/>
  <c r="C328" i="7"/>
  <c r="AC325" i="7"/>
  <c r="AD325" i="7" s="1"/>
  <c r="AA325" i="7"/>
  <c r="Z325" i="7"/>
  <c r="T325" i="7"/>
  <c r="U325" i="7" s="1"/>
  <c r="Q325" i="7"/>
  <c r="R325" i="7" s="1"/>
  <c r="K325" i="7"/>
  <c r="L325" i="7" s="1"/>
  <c r="E325" i="7"/>
  <c r="C325" i="7"/>
  <c r="B325" i="7"/>
  <c r="AA324" i="7"/>
  <c r="Z324" i="7"/>
  <c r="T324" i="7"/>
  <c r="U324" i="7" s="1"/>
  <c r="Q324" i="7"/>
  <c r="AC324" i="7" s="1"/>
  <c r="AD324" i="7" s="1"/>
  <c r="O324" i="7"/>
  <c r="K324" i="7"/>
  <c r="L324" i="7" s="1"/>
  <c r="E324" i="7"/>
  <c r="H324" i="7" s="1"/>
  <c r="I324" i="7" s="1"/>
  <c r="C324" i="7"/>
  <c r="B324" i="7"/>
  <c r="N324" i="7" s="1"/>
  <c r="AC323" i="7"/>
  <c r="AD323" i="7" s="1"/>
  <c r="AA323" i="7"/>
  <c r="W323" i="7"/>
  <c r="X323" i="7" s="1"/>
  <c r="U323" i="7"/>
  <c r="R323" i="7"/>
  <c r="N323" i="7"/>
  <c r="O323" i="7" s="1"/>
  <c r="L323" i="7"/>
  <c r="H323" i="7"/>
  <c r="I323" i="7" s="1"/>
  <c r="F323" i="7"/>
  <c r="C323" i="7"/>
  <c r="AD322" i="7"/>
  <c r="AC322" i="7"/>
  <c r="AA322" i="7"/>
  <c r="X322" i="7"/>
  <c r="W322" i="7"/>
  <c r="U322" i="7"/>
  <c r="R322" i="7"/>
  <c r="N322" i="7"/>
  <c r="O322" i="7" s="1"/>
  <c r="L322" i="7"/>
  <c r="H322" i="7"/>
  <c r="I322" i="7" s="1"/>
  <c r="F322" i="7"/>
  <c r="C322" i="7"/>
  <c r="AD321" i="7"/>
  <c r="AC321" i="7"/>
  <c r="AA321" i="7"/>
  <c r="W321" i="7"/>
  <c r="X321" i="7" s="1"/>
  <c r="U321" i="7"/>
  <c r="R321" i="7"/>
  <c r="O321" i="7"/>
  <c r="N321" i="7"/>
  <c r="L321" i="7"/>
  <c r="I321" i="7"/>
  <c r="H321" i="7"/>
  <c r="F321" i="7"/>
  <c r="C321" i="7"/>
  <c r="AC320" i="7"/>
  <c r="AD320" i="7" s="1"/>
  <c r="AA320" i="7"/>
  <c r="W320" i="7"/>
  <c r="X320" i="7" s="1"/>
  <c r="U320" i="7"/>
  <c r="R320" i="7"/>
  <c r="O320" i="7"/>
  <c r="N320" i="7"/>
  <c r="L320" i="7"/>
  <c r="I320" i="7"/>
  <c r="H320" i="7"/>
  <c r="F320" i="7"/>
  <c r="C320" i="7"/>
  <c r="AC319" i="7"/>
  <c r="AD319" i="7" s="1"/>
  <c r="AA319" i="7"/>
  <c r="X319" i="7"/>
  <c r="W319" i="7"/>
  <c r="U319" i="7"/>
  <c r="R319" i="7"/>
  <c r="N319" i="7"/>
  <c r="O319" i="7" s="1"/>
  <c r="L319" i="7"/>
  <c r="H319" i="7"/>
  <c r="I319" i="7" s="1"/>
  <c r="F319" i="7"/>
  <c r="C319" i="7"/>
  <c r="AD318" i="7"/>
  <c r="AC318" i="7"/>
  <c r="AA318" i="7"/>
  <c r="X318" i="7"/>
  <c r="W318" i="7"/>
  <c r="U318" i="7"/>
  <c r="R318" i="7"/>
  <c r="O318" i="7"/>
  <c r="N318" i="7"/>
  <c r="L318" i="7"/>
  <c r="H318" i="7"/>
  <c r="I318" i="7" s="1"/>
  <c r="F318" i="7"/>
  <c r="C318" i="7"/>
  <c r="AC317" i="7"/>
  <c r="AD317" i="7" s="1"/>
  <c r="AA317" i="7"/>
  <c r="W317" i="7"/>
  <c r="X317" i="7" s="1"/>
  <c r="U317" i="7"/>
  <c r="R317" i="7"/>
  <c r="O317" i="7"/>
  <c r="N317" i="7"/>
  <c r="L317" i="7"/>
  <c r="I317" i="7"/>
  <c r="H317" i="7"/>
  <c r="F317" i="7"/>
  <c r="C317" i="7"/>
  <c r="AC316" i="7"/>
  <c r="AD316" i="7" s="1"/>
  <c r="AA316" i="7"/>
  <c r="X316" i="7"/>
  <c r="W316" i="7"/>
  <c r="U316" i="7"/>
  <c r="R316" i="7"/>
  <c r="O316" i="7"/>
  <c r="N316" i="7"/>
  <c r="L316" i="7"/>
  <c r="I316" i="7"/>
  <c r="H316" i="7"/>
  <c r="F316" i="7"/>
  <c r="C316" i="7"/>
  <c r="AC315" i="7"/>
  <c r="AD315" i="7" s="1"/>
  <c r="AA315" i="7"/>
  <c r="X315" i="7"/>
  <c r="W315" i="7"/>
  <c r="U315" i="7"/>
  <c r="R315" i="7"/>
  <c r="N315" i="7"/>
  <c r="O315" i="7" s="1"/>
  <c r="L315" i="7"/>
  <c r="H315" i="7"/>
  <c r="I315" i="7" s="1"/>
  <c r="F315" i="7"/>
  <c r="C315" i="7"/>
  <c r="AD314" i="7"/>
  <c r="AC314" i="7"/>
  <c r="AA314" i="7"/>
  <c r="X314" i="7"/>
  <c r="W314" i="7"/>
  <c r="U314" i="7"/>
  <c r="R314" i="7"/>
  <c r="O314" i="7"/>
  <c r="N314" i="7"/>
  <c r="L314" i="7"/>
  <c r="H314" i="7"/>
  <c r="I314" i="7" s="1"/>
  <c r="F314" i="7"/>
  <c r="C314" i="7"/>
  <c r="AC313" i="7"/>
  <c r="AD313" i="7" s="1"/>
  <c r="AA313" i="7"/>
  <c r="W313" i="7"/>
  <c r="X313" i="7" s="1"/>
  <c r="U313" i="7"/>
  <c r="R313" i="7"/>
  <c r="N313" i="7"/>
  <c r="O313" i="7" s="1"/>
  <c r="L313" i="7"/>
  <c r="I313" i="7"/>
  <c r="H313" i="7"/>
  <c r="F313" i="7"/>
  <c r="C313" i="7"/>
  <c r="AC312" i="7"/>
  <c r="AD312" i="7" s="1"/>
  <c r="AA312" i="7"/>
  <c r="W312" i="7"/>
  <c r="X312" i="7" s="1"/>
  <c r="U312" i="7"/>
  <c r="R312" i="7"/>
  <c r="O312" i="7"/>
  <c r="N312" i="7"/>
  <c r="L312" i="7"/>
  <c r="H312" i="7"/>
  <c r="I312" i="7" s="1"/>
  <c r="F312" i="7"/>
  <c r="C312" i="7"/>
  <c r="AC311" i="7"/>
  <c r="AD311" i="7" s="1"/>
  <c r="AA311" i="7"/>
  <c r="X311" i="7"/>
  <c r="W311" i="7"/>
  <c r="U311" i="7"/>
  <c r="R311" i="7"/>
  <c r="N311" i="7"/>
  <c r="O311" i="7" s="1"/>
  <c r="L311" i="7"/>
  <c r="H311" i="7"/>
  <c r="I311" i="7" s="1"/>
  <c r="F311" i="7"/>
  <c r="C311" i="7"/>
  <c r="AD310" i="7"/>
  <c r="AC310" i="7"/>
  <c r="AA310" i="7"/>
  <c r="X310" i="7"/>
  <c r="W310" i="7"/>
  <c r="U310" i="7"/>
  <c r="R310" i="7"/>
  <c r="O310" i="7"/>
  <c r="N310" i="7"/>
  <c r="L310" i="7"/>
  <c r="H310" i="7"/>
  <c r="I310" i="7" s="1"/>
  <c r="F310" i="7"/>
  <c r="C310" i="7"/>
  <c r="AD309" i="7"/>
  <c r="AC309" i="7"/>
  <c r="AA309" i="7"/>
  <c r="W309" i="7"/>
  <c r="X309" i="7" s="1"/>
  <c r="U309" i="7"/>
  <c r="R309" i="7"/>
  <c r="N309" i="7"/>
  <c r="O309" i="7" s="1"/>
  <c r="L309" i="7"/>
  <c r="I309" i="7"/>
  <c r="H309" i="7"/>
  <c r="F309" i="7"/>
  <c r="C309" i="7"/>
  <c r="AC308" i="7"/>
  <c r="AD308" i="7" s="1"/>
  <c r="AA308" i="7"/>
  <c r="X308" i="7"/>
  <c r="W308" i="7"/>
  <c r="U308" i="7"/>
  <c r="R308" i="7"/>
  <c r="O308" i="7"/>
  <c r="N308" i="7"/>
  <c r="L308" i="7"/>
  <c r="H308" i="7"/>
  <c r="I308" i="7" s="1"/>
  <c r="F308" i="7"/>
  <c r="C308" i="7"/>
  <c r="AC307" i="7"/>
  <c r="AD307" i="7" s="1"/>
  <c r="AA307" i="7"/>
  <c r="W307" i="7"/>
  <c r="X307" i="7" s="1"/>
  <c r="U307" i="7"/>
  <c r="R307" i="7"/>
  <c r="N307" i="7"/>
  <c r="O307" i="7" s="1"/>
  <c r="L307" i="7"/>
  <c r="H307" i="7"/>
  <c r="I307" i="7" s="1"/>
  <c r="F307" i="7"/>
  <c r="C307" i="7"/>
  <c r="AD306" i="7"/>
  <c r="AC306" i="7"/>
  <c r="AA306" i="7"/>
  <c r="X306" i="7"/>
  <c r="W306" i="7"/>
  <c r="U306" i="7"/>
  <c r="R306" i="7"/>
  <c r="N306" i="7"/>
  <c r="O306" i="7" s="1"/>
  <c r="L306" i="7"/>
  <c r="H306" i="7"/>
  <c r="I306" i="7" s="1"/>
  <c r="F306" i="7"/>
  <c r="C306" i="7"/>
  <c r="AD305" i="7"/>
  <c r="AC305" i="7"/>
  <c r="AA305" i="7"/>
  <c r="W305" i="7"/>
  <c r="X305" i="7" s="1"/>
  <c r="U305" i="7"/>
  <c r="R305" i="7"/>
  <c r="O305" i="7"/>
  <c r="N305" i="7"/>
  <c r="L305" i="7"/>
  <c r="I305" i="7"/>
  <c r="H305" i="7"/>
  <c r="F305" i="7"/>
  <c r="C305" i="7"/>
  <c r="AC304" i="7"/>
  <c r="AD304" i="7" s="1"/>
  <c r="AA304" i="7"/>
  <c r="W304" i="7"/>
  <c r="X304" i="7" s="1"/>
  <c r="U304" i="7"/>
  <c r="R304" i="7"/>
  <c r="O304" i="7"/>
  <c r="N304" i="7"/>
  <c r="L304" i="7"/>
  <c r="I304" i="7"/>
  <c r="H304" i="7"/>
  <c r="F304" i="7"/>
  <c r="C304" i="7"/>
  <c r="AC303" i="7"/>
  <c r="AD303" i="7" s="1"/>
  <c r="AA303" i="7"/>
  <c r="W303" i="7"/>
  <c r="X303" i="7" s="1"/>
  <c r="U303" i="7"/>
  <c r="R303" i="7"/>
  <c r="N303" i="7"/>
  <c r="O303" i="7" s="1"/>
  <c r="L303" i="7"/>
  <c r="H303" i="7"/>
  <c r="I303" i="7" s="1"/>
  <c r="F303" i="7"/>
  <c r="C303" i="7"/>
  <c r="AD302" i="7"/>
  <c r="AC302" i="7"/>
  <c r="AA302" i="7"/>
  <c r="X302" i="7"/>
  <c r="W302" i="7"/>
  <c r="U302" i="7"/>
  <c r="R302" i="7"/>
  <c r="N302" i="7"/>
  <c r="O302" i="7" s="1"/>
  <c r="L302" i="7"/>
  <c r="H302" i="7"/>
  <c r="I302" i="7" s="1"/>
  <c r="F302" i="7"/>
  <c r="C302" i="7"/>
  <c r="AC301" i="7"/>
  <c r="AD301" i="7" s="1"/>
  <c r="AA301" i="7"/>
  <c r="W301" i="7"/>
  <c r="X301" i="7" s="1"/>
  <c r="U301" i="7"/>
  <c r="R301" i="7"/>
  <c r="O301" i="7"/>
  <c r="N301" i="7"/>
  <c r="L301" i="7"/>
  <c r="I301" i="7"/>
  <c r="H301" i="7"/>
  <c r="F301" i="7"/>
  <c r="C301" i="7"/>
  <c r="AC300" i="7"/>
  <c r="AD300" i="7" s="1"/>
  <c r="AA300" i="7"/>
  <c r="X300" i="7"/>
  <c r="W300" i="7"/>
  <c r="U300" i="7"/>
  <c r="R300" i="7"/>
  <c r="O300" i="7"/>
  <c r="N300" i="7"/>
  <c r="L300" i="7"/>
  <c r="I300" i="7"/>
  <c r="H300" i="7"/>
  <c r="F300" i="7"/>
  <c r="C300" i="7"/>
  <c r="AC299" i="7"/>
  <c r="AD299" i="7" s="1"/>
  <c r="AA299" i="7"/>
  <c r="X299" i="7"/>
  <c r="W299" i="7"/>
  <c r="U299" i="7"/>
  <c r="R299" i="7"/>
  <c r="N299" i="7"/>
  <c r="O299" i="7" s="1"/>
  <c r="L299" i="7"/>
  <c r="H299" i="7"/>
  <c r="I299" i="7" s="1"/>
  <c r="F299" i="7"/>
  <c r="C299" i="7"/>
  <c r="AD298" i="7"/>
  <c r="AC298" i="7"/>
  <c r="AA298" i="7"/>
  <c r="X298" i="7"/>
  <c r="W298" i="7"/>
  <c r="U298" i="7"/>
  <c r="R298" i="7"/>
  <c r="O298" i="7"/>
  <c r="N298" i="7"/>
  <c r="L298" i="7"/>
  <c r="H298" i="7"/>
  <c r="I298" i="7" s="1"/>
  <c r="F298" i="7"/>
  <c r="C298" i="7"/>
  <c r="AD297" i="7"/>
  <c r="AC297" i="7"/>
  <c r="AA297" i="7"/>
  <c r="W297" i="7"/>
  <c r="X297" i="7" s="1"/>
  <c r="U297" i="7"/>
  <c r="R297" i="7"/>
  <c r="N297" i="7"/>
  <c r="O297" i="7" s="1"/>
  <c r="L297" i="7"/>
  <c r="I297" i="7"/>
  <c r="H297" i="7"/>
  <c r="F297" i="7"/>
  <c r="C297" i="7"/>
  <c r="Z295" i="7"/>
  <c r="AA295" i="7" s="1"/>
  <c r="T295" i="7"/>
  <c r="U295" i="7" s="1"/>
  <c r="Q295" i="7"/>
  <c r="L295" i="7"/>
  <c r="K295" i="7"/>
  <c r="E295" i="7"/>
  <c r="F295" i="7" s="1"/>
  <c r="B295" i="7"/>
  <c r="N295" i="7" s="1"/>
  <c r="O295" i="7" s="1"/>
  <c r="AD294" i="7"/>
  <c r="AC294" i="7"/>
  <c r="AA294" i="7"/>
  <c r="X294" i="7"/>
  <c r="W294" i="7"/>
  <c r="U294" i="7"/>
  <c r="R294" i="7"/>
  <c r="O294" i="7"/>
  <c r="N294" i="7"/>
  <c r="L294" i="7"/>
  <c r="H294" i="7"/>
  <c r="I294" i="7" s="1"/>
  <c r="F294" i="7"/>
  <c r="C294" i="7"/>
  <c r="AC293" i="7"/>
  <c r="AD293" i="7" s="1"/>
  <c r="AA293" i="7"/>
  <c r="W293" i="7"/>
  <c r="X293" i="7" s="1"/>
  <c r="U293" i="7"/>
  <c r="R293" i="7"/>
  <c r="N293" i="7"/>
  <c r="O293" i="7" s="1"/>
  <c r="L293" i="7"/>
  <c r="I293" i="7"/>
  <c r="H293" i="7"/>
  <c r="F293" i="7"/>
  <c r="C293" i="7"/>
  <c r="AC292" i="7"/>
  <c r="AD292" i="7" s="1"/>
  <c r="AA292" i="7"/>
  <c r="W292" i="7"/>
  <c r="X292" i="7" s="1"/>
  <c r="U292" i="7"/>
  <c r="R292" i="7"/>
  <c r="O292" i="7"/>
  <c r="N292" i="7"/>
  <c r="L292" i="7"/>
  <c r="H292" i="7"/>
  <c r="I292" i="7" s="1"/>
  <c r="F292" i="7"/>
  <c r="C292" i="7"/>
  <c r="AC291" i="7"/>
  <c r="AD291" i="7" s="1"/>
  <c r="AA291" i="7"/>
  <c r="X291" i="7"/>
  <c r="W291" i="7"/>
  <c r="U291" i="7"/>
  <c r="R291" i="7"/>
  <c r="N291" i="7"/>
  <c r="O291" i="7" s="1"/>
  <c r="L291" i="7"/>
  <c r="H291" i="7"/>
  <c r="I291" i="7" s="1"/>
  <c r="F291" i="7"/>
  <c r="C291" i="7"/>
  <c r="AD290" i="7"/>
  <c r="AC290" i="7"/>
  <c r="AA290" i="7"/>
  <c r="X290" i="7"/>
  <c r="W290" i="7"/>
  <c r="U290" i="7"/>
  <c r="R290" i="7"/>
  <c r="O290" i="7"/>
  <c r="N290" i="7"/>
  <c r="L290" i="7"/>
  <c r="H290" i="7"/>
  <c r="I290" i="7" s="1"/>
  <c r="F290" i="7"/>
  <c r="C290" i="7"/>
  <c r="AD289" i="7"/>
  <c r="AC289" i="7"/>
  <c r="AA289" i="7"/>
  <c r="W289" i="7"/>
  <c r="X289" i="7" s="1"/>
  <c r="U289" i="7"/>
  <c r="R289" i="7"/>
  <c r="N289" i="7"/>
  <c r="O289" i="7" s="1"/>
  <c r="L289" i="7"/>
  <c r="I289" i="7"/>
  <c r="H289" i="7"/>
  <c r="F289" i="7"/>
  <c r="C289" i="7"/>
  <c r="AC288" i="7"/>
  <c r="AD288" i="7" s="1"/>
  <c r="AA288" i="7"/>
  <c r="W288" i="7"/>
  <c r="X288" i="7" s="1"/>
  <c r="U288" i="7"/>
  <c r="R288" i="7"/>
  <c r="O288" i="7"/>
  <c r="N288" i="7"/>
  <c r="L288" i="7"/>
  <c r="H288" i="7"/>
  <c r="I288" i="7" s="1"/>
  <c r="F288" i="7"/>
  <c r="C288" i="7"/>
  <c r="AC287" i="7"/>
  <c r="AD287" i="7" s="1"/>
  <c r="AA287" i="7"/>
  <c r="W287" i="7"/>
  <c r="X287" i="7" s="1"/>
  <c r="U287" i="7"/>
  <c r="R287" i="7"/>
  <c r="N287" i="7"/>
  <c r="O287" i="7" s="1"/>
  <c r="L287" i="7"/>
  <c r="H287" i="7"/>
  <c r="I287" i="7" s="1"/>
  <c r="F287" i="7"/>
  <c r="C287" i="7"/>
  <c r="AD286" i="7"/>
  <c r="AC286" i="7"/>
  <c r="AA286" i="7"/>
  <c r="X286" i="7"/>
  <c r="W286" i="7"/>
  <c r="U286" i="7"/>
  <c r="R286" i="7"/>
  <c r="N286" i="7"/>
  <c r="O286" i="7" s="1"/>
  <c r="L286" i="7"/>
  <c r="H286" i="7"/>
  <c r="I286" i="7" s="1"/>
  <c r="F286" i="7"/>
  <c r="C286" i="7"/>
  <c r="AD284" i="7"/>
  <c r="AC284" i="7"/>
  <c r="AA284" i="7"/>
  <c r="Z284" i="7"/>
  <c r="W284" i="7"/>
  <c r="X284" i="7" s="1"/>
  <c r="T284" i="7"/>
  <c r="U284" i="7" s="1"/>
  <c r="R284" i="7"/>
  <c r="Q284" i="7"/>
  <c r="K284" i="7"/>
  <c r="L284" i="7" s="1"/>
  <c r="E284" i="7"/>
  <c r="H284" i="7" s="1"/>
  <c r="I284" i="7" s="1"/>
  <c r="C284" i="7"/>
  <c r="B284" i="7"/>
  <c r="N284" i="7" s="1"/>
  <c r="O284" i="7" s="1"/>
  <c r="AC283" i="7"/>
  <c r="AD283" i="7" s="1"/>
  <c r="AA283" i="7"/>
  <c r="X283" i="7"/>
  <c r="W283" i="7"/>
  <c r="U283" i="7"/>
  <c r="R283" i="7"/>
  <c r="N283" i="7"/>
  <c r="O283" i="7" s="1"/>
  <c r="L283" i="7"/>
  <c r="H283" i="7"/>
  <c r="I283" i="7" s="1"/>
  <c r="F283" i="7"/>
  <c r="C283" i="7"/>
  <c r="AD282" i="7"/>
  <c r="AC282" i="7"/>
  <c r="AA282" i="7"/>
  <c r="X282" i="7"/>
  <c r="W282" i="7"/>
  <c r="U282" i="7"/>
  <c r="R282" i="7"/>
  <c r="O282" i="7"/>
  <c r="N282" i="7"/>
  <c r="L282" i="7"/>
  <c r="H282" i="7"/>
  <c r="I282" i="7" s="1"/>
  <c r="F282" i="7"/>
  <c r="C282" i="7"/>
  <c r="AC281" i="7"/>
  <c r="AD281" i="7" s="1"/>
  <c r="AA281" i="7"/>
  <c r="W281" i="7"/>
  <c r="X281" i="7" s="1"/>
  <c r="U281" i="7"/>
  <c r="R281" i="7"/>
  <c r="O281" i="7"/>
  <c r="N281" i="7"/>
  <c r="L281" i="7"/>
  <c r="I281" i="7"/>
  <c r="H281" i="7"/>
  <c r="F281" i="7"/>
  <c r="C281" i="7"/>
  <c r="AC280" i="7"/>
  <c r="AD280" i="7" s="1"/>
  <c r="AA280" i="7"/>
  <c r="X280" i="7"/>
  <c r="W280" i="7"/>
  <c r="U280" i="7"/>
  <c r="R280" i="7"/>
  <c r="O280" i="7"/>
  <c r="N280" i="7"/>
  <c r="L280" i="7"/>
  <c r="I280" i="7"/>
  <c r="H280" i="7"/>
  <c r="F280" i="7"/>
  <c r="C280" i="7"/>
  <c r="AC279" i="7"/>
  <c r="AD279" i="7" s="1"/>
  <c r="AA279" i="7"/>
  <c r="X279" i="7"/>
  <c r="W279" i="7"/>
  <c r="U279" i="7"/>
  <c r="R279" i="7"/>
  <c r="N279" i="7"/>
  <c r="O279" i="7" s="1"/>
  <c r="L279" i="7"/>
  <c r="H279" i="7"/>
  <c r="I279" i="7" s="1"/>
  <c r="F279" i="7"/>
  <c r="C279" i="7"/>
  <c r="AD278" i="7"/>
  <c r="AC278" i="7"/>
  <c r="AA278" i="7"/>
  <c r="X278" i="7"/>
  <c r="W278" i="7"/>
  <c r="U278" i="7"/>
  <c r="R278" i="7"/>
  <c r="O278" i="7"/>
  <c r="N278" i="7"/>
  <c r="L278" i="7"/>
  <c r="H278" i="7"/>
  <c r="I278" i="7" s="1"/>
  <c r="F278" i="7"/>
  <c r="C278" i="7"/>
  <c r="AD277" i="7"/>
  <c r="AC277" i="7"/>
  <c r="AA277" i="7"/>
  <c r="W277" i="7"/>
  <c r="X277" i="7" s="1"/>
  <c r="U277" i="7"/>
  <c r="R277" i="7"/>
  <c r="N277" i="7"/>
  <c r="O277" i="7" s="1"/>
  <c r="L277" i="7"/>
  <c r="I277" i="7"/>
  <c r="H277" i="7"/>
  <c r="F277" i="7"/>
  <c r="C277" i="7"/>
  <c r="AC276" i="7"/>
  <c r="AD276" i="7" s="1"/>
  <c r="AA276" i="7"/>
  <c r="X276" i="7"/>
  <c r="W276" i="7"/>
  <c r="U276" i="7"/>
  <c r="R276" i="7"/>
  <c r="O276" i="7"/>
  <c r="N276" i="7"/>
  <c r="L276" i="7"/>
  <c r="H276" i="7"/>
  <c r="I276" i="7" s="1"/>
  <c r="F276" i="7"/>
  <c r="C276" i="7"/>
  <c r="AC275" i="7"/>
  <c r="AD275" i="7" s="1"/>
  <c r="AA275" i="7"/>
  <c r="X275" i="7"/>
  <c r="W275" i="7"/>
  <c r="U275" i="7"/>
  <c r="R275" i="7"/>
  <c r="N275" i="7"/>
  <c r="O275" i="7" s="1"/>
  <c r="L275" i="7"/>
  <c r="H275" i="7"/>
  <c r="I275" i="7" s="1"/>
  <c r="F275" i="7"/>
  <c r="C275" i="7"/>
  <c r="Z273" i="7"/>
  <c r="AA273" i="7" s="1"/>
  <c r="W273" i="7"/>
  <c r="X273" i="7" s="1"/>
  <c r="U273" i="7"/>
  <c r="T273" i="7"/>
  <c r="R273" i="7"/>
  <c r="Q273" i="7"/>
  <c r="AC273" i="7" s="1"/>
  <c r="AD273" i="7" s="1"/>
  <c r="N273" i="7"/>
  <c r="O273" i="7" s="1"/>
  <c r="K273" i="7"/>
  <c r="L273" i="7" s="1"/>
  <c r="F273" i="7"/>
  <c r="E273" i="7"/>
  <c r="B273" i="7"/>
  <c r="AC272" i="7"/>
  <c r="AD272" i="7" s="1"/>
  <c r="AA272" i="7"/>
  <c r="X272" i="7"/>
  <c r="W272" i="7"/>
  <c r="U272" i="7"/>
  <c r="R272" i="7"/>
  <c r="O272" i="7"/>
  <c r="N272" i="7"/>
  <c r="L272" i="7"/>
  <c r="H272" i="7"/>
  <c r="I272" i="7" s="1"/>
  <c r="F272" i="7"/>
  <c r="C272" i="7"/>
  <c r="AC271" i="7"/>
  <c r="AD271" i="7" s="1"/>
  <c r="AA271" i="7"/>
  <c r="X271" i="7"/>
  <c r="W271" i="7"/>
  <c r="U271" i="7"/>
  <c r="R271" i="7"/>
  <c r="N271" i="7"/>
  <c r="O271" i="7" s="1"/>
  <c r="L271" i="7"/>
  <c r="H271" i="7"/>
  <c r="I271" i="7" s="1"/>
  <c r="F271" i="7"/>
  <c r="C271" i="7"/>
  <c r="AD270" i="7"/>
  <c r="AC270" i="7"/>
  <c r="AA270" i="7"/>
  <c r="X270" i="7"/>
  <c r="W270" i="7"/>
  <c r="U270" i="7"/>
  <c r="R270" i="7"/>
  <c r="O270" i="7"/>
  <c r="N270" i="7"/>
  <c r="L270" i="7"/>
  <c r="H270" i="7"/>
  <c r="I270" i="7" s="1"/>
  <c r="F270" i="7"/>
  <c r="C270" i="7"/>
  <c r="AD269" i="7"/>
  <c r="AC269" i="7"/>
  <c r="AA269" i="7"/>
  <c r="W269" i="7"/>
  <c r="X269" i="7" s="1"/>
  <c r="U269" i="7"/>
  <c r="R269" i="7"/>
  <c r="N269" i="7"/>
  <c r="O269" i="7" s="1"/>
  <c r="L269" i="7"/>
  <c r="I269" i="7"/>
  <c r="H269" i="7"/>
  <c r="F269" i="7"/>
  <c r="C269" i="7"/>
  <c r="Z267" i="7"/>
  <c r="AA267" i="7" s="1"/>
  <c r="T267" i="7"/>
  <c r="U267" i="7" s="1"/>
  <c r="Q267" i="7"/>
  <c r="L267" i="7"/>
  <c r="K267" i="7"/>
  <c r="E267" i="7"/>
  <c r="F267" i="7" s="1"/>
  <c r="B267" i="7"/>
  <c r="AD266" i="7"/>
  <c r="AC266" i="7"/>
  <c r="AA266" i="7"/>
  <c r="X266" i="7"/>
  <c r="W266" i="7"/>
  <c r="U266" i="7"/>
  <c r="R266" i="7"/>
  <c r="N266" i="7"/>
  <c r="O266" i="7" s="1"/>
  <c r="L266" i="7"/>
  <c r="H266" i="7"/>
  <c r="I266" i="7" s="1"/>
  <c r="F266" i="7"/>
  <c r="C266" i="7"/>
  <c r="AD265" i="7"/>
  <c r="AC265" i="7"/>
  <c r="AA265" i="7"/>
  <c r="W265" i="7"/>
  <c r="X265" i="7" s="1"/>
  <c r="U265" i="7"/>
  <c r="R265" i="7"/>
  <c r="N265" i="7"/>
  <c r="O265" i="7" s="1"/>
  <c r="L265" i="7"/>
  <c r="I265" i="7"/>
  <c r="H265" i="7"/>
  <c r="F265" i="7"/>
  <c r="C265" i="7"/>
  <c r="AC263" i="7"/>
  <c r="AD263" i="7" s="1"/>
  <c r="Z263" i="7"/>
  <c r="AA263" i="7" s="1"/>
  <c r="T263" i="7"/>
  <c r="U263" i="7" s="1"/>
  <c r="Q263" i="7"/>
  <c r="L263" i="7"/>
  <c r="K263" i="7"/>
  <c r="E263" i="7"/>
  <c r="F263" i="7" s="1"/>
  <c r="B263" i="7"/>
  <c r="Z262" i="7"/>
  <c r="AA262" i="7" s="1"/>
  <c r="W262" i="7"/>
  <c r="X262" i="7" s="1"/>
  <c r="T262" i="7"/>
  <c r="U262" i="7" s="1"/>
  <c r="R262" i="7"/>
  <c r="Q262" i="7"/>
  <c r="N262" i="7"/>
  <c r="O262" i="7" s="1"/>
  <c r="K262" i="7"/>
  <c r="L262" i="7" s="1"/>
  <c r="H262" i="7"/>
  <c r="I262" i="7" s="1"/>
  <c r="F262" i="7"/>
  <c r="E262" i="7"/>
  <c r="B262" i="7"/>
  <c r="C262" i="7" s="1"/>
  <c r="AC261" i="7"/>
  <c r="AD261" i="7" s="1"/>
  <c r="AA261" i="7"/>
  <c r="X261" i="7"/>
  <c r="W261" i="7"/>
  <c r="U261" i="7"/>
  <c r="R261" i="7"/>
  <c r="O261" i="7"/>
  <c r="N261" i="7"/>
  <c r="L261" i="7"/>
  <c r="H261" i="7"/>
  <c r="I261" i="7" s="1"/>
  <c r="F261" i="7"/>
  <c r="C261" i="7"/>
  <c r="AC260" i="7"/>
  <c r="AD260" i="7" s="1"/>
  <c r="AA260" i="7"/>
  <c r="X260" i="7"/>
  <c r="W260" i="7"/>
  <c r="U260" i="7"/>
  <c r="R260" i="7"/>
  <c r="N260" i="7"/>
  <c r="O260" i="7" s="1"/>
  <c r="L260" i="7"/>
  <c r="H260" i="7"/>
  <c r="I260" i="7" s="1"/>
  <c r="F260" i="7"/>
  <c r="C260" i="7"/>
  <c r="AD259" i="7"/>
  <c r="AC259" i="7"/>
  <c r="AA259" i="7"/>
  <c r="X259" i="7"/>
  <c r="W259" i="7"/>
  <c r="U259" i="7"/>
  <c r="R259" i="7"/>
  <c r="O259" i="7"/>
  <c r="N259" i="7"/>
  <c r="L259" i="7"/>
  <c r="H259" i="7"/>
  <c r="I259" i="7" s="1"/>
  <c r="F259" i="7"/>
  <c r="C259" i="7"/>
  <c r="AC258" i="7"/>
  <c r="AD258" i="7" s="1"/>
  <c r="AA258" i="7"/>
  <c r="W258" i="7"/>
  <c r="X258" i="7" s="1"/>
  <c r="U258" i="7"/>
  <c r="R258" i="7"/>
  <c r="O258" i="7"/>
  <c r="N258" i="7"/>
  <c r="L258" i="7"/>
  <c r="I258" i="7"/>
  <c r="H258" i="7"/>
  <c r="F258" i="7"/>
  <c r="C258" i="7"/>
  <c r="AC257" i="7"/>
  <c r="AD257" i="7" s="1"/>
  <c r="AA257" i="7"/>
  <c r="X257" i="7"/>
  <c r="W257" i="7"/>
  <c r="U257" i="7"/>
  <c r="R257" i="7"/>
  <c r="O257" i="7"/>
  <c r="N257" i="7"/>
  <c r="L257" i="7"/>
  <c r="I257" i="7"/>
  <c r="H257" i="7"/>
  <c r="F257" i="7"/>
  <c r="C257" i="7"/>
  <c r="AC256" i="7"/>
  <c r="AD256" i="7" s="1"/>
  <c r="AA256" i="7"/>
  <c r="W256" i="7"/>
  <c r="X256" i="7" s="1"/>
  <c r="U256" i="7"/>
  <c r="R256" i="7"/>
  <c r="N256" i="7"/>
  <c r="O256" i="7" s="1"/>
  <c r="L256" i="7"/>
  <c r="H256" i="7"/>
  <c r="I256" i="7" s="1"/>
  <c r="F256" i="7"/>
  <c r="C256" i="7"/>
  <c r="AD255" i="7"/>
  <c r="AC255" i="7"/>
  <c r="AA255" i="7"/>
  <c r="X255" i="7"/>
  <c r="W255" i="7"/>
  <c r="U255" i="7"/>
  <c r="R255" i="7"/>
  <c r="N255" i="7"/>
  <c r="O255" i="7" s="1"/>
  <c r="L255" i="7"/>
  <c r="H255" i="7"/>
  <c r="I255" i="7" s="1"/>
  <c r="F255" i="7"/>
  <c r="C255" i="7"/>
  <c r="AD254" i="7"/>
  <c r="AC254" i="7"/>
  <c r="AA254" i="7"/>
  <c r="W254" i="7"/>
  <c r="X254" i="7" s="1"/>
  <c r="U254" i="7"/>
  <c r="R254" i="7"/>
  <c r="N254" i="7"/>
  <c r="O254" i="7" s="1"/>
  <c r="L254" i="7"/>
  <c r="I254" i="7"/>
  <c r="H254" i="7"/>
  <c r="F254" i="7"/>
  <c r="C254" i="7"/>
  <c r="AC253" i="7"/>
  <c r="AD253" i="7" s="1"/>
  <c r="AA253" i="7"/>
  <c r="X253" i="7"/>
  <c r="W253" i="7"/>
  <c r="U253" i="7"/>
  <c r="R253" i="7"/>
  <c r="O253" i="7"/>
  <c r="N253" i="7"/>
  <c r="L253" i="7"/>
  <c r="H253" i="7"/>
  <c r="I253" i="7" s="1"/>
  <c r="F253" i="7"/>
  <c r="C253" i="7"/>
  <c r="AC252" i="7"/>
  <c r="AD252" i="7" s="1"/>
  <c r="AA252" i="7"/>
  <c r="W252" i="7"/>
  <c r="X252" i="7" s="1"/>
  <c r="U252" i="7"/>
  <c r="R252" i="7"/>
  <c r="N252" i="7"/>
  <c r="O252" i="7" s="1"/>
  <c r="L252" i="7"/>
  <c r="H252" i="7"/>
  <c r="I252" i="7" s="1"/>
  <c r="F252" i="7"/>
  <c r="C252" i="7"/>
  <c r="AD251" i="7"/>
  <c r="AC251" i="7"/>
  <c r="AA251" i="7"/>
  <c r="X251" i="7"/>
  <c r="W251" i="7"/>
  <c r="U251" i="7"/>
  <c r="R251" i="7"/>
  <c r="N251" i="7"/>
  <c r="O251" i="7" s="1"/>
  <c r="L251" i="7"/>
  <c r="H251" i="7"/>
  <c r="I251" i="7" s="1"/>
  <c r="F251" i="7"/>
  <c r="C251" i="7"/>
  <c r="AC250" i="7"/>
  <c r="AD250" i="7" s="1"/>
  <c r="AA250" i="7"/>
  <c r="W250" i="7"/>
  <c r="X250" i="7" s="1"/>
  <c r="U250" i="7"/>
  <c r="R250" i="7"/>
  <c r="O250" i="7"/>
  <c r="N250" i="7"/>
  <c r="L250" i="7"/>
  <c r="I250" i="7"/>
  <c r="H250" i="7"/>
  <c r="F250" i="7"/>
  <c r="C250" i="7"/>
  <c r="AC249" i="7"/>
  <c r="AD249" i="7" s="1"/>
  <c r="AA249" i="7"/>
  <c r="W249" i="7"/>
  <c r="X249" i="7" s="1"/>
  <c r="U249" i="7"/>
  <c r="R249" i="7"/>
  <c r="O249" i="7"/>
  <c r="N249" i="7"/>
  <c r="L249" i="7"/>
  <c r="I249" i="7"/>
  <c r="H249" i="7"/>
  <c r="F249" i="7"/>
  <c r="C249" i="7"/>
  <c r="AC248" i="7"/>
  <c r="AD248" i="7" s="1"/>
  <c r="AA248" i="7"/>
  <c r="W248" i="7"/>
  <c r="X248" i="7" s="1"/>
  <c r="U248" i="7"/>
  <c r="R248" i="7"/>
  <c r="N248" i="7"/>
  <c r="O248" i="7" s="1"/>
  <c r="L248" i="7"/>
  <c r="H248" i="7"/>
  <c r="I248" i="7" s="1"/>
  <c r="F248" i="7"/>
  <c r="C248" i="7"/>
  <c r="AD247" i="7"/>
  <c r="AC247" i="7"/>
  <c r="AA247" i="7"/>
  <c r="X247" i="7"/>
  <c r="W247" i="7"/>
  <c r="U247" i="7"/>
  <c r="R247" i="7"/>
  <c r="N247" i="7"/>
  <c r="O247" i="7" s="1"/>
  <c r="L247" i="7"/>
  <c r="H247" i="7"/>
  <c r="I247" i="7" s="1"/>
  <c r="F247" i="7"/>
  <c r="C247" i="7"/>
  <c r="AD246" i="7"/>
  <c r="AC246" i="7"/>
  <c r="AA246" i="7"/>
  <c r="W246" i="7"/>
  <c r="X246" i="7" s="1"/>
  <c r="U246" i="7"/>
  <c r="R246" i="7"/>
  <c r="N246" i="7"/>
  <c r="O246" i="7" s="1"/>
  <c r="L246" i="7"/>
  <c r="I246" i="7"/>
  <c r="H246" i="7"/>
  <c r="F246" i="7"/>
  <c r="C246" i="7"/>
  <c r="AC245" i="7"/>
  <c r="AD245" i="7" s="1"/>
  <c r="AA245" i="7"/>
  <c r="X245" i="7"/>
  <c r="W245" i="7"/>
  <c r="U245" i="7"/>
  <c r="R245" i="7"/>
  <c r="O245" i="7"/>
  <c r="N245" i="7"/>
  <c r="L245" i="7"/>
  <c r="H245" i="7"/>
  <c r="I245" i="7" s="1"/>
  <c r="F245" i="7"/>
  <c r="C245" i="7"/>
  <c r="AC244" i="7"/>
  <c r="AD244" i="7" s="1"/>
  <c r="AA244" i="7"/>
  <c r="X244" i="7"/>
  <c r="W244" i="7"/>
  <c r="U244" i="7"/>
  <c r="R244" i="7"/>
  <c r="N244" i="7"/>
  <c r="O244" i="7" s="1"/>
  <c r="L244" i="7"/>
  <c r="H244" i="7"/>
  <c r="I244" i="7" s="1"/>
  <c r="F244" i="7"/>
  <c r="C244" i="7"/>
  <c r="AD243" i="7"/>
  <c r="AC243" i="7"/>
  <c r="AA243" i="7"/>
  <c r="X243" i="7"/>
  <c r="W243" i="7"/>
  <c r="U243" i="7"/>
  <c r="R243" i="7"/>
  <c r="O243" i="7"/>
  <c r="N243" i="7"/>
  <c r="L243" i="7"/>
  <c r="I243" i="7"/>
  <c r="H243" i="7"/>
  <c r="F243" i="7"/>
  <c r="C243" i="7"/>
  <c r="AD242" i="7"/>
  <c r="AC242" i="7"/>
  <c r="AA242" i="7"/>
  <c r="W242" i="7"/>
  <c r="X242" i="7" s="1"/>
  <c r="U242" i="7"/>
  <c r="R242" i="7"/>
  <c r="O242" i="7"/>
  <c r="N242" i="7"/>
  <c r="L242" i="7"/>
  <c r="I242" i="7"/>
  <c r="H242" i="7"/>
  <c r="F242" i="7"/>
  <c r="C242" i="7"/>
  <c r="AC241" i="7"/>
  <c r="AD241" i="7" s="1"/>
  <c r="AA241" i="7"/>
  <c r="W241" i="7"/>
  <c r="X241" i="7" s="1"/>
  <c r="U241" i="7"/>
  <c r="R241" i="7"/>
  <c r="O241" i="7"/>
  <c r="N241" i="7"/>
  <c r="L241" i="7"/>
  <c r="I241" i="7"/>
  <c r="H241" i="7"/>
  <c r="F241" i="7"/>
  <c r="C241" i="7"/>
  <c r="AC240" i="7"/>
  <c r="AD240" i="7" s="1"/>
  <c r="AA240" i="7"/>
  <c r="W240" i="7"/>
  <c r="X240" i="7" s="1"/>
  <c r="U240" i="7"/>
  <c r="R240" i="7"/>
  <c r="N240" i="7"/>
  <c r="O240" i="7" s="1"/>
  <c r="L240" i="7"/>
  <c r="H240" i="7"/>
  <c r="I240" i="7" s="1"/>
  <c r="F240" i="7"/>
  <c r="C240" i="7"/>
  <c r="AD238" i="7"/>
  <c r="AC238" i="7"/>
  <c r="AA238" i="7"/>
  <c r="X238" i="7"/>
  <c r="W238" i="7"/>
  <c r="U238" i="7"/>
  <c r="R238" i="7"/>
  <c r="N238" i="7"/>
  <c r="O238" i="7" s="1"/>
  <c r="L238" i="7"/>
  <c r="I238" i="7"/>
  <c r="H238" i="7"/>
  <c r="F238" i="7"/>
  <c r="C238" i="7"/>
  <c r="AA236" i="7"/>
  <c r="Z236" i="7"/>
  <c r="T236" i="7"/>
  <c r="U236" i="7" s="1"/>
  <c r="Q236" i="7"/>
  <c r="L236" i="7"/>
  <c r="K236" i="7"/>
  <c r="H236" i="7"/>
  <c r="I236" i="7" s="1"/>
  <c r="F236" i="7"/>
  <c r="E236" i="7"/>
  <c r="C236" i="7"/>
  <c r="B236" i="7"/>
  <c r="N236" i="7" s="1"/>
  <c r="O236" i="7" s="1"/>
  <c r="AC235" i="7"/>
  <c r="AD235" i="7" s="1"/>
  <c r="AA235" i="7"/>
  <c r="X235" i="7"/>
  <c r="W235" i="7"/>
  <c r="U235" i="7"/>
  <c r="R235" i="7"/>
  <c r="N235" i="7"/>
  <c r="O235" i="7" s="1"/>
  <c r="L235" i="7"/>
  <c r="H235" i="7"/>
  <c r="I235" i="7" s="1"/>
  <c r="F235" i="7"/>
  <c r="C235" i="7"/>
  <c r="AD234" i="7"/>
  <c r="AC234" i="7"/>
  <c r="AA234" i="7"/>
  <c r="X234" i="7"/>
  <c r="W234" i="7"/>
  <c r="U234" i="7"/>
  <c r="R234" i="7"/>
  <c r="O234" i="7"/>
  <c r="N234" i="7"/>
  <c r="L234" i="7"/>
  <c r="H234" i="7"/>
  <c r="I234" i="7" s="1"/>
  <c r="F234" i="7"/>
  <c r="C234" i="7"/>
  <c r="AC233" i="7"/>
  <c r="AD233" i="7" s="1"/>
  <c r="AA233" i="7"/>
  <c r="W233" i="7"/>
  <c r="X233" i="7" s="1"/>
  <c r="U233" i="7"/>
  <c r="R233" i="7"/>
  <c r="O233" i="7"/>
  <c r="N233" i="7"/>
  <c r="L233" i="7"/>
  <c r="I233" i="7"/>
  <c r="H233" i="7"/>
  <c r="F233" i="7"/>
  <c r="C233" i="7"/>
  <c r="AC232" i="7"/>
  <c r="AD232" i="7" s="1"/>
  <c r="AA232" i="7"/>
  <c r="X232" i="7"/>
  <c r="W232" i="7"/>
  <c r="U232" i="7"/>
  <c r="R232" i="7"/>
  <c r="O232" i="7"/>
  <c r="N232" i="7"/>
  <c r="L232" i="7"/>
  <c r="I232" i="7"/>
  <c r="H232" i="7"/>
  <c r="F232" i="7"/>
  <c r="C232" i="7"/>
  <c r="AD231" i="7"/>
  <c r="AC231" i="7"/>
  <c r="AA231" i="7"/>
  <c r="W231" i="7"/>
  <c r="X231" i="7" s="1"/>
  <c r="U231" i="7"/>
  <c r="R231" i="7"/>
  <c r="N231" i="7"/>
  <c r="O231" i="7" s="1"/>
  <c r="L231" i="7"/>
  <c r="H231" i="7"/>
  <c r="I231" i="7" s="1"/>
  <c r="F231" i="7"/>
  <c r="C231" i="7"/>
  <c r="AD230" i="7"/>
  <c r="AC230" i="7"/>
  <c r="AA230" i="7"/>
  <c r="X230" i="7"/>
  <c r="W230" i="7"/>
  <c r="U230" i="7"/>
  <c r="R230" i="7"/>
  <c r="N230" i="7"/>
  <c r="O230" i="7" s="1"/>
  <c r="L230" i="7"/>
  <c r="H230" i="7"/>
  <c r="I230" i="7" s="1"/>
  <c r="F230" i="7"/>
  <c r="C230" i="7"/>
  <c r="AD229" i="7"/>
  <c r="AC229" i="7"/>
  <c r="AA229" i="7"/>
  <c r="W229" i="7"/>
  <c r="X229" i="7" s="1"/>
  <c r="U229" i="7"/>
  <c r="R229" i="7"/>
  <c r="O229" i="7"/>
  <c r="N229" i="7"/>
  <c r="L229" i="7"/>
  <c r="I229" i="7"/>
  <c r="H229" i="7"/>
  <c r="F229" i="7"/>
  <c r="C229" i="7"/>
  <c r="AA227" i="7"/>
  <c r="Z227" i="7"/>
  <c r="U227" i="7"/>
  <c r="T227" i="7"/>
  <c r="Q227" i="7"/>
  <c r="N227" i="7"/>
  <c r="O227" i="7" s="1"/>
  <c r="L227" i="7"/>
  <c r="K227" i="7"/>
  <c r="H227" i="7"/>
  <c r="I227" i="7" s="1"/>
  <c r="E227" i="7"/>
  <c r="F227" i="7" s="1"/>
  <c r="C227" i="7"/>
  <c r="B227" i="7"/>
  <c r="AD226" i="7"/>
  <c r="AC226" i="7"/>
  <c r="AA226" i="7"/>
  <c r="X226" i="7"/>
  <c r="W226" i="7"/>
  <c r="U226" i="7"/>
  <c r="R226" i="7"/>
  <c r="N226" i="7"/>
  <c r="O226" i="7" s="1"/>
  <c r="L226" i="7"/>
  <c r="H226" i="7"/>
  <c r="I226" i="7" s="1"/>
  <c r="F226" i="7"/>
  <c r="C226" i="7"/>
  <c r="AD225" i="7"/>
  <c r="AC225" i="7"/>
  <c r="AA225" i="7"/>
  <c r="W225" i="7"/>
  <c r="X225" i="7" s="1"/>
  <c r="U225" i="7"/>
  <c r="R225" i="7"/>
  <c r="O225" i="7"/>
  <c r="N225" i="7"/>
  <c r="L225" i="7"/>
  <c r="I225" i="7"/>
  <c r="H225" i="7"/>
  <c r="F225" i="7"/>
  <c r="C225" i="7"/>
  <c r="AC224" i="7"/>
  <c r="AD224" i="7" s="1"/>
  <c r="AA224" i="7"/>
  <c r="W224" i="7"/>
  <c r="X224" i="7" s="1"/>
  <c r="U224" i="7"/>
  <c r="R224" i="7"/>
  <c r="O224" i="7"/>
  <c r="N224" i="7"/>
  <c r="L224" i="7"/>
  <c r="I224" i="7"/>
  <c r="H224" i="7"/>
  <c r="F224" i="7"/>
  <c r="C224" i="7"/>
  <c r="AD223" i="7"/>
  <c r="AC223" i="7"/>
  <c r="AA223" i="7"/>
  <c r="W223" i="7"/>
  <c r="X223" i="7" s="1"/>
  <c r="U223" i="7"/>
  <c r="R223" i="7"/>
  <c r="N223" i="7"/>
  <c r="O223" i="7" s="1"/>
  <c r="L223" i="7"/>
  <c r="H223" i="7"/>
  <c r="I223" i="7" s="1"/>
  <c r="F223" i="7"/>
  <c r="C223" i="7"/>
  <c r="AD222" i="7"/>
  <c r="AC222" i="7"/>
  <c r="AA222" i="7"/>
  <c r="X222" i="7"/>
  <c r="W222" i="7"/>
  <c r="U222" i="7"/>
  <c r="R222" i="7"/>
  <c r="N222" i="7"/>
  <c r="O222" i="7" s="1"/>
  <c r="L222" i="7"/>
  <c r="I222" i="7"/>
  <c r="H222" i="7"/>
  <c r="F222" i="7"/>
  <c r="C222" i="7"/>
  <c r="AC221" i="7"/>
  <c r="AD221" i="7" s="1"/>
  <c r="AA221" i="7"/>
  <c r="W221" i="7"/>
  <c r="X221" i="7" s="1"/>
  <c r="U221" i="7"/>
  <c r="R221" i="7"/>
  <c r="O221" i="7"/>
  <c r="N221" i="7"/>
  <c r="L221" i="7"/>
  <c r="I221" i="7"/>
  <c r="H221" i="7"/>
  <c r="F221" i="7"/>
  <c r="C221" i="7"/>
  <c r="AC220" i="7"/>
  <c r="AD220" i="7" s="1"/>
  <c r="AA220" i="7"/>
  <c r="X220" i="7"/>
  <c r="W220" i="7"/>
  <c r="U220" i="7"/>
  <c r="R220" i="7"/>
  <c r="O220" i="7"/>
  <c r="N220" i="7"/>
  <c r="L220" i="7"/>
  <c r="I220" i="7"/>
  <c r="H220" i="7"/>
  <c r="F220" i="7"/>
  <c r="C220" i="7"/>
  <c r="AC219" i="7"/>
  <c r="AD219" i="7" s="1"/>
  <c r="AA219" i="7"/>
  <c r="W219" i="7"/>
  <c r="X219" i="7" s="1"/>
  <c r="U219" i="7"/>
  <c r="R219" i="7"/>
  <c r="N219" i="7"/>
  <c r="O219" i="7" s="1"/>
  <c r="L219" i="7"/>
  <c r="H219" i="7"/>
  <c r="I219" i="7" s="1"/>
  <c r="F219" i="7"/>
  <c r="C219" i="7"/>
  <c r="AD218" i="7"/>
  <c r="AA218" i="7"/>
  <c r="Z218" i="7"/>
  <c r="W218" i="7"/>
  <c r="X218" i="7" s="1"/>
  <c r="U218" i="7"/>
  <c r="T218" i="7"/>
  <c r="R218" i="7"/>
  <c r="Q218" i="7"/>
  <c r="AC218" i="7" s="1"/>
  <c r="K218" i="7"/>
  <c r="L218" i="7" s="1"/>
  <c r="F218" i="7"/>
  <c r="E218" i="7"/>
  <c r="B218" i="7"/>
  <c r="AC217" i="7"/>
  <c r="AD217" i="7" s="1"/>
  <c r="AA217" i="7"/>
  <c r="X217" i="7"/>
  <c r="W217" i="7"/>
  <c r="U217" i="7"/>
  <c r="R217" i="7"/>
  <c r="O217" i="7"/>
  <c r="N217" i="7"/>
  <c r="L217" i="7"/>
  <c r="H217" i="7"/>
  <c r="I217" i="7" s="1"/>
  <c r="F217" i="7"/>
  <c r="C217" i="7"/>
  <c r="AD216" i="7"/>
  <c r="AC216" i="7"/>
  <c r="AA216" i="7"/>
  <c r="X216" i="7"/>
  <c r="W216" i="7"/>
  <c r="U216" i="7"/>
  <c r="R216" i="7"/>
  <c r="N216" i="7"/>
  <c r="O216" i="7" s="1"/>
  <c r="L216" i="7"/>
  <c r="H216" i="7"/>
  <c r="I216" i="7" s="1"/>
  <c r="F216" i="7"/>
  <c r="C216" i="7"/>
  <c r="AD215" i="7"/>
  <c r="AC215" i="7"/>
  <c r="AA215" i="7"/>
  <c r="X215" i="7"/>
  <c r="W215" i="7"/>
  <c r="U215" i="7"/>
  <c r="R215" i="7"/>
  <c r="O215" i="7"/>
  <c r="N215" i="7"/>
  <c r="L215" i="7"/>
  <c r="I215" i="7"/>
  <c r="H215" i="7"/>
  <c r="F215" i="7"/>
  <c r="C215" i="7"/>
  <c r="AD214" i="7"/>
  <c r="AC214" i="7"/>
  <c r="AA214" i="7"/>
  <c r="W214" i="7"/>
  <c r="X214" i="7" s="1"/>
  <c r="U214" i="7"/>
  <c r="R214" i="7"/>
  <c r="O214" i="7"/>
  <c r="N214" i="7"/>
  <c r="L214" i="7"/>
  <c r="I214" i="7"/>
  <c r="H214" i="7"/>
  <c r="F214" i="7"/>
  <c r="C214" i="7"/>
  <c r="AC213" i="7"/>
  <c r="AD213" i="7" s="1"/>
  <c r="AA213" i="7"/>
  <c r="W213" i="7"/>
  <c r="X213" i="7" s="1"/>
  <c r="U213" i="7"/>
  <c r="R213" i="7"/>
  <c r="O213" i="7"/>
  <c r="N213" i="7"/>
  <c r="L213" i="7"/>
  <c r="I213" i="7"/>
  <c r="H213" i="7"/>
  <c r="F213" i="7"/>
  <c r="C213" i="7"/>
  <c r="AC211" i="7"/>
  <c r="AD211" i="7" s="1"/>
  <c r="AA211" i="7"/>
  <c r="X211" i="7"/>
  <c r="W211" i="7"/>
  <c r="U211" i="7"/>
  <c r="R211" i="7"/>
  <c r="N211" i="7"/>
  <c r="O211" i="7" s="1"/>
  <c r="L211" i="7"/>
  <c r="H211" i="7"/>
  <c r="I211" i="7" s="1"/>
  <c r="F211" i="7"/>
  <c r="C211" i="7"/>
  <c r="Z209" i="7"/>
  <c r="AA209" i="7" s="1"/>
  <c r="T209" i="7"/>
  <c r="R209" i="7"/>
  <c r="Q209" i="7"/>
  <c r="AC209" i="7" s="1"/>
  <c r="AD209" i="7" s="1"/>
  <c r="K209" i="7"/>
  <c r="L209" i="7" s="1"/>
  <c r="F209" i="7"/>
  <c r="E209" i="7"/>
  <c r="B209" i="7"/>
  <c r="AC208" i="7"/>
  <c r="AD208" i="7" s="1"/>
  <c r="AA208" i="7"/>
  <c r="X208" i="7"/>
  <c r="W208" i="7"/>
  <c r="U208" i="7"/>
  <c r="R208" i="7"/>
  <c r="O208" i="7"/>
  <c r="N208" i="7"/>
  <c r="L208" i="7"/>
  <c r="I208" i="7"/>
  <c r="H208" i="7"/>
  <c r="F208" i="7"/>
  <c r="C208" i="7"/>
  <c r="AD207" i="7"/>
  <c r="AC207" i="7"/>
  <c r="AA207" i="7"/>
  <c r="W207" i="7"/>
  <c r="X207" i="7" s="1"/>
  <c r="U207" i="7"/>
  <c r="R207" i="7"/>
  <c r="N207" i="7"/>
  <c r="O207" i="7" s="1"/>
  <c r="L207" i="7"/>
  <c r="H207" i="7"/>
  <c r="I207" i="7" s="1"/>
  <c r="F207" i="7"/>
  <c r="C207" i="7"/>
  <c r="AD206" i="7"/>
  <c r="AC206" i="7"/>
  <c r="AA206" i="7"/>
  <c r="X206" i="7"/>
  <c r="W206" i="7"/>
  <c r="U206" i="7"/>
  <c r="R206" i="7"/>
  <c r="N206" i="7"/>
  <c r="O206" i="7" s="1"/>
  <c r="L206" i="7"/>
  <c r="H206" i="7"/>
  <c r="I206" i="7" s="1"/>
  <c r="F206" i="7"/>
  <c r="C206" i="7"/>
  <c r="AD205" i="7"/>
  <c r="AC205" i="7"/>
  <c r="AA205" i="7"/>
  <c r="W205" i="7"/>
  <c r="X205" i="7" s="1"/>
  <c r="U205" i="7"/>
  <c r="R205" i="7"/>
  <c r="O205" i="7"/>
  <c r="N205" i="7"/>
  <c r="L205" i="7"/>
  <c r="I205" i="7"/>
  <c r="H205" i="7"/>
  <c r="F205" i="7"/>
  <c r="C205" i="7"/>
  <c r="AC204" i="7"/>
  <c r="AD204" i="7" s="1"/>
  <c r="AA204" i="7"/>
  <c r="W204" i="7"/>
  <c r="X204" i="7" s="1"/>
  <c r="U204" i="7"/>
  <c r="R204" i="7"/>
  <c r="O204" i="7"/>
  <c r="N204" i="7"/>
  <c r="L204" i="7"/>
  <c r="I204" i="7"/>
  <c r="H204" i="7"/>
  <c r="F204" i="7"/>
  <c r="C204" i="7"/>
  <c r="AD203" i="7"/>
  <c r="AC203" i="7"/>
  <c r="AA203" i="7"/>
  <c r="W203" i="7"/>
  <c r="X203" i="7" s="1"/>
  <c r="U203" i="7"/>
  <c r="R203" i="7"/>
  <c r="N203" i="7"/>
  <c r="O203" i="7" s="1"/>
  <c r="L203" i="7"/>
  <c r="H203" i="7"/>
  <c r="I203" i="7" s="1"/>
  <c r="F203" i="7"/>
  <c r="C203" i="7"/>
  <c r="AD202" i="7"/>
  <c r="AC202" i="7"/>
  <c r="AA202" i="7"/>
  <c r="X202" i="7"/>
  <c r="W202" i="7"/>
  <c r="U202" i="7"/>
  <c r="R202" i="7"/>
  <c r="N202" i="7"/>
  <c r="O202" i="7" s="1"/>
  <c r="L202" i="7"/>
  <c r="I202" i="7"/>
  <c r="H202" i="7"/>
  <c r="F202" i="7"/>
  <c r="C202" i="7"/>
  <c r="AC201" i="7"/>
  <c r="AD201" i="7" s="1"/>
  <c r="AA201" i="7"/>
  <c r="W201" i="7"/>
  <c r="X201" i="7" s="1"/>
  <c r="U201" i="7"/>
  <c r="R201" i="7"/>
  <c r="O201" i="7"/>
  <c r="N201" i="7"/>
  <c r="L201" i="7"/>
  <c r="I201" i="7"/>
  <c r="H201" i="7"/>
  <c r="F201" i="7"/>
  <c r="C201" i="7"/>
  <c r="Z197" i="7"/>
  <c r="AA197" i="7" s="1"/>
  <c r="T197" i="7"/>
  <c r="R197" i="7"/>
  <c r="Q197" i="7"/>
  <c r="AC197" i="7" s="1"/>
  <c r="AD197" i="7" s="1"/>
  <c r="K197" i="7"/>
  <c r="L197" i="7" s="1"/>
  <c r="F197" i="7"/>
  <c r="E197" i="7"/>
  <c r="B197" i="7"/>
  <c r="AA196" i="7"/>
  <c r="Z196" i="7"/>
  <c r="U196" i="7"/>
  <c r="T196" i="7"/>
  <c r="Q196" i="7"/>
  <c r="O196" i="7"/>
  <c r="L196" i="7"/>
  <c r="K196" i="7"/>
  <c r="E196" i="7"/>
  <c r="F196" i="7" s="1"/>
  <c r="C196" i="7"/>
  <c r="B196" i="7"/>
  <c r="N196" i="7" s="1"/>
  <c r="AD195" i="7"/>
  <c r="AC195" i="7"/>
  <c r="AA195" i="7"/>
  <c r="X195" i="7"/>
  <c r="W195" i="7"/>
  <c r="U195" i="7"/>
  <c r="R195" i="7"/>
  <c r="O195" i="7"/>
  <c r="N195" i="7"/>
  <c r="L195" i="7"/>
  <c r="I195" i="7"/>
  <c r="H195" i="7"/>
  <c r="F195" i="7"/>
  <c r="C195" i="7"/>
  <c r="AD194" i="7"/>
  <c r="AC194" i="7"/>
  <c r="AA194" i="7"/>
  <c r="W194" i="7"/>
  <c r="X194" i="7" s="1"/>
  <c r="U194" i="7"/>
  <c r="R194" i="7"/>
  <c r="N194" i="7"/>
  <c r="O194" i="7" s="1"/>
  <c r="L194" i="7"/>
  <c r="I194" i="7"/>
  <c r="H194" i="7"/>
  <c r="F194" i="7"/>
  <c r="C194" i="7"/>
  <c r="AA193" i="7"/>
  <c r="Z193" i="7"/>
  <c r="U193" i="7"/>
  <c r="T193" i="7"/>
  <c r="Q193" i="7"/>
  <c r="L193" i="7"/>
  <c r="K193" i="7"/>
  <c r="I193" i="7"/>
  <c r="H193" i="7"/>
  <c r="E193" i="7"/>
  <c r="F193" i="7" s="1"/>
  <c r="C193" i="7"/>
  <c r="B193" i="7"/>
  <c r="N193" i="7" s="1"/>
  <c r="O193" i="7" s="1"/>
  <c r="AD192" i="7"/>
  <c r="AC192" i="7"/>
  <c r="AA192" i="7"/>
  <c r="X192" i="7"/>
  <c r="W192" i="7"/>
  <c r="U192" i="7"/>
  <c r="R192" i="7"/>
  <c r="O192" i="7"/>
  <c r="N192" i="7"/>
  <c r="L192" i="7"/>
  <c r="H192" i="7"/>
  <c r="I192" i="7" s="1"/>
  <c r="F192" i="7"/>
  <c r="C192" i="7"/>
  <c r="AD191" i="7"/>
  <c r="AC191" i="7"/>
  <c r="AA191" i="7"/>
  <c r="W191" i="7"/>
  <c r="X191" i="7" s="1"/>
  <c r="U191" i="7"/>
  <c r="R191" i="7"/>
  <c r="O191" i="7"/>
  <c r="N191" i="7"/>
  <c r="L191" i="7"/>
  <c r="I191" i="7"/>
  <c r="H191" i="7"/>
  <c r="F191" i="7"/>
  <c r="C191" i="7"/>
  <c r="AC190" i="7"/>
  <c r="AD190" i="7" s="1"/>
  <c r="AA190" i="7"/>
  <c r="W190" i="7"/>
  <c r="X190" i="7" s="1"/>
  <c r="U190" i="7"/>
  <c r="R190" i="7"/>
  <c r="O190" i="7"/>
  <c r="N190" i="7"/>
  <c r="L190" i="7"/>
  <c r="I190" i="7"/>
  <c r="H190" i="7"/>
  <c r="F190" i="7"/>
  <c r="C190" i="7"/>
  <c r="AC189" i="7"/>
  <c r="AD189" i="7" s="1"/>
  <c r="AA189" i="7"/>
  <c r="X189" i="7"/>
  <c r="W189" i="7"/>
  <c r="U189" i="7"/>
  <c r="R189" i="7"/>
  <c r="N189" i="7"/>
  <c r="O189" i="7" s="1"/>
  <c r="L189" i="7"/>
  <c r="H189" i="7"/>
  <c r="I189" i="7" s="1"/>
  <c r="F189" i="7"/>
  <c r="C189" i="7"/>
  <c r="AD188" i="7"/>
  <c r="AC188" i="7"/>
  <c r="AA188" i="7"/>
  <c r="X188" i="7"/>
  <c r="W188" i="7"/>
  <c r="U188" i="7"/>
  <c r="R188" i="7"/>
  <c r="O188" i="7"/>
  <c r="N188" i="7"/>
  <c r="L188" i="7"/>
  <c r="I188" i="7"/>
  <c r="H188" i="7"/>
  <c r="F188" i="7"/>
  <c r="C188" i="7"/>
  <c r="AD187" i="7"/>
  <c r="AC187" i="7"/>
  <c r="AA187" i="7"/>
  <c r="W187" i="7"/>
  <c r="X187" i="7" s="1"/>
  <c r="U187" i="7"/>
  <c r="R187" i="7"/>
  <c r="N187" i="7"/>
  <c r="O187" i="7" s="1"/>
  <c r="L187" i="7"/>
  <c r="I187" i="7"/>
  <c r="H187" i="7"/>
  <c r="F187" i="7"/>
  <c r="C187" i="7"/>
  <c r="AC186" i="7"/>
  <c r="AD186" i="7" s="1"/>
  <c r="AA186" i="7"/>
  <c r="X186" i="7"/>
  <c r="W186" i="7"/>
  <c r="U186" i="7"/>
  <c r="R186" i="7"/>
  <c r="O186" i="7"/>
  <c r="N186" i="7"/>
  <c r="L186" i="7"/>
  <c r="H186" i="7"/>
  <c r="I186" i="7" s="1"/>
  <c r="F186" i="7"/>
  <c r="C186" i="7"/>
  <c r="AD184" i="7"/>
  <c r="AC184" i="7"/>
  <c r="AA184" i="7"/>
  <c r="X184" i="7"/>
  <c r="W184" i="7"/>
  <c r="U184" i="7"/>
  <c r="R184" i="7"/>
  <c r="N184" i="7"/>
  <c r="O184" i="7" s="1"/>
  <c r="L184" i="7"/>
  <c r="H184" i="7"/>
  <c r="I184" i="7" s="1"/>
  <c r="F184" i="7"/>
  <c r="C184" i="7"/>
  <c r="AD183" i="7"/>
  <c r="AC183" i="7"/>
  <c r="AA183" i="7"/>
  <c r="X183" i="7"/>
  <c r="W183" i="7"/>
  <c r="U183" i="7"/>
  <c r="R183" i="7"/>
  <c r="O183" i="7"/>
  <c r="N183" i="7"/>
  <c r="L183" i="7"/>
  <c r="I183" i="7"/>
  <c r="H183" i="7"/>
  <c r="F183" i="7"/>
  <c r="C183" i="7"/>
  <c r="AA182" i="7"/>
  <c r="Z182" i="7"/>
  <c r="X182" i="7"/>
  <c r="W182" i="7"/>
  <c r="T182" i="7"/>
  <c r="U182" i="7" s="1"/>
  <c r="Q182" i="7"/>
  <c r="K182" i="7"/>
  <c r="L182" i="7" s="1"/>
  <c r="F182" i="7"/>
  <c r="E182" i="7"/>
  <c r="H182" i="7" s="1"/>
  <c r="I182" i="7" s="1"/>
  <c r="C182" i="7"/>
  <c r="B182" i="7"/>
  <c r="N182" i="7" s="1"/>
  <c r="O182" i="7" s="1"/>
  <c r="AD181" i="7"/>
  <c r="AC181" i="7"/>
  <c r="AA181" i="7"/>
  <c r="W181" i="7"/>
  <c r="X181" i="7" s="1"/>
  <c r="U181" i="7"/>
  <c r="R181" i="7"/>
  <c r="N181" i="7"/>
  <c r="O181" i="7" s="1"/>
  <c r="L181" i="7"/>
  <c r="H181" i="7"/>
  <c r="I181" i="7" s="1"/>
  <c r="F181" i="7"/>
  <c r="C181" i="7"/>
  <c r="AD180" i="7"/>
  <c r="AC180" i="7"/>
  <c r="AA180" i="7"/>
  <c r="X180" i="7"/>
  <c r="W180" i="7"/>
  <c r="U180" i="7"/>
  <c r="R180" i="7"/>
  <c r="N180" i="7"/>
  <c r="O180" i="7" s="1"/>
  <c r="L180" i="7"/>
  <c r="H180" i="7"/>
  <c r="I180" i="7" s="1"/>
  <c r="F180" i="7"/>
  <c r="C180" i="7"/>
  <c r="AD179" i="7"/>
  <c r="AC179" i="7"/>
  <c r="AA179" i="7"/>
  <c r="W179" i="7"/>
  <c r="X179" i="7" s="1"/>
  <c r="U179" i="7"/>
  <c r="R179" i="7"/>
  <c r="O179" i="7"/>
  <c r="N179" i="7"/>
  <c r="L179" i="7"/>
  <c r="I179" i="7"/>
  <c r="H179" i="7"/>
  <c r="F179" i="7"/>
  <c r="C179" i="7"/>
  <c r="AC178" i="7"/>
  <c r="AD178" i="7" s="1"/>
  <c r="AA178" i="7"/>
  <c r="W178" i="7"/>
  <c r="X178" i="7" s="1"/>
  <c r="U178" i="7"/>
  <c r="R178" i="7"/>
  <c r="O178" i="7"/>
  <c r="N178" i="7"/>
  <c r="L178" i="7"/>
  <c r="I178" i="7"/>
  <c r="H178" i="7"/>
  <c r="F178" i="7"/>
  <c r="C178" i="7"/>
  <c r="AD177" i="7"/>
  <c r="AC177" i="7"/>
  <c r="AA177" i="7"/>
  <c r="X177" i="7"/>
  <c r="W177" i="7"/>
  <c r="U177" i="7"/>
  <c r="R177" i="7"/>
  <c r="O177" i="7"/>
  <c r="N177" i="7"/>
  <c r="L177" i="7"/>
  <c r="H177" i="7"/>
  <c r="I177" i="7" s="1"/>
  <c r="F177" i="7"/>
  <c r="C177" i="7"/>
  <c r="AC175" i="7"/>
  <c r="AD175" i="7" s="1"/>
  <c r="AA175" i="7"/>
  <c r="X175" i="7"/>
  <c r="W175" i="7"/>
  <c r="U175" i="7"/>
  <c r="R175" i="7"/>
  <c r="O175" i="7"/>
  <c r="N175" i="7"/>
  <c r="L175" i="7"/>
  <c r="H175" i="7"/>
  <c r="I175" i="7" s="1"/>
  <c r="F175" i="7"/>
  <c r="C175" i="7"/>
  <c r="Z172" i="7"/>
  <c r="K172" i="7"/>
  <c r="B172" i="7"/>
  <c r="AA171" i="7"/>
  <c r="Z171" i="7"/>
  <c r="T171" i="7"/>
  <c r="U171" i="7" s="1"/>
  <c r="Q171" i="7"/>
  <c r="R171" i="7" s="1"/>
  <c r="L171" i="7"/>
  <c r="K171" i="7"/>
  <c r="F171" i="7"/>
  <c r="E171" i="7"/>
  <c r="H171" i="7" s="1"/>
  <c r="I171" i="7" s="1"/>
  <c r="C171" i="7"/>
  <c r="B171" i="7"/>
  <c r="N171" i="7" s="1"/>
  <c r="O171" i="7" s="1"/>
  <c r="Z170" i="7"/>
  <c r="AA170" i="7" s="1"/>
  <c r="X170" i="7"/>
  <c r="W170" i="7"/>
  <c r="U170" i="7"/>
  <c r="T170" i="7"/>
  <c r="R170" i="7"/>
  <c r="Q170" i="7"/>
  <c r="AC170" i="7" s="1"/>
  <c r="AD170" i="7" s="1"/>
  <c r="L170" i="7"/>
  <c r="K170" i="7"/>
  <c r="F170" i="7"/>
  <c r="E170" i="7"/>
  <c r="B170" i="7"/>
  <c r="AD169" i="7"/>
  <c r="AC169" i="7"/>
  <c r="AA169" i="7"/>
  <c r="W169" i="7"/>
  <c r="X169" i="7" s="1"/>
  <c r="U169" i="7"/>
  <c r="R169" i="7"/>
  <c r="O169" i="7"/>
  <c r="N169" i="7"/>
  <c r="L169" i="7"/>
  <c r="I169" i="7"/>
  <c r="H169" i="7"/>
  <c r="F169" i="7"/>
  <c r="C169" i="7"/>
  <c r="AC168" i="7"/>
  <c r="AD168" i="7" s="1"/>
  <c r="AA168" i="7"/>
  <c r="W168" i="7"/>
  <c r="X168" i="7" s="1"/>
  <c r="U168" i="7"/>
  <c r="R168" i="7"/>
  <c r="O168" i="7"/>
  <c r="N168" i="7"/>
  <c r="L168" i="7"/>
  <c r="I168" i="7"/>
  <c r="H168" i="7"/>
  <c r="F168" i="7"/>
  <c r="C168" i="7"/>
  <c r="AD167" i="7"/>
  <c r="AC167" i="7"/>
  <c r="AA167" i="7"/>
  <c r="W167" i="7"/>
  <c r="X167" i="7" s="1"/>
  <c r="U167" i="7"/>
  <c r="R167" i="7"/>
  <c r="N167" i="7"/>
  <c r="O167" i="7" s="1"/>
  <c r="L167" i="7"/>
  <c r="H167" i="7"/>
  <c r="I167" i="7" s="1"/>
  <c r="F167" i="7"/>
  <c r="C167" i="7"/>
  <c r="AD166" i="7"/>
  <c r="AA166" i="7"/>
  <c r="Z166" i="7"/>
  <c r="U166" i="7"/>
  <c r="T166" i="7"/>
  <c r="W166" i="7" s="1"/>
  <c r="X166" i="7" s="1"/>
  <c r="R166" i="7"/>
  <c r="Q166" i="7"/>
  <c r="AC166" i="7" s="1"/>
  <c r="K166" i="7"/>
  <c r="L166" i="7" s="1"/>
  <c r="I166" i="7"/>
  <c r="H166" i="7"/>
  <c r="F166" i="7"/>
  <c r="E166" i="7"/>
  <c r="C166" i="7"/>
  <c r="B166" i="7"/>
  <c r="AC165" i="7"/>
  <c r="AD165" i="7" s="1"/>
  <c r="AA165" i="7"/>
  <c r="X165" i="7"/>
  <c r="W165" i="7"/>
  <c r="U165" i="7"/>
  <c r="R165" i="7"/>
  <c r="O165" i="7"/>
  <c r="N165" i="7"/>
  <c r="L165" i="7"/>
  <c r="I165" i="7"/>
  <c r="H165" i="7"/>
  <c r="F165" i="7"/>
  <c r="C165" i="7"/>
  <c r="AD164" i="7"/>
  <c r="AC164" i="7"/>
  <c r="AA164" i="7"/>
  <c r="W164" i="7"/>
  <c r="X164" i="7" s="1"/>
  <c r="U164" i="7"/>
  <c r="R164" i="7"/>
  <c r="N164" i="7"/>
  <c r="O164" i="7" s="1"/>
  <c r="L164" i="7"/>
  <c r="H164" i="7"/>
  <c r="I164" i="7" s="1"/>
  <c r="F164" i="7"/>
  <c r="C164" i="7"/>
  <c r="AD163" i="7"/>
  <c r="AC163" i="7"/>
  <c r="AA163" i="7"/>
  <c r="X163" i="7"/>
  <c r="W163" i="7"/>
  <c r="U163" i="7"/>
  <c r="R163" i="7"/>
  <c r="N163" i="7"/>
  <c r="O163" i="7" s="1"/>
  <c r="L163" i="7"/>
  <c r="I163" i="7"/>
  <c r="H163" i="7"/>
  <c r="F163" i="7"/>
  <c r="C163" i="7"/>
  <c r="AC162" i="7"/>
  <c r="AD162" i="7" s="1"/>
  <c r="AA162" i="7"/>
  <c r="W162" i="7"/>
  <c r="X162" i="7" s="1"/>
  <c r="U162" i="7"/>
  <c r="R162" i="7"/>
  <c r="O162" i="7"/>
  <c r="N162" i="7"/>
  <c r="L162" i="7"/>
  <c r="I162" i="7"/>
  <c r="H162" i="7"/>
  <c r="F162" i="7"/>
  <c r="C162" i="7"/>
  <c r="AC161" i="7"/>
  <c r="AD161" i="7" s="1"/>
  <c r="AA161" i="7"/>
  <c r="W161" i="7"/>
  <c r="X161" i="7" s="1"/>
  <c r="U161" i="7"/>
  <c r="R161" i="7"/>
  <c r="O161" i="7"/>
  <c r="N161" i="7"/>
  <c r="L161" i="7"/>
  <c r="I161" i="7"/>
  <c r="H161" i="7"/>
  <c r="F161" i="7"/>
  <c r="C161" i="7"/>
  <c r="AD160" i="7"/>
  <c r="AC160" i="7"/>
  <c r="AA160" i="7"/>
  <c r="X160" i="7"/>
  <c r="W160" i="7"/>
  <c r="U160" i="7"/>
  <c r="R160" i="7"/>
  <c r="N160" i="7"/>
  <c r="O160" i="7" s="1"/>
  <c r="L160" i="7"/>
  <c r="H160" i="7"/>
  <c r="I160" i="7" s="1"/>
  <c r="F160" i="7"/>
  <c r="C160" i="7"/>
  <c r="AA158" i="7"/>
  <c r="Z158" i="7"/>
  <c r="W158" i="7"/>
  <c r="X158" i="7" s="1"/>
  <c r="T158" i="7"/>
  <c r="U158" i="7" s="1"/>
  <c r="R158" i="7"/>
  <c r="Q158" i="7"/>
  <c r="AC158" i="7" s="1"/>
  <c r="AD158" i="7" s="1"/>
  <c r="K158" i="7"/>
  <c r="L158" i="7" s="1"/>
  <c r="I158" i="7"/>
  <c r="H158" i="7"/>
  <c r="F158" i="7"/>
  <c r="E158" i="7"/>
  <c r="C158" i="7"/>
  <c r="B158" i="7"/>
  <c r="N158" i="7" s="1"/>
  <c r="O158" i="7" s="1"/>
  <c r="AC157" i="7"/>
  <c r="AD157" i="7" s="1"/>
  <c r="AA157" i="7"/>
  <c r="X157" i="7"/>
  <c r="W157" i="7"/>
  <c r="U157" i="7"/>
  <c r="R157" i="7"/>
  <c r="O157" i="7"/>
  <c r="N157" i="7"/>
  <c r="L157" i="7"/>
  <c r="H157" i="7"/>
  <c r="I157" i="7" s="1"/>
  <c r="F157" i="7"/>
  <c r="C157" i="7"/>
  <c r="AD156" i="7"/>
  <c r="AC156" i="7"/>
  <c r="AA156" i="7"/>
  <c r="X156" i="7"/>
  <c r="W156" i="7"/>
  <c r="U156" i="7"/>
  <c r="R156" i="7"/>
  <c r="N156" i="7"/>
  <c r="O156" i="7" s="1"/>
  <c r="L156" i="7"/>
  <c r="H156" i="7"/>
  <c r="I156" i="7" s="1"/>
  <c r="F156" i="7"/>
  <c r="C156" i="7"/>
  <c r="AD155" i="7"/>
  <c r="AC155" i="7"/>
  <c r="AA155" i="7"/>
  <c r="X155" i="7"/>
  <c r="W155" i="7"/>
  <c r="U155" i="7"/>
  <c r="R155" i="7"/>
  <c r="O155" i="7"/>
  <c r="N155" i="7"/>
  <c r="L155" i="7"/>
  <c r="I155" i="7"/>
  <c r="H155" i="7"/>
  <c r="F155" i="7"/>
  <c r="C155" i="7"/>
  <c r="AD154" i="7"/>
  <c r="AC154" i="7"/>
  <c r="AA154" i="7"/>
  <c r="W154" i="7"/>
  <c r="X154" i="7" s="1"/>
  <c r="U154" i="7"/>
  <c r="R154" i="7"/>
  <c r="O154" i="7"/>
  <c r="N154" i="7"/>
  <c r="L154" i="7"/>
  <c r="I154" i="7"/>
  <c r="H154" i="7"/>
  <c r="F154" i="7"/>
  <c r="C154" i="7"/>
  <c r="AC153" i="7"/>
  <c r="AD153" i="7" s="1"/>
  <c r="AA153" i="7"/>
  <c r="W153" i="7"/>
  <c r="X153" i="7" s="1"/>
  <c r="U153" i="7"/>
  <c r="R153" i="7"/>
  <c r="O153" i="7"/>
  <c r="N153" i="7"/>
  <c r="L153" i="7"/>
  <c r="I153" i="7"/>
  <c r="H153" i="7"/>
  <c r="F153" i="7"/>
  <c r="C153" i="7"/>
  <c r="AD151" i="7"/>
  <c r="AC151" i="7"/>
  <c r="AA151" i="7"/>
  <c r="X151" i="7"/>
  <c r="W151" i="7"/>
  <c r="U151" i="7"/>
  <c r="R151" i="7"/>
  <c r="N151" i="7"/>
  <c r="O151" i="7" s="1"/>
  <c r="L151" i="7"/>
  <c r="H151" i="7"/>
  <c r="I151" i="7" s="1"/>
  <c r="F151" i="7"/>
  <c r="C151" i="7"/>
  <c r="AD149" i="7"/>
  <c r="AA149" i="7"/>
  <c r="Z149" i="7"/>
  <c r="T149" i="7"/>
  <c r="R149" i="7"/>
  <c r="Q149" i="7"/>
  <c r="AC149" i="7" s="1"/>
  <c r="O149" i="7"/>
  <c r="K149" i="7"/>
  <c r="L149" i="7" s="1"/>
  <c r="I149" i="7"/>
  <c r="H149" i="7"/>
  <c r="F149" i="7"/>
  <c r="E149" i="7"/>
  <c r="C149" i="7"/>
  <c r="B149" i="7"/>
  <c r="N149" i="7" s="1"/>
  <c r="AC148" i="7"/>
  <c r="AD148" i="7" s="1"/>
  <c r="Z148" i="7"/>
  <c r="AA148" i="7" s="1"/>
  <c r="U148" i="7"/>
  <c r="T148" i="7"/>
  <c r="Q148" i="7"/>
  <c r="N148" i="7"/>
  <c r="O148" i="7" s="1"/>
  <c r="L148" i="7"/>
  <c r="K148" i="7"/>
  <c r="E148" i="7"/>
  <c r="F148" i="7" s="1"/>
  <c r="B148" i="7"/>
  <c r="H148" i="7" s="1"/>
  <c r="I148" i="7" s="1"/>
  <c r="AD147" i="7"/>
  <c r="AC147" i="7"/>
  <c r="AA147" i="7"/>
  <c r="X147" i="7"/>
  <c r="W147" i="7"/>
  <c r="U147" i="7"/>
  <c r="R147" i="7"/>
  <c r="O147" i="7"/>
  <c r="N147" i="7"/>
  <c r="L147" i="7"/>
  <c r="I147" i="7"/>
  <c r="H147" i="7"/>
  <c r="F147" i="7"/>
  <c r="C147" i="7"/>
  <c r="AC146" i="7"/>
  <c r="AD146" i="7" s="1"/>
  <c r="AA146" i="7"/>
  <c r="W146" i="7"/>
  <c r="X146" i="7" s="1"/>
  <c r="U146" i="7"/>
  <c r="R146" i="7"/>
  <c r="O146" i="7"/>
  <c r="N146" i="7"/>
  <c r="L146" i="7"/>
  <c r="I146" i="7"/>
  <c r="H146" i="7"/>
  <c r="F146" i="7"/>
  <c r="C146" i="7"/>
  <c r="AC145" i="7"/>
  <c r="AD145" i="7" s="1"/>
  <c r="AA145" i="7"/>
  <c r="W145" i="7"/>
  <c r="X145" i="7" s="1"/>
  <c r="U145" i="7"/>
  <c r="R145" i="7"/>
  <c r="O145" i="7"/>
  <c r="N145" i="7"/>
  <c r="L145" i="7"/>
  <c r="I145" i="7"/>
  <c r="H145" i="7"/>
  <c r="F145" i="7"/>
  <c r="C145" i="7"/>
  <c r="AD144" i="7"/>
  <c r="AC144" i="7"/>
  <c r="AA144" i="7"/>
  <c r="X144" i="7"/>
  <c r="W144" i="7"/>
  <c r="U144" i="7"/>
  <c r="R144" i="7"/>
  <c r="N144" i="7"/>
  <c r="O144" i="7" s="1"/>
  <c r="L144" i="7"/>
  <c r="H144" i="7"/>
  <c r="I144" i="7" s="1"/>
  <c r="F144" i="7"/>
  <c r="C144" i="7"/>
  <c r="AD143" i="7"/>
  <c r="AC143" i="7"/>
  <c r="AA143" i="7"/>
  <c r="X143" i="7"/>
  <c r="W143" i="7"/>
  <c r="U143" i="7"/>
  <c r="R143" i="7"/>
  <c r="O143" i="7"/>
  <c r="N143" i="7"/>
  <c r="L143" i="7"/>
  <c r="I143" i="7"/>
  <c r="H143" i="7"/>
  <c r="F143" i="7"/>
  <c r="C143" i="7"/>
  <c r="AA141" i="7"/>
  <c r="Z141" i="7"/>
  <c r="T141" i="7"/>
  <c r="U141" i="7" s="1"/>
  <c r="R141" i="7"/>
  <c r="Q141" i="7"/>
  <c r="L141" i="7"/>
  <c r="K141" i="7"/>
  <c r="E141" i="7"/>
  <c r="H141" i="7" s="1"/>
  <c r="I141" i="7" s="1"/>
  <c r="C141" i="7"/>
  <c r="B141" i="7"/>
  <c r="N141" i="7" s="1"/>
  <c r="O141" i="7" s="1"/>
  <c r="AD140" i="7"/>
  <c r="AC140" i="7"/>
  <c r="AA140" i="7"/>
  <c r="W140" i="7"/>
  <c r="X140" i="7" s="1"/>
  <c r="U140" i="7"/>
  <c r="R140" i="7"/>
  <c r="N140" i="7"/>
  <c r="O140" i="7" s="1"/>
  <c r="L140" i="7"/>
  <c r="H140" i="7"/>
  <c r="I140" i="7" s="1"/>
  <c r="F140" i="7"/>
  <c r="C140" i="7"/>
  <c r="AD139" i="7"/>
  <c r="AC139" i="7"/>
  <c r="AA139" i="7"/>
  <c r="X139" i="7"/>
  <c r="W139" i="7"/>
  <c r="U139" i="7"/>
  <c r="R139" i="7"/>
  <c r="N139" i="7"/>
  <c r="O139" i="7" s="1"/>
  <c r="L139" i="7"/>
  <c r="I139" i="7"/>
  <c r="H139" i="7"/>
  <c r="F139" i="7"/>
  <c r="C139" i="7"/>
  <c r="AD138" i="7"/>
  <c r="AC138" i="7"/>
  <c r="AA138" i="7"/>
  <c r="W138" i="7"/>
  <c r="X138" i="7" s="1"/>
  <c r="U138" i="7"/>
  <c r="R138" i="7"/>
  <c r="N138" i="7"/>
  <c r="O138" i="7" s="1"/>
  <c r="L138" i="7"/>
  <c r="I138" i="7"/>
  <c r="H138" i="7"/>
  <c r="F138" i="7"/>
  <c r="C138" i="7"/>
  <c r="AC137" i="7"/>
  <c r="AD137" i="7" s="1"/>
  <c r="AA137" i="7"/>
  <c r="X137" i="7"/>
  <c r="W137" i="7"/>
  <c r="U137" i="7"/>
  <c r="R137" i="7"/>
  <c r="O137" i="7"/>
  <c r="N137" i="7"/>
  <c r="L137" i="7"/>
  <c r="H137" i="7"/>
  <c r="I137" i="7" s="1"/>
  <c r="F137" i="7"/>
  <c r="C137" i="7"/>
  <c r="AD136" i="7"/>
  <c r="AC136" i="7"/>
  <c r="AA136" i="7"/>
  <c r="X136" i="7"/>
  <c r="W136" i="7"/>
  <c r="U136" i="7"/>
  <c r="R136" i="7"/>
  <c r="N136" i="7"/>
  <c r="O136" i="7" s="1"/>
  <c r="L136" i="7"/>
  <c r="H136" i="7"/>
  <c r="I136" i="7" s="1"/>
  <c r="F136" i="7"/>
  <c r="C136" i="7"/>
  <c r="AD135" i="7"/>
  <c r="AC135" i="7"/>
  <c r="AA135" i="7"/>
  <c r="X135" i="7"/>
  <c r="W135" i="7"/>
  <c r="U135" i="7"/>
  <c r="R135" i="7"/>
  <c r="O135" i="7"/>
  <c r="N135" i="7"/>
  <c r="L135" i="7"/>
  <c r="I135" i="7"/>
  <c r="H135" i="7"/>
  <c r="F135" i="7"/>
  <c r="C135" i="7"/>
  <c r="AD134" i="7"/>
  <c r="AC134" i="7"/>
  <c r="AA134" i="7"/>
  <c r="W134" i="7"/>
  <c r="X134" i="7" s="1"/>
  <c r="U134" i="7"/>
  <c r="R134" i="7"/>
  <c r="O134" i="7"/>
  <c r="N134" i="7"/>
  <c r="L134" i="7"/>
  <c r="I134" i="7"/>
  <c r="H134" i="7"/>
  <c r="F134" i="7"/>
  <c r="C134" i="7"/>
  <c r="AC133" i="7"/>
  <c r="AD133" i="7" s="1"/>
  <c r="AA133" i="7"/>
  <c r="W133" i="7"/>
  <c r="X133" i="7" s="1"/>
  <c r="U133" i="7"/>
  <c r="R133" i="7"/>
  <c r="O133" i="7"/>
  <c r="N133" i="7"/>
  <c r="L133" i="7"/>
  <c r="I133" i="7"/>
  <c r="H133" i="7"/>
  <c r="F133" i="7"/>
  <c r="C133" i="7"/>
  <c r="AD132" i="7"/>
  <c r="AC132" i="7"/>
  <c r="AA132" i="7"/>
  <c r="W132" i="7"/>
  <c r="X132" i="7" s="1"/>
  <c r="U132" i="7"/>
  <c r="R132" i="7"/>
  <c r="N132" i="7"/>
  <c r="O132" i="7" s="1"/>
  <c r="L132" i="7"/>
  <c r="H132" i="7"/>
  <c r="I132" i="7" s="1"/>
  <c r="F132" i="7"/>
  <c r="C132" i="7"/>
  <c r="AD131" i="7"/>
  <c r="AC131" i="7"/>
  <c r="AA131" i="7"/>
  <c r="X131" i="7"/>
  <c r="W131" i="7"/>
  <c r="U131" i="7"/>
  <c r="R131" i="7"/>
  <c r="N131" i="7"/>
  <c r="O131" i="7" s="1"/>
  <c r="L131" i="7"/>
  <c r="I131" i="7"/>
  <c r="H131" i="7"/>
  <c r="F131" i="7"/>
  <c r="C131" i="7"/>
  <c r="AD130" i="7"/>
  <c r="AC130" i="7"/>
  <c r="AA130" i="7"/>
  <c r="W130" i="7"/>
  <c r="X130" i="7" s="1"/>
  <c r="U130" i="7"/>
  <c r="R130" i="7"/>
  <c r="N130" i="7"/>
  <c r="O130" i="7" s="1"/>
  <c r="L130" i="7"/>
  <c r="I130" i="7"/>
  <c r="H130" i="7"/>
  <c r="F130" i="7"/>
  <c r="C130" i="7"/>
  <c r="AC129" i="7"/>
  <c r="AD129" i="7" s="1"/>
  <c r="AA129" i="7"/>
  <c r="X129" i="7"/>
  <c r="W129" i="7"/>
  <c r="U129" i="7"/>
  <c r="R129" i="7"/>
  <c r="O129" i="7"/>
  <c r="N129" i="7"/>
  <c r="L129" i="7"/>
  <c r="H129" i="7"/>
  <c r="I129" i="7" s="1"/>
  <c r="F129" i="7"/>
  <c r="C129" i="7"/>
  <c r="AD127" i="7"/>
  <c r="AC127" i="7"/>
  <c r="AA127" i="7"/>
  <c r="X127" i="7"/>
  <c r="W127" i="7"/>
  <c r="U127" i="7"/>
  <c r="R127" i="7"/>
  <c r="N127" i="7"/>
  <c r="O127" i="7" s="1"/>
  <c r="L127" i="7"/>
  <c r="H127" i="7"/>
  <c r="I127" i="7" s="1"/>
  <c r="F127" i="7"/>
  <c r="C127" i="7"/>
  <c r="AA124" i="7"/>
  <c r="Z124" i="7"/>
  <c r="U124" i="7"/>
  <c r="T124" i="7"/>
  <c r="R124" i="7"/>
  <c r="Q124" i="7"/>
  <c r="Q172" i="7" s="1"/>
  <c r="Q198" i="7" s="1"/>
  <c r="K124" i="7"/>
  <c r="L124" i="7" s="1"/>
  <c r="I124" i="7"/>
  <c r="H124" i="7"/>
  <c r="F124" i="7"/>
  <c r="E124" i="7"/>
  <c r="E172" i="7" s="1"/>
  <c r="E198" i="7" s="1"/>
  <c r="C124" i="7"/>
  <c r="B124" i="7"/>
  <c r="N124" i="7" s="1"/>
  <c r="O124" i="7" s="1"/>
  <c r="AC123" i="7"/>
  <c r="AD123" i="7" s="1"/>
  <c r="AA123" i="7"/>
  <c r="X123" i="7"/>
  <c r="W123" i="7"/>
  <c r="U123" i="7"/>
  <c r="R123" i="7"/>
  <c r="O123" i="7"/>
  <c r="N123" i="7"/>
  <c r="L123" i="7"/>
  <c r="I123" i="7"/>
  <c r="H123" i="7"/>
  <c r="F123" i="7"/>
  <c r="C123" i="7"/>
  <c r="AD122" i="7"/>
  <c r="Z122" i="7"/>
  <c r="AA122" i="7" s="1"/>
  <c r="X122" i="7"/>
  <c r="W122" i="7"/>
  <c r="U122" i="7"/>
  <c r="T122" i="7"/>
  <c r="R122" i="7"/>
  <c r="Q122" i="7"/>
  <c r="AC122" i="7" s="1"/>
  <c r="N122" i="7"/>
  <c r="O122" i="7" s="1"/>
  <c r="K122" i="7"/>
  <c r="L122" i="7" s="1"/>
  <c r="F122" i="7"/>
  <c r="E122" i="7"/>
  <c r="B122" i="7"/>
  <c r="AD121" i="7"/>
  <c r="AC121" i="7"/>
  <c r="AA121" i="7"/>
  <c r="W121" i="7"/>
  <c r="X121" i="7" s="1"/>
  <c r="U121" i="7"/>
  <c r="R121" i="7"/>
  <c r="O121" i="7"/>
  <c r="N121" i="7"/>
  <c r="L121" i="7"/>
  <c r="I121" i="7"/>
  <c r="H121" i="7"/>
  <c r="F121" i="7"/>
  <c r="C121" i="7"/>
  <c r="AC120" i="7"/>
  <c r="AD120" i="7" s="1"/>
  <c r="AA120" i="7"/>
  <c r="W120" i="7"/>
  <c r="X120" i="7" s="1"/>
  <c r="U120" i="7"/>
  <c r="R120" i="7"/>
  <c r="O120" i="7"/>
  <c r="N120" i="7"/>
  <c r="L120" i="7"/>
  <c r="I120" i="7"/>
  <c r="H120" i="7"/>
  <c r="F120" i="7"/>
  <c r="C120" i="7"/>
  <c r="AD119" i="7"/>
  <c r="AC119" i="7"/>
  <c r="AA119" i="7"/>
  <c r="X119" i="7"/>
  <c r="W119" i="7"/>
  <c r="U119" i="7"/>
  <c r="R119" i="7"/>
  <c r="N119" i="7"/>
  <c r="O119" i="7" s="1"/>
  <c r="L119" i="7"/>
  <c r="H119" i="7"/>
  <c r="I119" i="7" s="1"/>
  <c r="F119" i="7"/>
  <c r="C119" i="7"/>
  <c r="AA118" i="7"/>
  <c r="Z118" i="7"/>
  <c r="W118" i="7"/>
  <c r="X118" i="7" s="1"/>
  <c r="T118" i="7"/>
  <c r="U118" i="7" s="1"/>
  <c r="R118" i="7"/>
  <c r="Q118" i="7"/>
  <c r="AC118" i="7" s="1"/>
  <c r="AD118" i="7" s="1"/>
  <c r="K118" i="7"/>
  <c r="L118" i="7" s="1"/>
  <c r="I118" i="7"/>
  <c r="H118" i="7"/>
  <c r="F118" i="7"/>
  <c r="E118" i="7"/>
  <c r="C118" i="7"/>
  <c r="B118" i="7"/>
  <c r="N118" i="7" s="1"/>
  <c r="O118" i="7" s="1"/>
  <c r="AC117" i="7"/>
  <c r="AD117" i="7" s="1"/>
  <c r="AA117" i="7"/>
  <c r="X117" i="7"/>
  <c r="W117" i="7"/>
  <c r="U117" i="7"/>
  <c r="R117" i="7"/>
  <c r="O117" i="7"/>
  <c r="N117" i="7"/>
  <c r="L117" i="7"/>
  <c r="H117" i="7"/>
  <c r="I117" i="7" s="1"/>
  <c r="F117" i="7"/>
  <c r="C117" i="7"/>
  <c r="AD116" i="7"/>
  <c r="AC116" i="7"/>
  <c r="AA116" i="7"/>
  <c r="X116" i="7"/>
  <c r="W116" i="7"/>
  <c r="U116" i="7"/>
  <c r="R116" i="7"/>
  <c r="N116" i="7"/>
  <c r="O116" i="7" s="1"/>
  <c r="L116" i="7"/>
  <c r="H116" i="7"/>
  <c r="I116" i="7" s="1"/>
  <c r="F116" i="7"/>
  <c r="C116" i="7"/>
  <c r="AD115" i="7"/>
  <c r="AC115" i="7"/>
  <c r="AA115" i="7"/>
  <c r="X115" i="7"/>
  <c r="W115" i="7"/>
  <c r="U115" i="7"/>
  <c r="R115" i="7"/>
  <c r="O115" i="7"/>
  <c r="N115" i="7"/>
  <c r="L115" i="7"/>
  <c r="I115" i="7"/>
  <c r="H115" i="7"/>
  <c r="F115" i="7"/>
  <c r="C115" i="7"/>
  <c r="AD114" i="7"/>
  <c r="AC114" i="7"/>
  <c r="AA114" i="7"/>
  <c r="W114" i="7"/>
  <c r="X114" i="7" s="1"/>
  <c r="U114" i="7"/>
  <c r="R114" i="7"/>
  <c r="O114" i="7"/>
  <c r="N114" i="7"/>
  <c r="L114" i="7"/>
  <c r="I114" i="7"/>
  <c r="H114" i="7"/>
  <c r="F114" i="7"/>
  <c r="C114" i="7"/>
  <c r="AC113" i="7"/>
  <c r="AD113" i="7" s="1"/>
  <c r="AA113" i="7"/>
  <c r="W113" i="7"/>
  <c r="X113" i="7" s="1"/>
  <c r="U113" i="7"/>
  <c r="R113" i="7"/>
  <c r="O113" i="7"/>
  <c r="N113" i="7"/>
  <c r="L113" i="7"/>
  <c r="I113" i="7"/>
  <c r="H113" i="7"/>
  <c r="F113" i="7"/>
  <c r="C113" i="7"/>
  <c r="AD112" i="7"/>
  <c r="AC112" i="7"/>
  <c r="AA112" i="7"/>
  <c r="X112" i="7"/>
  <c r="W112" i="7"/>
  <c r="U112" i="7"/>
  <c r="R112" i="7"/>
  <c r="N112" i="7"/>
  <c r="O112" i="7" s="1"/>
  <c r="L112" i="7"/>
  <c r="H112" i="7"/>
  <c r="I112" i="7" s="1"/>
  <c r="F112" i="7"/>
  <c r="C112" i="7"/>
  <c r="AD111" i="7"/>
  <c r="AC111" i="7"/>
  <c r="AA111" i="7"/>
  <c r="X111" i="7"/>
  <c r="W111" i="7"/>
  <c r="U111" i="7"/>
  <c r="R111" i="7"/>
  <c r="O111" i="7"/>
  <c r="N111" i="7"/>
  <c r="L111" i="7"/>
  <c r="I111" i="7"/>
  <c r="H111" i="7"/>
  <c r="F111" i="7"/>
  <c r="C111" i="7"/>
  <c r="AC110" i="7"/>
  <c r="AD110" i="7" s="1"/>
  <c r="AA110" i="7"/>
  <c r="W110" i="7"/>
  <c r="X110" i="7" s="1"/>
  <c r="U110" i="7"/>
  <c r="R110" i="7"/>
  <c r="N110" i="7"/>
  <c r="O110" i="7" s="1"/>
  <c r="L110" i="7"/>
  <c r="I110" i="7"/>
  <c r="H110" i="7"/>
  <c r="F110" i="7"/>
  <c r="C110" i="7"/>
  <c r="AC109" i="7"/>
  <c r="AD109" i="7" s="1"/>
  <c r="AA109" i="7"/>
  <c r="X109" i="7"/>
  <c r="W109" i="7"/>
  <c r="U109" i="7"/>
  <c r="R109" i="7"/>
  <c r="O109" i="7"/>
  <c r="N109" i="7"/>
  <c r="L109" i="7"/>
  <c r="H109" i="7"/>
  <c r="I109" i="7" s="1"/>
  <c r="F109" i="7"/>
  <c r="C109" i="7"/>
  <c r="AD108" i="7"/>
  <c r="AC108" i="7"/>
  <c r="AA108" i="7"/>
  <c r="X108" i="7"/>
  <c r="W108" i="7"/>
  <c r="U108" i="7"/>
  <c r="R108" i="7"/>
  <c r="N108" i="7"/>
  <c r="O108" i="7" s="1"/>
  <c r="L108" i="7"/>
  <c r="H108" i="7"/>
  <c r="I108" i="7" s="1"/>
  <c r="F108" i="7"/>
  <c r="C108" i="7"/>
  <c r="AD107" i="7"/>
  <c r="AC107" i="7"/>
  <c r="AA107" i="7"/>
  <c r="X107" i="7"/>
  <c r="W107" i="7"/>
  <c r="U107" i="7"/>
  <c r="R107" i="7"/>
  <c r="O107" i="7"/>
  <c r="N107" i="7"/>
  <c r="L107" i="7"/>
  <c r="I107" i="7"/>
  <c r="H107" i="7"/>
  <c r="F107" i="7"/>
  <c r="C107" i="7"/>
  <c r="AD106" i="7"/>
  <c r="AC106" i="7"/>
  <c r="AA106" i="7"/>
  <c r="W106" i="7"/>
  <c r="X106" i="7" s="1"/>
  <c r="U106" i="7"/>
  <c r="R106" i="7"/>
  <c r="O106" i="7"/>
  <c r="N106" i="7"/>
  <c r="L106" i="7"/>
  <c r="I106" i="7"/>
  <c r="H106" i="7"/>
  <c r="F106" i="7"/>
  <c r="C106" i="7"/>
  <c r="AC105" i="7"/>
  <c r="AD105" i="7" s="1"/>
  <c r="AA105" i="7"/>
  <c r="W105" i="7"/>
  <c r="X105" i="7" s="1"/>
  <c r="U105" i="7"/>
  <c r="R105" i="7"/>
  <c r="O105" i="7"/>
  <c r="N105" i="7"/>
  <c r="L105" i="7"/>
  <c r="I105" i="7"/>
  <c r="H105" i="7"/>
  <c r="F105" i="7"/>
  <c r="C105" i="7"/>
  <c r="AD104" i="7"/>
  <c r="AC104" i="7"/>
  <c r="AA104" i="7"/>
  <c r="X104" i="7"/>
  <c r="W104" i="7"/>
  <c r="U104" i="7"/>
  <c r="R104" i="7"/>
  <c r="N104" i="7"/>
  <c r="O104" i="7" s="1"/>
  <c r="L104" i="7"/>
  <c r="H104" i="7"/>
  <c r="I104" i="7" s="1"/>
  <c r="F104" i="7"/>
  <c r="C104" i="7"/>
  <c r="AD103" i="7"/>
  <c r="AC103" i="7"/>
  <c r="AA103" i="7"/>
  <c r="X103" i="7"/>
  <c r="W103" i="7"/>
  <c r="U103" i="7"/>
  <c r="R103" i="7"/>
  <c r="O103" i="7"/>
  <c r="N103" i="7"/>
  <c r="L103" i="7"/>
  <c r="I103" i="7"/>
  <c r="H103" i="7"/>
  <c r="F103" i="7"/>
  <c r="C103" i="7"/>
  <c r="AC102" i="7"/>
  <c r="AD102" i="7" s="1"/>
  <c r="AA102" i="7"/>
  <c r="W102" i="7"/>
  <c r="X102" i="7" s="1"/>
  <c r="U102" i="7"/>
  <c r="R102" i="7"/>
  <c r="N102" i="7"/>
  <c r="O102" i="7" s="1"/>
  <c r="L102" i="7"/>
  <c r="I102" i="7"/>
  <c r="H102" i="7"/>
  <c r="F102" i="7"/>
  <c r="C102" i="7"/>
  <c r="AC101" i="7"/>
  <c r="AD101" i="7" s="1"/>
  <c r="AA101" i="7"/>
  <c r="X101" i="7"/>
  <c r="W101" i="7"/>
  <c r="U101" i="7"/>
  <c r="R101" i="7"/>
  <c r="O101" i="7"/>
  <c r="N101" i="7"/>
  <c r="L101" i="7"/>
  <c r="H101" i="7"/>
  <c r="I101" i="7" s="1"/>
  <c r="F101" i="7"/>
  <c r="C101" i="7"/>
  <c r="AD100" i="7"/>
  <c r="AC100" i="7"/>
  <c r="AA100" i="7"/>
  <c r="X100" i="7"/>
  <c r="W100" i="7"/>
  <c r="U100" i="7"/>
  <c r="R100" i="7"/>
  <c r="N100" i="7"/>
  <c r="O100" i="7" s="1"/>
  <c r="L100" i="7"/>
  <c r="H100" i="7"/>
  <c r="I100" i="7" s="1"/>
  <c r="F100" i="7"/>
  <c r="C100" i="7"/>
  <c r="AD99" i="7"/>
  <c r="AC99" i="7"/>
  <c r="AA99" i="7"/>
  <c r="X99" i="7"/>
  <c r="W99" i="7"/>
  <c r="U99" i="7"/>
  <c r="R99" i="7"/>
  <c r="O99" i="7"/>
  <c r="N99" i="7"/>
  <c r="L99" i="7"/>
  <c r="I99" i="7"/>
  <c r="H99" i="7"/>
  <c r="F99" i="7"/>
  <c r="C99" i="7"/>
  <c r="AD98" i="7"/>
  <c r="AC98" i="7"/>
  <c r="AA98" i="7"/>
  <c r="W98" i="7"/>
  <c r="X98" i="7" s="1"/>
  <c r="U98" i="7"/>
  <c r="R98" i="7"/>
  <c r="O98" i="7"/>
  <c r="N98" i="7"/>
  <c r="L98" i="7"/>
  <c r="I98" i="7"/>
  <c r="H98" i="7"/>
  <c r="F98" i="7"/>
  <c r="C98" i="7"/>
  <c r="AC97" i="7"/>
  <c r="AD97" i="7" s="1"/>
  <c r="AA97" i="7"/>
  <c r="W97" i="7"/>
  <c r="X97" i="7" s="1"/>
  <c r="U97" i="7"/>
  <c r="R97" i="7"/>
  <c r="O97" i="7"/>
  <c r="N97" i="7"/>
  <c r="L97" i="7"/>
  <c r="I97" i="7"/>
  <c r="H97" i="7"/>
  <c r="F97" i="7"/>
  <c r="C97" i="7"/>
  <c r="AD96" i="7"/>
  <c r="AC96" i="7"/>
  <c r="AA96" i="7"/>
  <c r="X96" i="7"/>
  <c r="W96" i="7"/>
  <c r="U96" i="7"/>
  <c r="R96" i="7"/>
  <c r="N96" i="7"/>
  <c r="O96" i="7" s="1"/>
  <c r="L96" i="7"/>
  <c r="H96" i="7"/>
  <c r="I96" i="7" s="1"/>
  <c r="F96" i="7"/>
  <c r="C96" i="7"/>
  <c r="AD95" i="7"/>
  <c r="AC95" i="7"/>
  <c r="AA95" i="7"/>
  <c r="X95" i="7"/>
  <c r="W95" i="7"/>
  <c r="U95" i="7"/>
  <c r="R95" i="7"/>
  <c r="O95" i="7"/>
  <c r="N95" i="7"/>
  <c r="L95" i="7"/>
  <c r="I95" i="7"/>
  <c r="H95" i="7"/>
  <c r="F95" i="7"/>
  <c r="C95" i="7"/>
  <c r="AC94" i="7"/>
  <c r="AD94" i="7" s="1"/>
  <c r="AA94" i="7"/>
  <c r="W94" i="7"/>
  <c r="X94" i="7" s="1"/>
  <c r="U94" i="7"/>
  <c r="R94" i="7"/>
  <c r="N94" i="7"/>
  <c r="O94" i="7" s="1"/>
  <c r="L94" i="7"/>
  <c r="I94" i="7"/>
  <c r="H94" i="7"/>
  <c r="F94" i="7"/>
  <c r="C94" i="7"/>
  <c r="AC92" i="7"/>
  <c r="AD92" i="7" s="1"/>
  <c r="AA92" i="7"/>
  <c r="W92" i="7"/>
  <c r="X92" i="7" s="1"/>
  <c r="U92" i="7"/>
  <c r="R92" i="7"/>
  <c r="O92" i="7"/>
  <c r="N92" i="7"/>
  <c r="L92" i="7"/>
  <c r="H92" i="7"/>
  <c r="I92" i="7" s="1"/>
  <c r="F92" i="7"/>
  <c r="C92" i="7"/>
  <c r="AD91" i="7"/>
  <c r="AC91" i="7"/>
  <c r="AA91" i="7"/>
  <c r="X91" i="7"/>
  <c r="W91" i="7"/>
  <c r="U91" i="7"/>
  <c r="R91" i="7"/>
  <c r="N91" i="7"/>
  <c r="O91" i="7" s="1"/>
  <c r="L91" i="7"/>
  <c r="H91" i="7"/>
  <c r="I91" i="7" s="1"/>
  <c r="F91" i="7"/>
  <c r="C91" i="7"/>
  <c r="AD90" i="7"/>
  <c r="AC90" i="7"/>
  <c r="AA90" i="7"/>
  <c r="X90" i="7"/>
  <c r="W90" i="7"/>
  <c r="U90" i="7"/>
  <c r="R90" i="7"/>
  <c r="O90" i="7"/>
  <c r="N90" i="7"/>
  <c r="L90" i="7"/>
  <c r="I90" i="7"/>
  <c r="H90" i="7"/>
  <c r="F90" i="7"/>
  <c r="C90" i="7"/>
  <c r="AD89" i="7"/>
  <c r="AC89" i="7"/>
  <c r="AA89" i="7"/>
  <c r="W89" i="7"/>
  <c r="X89" i="7" s="1"/>
  <c r="U89" i="7"/>
  <c r="R89" i="7"/>
  <c r="O89" i="7"/>
  <c r="N89" i="7"/>
  <c r="L89" i="7"/>
  <c r="I89" i="7"/>
  <c r="H89" i="7"/>
  <c r="F89" i="7"/>
  <c r="C89" i="7"/>
  <c r="AC88" i="7"/>
  <c r="AD88" i="7" s="1"/>
  <c r="AA88" i="7"/>
  <c r="Z88" i="7"/>
  <c r="U88" i="7"/>
  <c r="T88" i="7"/>
  <c r="Q88" i="7"/>
  <c r="L88" i="7"/>
  <c r="K88" i="7"/>
  <c r="E88" i="7"/>
  <c r="F88" i="7" s="1"/>
  <c r="B88" i="7"/>
  <c r="AD87" i="7"/>
  <c r="AC87" i="7"/>
  <c r="AA87" i="7"/>
  <c r="X87" i="7"/>
  <c r="W87" i="7"/>
  <c r="U87" i="7"/>
  <c r="R87" i="7"/>
  <c r="O87" i="7"/>
  <c r="N87" i="7"/>
  <c r="L87" i="7"/>
  <c r="I87" i="7"/>
  <c r="H87" i="7"/>
  <c r="F87" i="7"/>
  <c r="C87" i="7"/>
  <c r="AC86" i="7"/>
  <c r="AD86" i="7" s="1"/>
  <c r="AA86" i="7"/>
  <c r="W86" i="7"/>
  <c r="X86" i="7" s="1"/>
  <c r="U86" i="7"/>
  <c r="R86" i="7"/>
  <c r="O86" i="7"/>
  <c r="N86" i="7"/>
  <c r="L86" i="7"/>
  <c r="I86" i="7"/>
  <c r="H86" i="7"/>
  <c r="F86" i="7"/>
  <c r="C86" i="7"/>
  <c r="AC85" i="7"/>
  <c r="AD85" i="7" s="1"/>
  <c r="AA85" i="7"/>
  <c r="X85" i="7"/>
  <c r="W85" i="7"/>
  <c r="U85" i="7"/>
  <c r="R85" i="7"/>
  <c r="O85" i="7"/>
  <c r="N85" i="7"/>
  <c r="L85" i="7"/>
  <c r="I85" i="7"/>
  <c r="H85" i="7"/>
  <c r="F85" i="7"/>
  <c r="C85" i="7"/>
  <c r="AD84" i="7"/>
  <c r="AC84" i="7"/>
  <c r="AA84" i="7"/>
  <c r="W84" i="7"/>
  <c r="X84" i="7" s="1"/>
  <c r="U84" i="7"/>
  <c r="R84" i="7"/>
  <c r="N84" i="7"/>
  <c r="O84" i="7" s="1"/>
  <c r="L84" i="7"/>
  <c r="H84" i="7"/>
  <c r="I84" i="7" s="1"/>
  <c r="F84" i="7"/>
  <c r="C84" i="7"/>
  <c r="AD83" i="7"/>
  <c r="AC83" i="7"/>
  <c r="AA83" i="7"/>
  <c r="X83" i="7"/>
  <c r="W83" i="7"/>
  <c r="U83" i="7"/>
  <c r="R83" i="7"/>
  <c r="N83" i="7"/>
  <c r="O83" i="7" s="1"/>
  <c r="L83" i="7"/>
  <c r="I83" i="7"/>
  <c r="H83" i="7"/>
  <c r="F83" i="7"/>
  <c r="C83" i="7"/>
  <c r="AD82" i="7"/>
  <c r="AC82" i="7"/>
  <c r="AA82" i="7"/>
  <c r="W82" i="7"/>
  <c r="X82" i="7" s="1"/>
  <c r="U82" i="7"/>
  <c r="R82" i="7"/>
  <c r="O82" i="7"/>
  <c r="N82" i="7"/>
  <c r="L82" i="7"/>
  <c r="I82" i="7"/>
  <c r="H82" i="7"/>
  <c r="F82" i="7"/>
  <c r="C82" i="7"/>
  <c r="AC81" i="7"/>
  <c r="AD81" i="7" s="1"/>
  <c r="AA81" i="7"/>
  <c r="W81" i="7"/>
  <c r="X81" i="7" s="1"/>
  <c r="U81" i="7"/>
  <c r="R81" i="7"/>
  <c r="O81" i="7"/>
  <c r="N81" i="7"/>
  <c r="L81" i="7"/>
  <c r="H81" i="7"/>
  <c r="I81" i="7" s="1"/>
  <c r="F81" i="7"/>
  <c r="C81" i="7"/>
  <c r="AD80" i="7"/>
  <c r="AC80" i="7"/>
  <c r="AA80" i="7"/>
  <c r="W80" i="7"/>
  <c r="X80" i="7" s="1"/>
  <c r="U80" i="7"/>
  <c r="R80" i="7"/>
  <c r="N80" i="7"/>
  <c r="O80" i="7" s="1"/>
  <c r="L80" i="7"/>
  <c r="H80" i="7"/>
  <c r="I80" i="7" s="1"/>
  <c r="F80" i="7"/>
  <c r="C80" i="7"/>
  <c r="AD79" i="7"/>
  <c r="AC79" i="7"/>
  <c r="AA79" i="7"/>
  <c r="X79" i="7"/>
  <c r="W79" i="7"/>
  <c r="U79" i="7"/>
  <c r="R79" i="7"/>
  <c r="N79" i="7"/>
  <c r="O79" i="7" s="1"/>
  <c r="L79" i="7"/>
  <c r="I79" i="7"/>
  <c r="H79" i="7"/>
  <c r="F79" i="7"/>
  <c r="C79" i="7"/>
  <c r="AC78" i="7"/>
  <c r="AD78" i="7" s="1"/>
  <c r="AA78" i="7"/>
  <c r="W78" i="7"/>
  <c r="X78" i="7" s="1"/>
  <c r="U78" i="7"/>
  <c r="R78" i="7"/>
  <c r="O78" i="7"/>
  <c r="N78" i="7"/>
  <c r="L78" i="7"/>
  <c r="I78" i="7"/>
  <c r="H78" i="7"/>
  <c r="F78" i="7"/>
  <c r="C78" i="7"/>
  <c r="AC77" i="7"/>
  <c r="AD77" i="7" s="1"/>
  <c r="AA77" i="7"/>
  <c r="X77" i="7"/>
  <c r="W77" i="7"/>
  <c r="U77" i="7"/>
  <c r="R77" i="7"/>
  <c r="O77" i="7"/>
  <c r="N77" i="7"/>
  <c r="L77" i="7"/>
  <c r="I77" i="7"/>
  <c r="H77" i="7"/>
  <c r="F77" i="7"/>
  <c r="C77" i="7"/>
  <c r="AD76" i="7"/>
  <c r="AC76" i="7"/>
  <c r="AA76" i="7"/>
  <c r="W76" i="7"/>
  <c r="X76" i="7" s="1"/>
  <c r="U76" i="7"/>
  <c r="R76" i="7"/>
  <c r="N76" i="7"/>
  <c r="O76" i="7" s="1"/>
  <c r="L76" i="7"/>
  <c r="H76" i="7"/>
  <c r="I76" i="7" s="1"/>
  <c r="F76" i="7"/>
  <c r="C76" i="7"/>
  <c r="AD75" i="7"/>
  <c r="AC75" i="7"/>
  <c r="AA75" i="7"/>
  <c r="X75" i="7"/>
  <c r="W75" i="7"/>
  <c r="U75" i="7"/>
  <c r="R75" i="7"/>
  <c r="N75" i="7"/>
  <c r="O75" i="7" s="1"/>
  <c r="L75" i="7"/>
  <c r="I75" i="7"/>
  <c r="H75" i="7"/>
  <c r="F75" i="7"/>
  <c r="C75" i="7"/>
  <c r="AA73" i="7"/>
  <c r="Z73" i="7"/>
  <c r="T73" i="7"/>
  <c r="U73" i="7" s="1"/>
  <c r="Q73" i="7"/>
  <c r="R73" i="7" s="1"/>
  <c r="L73" i="7"/>
  <c r="K73" i="7"/>
  <c r="E73" i="7"/>
  <c r="C73" i="7"/>
  <c r="B73" i="7"/>
  <c r="N73" i="7" s="1"/>
  <c r="O73" i="7" s="1"/>
  <c r="AD72" i="7"/>
  <c r="AC72" i="7"/>
  <c r="AA72" i="7"/>
  <c r="X72" i="7"/>
  <c r="W72" i="7"/>
  <c r="U72" i="7"/>
  <c r="R72" i="7"/>
  <c r="N72" i="7"/>
  <c r="O72" i="7" s="1"/>
  <c r="L72" i="7"/>
  <c r="H72" i="7"/>
  <c r="I72" i="7" s="1"/>
  <c r="F72" i="7"/>
  <c r="C72" i="7"/>
  <c r="AD71" i="7"/>
  <c r="AC71" i="7"/>
  <c r="AA71" i="7"/>
  <c r="X71" i="7"/>
  <c r="W71" i="7"/>
  <c r="U71" i="7"/>
  <c r="R71" i="7"/>
  <c r="O71" i="7"/>
  <c r="N71" i="7"/>
  <c r="L71" i="7"/>
  <c r="I71" i="7"/>
  <c r="H71" i="7"/>
  <c r="F71" i="7"/>
  <c r="C71" i="7"/>
  <c r="AD70" i="7"/>
  <c r="AC70" i="7"/>
  <c r="AA70" i="7"/>
  <c r="W70" i="7"/>
  <c r="X70" i="7" s="1"/>
  <c r="U70" i="7"/>
  <c r="R70" i="7"/>
  <c r="O70" i="7"/>
  <c r="N70" i="7"/>
  <c r="L70" i="7"/>
  <c r="I70" i="7"/>
  <c r="H70" i="7"/>
  <c r="F70" i="7"/>
  <c r="C70" i="7"/>
  <c r="AC69" i="7"/>
  <c r="AD69" i="7" s="1"/>
  <c r="AA69" i="7"/>
  <c r="W69" i="7"/>
  <c r="X69" i="7" s="1"/>
  <c r="U69" i="7"/>
  <c r="R69" i="7"/>
  <c r="O69" i="7"/>
  <c r="N69" i="7"/>
  <c r="L69" i="7"/>
  <c r="I69" i="7"/>
  <c r="H69" i="7"/>
  <c r="F69" i="7"/>
  <c r="C69" i="7"/>
  <c r="AD68" i="7"/>
  <c r="AC68" i="7"/>
  <c r="AA68" i="7"/>
  <c r="X68" i="7"/>
  <c r="W68" i="7"/>
  <c r="U68" i="7"/>
  <c r="R68" i="7"/>
  <c r="N68" i="7"/>
  <c r="O68" i="7" s="1"/>
  <c r="L68" i="7"/>
  <c r="H68" i="7"/>
  <c r="I68" i="7" s="1"/>
  <c r="F68" i="7"/>
  <c r="C68" i="7"/>
  <c r="AD67" i="7"/>
  <c r="AC67" i="7"/>
  <c r="AA67" i="7"/>
  <c r="X67" i="7"/>
  <c r="W67" i="7"/>
  <c r="U67" i="7"/>
  <c r="R67" i="7"/>
  <c r="O67" i="7"/>
  <c r="N67" i="7"/>
  <c r="L67" i="7"/>
  <c r="I67" i="7"/>
  <c r="H67" i="7"/>
  <c r="F67" i="7"/>
  <c r="C67" i="7"/>
  <c r="AC66" i="7"/>
  <c r="AD66" i="7" s="1"/>
  <c r="AA66" i="7"/>
  <c r="W66" i="7"/>
  <c r="X66" i="7" s="1"/>
  <c r="U66" i="7"/>
  <c r="R66" i="7"/>
  <c r="N66" i="7"/>
  <c r="O66" i="7" s="1"/>
  <c r="L66" i="7"/>
  <c r="I66" i="7"/>
  <c r="H66" i="7"/>
  <c r="F66" i="7"/>
  <c r="C66" i="7"/>
  <c r="AC65" i="7"/>
  <c r="AD65" i="7" s="1"/>
  <c r="AA65" i="7"/>
  <c r="W65" i="7"/>
  <c r="X65" i="7" s="1"/>
  <c r="U65" i="7"/>
  <c r="R65" i="7"/>
  <c r="O65" i="7"/>
  <c r="N65" i="7"/>
  <c r="L65" i="7"/>
  <c r="H65" i="7"/>
  <c r="I65" i="7" s="1"/>
  <c r="F65" i="7"/>
  <c r="C65" i="7"/>
  <c r="AD64" i="7"/>
  <c r="AC64" i="7"/>
  <c r="AA64" i="7"/>
  <c r="X64" i="7"/>
  <c r="W64" i="7"/>
  <c r="U64" i="7"/>
  <c r="R64" i="7"/>
  <c r="N64" i="7"/>
  <c r="O64" i="7" s="1"/>
  <c r="L64" i="7"/>
  <c r="H64" i="7"/>
  <c r="I64" i="7" s="1"/>
  <c r="F64" i="7"/>
  <c r="C64" i="7"/>
  <c r="AA62" i="7"/>
  <c r="Z62" i="7"/>
  <c r="W62" i="7"/>
  <c r="X62" i="7" s="1"/>
  <c r="U62" i="7"/>
  <c r="T62" i="7"/>
  <c r="R62" i="7"/>
  <c r="Q62" i="7"/>
  <c r="AC62" i="7" s="1"/>
  <c r="AD62" i="7" s="1"/>
  <c r="K62" i="7"/>
  <c r="L62" i="7" s="1"/>
  <c r="H62" i="7"/>
  <c r="I62" i="7" s="1"/>
  <c r="F62" i="7"/>
  <c r="E62" i="7"/>
  <c r="C62" i="7"/>
  <c r="B62" i="7"/>
  <c r="N62" i="7" s="1"/>
  <c r="O62" i="7" s="1"/>
  <c r="AA61" i="7"/>
  <c r="Z61" i="7"/>
  <c r="U61" i="7"/>
  <c r="T61" i="7"/>
  <c r="Q61" i="7"/>
  <c r="L61" i="7"/>
  <c r="K61" i="7"/>
  <c r="E61" i="7"/>
  <c r="F61" i="7" s="1"/>
  <c r="B61" i="7"/>
  <c r="AD60" i="7"/>
  <c r="AC60" i="7"/>
  <c r="AA60" i="7"/>
  <c r="X60" i="7"/>
  <c r="W60" i="7"/>
  <c r="U60" i="7"/>
  <c r="R60" i="7"/>
  <c r="O60" i="7"/>
  <c r="N60" i="7"/>
  <c r="L60" i="7"/>
  <c r="I60" i="7"/>
  <c r="H60" i="7"/>
  <c r="F60" i="7"/>
  <c r="C60" i="7"/>
  <c r="AC59" i="7"/>
  <c r="AD59" i="7" s="1"/>
  <c r="AA59" i="7"/>
  <c r="W59" i="7"/>
  <c r="X59" i="7" s="1"/>
  <c r="U59" i="7"/>
  <c r="R59" i="7"/>
  <c r="N59" i="7"/>
  <c r="O59" i="7" s="1"/>
  <c r="L59" i="7"/>
  <c r="I59" i="7"/>
  <c r="H59" i="7"/>
  <c r="F59" i="7"/>
  <c r="C59" i="7"/>
  <c r="AC58" i="7"/>
  <c r="AD58" i="7" s="1"/>
  <c r="AA58" i="7"/>
  <c r="X58" i="7"/>
  <c r="W58" i="7"/>
  <c r="U58" i="7"/>
  <c r="R58" i="7"/>
  <c r="O58" i="7"/>
  <c r="N58" i="7"/>
  <c r="L58" i="7"/>
  <c r="H58" i="7"/>
  <c r="I58" i="7" s="1"/>
  <c r="F58" i="7"/>
  <c r="C58" i="7"/>
  <c r="AD57" i="7"/>
  <c r="AC57" i="7"/>
  <c r="AA57" i="7"/>
  <c r="X57" i="7"/>
  <c r="W57" i="7"/>
  <c r="U57" i="7"/>
  <c r="R57" i="7"/>
  <c r="N57" i="7"/>
  <c r="O57" i="7" s="1"/>
  <c r="L57" i="7"/>
  <c r="H57" i="7"/>
  <c r="I57" i="7" s="1"/>
  <c r="F57" i="7"/>
  <c r="C57" i="7"/>
  <c r="AD56" i="7"/>
  <c r="AC56" i="7"/>
  <c r="AA56" i="7"/>
  <c r="X56" i="7"/>
  <c r="W56" i="7"/>
  <c r="U56" i="7"/>
  <c r="R56" i="7"/>
  <c r="O56" i="7"/>
  <c r="N56" i="7"/>
  <c r="L56" i="7"/>
  <c r="I56" i="7"/>
  <c r="H56" i="7"/>
  <c r="F56" i="7"/>
  <c r="C56" i="7"/>
  <c r="AC55" i="7"/>
  <c r="AD55" i="7" s="1"/>
  <c r="AA55" i="7"/>
  <c r="W55" i="7"/>
  <c r="X55" i="7" s="1"/>
  <c r="U55" i="7"/>
  <c r="R55" i="7"/>
  <c r="O55" i="7"/>
  <c r="N55" i="7"/>
  <c r="L55" i="7"/>
  <c r="I55" i="7"/>
  <c r="H55" i="7"/>
  <c r="F55" i="7"/>
  <c r="C55" i="7"/>
  <c r="AC54" i="7"/>
  <c r="AD54" i="7" s="1"/>
  <c r="AA54" i="7"/>
  <c r="W54" i="7"/>
  <c r="X54" i="7" s="1"/>
  <c r="U54" i="7"/>
  <c r="R54" i="7"/>
  <c r="O54" i="7"/>
  <c r="N54" i="7"/>
  <c r="L54" i="7"/>
  <c r="I54" i="7"/>
  <c r="H54" i="7"/>
  <c r="F54" i="7"/>
  <c r="C54" i="7"/>
  <c r="AD53" i="7"/>
  <c r="AC53" i="7"/>
  <c r="AA53" i="7"/>
  <c r="W53" i="7"/>
  <c r="X53" i="7" s="1"/>
  <c r="U53" i="7"/>
  <c r="R53" i="7"/>
  <c r="N53" i="7"/>
  <c r="O53" i="7" s="1"/>
  <c r="L53" i="7"/>
  <c r="H53" i="7"/>
  <c r="I53" i="7" s="1"/>
  <c r="F53" i="7"/>
  <c r="C53" i="7"/>
  <c r="AD52" i="7"/>
  <c r="AC52" i="7"/>
  <c r="AA52" i="7"/>
  <c r="X52" i="7"/>
  <c r="W52" i="7"/>
  <c r="U52" i="7"/>
  <c r="R52" i="7"/>
  <c r="N52" i="7"/>
  <c r="O52" i="7" s="1"/>
  <c r="L52" i="7"/>
  <c r="I52" i="7"/>
  <c r="H52" i="7"/>
  <c r="F52" i="7"/>
  <c r="C52" i="7"/>
  <c r="AC51" i="7"/>
  <c r="AD51" i="7" s="1"/>
  <c r="AA51" i="7"/>
  <c r="W51" i="7"/>
  <c r="X51" i="7" s="1"/>
  <c r="U51" i="7"/>
  <c r="R51" i="7"/>
  <c r="O51" i="7"/>
  <c r="N51" i="7"/>
  <c r="L51" i="7"/>
  <c r="I51" i="7"/>
  <c r="H51" i="7"/>
  <c r="F51" i="7"/>
  <c r="C51" i="7"/>
  <c r="AC50" i="7"/>
  <c r="AD50" i="7" s="1"/>
  <c r="AA50" i="7"/>
  <c r="X50" i="7"/>
  <c r="W50" i="7"/>
  <c r="U50" i="7"/>
  <c r="R50" i="7"/>
  <c r="O50" i="7"/>
  <c r="N50" i="7"/>
  <c r="L50" i="7"/>
  <c r="I50" i="7"/>
  <c r="H50" i="7"/>
  <c r="F50" i="7"/>
  <c r="C50" i="7"/>
  <c r="AD49" i="7"/>
  <c r="AC49" i="7"/>
  <c r="AA49" i="7"/>
  <c r="W49" i="7"/>
  <c r="X49" i="7" s="1"/>
  <c r="U49" i="7"/>
  <c r="R49" i="7"/>
  <c r="N49" i="7"/>
  <c r="O49" i="7" s="1"/>
  <c r="L49" i="7"/>
  <c r="H49" i="7"/>
  <c r="I49" i="7" s="1"/>
  <c r="F49" i="7"/>
  <c r="C49" i="7"/>
  <c r="AD48" i="7"/>
  <c r="AC48" i="7"/>
  <c r="AA48" i="7"/>
  <c r="X48" i="7"/>
  <c r="W48" i="7"/>
  <c r="U48" i="7"/>
  <c r="R48" i="7"/>
  <c r="N48" i="7"/>
  <c r="O48" i="7" s="1"/>
  <c r="L48" i="7"/>
  <c r="H48" i="7"/>
  <c r="I48" i="7" s="1"/>
  <c r="F48" i="7"/>
  <c r="C48" i="7"/>
  <c r="AC47" i="7"/>
  <c r="AD47" i="7" s="1"/>
  <c r="AA47" i="7"/>
  <c r="W47" i="7"/>
  <c r="X47" i="7" s="1"/>
  <c r="U47" i="7"/>
  <c r="R47" i="7"/>
  <c r="O47" i="7"/>
  <c r="N47" i="7"/>
  <c r="L47" i="7"/>
  <c r="I47" i="7"/>
  <c r="H47" i="7"/>
  <c r="F47" i="7"/>
  <c r="C47" i="7"/>
  <c r="AC46" i="7"/>
  <c r="AD46" i="7" s="1"/>
  <c r="AA46" i="7"/>
  <c r="W46" i="7"/>
  <c r="X46" i="7" s="1"/>
  <c r="U46" i="7"/>
  <c r="R46" i="7"/>
  <c r="O46" i="7"/>
  <c r="N46" i="7"/>
  <c r="L46" i="7"/>
  <c r="I46" i="7"/>
  <c r="H46" i="7"/>
  <c r="F46" i="7"/>
  <c r="C46" i="7"/>
  <c r="AD44" i="7"/>
  <c r="AC44" i="7"/>
  <c r="AA44" i="7"/>
  <c r="X44" i="7"/>
  <c r="W44" i="7"/>
  <c r="U44" i="7"/>
  <c r="R44" i="7"/>
  <c r="N44" i="7"/>
  <c r="O44" i="7" s="1"/>
  <c r="L44" i="7"/>
  <c r="H44" i="7"/>
  <c r="I44" i="7" s="1"/>
  <c r="F44" i="7"/>
  <c r="C44" i="7"/>
  <c r="AD43" i="7"/>
  <c r="AC43" i="7"/>
  <c r="AA43" i="7"/>
  <c r="X43" i="7"/>
  <c r="W43" i="7"/>
  <c r="U43" i="7"/>
  <c r="R43" i="7"/>
  <c r="O43" i="7"/>
  <c r="N43" i="7"/>
  <c r="L43" i="7"/>
  <c r="H43" i="7"/>
  <c r="I43" i="7" s="1"/>
  <c r="F43" i="7"/>
  <c r="C43" i="7"/>
  <c r="AC42" i="7"/>
  <c r="AD42" i="7" s="1"/>
  <c r="AA42" i="7"/>
  <c r="W42" i="7"/>
  <c r="X42" i="7" s="1"/>
  <c r="U42" i="7"/>
  <c r="R42" i="7"/>
  <c r="N42" i="7"/>
  <c r="O42" i="7" s="1"/>
  <c r="L42" i="7"/>
  <c r="I42" i="7"/>
  <c r="H42" i="7"/>
  <c r="F42" i="7"/>
  <c r="C42" i="7"/>
  <c r="Z40" i="7"/>
  <c r="T40" i="7"/>
  <c r="U40" i="7" s="1"/>
  <c r="Q40" i="7"/>
  <c r="L40" i="7"/>
  <c r="K40" i="7"/>
  <c r="E40" i="7"/>
  <c r="F40" i="7" s="1"/>
  <c r="B40" i="7"/>
  <c r="C40" i="7" s="1"/>
  <c r="AD39" i="7"/>
  <c r="AC39" i="7"/>
  <c r="AA39" i="7"/>
  <c r="X39" i="7"/>
  <c r="W39" i="7"/>
  <c r="U39" i="7"/>
  <c r="R39" i="7"/>
  <c r="O39" i="7"/>
  <c r="N39" i="7"/>
  <c r="L39" i="7"/>
  <c r="I39" i="7"/>
  <c r="H39" i="7"/>
  <c r="F39" i="7"/>
  <c r="C39" i="7"/>
  <c r="AC38" i="7"/>
  <c r="AD38" i="7" s="1"/>
  <c r="AA38" i="7"/>
  <c r="W38" i="7"/>
  <c r="X38" i="7" s="1"/>
  <c r="U38" i="7"/>
  <c r="R38" i="7"/>
  <c r="N38" i="7"/>
  <c r="O38" i="7" s="1"/>
  <c r="L38" i="7"/>
  <c r="I38" i="7"/>
  <c r="H38" i="7"/>
  <c r="F38" i="7"/>
  <c r="C38" i="7"/>
  <c r="AC37" i="7"/>
  <c r="AD37" i="7" s="1"/>
  <c r="AA37" i="7"/>
  <c r="X37" i="7"/>
  <c r="W37" i="7"/>
  <c r="U37" i="7"/>
  <c r="R37" i="7"/>
  <c r="O37" i="7"/>
  <c r="N37" i="7"/>
  <c r="L37" i="7"/>
  <c r="H37" i="7"/>
  <c r="I37" i="7" s="1"/>
  <c r="F37" i="7"/>
  <c r="C37" i="7"/>
  <c r="AD36" i="7"/>
  <c r="AC36" i="7"/>
  <c r="AA36" i="7"/>
  <c r="W36" i="7"/>
  <c r="X36" i="7" s="1"/>
  <c r="U36" i="7"/>
  <c r="R36" i="7"/>
  <c r="N36" i="7"/>
  <c r="O36" i="7" s="1"/>
  <c r="L36" i="7"/>
  <c r="H36" i="7"/>
  <c r="I36" i="7" s="1"/>
  <c r="F36" i="7"/>
  <c r="C36" i="7"/>
  <c r="AD35" i="7"/>
  <c r="AC35" i="7"/>
  <c r="AA35" i="7"/>
  <c r="X35" i="7"/>
  <c r="W35" i="7"/>
  <c r="U35" i="7"/>
  <c r="R35" i="7"/>
  <c r="N35" i="7"/>
  <c r="O35" i="7" s="1"/>
  <c r="L35" i="7"/>
  <c r="H35" i="7"/>
  <c r="I35" i="7" s="1"/>
  <c r="F35" i="7"/>
  <c r="C35" i="7"/>
  <c r="AD34" i="7"/>
  <c r="AC34" i="7"/>
  <c r="AA34" i="7"/>
  <c r="W34" i="7"/>
  <c r="X34" i="7" s="1"/>
  <c r="U34" i="7"/>
  <c r="R34" i="7"/>
  <c r="N34" i="7"/>
  <c r="O34" i="7" s="1"/>
  <c r="L34" i="7"/>
  <c r="I34" i="7"/>
  <c r="H34" i="7"/>
  <c r="F34" i="7"/>
  <c r="C34" i="7"/>
  <c r="AC33" i="7"/>
  <c r="AD33" i="7" s="1"/>
  <c r="AA33" i="7"/>
  <c r="X33" i="7"/>
  <c r="W33" i="7"/>
  <c r="U33" i="7"/>
  <c r="R33" i="7"/>
  <c r="O33" i="7"/>
  <c r="N33" i="7"/>
  <c r="L33" i="7"/>
  <c r="H33" i="7"/>
  <c r="I33" i="7" s="1"/>
  <c r="F33" i="7"/>
  <c r="C33" i="7"/>
  <c r="AC32" i="7"/>
  <c r="AD32" i="7" s="1"/>
  <c r="AA32" i="7"/>
  <c r="W32" i="7"/>
  <c r="X32" i="7" s="1"/>
  <c r="U32" i="7"/>
  <c r="R32" i="7"/>
  <c r="N32" i="7"/>
  <c r="O32" i="7" s="1"/>
  <c r="L32" i="7"/>
  <c r="H32" i="7"/>
  <c r="I32" i="7" s="1"/>
  <c r="F32" i="7"/>
  <c r="C32" i="7"/>
  <c r="AD31" i="7"/>
  <c r="AC31" i="7"/>
  <c r="AA31" i="7"/>
  <c r="X31" i="7"/>
  <c r="W31" i="7"/>
  <c r="U31" i="7"/>
  <c r="R31" i="7"/>
  <c r="N31" i="7"/>
  <c r="O31" i="7" s="1"/>
  <c r="L31" i="7"/>
  <c r="I31" i="7"/>
  <c r="H31" i="7"/>
  <c r="F31" i="7"/>
  <c r="C31" i="7"/>
  <c r="AC29" i="7"/>
  <c r="AD29" i="7" s="1"/>
  <c r="AA29" i="7"/>
  <c r="Z29" i="7"/>
  <c r="T29" i="7"/>
  <c r="R29" i="7"/>
  <c r="Q29" i="7"/>
  <c r="L29" i="7"/>
  <c r="K29" i="7"/>
  <c r="E29" i="7"/>
  <c r="C29" i="7"/>
  <c r="B29" i="7"/>
  <c r="AC28" i="7"/>
  <c r="AD28" i="7" s="1"/>
  <c r="AA28" i="7"/>
  <c r="X28" i="7"/>
  <c r="W28" i="7"/>
  <c r="U28" i="7"/>
  <c r="R28" i="7"/>
  <c r="N28" i="7"/>
  <c r="O28" i="7" s="1"/>
  <c r="L28" i="7"/>
  <c r="H28" i="7"/>
  <c r="I28" i="7" s="1"/>
  <c r="F28" i="7"/>
  <c r="C28" i="7"/>
  <c r="AD27" i="7"/>
  <c r="AC27" i="7"/>
  <c r="AA27" i="7"/>
  <c r="X27" i="7"/>
  <c r="W27" i="7"/>
  <c r="U27" i="7"/>
  <c r="R27" i="7"/>
  <c r="O27" i="7"/>
  <c r="N27" i="7"/>
  <c r="L27" i="7"/>
  <c r="I27" i="7"/>
  <c r="H27" i="7"/>
  <c r="F27" i="7"/>
  <c r="C27" i="7"/>
  <c r="AD26" i="7"/>
  <c r="AC26" i="7"/>
  <c r="AA26" i="7"/>
  <c r="W26" i="7"/>
  <c r="X26" i="7" s="1"/>
  <c r="U26" i="7"/>
  <c r="R26" i="7"/>
  <c r="N26" i="7"/>
  <c r="O26" i="7" s="1"/>
  <c r="L26" i="7"/>
  <c r="I26" i="7"/>
  <c r="H26" i="7"/>
  <c r="F26" i="7"/>
  <c r="C26" i="7"/>
  <c r="AC25" i="7"/>
  <c r="AD25" i="7" s="1"/>
  <c r="AA25" i="7"/>
  <c r="X25" i="7"/>
  <c r="W25" i="7"/>
  <c r="U25" i="7"/>
  <c r="R25" i="7"/>
  <c r="O25" i="7"/>
  <c r="N25" i="7"/>
  <c r="L25" i="7"/>
  <c r="H25" i="7"/>
  <c r="I25" i="7" s="1"/>
  <c r="F25" i="7"/>
  <c r="C25" i="7"/>
  <c r="AC24" i="7"/>
  <c r="AD24" i="7" s="1"/>
  <c r="AA24" i="7"/>
  <c r="W24" i="7"/>
  <c r="X24" i="7" s="1"/>
  <c r="U24" i="7"/>
  <c r="R24" i="7"/>
  <c r="N24" i="7"/>
  <c r="O24" i="7" s="1"/>
  <c r="L24" i="7"/>
  <c r="H24" i="7"/>
  <c r="I24" i="7" s="1"/>
  <c r="F24" i="7"/>
  <c r="C24" i="7"/>
  <c r="AD23" i="7"/>
  <c r="AC23" i="7"/>
  <c r="AA23" i="7"/>
  <c r="X23" i="7"/>
  <c r="W23" i="7"/>
  <c r="U23" i="7"/>
  <c r="R23" i="7"/>
  <c r="N23" i="7"/>
  <c r="O23" i="7" s="1"/>
  <c r="L23" i="7"/>
  <c r="H23" i="7"/>
  <c r="I23" i="7" s="1"/>
  <c r="F23" i="7"/>
  <c r="C23" i="7"/>
  <c r="AD22" i="7"/>
  <c r="AC22" i="7"/>
  <c r="AA22" i="7"/>
  <c r="W22" i="7"/>
  <c r="X22" i="7" s="1"/>
  <c r="U22" i="7"/>
  <c r="R22" i="7"/>
  <c r="N22" i="7"/>
  <c r="O22" i="7" s="1"/>
  <c r="L22" i="7"/>
  <c r="I22" i="7"/>
  <c r="H22" i="7"/>
  <c r="F22" i="7"/>
  <c r="C22" i="7"/>
  <c r="AC21" i="7"/>
  <c r="AD21" i="7" s="1"/>
  <c r="AA21" i="7"/>
  <c r="X21" i="7"/>
  <c r="W21" i="7"/>
  <c r="U21" i="7"/>
  <c r="R21" i="7"/>
  <c r="O21" i="7"/>
  <c r="N21" i="7"/>
  <c r="L21" i="7"/>
  <c r="H21" i="7"/>
  <c r="I21" i="7" s="1"/>
  <c r="F21" i="7"/>
  <c r="C21" i="7"/>
  <c r="AC19" i="7"/>
  <c r="AD19" i="7" s="1"/>
  <c r="AA19" i="7"/>
  <c r="X19" i="7"/>
  <c r="W19" i="7"/>
  <c r="U19" i="7"/>
  <c r="R19" i="7"/>
  <c r="N19" i="7"/>
  <c r="O19" i="7" s="1"/>
  <c r="L19" i="7"/>
  <c r="H19" i="7"/>
  <c r="I19" i="7" s="1"/>
  <c r="F19" i="7"/>
  <c r="C19" i="7"/>
  <c r="AA18" i="7"/>
  <c r="Z18" i="7"/>
  <c r="T18" i="7"/>
  <c r="W18" i="7" s="1"/>
  <c r="X18" i="7" s="1"/>
  <c r="R18" i="7"/>
  <c r="Q18" i="7"/>
  <c r="N18" i="7"/>
  <c r="O18" i="7" s="1"/>
  <c r="K18" i="7"/>
  <c r="L18" i="7" s="1"/>
  <c r="H18" i="7"/>
  <c r="I18" i="7" s="1"/>
  <c r="F18" i="7"/>
  <c r="E18" i="7"/>
  <c r="C18" i="7"/>
  <c r="B18" i="7"/>
  <c r="AC17" i="7"/>
  <c r="AD17" i="7" s="1"/>
  <c r="AA17" i="7"/>
  <c r="W17" i="7"/>
  <c r="X17" i="7" s="1"/>
  <c r="U17" i="7"/>
  <c r="R17" i="7"/>
  <c r="O17" i="7"/>
  <c r="N17" i="7"/>
  <c r="L17" i="7"/>
  <c r="I17" i="7"/>
  <c r="H17" i="7"/>
  <c r="F17" i="7"/>
  <c r="C17" i="7"/>
  <c r="AD16" i="7"/>
  <c r="AC16" i="7"/>
  <c r="AA16" i="7"/>
  <c r="W16" i="7"/>
  <c r="X16" i="7" s="1"/>
  <c r="U16" i="7"/>
  <c r="R16" i="7"/>
  <c r="N16" i="7"/>
  <c r="O16" i="7" s="1"/>
  <c r="L16" i="7"/>
  <c r="H16" i="7"/>
  <c r="I16" i="7" s="1"/>
  <c r="F16" i="7"/>
  <c r="C16" i="7"/>
  <c r="AD15" i="7"/>
  <c r="AC15" i="7"/>
  <c r="AA15" i="7"/>
  <c r="X15" i="7"/>
  <c r="W15" i="7"/>
  <c r="U15" i="7"/>
  <c r="R15" i="7"/>
  <c r="N15" i="7"/>
  <c r="O15" i="7" s="1"/>
  <c r="L15" i="7"/>
  <c r="H15" i="7"/>
  <c r="I15" i="7" s="1"/>
  <c r="F15" i="7"/>
  <c r="C15" i="7"/>
  <c r="AC14" i="7"/>
  <c r="AD14" i="7" s="1"/>
  <c r="AA14" i="7"/>
  <c r="W14" i="7"/>
  <c r="X14" i="7" s="1"/>
  <c r="U14" i="7"/>
  <c r="R14" i="7"/>
  <c r="N14" i="7"/>
  <c r="O14" i="7" s="1"/>
  <c r="L14" i="7"/>
  <c r="I14" i="7"/>
  <c r="H14" i="7"/>
  <c r="F14" i="7"/>
  <c r="C14" i="7"/>
  <c r="AC13" i="7"/>
  <c r="AD13" i="7" s="1"/>
  <c r="AA13" i="7"/>
  <c r="X13" i="7"/>
  <c r="W13" i="7"/>
  <c r="U13" i="7"/>
  <c r="R13" i="7"/>
  <c r="O13" i="7"/>
  <c r="N13" i="7"/>
  <c r="L13" i="7"/>
  <c r="H13" i="7"/>
  <c r="I13" i="7" s="1"/>
  <c r="F13" i="7"/>
  <c r="C13" i="7"/>
  <c r="AD12" i="7"/>
  <c r="AC12" i="7"/>
  <c r="AA12" i="7"/>
  <c r="W12" i="7"/>
  <c r="X12" i="7" s="1"/>
  <c r="U12" i="7"/>
  <c r="R12" i="7"/>
  <c r="N12" i="7"/>
  <c r="O12" i="7" s="1"/>
  <c r="L12" i="7"/>
  <c r="H12" i="7"/>
  <c r="I12" i="7" s="1"/>
  <c r="F12" i="7"/>
  <c r="C12" i="7"/>
  <c r="AD11" i="7"/>
  <c r="AC11" i="7"/>
  <c r="AA11" i="7"/>
  <c r="X11" i="7"/>
  <c r="W11" i="7"/>
  <c r="U11" i="7"/>
  <c r="R11" i="7"/>
  <c r="N11" i="7"/>
  <c r="O11" i="7" s="1"/>
  <c r="L11" i="7"/>
  <c r="H11" i="7"/>
  <c r="I11" i="7" s="1"/>
  <c r="F11" i="7"/>
  <c r="C11" i="7"/>
  <c r="AC10" i="7"/>
  <c r="AD10" i="7" s="1"/>
  <c r="AA10" i="7"/>
  <c r="W10" i="7"/>
  <c r="X10" i="7" s="1"/>
  <c r="U10" i="7"/>
  <c r="R10" i="7"/>
  <c r="O10" i="7"/>
  <c r="N10" i="7"/>
  <c r="L10" i="7"/>
  <c r="I10" i="7"/>
  <c r="H10" i="7"/>
  <c r="F10" i="7"/>
  <c r="C10" i="7"/>
  <c r="AC8" i="7"/>
  <c r="AD8" i="7" s="1"/>
  <c r="AA8" i="7"/>
  <c r="W8" i="7"/>
  <c r="X8" i="7" s="1"/>
  <c r="U8" i="7"/>
  <c r="R8" i="7"/>
  <c r="O8" i="7"/>
  <c r="N8" i="7"/>
  <c r="L8" i="7"/>
  <c r="I8" i="7"/>
  <c r="H8" i="7"/>
  <c r="F8" i="7"/>
  <c r="C8" i="7"/>
  <c r="AC444" i="6"/>
  <c r="AD418" i="6" s="1"/>
  <c r="W444" i="6"/>
  <c r="N444" i="6"/>
  <c r="H444" i="6"/>
  <c r="I369" i="6" s="1"/>
  <c r="Z442" i="6"/>
  <c r="AA442" i="6" s="1"/>
  <c r="U442" i="6"/>
  <c r="T442" i="6"/>
  <c r="Q442" i="6"/>
  <c r="K442" i="6"/>
  <c r="L442" i="6" s="1"/>
  <c r="H442" i="6"/>
  <c r="F442" i="6"/>
  <c r="E442" i="6"/>
  <c r="B442" i="6"/>
  <c r="C442" i="6" s="1"/>
  <c r="AC441" i="6"/>
  <c r="AD441" i="6" s="1"/>
  <c r="AA441" i="6"/>
  <c r="Z441" i="6"/>
  <c r="X441" i="6"/>
  <c r="W441" i="6"/>
  <c r="T441" i="6"/>
  <c r="U441" i="6" s="1"/>
  <c r="Q441" i="6"/>
  <c r="R441" i="6" s="1"/>
  <c r="K441" i="6"/>
  <c r="L441" i="6" s="1"/>
  <c r="H441" i="6"/>
  <c r="I441" i="6" s="1"/>
  <c r="E441" i="6"/>
  <c r="F441" i="6" s="1"/>
  <c r="C441" i="6"/>
  <c r="B441" i="6"/>
  <c r="AC440" i="6"/>
  <c r="AA440" i="6"/>
  <c r="X440" i="6"/>
  <c r="W440" i="6"/>
  <c r="U440" i="6"/>
  <c r="R440" i="6"/>
  <c r="N440" i="6"/>
  <c r="O440" i="6" s="1"/>
  <c r="L440" i="6"/>
  <c r="H440" i="6"/>
  <c r="F440" i="6"/>
  <c r="C440" i="6"/>
  <c r="AC439" i="6"/>
  <c r="AD439" i="6" s="1"/>
  <c r="AA439" i="6"/>
  <c r="X439" i="6"/>
  <c r="W439" i="6"/>
  <c r="U439" i="6"/>
  <c r="R439" i="6"/>
  <c r="N439" i="6"/>
  <c r="O439" i="6" s="1"/>
  <c r="L439" i="6"/>
  <c r="I439" i="6"/>
  <c r="H439" i="6"/>
  <c r="F439" i="6"/>
  <c r="C439" i="6"/>
  <c r="AC438" i="6"/>
  <c r="AA438" i="6"/>
  <c r="W438" i="6"/>
  <c r="X438" i="6" s="1"/>
  <c r="U438" i="6"/>
  <c r="R438" i="6"/>
  <c r="O438" i="6"/>
  <c r="N438" i="6"/>
  <c r="L438" i="6"/>
  <c r="H438" i="6"/>
  <c r="F438" i="6"/>
  <c r="C438" i="6"/>
  <c r="AC437" i="6"/>
  <c r="AA437" i="6"/>
  <c r="X437" i="6"/>
  <c r="W437" i="6"/>
  <c r="U437" i="6"/>
  <c r="R437" i="6"/>
  <c r="O437" i="6"/>
  <c r="N437" i="6"/>
  <c r="L437" i="6"/>
  <c r="I437" i="6"/>
  <c r="H437" i="6"/>
  <c r="F437" i="6"/>
  <c r="C437" i="6"/>
  <c r="AC436" i="6"/>
  <c r="AD436" i="6" s="1"/>
  <c r="AA436" i="6"/>
  <c r="W436" i="6"/>
  <c r="X436" i="6" s="1"/>
  <c r="U436" i="6"/>
  <c r="R436" i="6"/>
  <c r="N436" i="6"/>
  <c r="O436" i="6" s="1"/>
  <c r="L436" i="6"/>
  <c r="H436" i="6"/>
  <c r="I436" i="6" s="1"/>
  <c r="F436" i="6"/>
  <c r="C436" i="6"/>
  <c r="AD435" i="6"/>
  <c r="AC435" i="6"/>
  <c r="AA435" i="6"/>
  <c r="X435" i="6"/>
  <c r="W435" i="6"/>
  <c r="U435" i="6"/>
  <c r="R435" i="6"/>
  <c r="N435" i="6"/>
  <c r="O435" i="6" s="1"/>
  <c r="L435" i="6"/>
  <c r="H435" i="6"/>
  <c r="I435" i="6" s="1"/>
  <c r="F435" i="6"/>
  <c r="C435" i="6"/>
  <c r="AC434" i="6"/>
  <c r="AA434" i="6"/>
  <c r="W434" i="6"/>
  <c r="X434" i="6" s="1"/>
  <c r="U434" i="6"/>
  <c r="R434" i="6"/>
  <c r="O434" i="6"/>
  <c r="N434" i="6"/>
  <c r="L434" i="6"/>
  <c r="H434" i="6"/>
  <c r="F434" i="6"/>
  <c r="C434" i="6"/>
  <c r="AC433" i="6"/>
  <c r="AD433" i="6" s="1"/>
  <c r="AA433" i="6"/>
  <c r="W433" i="6"/>
  <c r="X433" i="6" s="1"/>
  <c r="U433" i="6"/>
  <c r="R433" i="6"/>
  <c r="N433" i="6"/>
  <c r="O433" i="6" s="1"/>
  <c r="L433" i="6"/>
  <c r="I433" i="6"/>
  <c r="H433" i="6"/>
  <c r="F433" i="6"/>
  <c r="C433" i="6"/>
  <c r="AC432" i="6"/>
  <c r="AA432" i="6"/>
  <c r="X432" i="6"/>
  <c r="W432" i="6"/>
  <c r="U432" i="6"/>
  <c r="R432" i="6"/>
  <c r="O432" i="6"/>
  <c r="N432" i="6"/>
  <c r="L432" i="6"/>
  <c r="H432" i="6"/>
  <c r="F432" i="6"/>
  <c r="C432" i="6"/>
  <c r="AC429" i="6"/>
  <c r="AD429" i="6" s="1"/>
  <c r="Z429" i="6"/>
  <c r="AA429" i="6" s="1"/>
  <c r="U429" i="6"/>
  <c r="T429" i="6"/>
  <c r="Q429" i="6"/>
  <c r="N429" i="6"/>
  <c r="O429" i="6" s="1"/>
  <c r="L429" i="6"/>
  <c r="K429" i="6"/>
  <c r="F429" i="6"/>
  <c r="E429" i="6"/>
  <c r="B429" i="6"/>
  <c r="AC428" i="6"/>
  <c r="AD428" i="6" s="1"/>
  <c r="AA428" i="6"/>
  <c r="Z428" i="6"/>
  <c r="W428" i="6"/>
  <c r="X428" i="6" s="1"/>
  <c r="T428" i="6"/>
  <c r="U428" i="6" s="1"/>
  <c r="Q428" i="6"/>
  <c r="R428" i="6" s="1"/>
  <c r="L428" i="6"/>
  <c r="K428" i="6"/>
  <c r="H428" i="6"/>
  <c r="F428" i="6"/>
  <c r="E428" i="6"/>
  <c r="C428" i="6"/>
  <c r="B428" i="6"/>
  <c r="N428" i="6" s="1"/>
  <c r="O428" i="6" s="1"/>
  <c r="AC427" i="6"/>
  <c r="AD427" i="6" s="1"/>
  <c r="AA427" i="6"/>
  <c r="W427" i="6"/>
  <c r="X427" i="6" s="1"/>
  <c r="U427" i="6"/>
  <c r="R427" i="6"/>
  <c r="N427" i="6"/>
  <c r="O427" i="6" s="1"/>
  <c r="L427" i="6"/>
  <c r="H427" i="6"/>
  <c r="F427" i="6"/>
  <c r="C427" i="6"/>
  <c r="AD426" i="6"/>
  <c r="AC426" i="6"/>
  <c r="AA426" i="6"/>
  <c r="X426" i="6"/>
  <c r="W426" i="6"/>
  <c r="U426" i="6"/>
  <c r="R426" i="6"/>
  <c r="N426" i="6"/>
  <c r="O426" i="6" s="1"/>
  <c r="L426" i="6"/>
  <c r="I426" i="6"/>
  <c r="H426" i="6"/>
  <c r="F426" i="6"/>
  <c r="C426" i="6"/>
  <c r="AC425" i="6"/>
  <c r="AA425" i="6"/>
  <c r="W425" i="6"/>
  <c r="X425" i="6" s="1"/>
  <c r="U425" i="6"/>
  <c r="R425" i="6"/>
  <c r="N425" i="6"/>
  <c r="O425" i="6" s="1"/>
  <c r="L425" i="6"/>
  <c r="H425" i="6"/>
  <c r="F425" i="6"/>
  <c r="C425" i="6"/>
  <c r="AC424" i="6"/>
  <c r="AD424" i="6" s="1"/>
  <c r="AA424" i="6"/>
  <c r="X424" i="6"/>
  <c r="W424" i="6"/>
  <c r="U424" i="6"/>
  <c r="R424" i="6"/>
  <c r="O424" i="6"/>
  <c r="N424" i="6"/>
  <c r="L424" i="6"/>
  <c r="I424" i="6"/>
  <c r="H424" i="6"/>
  <c r="F424" i="6"/>
  <c r="C424" i="6"/>
  <c r="AC423" i="6"/>
  <c r="AA423" i="6"/>
  <c r="X423" i="6"/>
  <c r="W423" i="6"/>
  <c r="U423" i="6"/>
  <c r="R423" i="6"/>
  <c r="N423" i="6"/>
  <c r="O423" i="6" s="1"/>
  <c r="L423" i="6"/>
  <c r="H423" i="6"/>
  <c r="F423" i="6"/>
  <c r="C423" i="6"/>
  <c r="AD422" i="6"/>
  <c r="AC422" i="6"/>
  <c r="AA422" i="6"/>
  <c r="X422" i="6"/>
  <c r="W422" i="6"/>
  <c r="U422" i="6"/>
  <c r="R422" i="6"/>
  <c r="O422" i="6"/>
  <c r="N422" i="6"/>
  <c r="L422" i="6"/>
  <c r="H422" i="6"/>
  <c r="F422" i="6"/>
  <c r="C422" i="6"/>
  <c r="AD421" i="6"/>
  <c r="AC421" i="6"/>
  <c r="AA421" i="6"/>
  <c r="W421" i="6"/>
  <c r="X421" i="6" s="1"/>
  <c r="U421" i="6"/>
  <c r="R421" i="6"/>
  <c r="O421" i="6"/>
  <c r="N421" i="6"/>
  <c r="L421" i="6"/>
  <c r="I421" i="6"/>
  <c r="H421" i="6"/>
  <c r="F421" i="6"/>
  <c r="C421" i="6"/>
  <c r="AC420" i="6"/>
  <c r="AA420" i="6"/>
  <c r="W420" i="6"/>
  <c r="X420" i="6" s="1"/>
  <c r="U420" i="6"/>
  <c r="R420" i="6"/>
  <c r="O420" i="6"/>
  <c r="N420" i="6"/>
  <c r="L420" i="6"/>
  <c r="H420" i="6"/>
  <c r="F420" i="6"/>
  <c r="C420" i="6"/>
  <c r="AD419" i="6"/>
  <c r="AC419" i="6"/>
  <c r="AA419" i="6"/>
  <c r="W419" i="6"/>
  <c r="X419" i="6" s="1"/>
  <c r="U419" i="6"/>
  <c r="R419" i="6"/>
  <c r="N419" i="6"/>
  <c r="O419" i="6" s="1"/>
  <c r="L419" i="6"/>
  <c r="H419" i="6"/>
  <c r="I419" i="6" s="1"/>
  <c r="F419" i="6"/>
  <c r="C419" i="6"/>
  <c r="AC418" i="6"/>
  <c r="AA418" i="6"/>
  <c r="X418" i="6"/>
  <c r="W418" i="6"/>
  <c r="U418" i="6"/>
  <c r="R418" i="6"/>
  <c r="N418" i="6"/>
  <c r="O418" i="6" s="1"/>
  <c r="L418" i="6"/>
  <c r="H418" i="6"/>
  <c r="I418" i="6" s="1"/>
  <c r="F418" i="6"/>
  <c r="C418" i="6"/>
  <c r="AC417" i="6"/>
  <c r="AD417" i="6" s="1"/>
  <c r="AA417" i="6"/>
  <c r="W417" i="6"/>
  <c r="X417" i="6" s="1"/>
  <c r="U417" i="6"/>
  <c r="R417" i="6"/>
  <c r="O417" i="6"/>
  <c r="N417" i="6"/>
  <c r="L417" i="6"/>
  <c r="H417" i="6"/>
  <c r="F417" i="6"/>
  <c r="C417" i="6"/>
  <c r="AC416" i="6"/>
  <c r="AA416" i="6"/>
  <c r="X416" i="6"/>
  <c r="W416" i="6"/>
  <c r="U416" i="6"/>
  <c r="R416" i="6"/>
  <c r="O416" i="6"/>
  <c r="N416" i="6"/>
  <c r="L416" i="6"/>
  <c r="H416" i="6"/>
  <c r="I416" i="6" s="1"/>
  <c r="F416" i="6"/>
  <c r="C416" i="6"/>
  <c r="AD415" i="6"/>
  <c r="AC415" i="6"/>
  <c r="AA415" i="6"/>
  <c r="W415" i="6"/>
  <c r="X415" i="6" s="1"/>
  <c r="U415" i="6"/>
  <c r="R415" i="6"/>
  <c r="N415" i="6"/>
  <c r="O415" i="6" s="1"/>
  <c r="L415" i="6"/>
  <c r="H415" i="6"/>
  <c r="F415" i="6"/>
  <c r="C415" i="6"/>
  <c r="AC414" i="6"/>
  <c r="AA414" i="6"/>
  <c r="X414" i="6"/>
  <c r="W414" i="6"/>
  <c r="U414" i="6"/>
  <c r="R414" i="6"/>
  <c r="N414" i="6"/>
  <c r="O414" i="6" s="1"/>
  <c r="L414" i="6"/>
  <c r="H414" i="6"/>
  <c r="F414" i="6"/>
  <c r="C414" i="6"/>
  <c r="AD413" i="6"/>
  <c r="AC413" i="6"/>
  <c r="AA413" i="6"/>
  <c r="W413" i="6"/>
  <c r="X413" i="6" s="1"/>
  <c r="U413" i="6"/>
  <c r="R413" i="6"/>
  <c r="O413" i="6"/>
  <c r="N413" i="6"/>
  <c r="L413" i="6"/>
  <c r="I413" i="6"/>
  <c r="H413" i="6"/>
  <c r="F413" i="6"/>
  <c r="C413" i="6"/>
  <c r="AC412" i="6"/>
  <c r="AA412" i="6"/>
  <c r="W412" i="6"/>
  <c r="X412" i="6" s="1"/>
  <c r="U412" i="6"/>
  <c r="R412" i="6"/>
  <c r="O412" i="6"/>
  <c r="N412" i="6"/>
  <c r="L412" i="6"/>
  <c r="H412" i="6"/>
  <c r="F412" i="6"/>
  <c r="C412" i="6"/>
  <c r="AD411" i="6"/>
  <c r="AC411" i="6"/>
  <c r="AA411" i="6"/>
  <c r="W411" i="6"/>
  <c r="X411" i="6" s="1"/>
  <c r="U411" i="6"/>
  <c r="R411" i="6"/>
  <c r="N411" i="6"/>
  <c r="O411" i="6" s="1"/>
  <c r="L411" i="6"/>
  <c r="H411" i="6"/>
  <c r="I411" i="6" s="1"/>
  <c r="F411" i="6"/>
  <c r="C411" i="6"/>
  <c r="AC410" i="6"/>
  <c r="AA410" i="6"/>
  <c r="X410" i="6"/>
  <c r="W410" i="6"/>
  <c r="U410" i="6"/>
  <c r="R410" i="6"/>
  <c r="N410" i="6"/>
  <c r="O410" i="6" s="1"/>
  <c r="L410" i="6"/>
  <c r="H410" i="6"/>
  <c r="I410" i="6" s="1"/>
  <c r="F410" i="6"/>
  <c r="C410" i="6"/>
  <c r="AC409" i="6"/>
  <c r="AD409" i="6" s="1"/>
  <c r="AA409" i="6"/>
  <c r="W409" i="6"/>
  <c r="X409" i="6" s="1"/>
  <c r="U409" i="6"/>
  <c r="R409" i="6"/>
  <c r="N409" i="6"/>
  <c r="O409" i="6" s="1"/>
  <c r="L409" i="6"/>
  <c r="H409" i="6"/>
  <c r="F409" i="6"/>
  <c r="C409" i="6"/>
  <c r="AC408" i="6"/>
  <c r="AA408" i="6"/>
  <c r="X408" i="6"/>
  <c r="W408" i="6"/>
  <c r="U408" i="6"/>
  <c r="R408" i="6"/>
  <c r="O408" i="6"/>
  <c r="N408" i="6"/>
  <c r="L408" i="6"/>
  <c r="H408" i="6"/>
  <c r="I408" i="6" s="1"/>
  <c r="F408" i="6"/>
  <c r="C408" i="6"/>
  <c r="AD407" i="6"/>
  <c r="AC407" i="6"/>
  <c r="AA407" i="6"/>
  <c r="X407" i="6"/>
  <c r="W407" i="6"/>
  <c r="U407" i="6"/>
  <c r="R407" i="6"/>
  <c r="N407" i="6"/>
  <c r="O407" i="6" s="1"/>
  <c r="L407" i="6"/>
  <c r="H407" i="6"/>
  <c r="F407" i="6"/>
  <c r="C407" i="6"/>
  <c r="Z403" i="6"/>
  <c r="AC403" i="6" s="1"/>
  <c r="AD403" i="6" s="1"/>
  <c r="T403" i="6"/>
  <c r="U403" i="6" s="1"/>
  <c r="Q403" i="6"/>
  <c r="L403" i="6"/>
  <c r="K403" i="6"/>
  <c r="E403" i="6"/>
  <c r="F403" i="6" s="1"/>
  <c r="B403" i="6"/>
  <c r="AD402" i="6"/>
  <c r="AC402" i="6"/>
  <c r="AA402" i="6"/>
  <c r="X402" i="6"/>
  <c r="W402" i="6"/>
  <c r="U402" i="6"/>
  <c r="R402" i="6"/>
  <c r="O402" i="6"/>
  <c r="N402" i="6"/>
  <c r="L402" i="6"/>
  <c r="H402" i="6"/>
  <c r="F402" i="6"/>
  <c r="C402" i="6"/>
  <c r="AC401" i="6"/>
  <c r="AD401" i="6" s="1"/>
  <c r="AA401" i="6"/>
  <c r="W401" i="6"/>
  <c r="X401" i="6" s="1"/>
  <c r="U401" i="6"/>
  <c r="R401" i="6"/>
  <c r="N401" i="6"/>
  <c r="O401" i="6" s="1"/>
  <c r="L401" i="6"/>
  <c r="I401" i="6"/>
  <c r="H401" i="6"/>
  <c r="F401" i="6"/>
  <c r="C401" i="6"/>
  <c r="AC400" i="6"/>
  <c r="AA400" i="6"/>
  <c r="X400" i="6"/>
  <c r="W400" i="6"/>
  <c r="U400" i="6"/>
  <c r="R400" i="6"/>
  <c r="O400" i="6"/>
  <c r="N400" i="6"/>
  <c r="L400" i="6"/>
  <c r="H400" i="6"/>
  <c r="F400" i="6"/>
  <c r="C400" i="6"/>
  <c r="AD399" i="6"/>
  <c r="AC399" i="6"/>
  <c r="AA399" i="6"/>
  <c r="W399" i="6"/>
  <c r="X399" i="6" s="1"/>
  <c r="U399" i="6"/>
  <c r="R399" i="6"/>
  <c r="N399" i="6"/>
  <c r="O399" i="6" s="1"/>
  <c r="L399" i="6"/>
  <c r="H399" i="6"/>
  <c r="I399" i="6" s="1"/>
  <c r="F399" i="6"/>
  <c r="C399" i="6"/>
  <c r="AC398" i="6"/>
  <c r="AA398" i="6"/>
  <c r="X398" i="6"/>
  <c r="W398" i="6"/>
  <c r="U398" i="6"/>
  <c r="R398" i="6"/>
  <c r="N398" i="6"/>
  <c r="O398" i="6" s="1"/>
  <c r="L398" i="6"/>
  <c r="H398" i="6"/>
  <c r="I398" i="6" s="1"/>
  <c r="F398" i="6"/>
  <c r="C398" i="6"/>
  <c r="AC397" i="6"/>
  <c r="AA397" i="6"/>
  <c r="W397" i="6"/>
  <c r="X397" i="6" s="1"/>
  <c r="U397" i="6"/>
  <c r="R397" i="6"/>
  <c r="N397" i="6"/>
  <c r="O397" i="6" s="1"/>
  <c r="L397" i="6"/>
  <c r="H397" i="6"/>
  <c r="F397" i="6"/>
  <c r="C397" i="6"/>
  <c r="AC396" i="6"/>
  <c r="AD396" i="6" s="1"/>
  <c r="AA396" i="6"/>
  <c r="Z396" i="6"/>
  <c r="T396" i="6"/>
  <c r="U396" i="6" s="1"/>
  <c r="Q396" i="6"/>
  <c r="N396" i="6"/>
  <c r="O396" i="6" s="1"/>
  <c r="L396" i="6"/>
  <c r="K396" i="6"/>
  <c r="I396" i="6"/>
  <c r="E396" i="6"/>
  <c r="F396" i="6" s="1"/>
  <c r="C396" i="6"/>
  <c r="B396" i="6"/>
  <c r="H396" i="6" s="1"/>
  <c r="AC395" i="6"/>
  <c r="AA395" i="6"/>
  <c r="X395" i="6"/>
  <c r="W395" i="6"/>
  <c r="U395" i="6"/>
  <c r="R395" i="6"/>
  <c r="N395" i="6"/>
  <c r="O395" i="6" s="1"/>
  <c r="L395" i="6"/>
  <c r="H395" i="6"/>
  <c r="I395" i="6" s="1"/>
  <c r="F395" i="6"/>
  <c r="C395" i="6"/>
  <c r="AC394" i="6"/>
  <c r="AA394" i="6"/>
  <c r="W394" i="6"/>
  <c r="X394" i="6" s="1"/>
  <c r="U394" i="6"/>
  <c r="R394" i="6"/>
  <c r="N394" i="6"/>
  <c r="O394" i="6" s="1"/>
  <c r="L394" i="6"/>
  <c r="H394" i="6"/>
  <c r="F394" i="6"/>
  <c r="C394" i="6"/>
  <c r="Z393" i="6"/>
  <c r="AA393" i="6" s="1"/>
  <c r="T393" i="6"/>
  <c r="U393" i="6" s="1"/>
  <c r="Q393" i="6"/>
  <c r="L393" i="6"/>
  <c r="K393" i="6"/>
  <c r="E393" i="6"/>
  <c r="F393" i="6" s="1"/>
  <c r="C393" i="6"/>
  <c r="B393" i="6"/>
  <c r="AC392" i="6"/>
  <c r="AA392" i="6"/>
  <c r="X392" i="6"/>
  <c r="W392" i="6"/>
  <c r="U392" i="6"/>
  <c r="R392" i="6"/>
  <c r="O392" i="6"/>
  <c r="N392" i="6"/>
  <c r="L392" i="6"/>
  <c r="H392" i="6"/>
  <c r="F392" i="6"/>
  <c r="C392" i="6"/>
  <c r="AD391" i="6"/>
  <c r="AC391" i="6"/>
  <c r="AA391" i="6"/>
  <c r="W391" i="6"/>
  <c r="X391" i="6" s="1"/>
  <c r="U391" i="6"/>
  <c r="R391" i="6"/>
  <c r="N391" i="6"/>
  <c r="O391" i="6" s="1"/>
  <c r="L391" i="6"/>
  <c r="I391" i="6"/>
  <c r="H391" i="6"/>
  <c r="F391" i="6"/>
  <c r="C391" i="6"/>
  <c r="AC390" i="6"/>
  <c r="AA390" i="6"/>
  <c r="W390" i="6"/>
  <c r="X390" i="6" s="1"/>
  <c r="U390" i="6"/>
  <c r="R390" i="6"/>
  <c r="O390" i="6"/>
  <c r="N390" i="6"/>
  <c r="L390" i="6"/>
  <c r="H390" i="6"/>
  <c r="F390" i="6"/>
  <c r="C390" i="6"/>
  <c r="AD389" i="6"/>
  <c r="AC389" i="6"/>
  <c r="AA389" i="6"/>
  <c r="X389" i="6"/>
  <c r="W389" i="6"/>
  <c r="U389" i="6"/>
  <c r="R389" i="6"/>
  <c r="N389" i="6"/>
  <c r="O389" i="6" s="1"/>
  <c r="L389" i="6"/>
  <c r="H389" i="6"/>
  <c r="F389" i="6"/>
  <c r="C389" i="6"/>
  <c r="AC388" i="6"/>
  <c r="AA388" i="6"/>
  <c r="X388" i="6"/>
  <c r="W388" i="6"/>
  <c r="U388" i="6"/>
  <c r="R388" i="6"/>
  <c r="O388" i="6"/>
  <c r="N388" i="6"/>
  <c r="L388" i="6"/>
  <c r="H388" i="6"/>
  <c r="F388" i="6"/>
  <c r="C388" i="6"/>
  <c r="AC386" i="6"/>
  <c r="AD386" i="6" s="1"/>
  <c r="AA386" i="6"/>
  <c r="W386" i="6"/>
  <c r="X386" i="6" s="1"/>
  <c r="U386" i="6"/>
  <c r="R386" i="6"/>
  <c r="O386" i="6"/>
  <c r="N386" i="6"/>
  <c r="L386" i="6"/>
  <c r="I386" i="6"/>
  <c r="H386" i="6"/>
  <c r="F386" i="6"/>
  <c r="C386" i="6"/>
  <c r="AC385" i="6"/>
  <c r="AA385" i="6"/>
  <c r="W385" i="6"/>
  <c r="X385" i="6" s="1"/>
  <c r="U385" i="6"/>
  <c r="R385" i="6"/>
  <c r="O385" i="6"/>
  <c r="N385" i="6"/>
  <c r="L385" i="6"/>
  <c r="H385" i="6"/>
  <c r="F385" i="6"/>
  <c r="C385" i="6"/>
  <c r="AC383" i="6"/>
  <c r="AD383" i="6" s="1"/>
  <c r="AA383" i="6"/>
  <c r="W383" i="6"/>
  <c r="X383" i="6" s="1"/>
  <c r="U383" i="6"/>
  <c r="R383" i="6"/>
  <c r="N383" i="6"/>
  <c r="O383" i="6" s="1"/>
  <c r="L383" i="6"/>
  <c r="H383" i="6"/>
  <c r="I383" i="6" s="1"/>
  <c r="F383" i="6"/>
  <c r="C383" i="6"/>
  <c r="AC382" i="6"/>
  <c r="AA382" i="6"/>
  <c r="X382" i="6"/>
  <c r="W382" i="6"/>
  <c r="U382" i="6"/>
  <c r="R382" i="6"/>
  <c r="N382" i="6"/>
  <c r="O382" i="6" s="1"/>
  <c r="L382" i="6"/>
  <c r="H382" i="6"/>
  <c r="F382" i="6"/>
  <c r="C382" i="6"/>
  <c r="AC381" i="6"/>
  <c r="AD381" i="6" s="1"/>
  <c r="AA381" i="6"/>
  <c r="W381" i="6"/>
  <c r="X381" i="6" s="1"/>
  <c r="U381" i="6"/>
  <c r="R381" i="6"/>
  <c r="N381" i="6"/>
  <c r="O381" i="6" s="1"/>
  <c r="L381" i="6"/>
  <c r="I381" i="6"/>
  <c r="H381" i="6"/>
  <c r="F381" i="6"/>
  <c r="C381" i="6"/>
  <c r="AC380" i="6"/>
  <c r="AA380" i="6"/>
  <c r="W380" i="6"/>
  <c r="X380" i="6" s="1"/>
  <c r="U380" i="6"/>
  <c r="R380" i="6"/>
  <c r="O380" i="6"/>
  <c r="N380" i="6"/>
  <c r="L380" i="6"/>
  <c r="H380" i="6"/>
  <c r="F380" i="6"/>
  <c r="C380" i="6"/>
  <c r="AD379" i="6"/>
  <c r="AC379" i="6"/>
  <c r="AA379" i="6"/>
  <c r="X379" i="6"/>
  <c r="W379" i="6"/>
  <c r="U379" i="6"/>
  <c r="R379" i="6"/>
  <c r="N379" i="6"/>
  <c r="O379" i="6" s="1"/>
  <c r="L379" i="6"/>
  <c r="H379" i="6"/>
  <c r="F379" i="6"/>
  <c r="C379" i="6"/>
  <c r="AC378" i="6"/>
  <c r="AA378" i="6"/>
  <c r="X378" i="6"/>
  <c r="W378" i="6"/>
  <c r="U378" i="6"/>
  <c r="R378" i="6"/>
  <c r="O378" i="6"/>
  <c r="N378" i="6"/>
  <c r="L378" i="6"/>
  <c r="H378" i="6"/>
  <c r="I378" i="6" s="1"/>
  <c r="F378" i="6"/>
  <c r="C378" i="6"/>
  <c r="AC377" i="6"/>
  <c r="AD377" i="6" s="1"/>
  <c r="AA377" i="6"/>
  <c r="W377" i="6"/>
  <c r="X377" i="6" s="1"/>
  <c r="U377" i="6"/>
  <c r="R377" i="6"/>
  <c r="O377" i="6"/>
  <c r="N377" i="6"/>
  <c r="L377" i="6"/>
  <c r="I377" i="6"/>
  <c r="H377" i="6"/>
  <c r="F377" i="6"/>
  <c r="C377" i="6"/>
  <c r="AC376" i="6"/>
  <c r="AA376" i="6"/>
  <c r="W376" i="6"/>
  <c r="X376" i="6" s="1"/>
  <c r="U376" i="6"/>
  <c r="R376" i="6"/>
  <c r="O376" i="6"/>
  <c r="N376" i="6"/>
  <c r="L376" i="6"/>
  <c r="H376" i="6"/>
  <c r="F376" i="6"/>
  <c r="C376" i="6"/>
  <c r="AC375" i="6"/>
  <c r="AD375" i="6" s="1"/>
  <c r="AA375" i="6"/>
  <c r="W375" i="6"/>
  <c r="X375" i="6" s="1"/>
  <c r="U375" i="6"/>
  <c r="R375" i="6"/>
  <c r="N375" i="6"/>
  <c r="O375" i="6" s="1"/>
  <c r="L375" i="6"/>
  <c r="H375" i="6"/>
  <c r="I375" i="6" s="1"/>
  <c r="F375" i="6"/>
  <c r="C375" i="6"/>
  <c r="AC374" i="6"/>
  <c r="AA374" i="6"/>
  <c r="X374" i="6"/>
  <c r="W374" i="6"/>
  <c r="U374" i="6"/>
  <c r="R374" i="6"/>
  <c r="N374" i="6"/>
  <c r="O374" i="6" s="1"/>
  <c r="L374" i="6"/>
  <c r="H374" i="6"/>
  <c r="I374" i="6" s="1"/>
  <c r="F374" i="6"/>
  <c r="C374" i="6"/>
  <c r="AD373" i="6"/>
  <c r="AC373" i="6"/>
  <c r="AA373" i="6"/>
  <c r="W373" i="6"/>
  <c r="X373" i="6" s="1"/>
  <c r="U373" i="6"/>
  <c r="R373" i="6"/>
  <c r="N373" i="6"/>
  <c r="O373" i="6" s="1"/>
  <c r="L373" i="6"/>
  <c r="I373" i="6"/>
  <c r="H373" i="6"/>
  <c r="F373" i="6"/>
  <c r="C373" i="6"/>
  <c r="AC372" i="6"/>
  <c r="AA372" i="6"/>
  <c r="X372" i="6"/>
  <c r="W372" i="6"/>
  <c r="U372" i="6"/>
  <c r="R372" i="6"/>
  <c r="O372" i="6"/>
  <c r="N372" i="6"/>
  <c r="L372" i="6"/>
  <c r="H372" i="6"/>
  <c r="I372" i="6" s="1"/>
  <c r="F372" i="6"/>
  <c r="C372" i="6"/>
  <c r="AD371" i="6"/>
  <c r="AC371" i="6"/>
  <c r="AA371" i="6"/>
  <c r="X371" i="6"/>
  <c r="W371" i="6"/>
  <c r="U371" i="6"/>
  <c r="R371" i="6"/>
  <c r="N371" i="6"/>
  <c r="O371" i="6" s="1"/>
  <c r="L371" i="6"/>
  <c r="H371" i="6"/>
  <c r="F371" i="6"/>
  <c r="C371" i="6"/>
  <c r="AC370" i="6"/>
  <c r="AA370" i="6"/>
  <c r="X370" i="6"/>
  <c r="W370" i="6"/>
  <c r="U370" i="6"/>
  <c r="R370" i="6"/>
  <c r="O370" i="6"/>
  <c r="N370" i="6"/>
  <c r="L370" i="6"/>
  <c r="H370" i="6"/>
  <c r="I370" i="6" s="1"/>
  <c r="F370" i="6"/>
  <c r="C370" i="6"/>
  <c r="AC369" i="6"/>
  <c r="AA369" i="6"/>
  <c r="W369" i="6"/>
  <c r="X369" i="6" s="1"/>
  <c r="U369" i="6"/>
  <c r="R369" i="6"/>
  <c r="O369" i="6"/>
  <c r="N369" i="6"/>
  <c r="L369" i="6"/>
  <c r="H369" i="6"/>
  <c r="F369" i="6"/>
  <c r="C369" i="6"/>
  <c r="AC368" i="6"/>
  <c r="AD368" i="6" s="1"/>
  <c r="AA368" i="6"/>
  <c r="Z368" i="6"/>
  <c r="U368" i="6"/>
  <c r="T368" i="6"/>
  <c r="Q368" i="6"/>
  <c r="L368" i="6"/>
  <c r="K368" i="6"/>
  <c r="H368" i="6"/>
  <c r="I368" i="6" s="1"/>
  <c r="E368" i="6"/>
  <c r="F368" i="6" s="1"/>
  <c r="B368" i="6"/>
  <c r="N368" i="6" s="1"/>
  <c r="O368" i="6" s="1"/>
  <c r="AC367" i="6"/>
  <c r="AA367" i="6"/>
  <c r="X367" i="6"/>
  <c r="W367" i="6"/>
  <c r="U367" i="6"/>
  <c r="R367" i="6"/>
  <c r="N367" i="6"/>
  <c r="O367" i="6" s="1"/>
  <c r="L367" i="6"/>
  <c r="H367" i="6"/>
  <c r="I367" i="6" s="1"/>
  <c r="F367" i="6"/>
  <c r="C367" i="6"/>
  <c r="AD366" i="6"/>
  <c r="AC366" i="6"/>
  <c r="AA366" i="6"/>
  <c r="W366" i="6"/>
  <c r="X366" i="6" s="1"/>
  <c r="U366" i="6"/>
  <c r="R366" i="6"/>
  <c r="O366" i="6"/>
  <c r="N366" i="6"/>
  <c r="L366" i="6"/>
  <c r="H366" i="6"/>
  <c r="F366" i="6"/>
  <c r="C366" i="6"/>
  <c r="AC365" i="6"/>
  <c r="AA365" i="6"/>
  <c r="W365" i="6"/>
  <c r="X365" i="6" s="1"/>
  <c r="U365" i="6"/>
  <c r="R365" i="6"/>
  <c r="O365" i="6"/>
  <c r="N365" i="6"/>
  <c r="L365" i="6"/>
  <c r="I365" i="6"/>
  <c r="H365" i="6"/>
  <c r="F365" i="6"/>
  <c r="C365" i="6"/>
  <c r="AC364" i="6"/>
  <c r="AD364" i="6" s="1"/>
  <c r="AA364" i="6"/>
  <c r="W364" i="6"/>
  <c r="X364" i="6" s="1"/>
  <c r="U364" i="6"/>
  <c r="R364" i="6"/>
  <c r="N364" i="6"/>
  <c r="O364" i="6" s="1"/>
  <c r="L364" i="6"/>
  <c r="H364" i="6"/>
  <c r="F364" i="6"/>
  <c r="C364" i="6"/>
  <c r="AC363" i="6"/>
  <c r="AA363" i="6"/>
  <c r="X363" i="6"/>
  <c r="W363" i="6"/>
  <c r="U363" i="6"/>
  <c r="R363" i="6"/>
  <c r="N363" i="6"/>
  <c r="O363" i="6" s="1"/>
  <c r="L363" i="6"/>
  <c r="I363" i="6"/>
  <c r="H363" i="6"/>
  <c r="F363" i="6"/>
  <c r="C363" i="6"/>
  <c r="AC362" i="6"/>
  <c r="AA362" i="6"/>
  <c r="W362" i="6"/>
  <c r="X362" i="6" s="1"/>
  <c r="U362" i="6"/>
  <c r="R362" i="6"/>
  <c r="N362" i="6"/>
  <c r="O362" i="6" s="1"/>
  <c r="L362" i="6"/>
  <c r="H362" i="6"/>
  <c r="F362" i="6"/>
  <c r="C362" i="6"/>
  <c r="AC361" i="6"/>
  <c r="AA361" i="6"/>
  <c r="X361" i="6"/>
  <c r="W361" i="6"/>
  <c r="U361" i="6"/>
  <c r="R361" i="6"/>
  <c r="O361" i="6"/>
  <c r="N361" i="6"/>
  <c r="L361" i="6"/>
  <c r="I361" i="6"/>
  <c r="H361" i="6"/>
  <c r="F361" i="6"/>
  <c r="C361" i="6"/>
  <c r="AC360" i="6"/>
  <c r="AA360" i="6"/>
  <c r="W360" i="6"/>
  <c r="X360" i="6" s="1"/>
  <c r="U360" i="6"/>
  <c r="R360" i="6"/>
  <c r="N360" i="6"/>
  <c r="O360" i="6" s="1"/>
  <c r="L360" i="6"/>
  <c r="H360" i="6"/>
  <c r="F360" i="6"/>
  <c r="C360" i="6"/>
  <c r="AD358" i="6"/>
  <c r="AA358" i="6"/>
  <c r="Z358" i="6"/>
  <c r="W358" i="6"/>
  <c r="X358" i="6" s="1"/>
  <c r="U358" i="6"/>
  <c r="T358" i="6"/>
  <c r="R358" i="6"/>
  <c r="Q358" i="6"/>
  <c r="AC358" i="6" s="1"/>
  <c r="N358" i="6"/>
  <c r="O358" i="6" s="1"/>
  <c r="K358" i="6"/>
  <c r="L358" i="6" s="1"/>
  <c r="H358" i="6"/>
  <c r="I358" i="6" s="1"/>
  <c r="F358" i="6"/>
  <c r="E358" i="6"/>
  <c r="C358" i="6"/>
  <c r="B358" i="6"/>
  <c r="AC357" i="6"/>
  <c r="AD357" i="6" s="1"/>
  <c r="AA357" i="6"/>
  <c r="W357" i="6"/>
  <c r="X357" i="6" s="1"/>
  <c r="U357" i="6"/>
  <c r="R357" i="6"/>
  <c r="O357" i="6"/>
  <c r="N357" i="6"/>
  <c r="L357" i="6"/>
  <c r="H357" i="6"/>
  <c r="I357" i="6" s="1"/>
  <c r="F357" i="6"/>
  <c r="C357" i="6"/>
  <c r="AD356" i="6"/>
  <c r="AC356" i="6"/>
  <c r="AA356" i="6"/>
  <c r="X356" i="6"/>
  <c r="W356" i="6"/>
  <c r="U356" i="6"/>
  <c r="R356" i="6"/>
  <c r="N356" i="6"/>
  <c r="O356" i="6" s="1"/>
  <c r="L356" i="6"/>
  <c r="H356" i="6"/>
  <c r="F356" i="6"/>
  <c r="C356" i="6"/>
  <c r="AC355" i="6"/>
  <c r="AA355" i="6"/>
  <c r="X355" i="6"/>
  <c r="W355" i="6"/>
  <c r="U355" i="6"/>
  <c r="R355" i="6"/>
  <c r="O355" i="6"/>
  <c r="N355" i="6"/>
  <c r="L355" i="6"/>
  <c r="I355" i="6"/>
  <c r="H355" i="6"/>
  <c r="F355" i="6"/>
  <c r="C355" i="6"/>
  <c r="AC354" i="6"/>
  <c r="AD354" i="6" s="1"/>
  <c r="AA354" i="6"/>
  <c r="W354" i="6"/>
  <c r="X354" i="6" s="1"/>
  <c r="U354" i="6"/>
  <c r="R354" i="6"/>
  <c r="O354" i="6"/>
  <c r="N354" i="6"/>
  <c r="L354" i="6"/>
  <c r="H354" i="6"/>
  <c r="F354" i="6"/>
  <c r="C354" i="6"/>
  <c r="AC353" i="6"/>
  <c r="AA353" i="6"/>
  <c r="X353" i="6"/>
  <c r="W353" i="6"/>
  <c r="U353" i="6"/>
  <c r="R353" i="6"/>
  <c r="O353" i="6"/>
  <c r="N353" i="6"/>
  <c r="L353" i="6"/>
  <c r="H353" i="6"/>
  <c r="I353" i="6" s="1"/>
  <c r="F353" i="6"/>
  <c r="C353" i="6"/>
  <c r="AC352" i="6"/>
  <c r="AA352" i="6"/>
  <c r="W352" i="6"/>
  <c r="X352" i="6" s="1"/>
  <c r="U352" i="6"/>
  <c r="R352" i="6"/>
  <c r="N352" i="6"/>
  <c r="O352" i="6" s="1"/>
  <c r="L352" i="6"/>
  <c r="H352" i="6"/>
  <c r="F352" i="6"/>
  <c r="C352" i="6"/>
  <c r="AD351" i="6"/>
  <c r="AC351" i="6"/>
  <c r="AA351" i="6"/>
  <c r="X351" i="6"/>
  <c r="W351" i="6"/>
  <c r="U351" i="6"/>
  <c r="R351" i="6"/>
  <c r="N351" i="6"/>
  <c r="O351" i="6" s="1"/>
  <c r="L351" i="6"/>
  <c r="I351" i="6"/>
  <c r="H351" i="6"/>
  <c r="F351" i="6"/>
  <c r="C351" i="6"/>
  <c r="AC350" i="6"/>
  <c r="AA350" i="6"/>
  <c r="W350" i="6"/>
  <c r="X350" i="6" s="1"/>
  <c r="U350" i="6"/>
  <c r="R350" i="6"/>
  <c r="N350" i="6"/>
  <c r="O350" i="6" s="1"/>
  <c r="L350" i="6"/>
  <c r="H350" i="6"/>
  <c r="F350" i="6"/>
  <c r="C350" i="6"/>
  <c r="AC349" i="6"/>
  <c r="AD349" i="6" s="1"/>
  <c r="AA349" i="6"/>
  <c r="W349" i="6"/>
  <c r="X349" i="6" s="1"/>
  <c r="U349" i="6"/>
  <c r="R349" i="6"/>
  <c r="O349" i="6"/>
  <c r="N349" i="6"/>
  <c r="L349" i="6"/>
  <c r="H349" i="6"/>
  <c r="I349" i="6" s="1"/>
  <c r="F349" i="6"/>
  <c r="C349" i="6"/>
  <c r="AD347" i="6"/>
  <c r="AC347" i="6"/>
  <c r="AA347" i="6"/>
  <c r="X347" i="6"/>
  <c r="W347" i="6"/>
  <c r="U347" i="6"/>
  <c r="R347" i="6"/>
  <c r="N347" i="6"/>
  <c r="O347" i="6" s="1"/>
  <c r="L347" i="6"/>
  <c r="H347" i="6"/>
  <c r="F347" i="6"/>
  <c r="C347" i="6"/>
  <c r="AC344" i="6"/>
  <c r="AD344" i="6" s="1"/>
  <c r="Z344" i="6"/>
  <c r="AA344" i="6" s="1"/>
  <c r="T344" i="6"/>
  <c r="U344" i="6" s="1"/>
  <c r="Q344" i="6"/>
  <c r="N344" i="6"/>
  <c r="O344" i="6" s="1"/>
  <c r="L344" i="6"/>
  <c r="K344" i="6"/>
  <c r="E344" i="6"/>
  <c r="F344" i="6" s="1"/>
  <c r="C344" i="6"/>
  <c r="B344" i="6"/>
  <c r="Z343" i="6"/>
  <c r="AA343" i="6" s="1"/>
  <c r="T343" i="6"/>
  <c r="R343" i="6"/>
  <c r="Q343" i="6"/>
  <c r="AC343" i="6" s="1"/>
  <c r="AD343" i="6" s="1"/>
  <c r="K343" i="6"/>
  <c r="L343" i="6" s="1"/>
  <c r="F343" i="6"/>
  <c r="E343" i="6"/>
  <c r="C343" i="6"/>
  <c r="B343" i="6"/>
  <c r="Z342" i="6"/>
  <c r="AA342" i="6" s="1"/>
  <c r="U342" i="6"/>
  <c r="T342" i="6"/>
  <c r="Q342" i="6"/>
  <c r="O342" i="6"/>
  <c r="L342" i="6"/>
  <c r="K342" i="6"/>
  <c r="H342" i="6"/>
  <c r="I342" i="6" s="1"/>
  <c r="E342" i="6"/>
  <c r="F342" i="6" s="1"/>
  <c r="C342" i="6"/>
  <c r="B342" i="6"/>
  <c r="N342" i="6" s="1"/>
  <c r="AC341" i="6"/>
  <c r="AA341" i="6"/>
  <c r="X341" i="6"/>
  <c r="W341" i="6"/>
  <c r="U341" i="6"/>
  <c r="R341" i="6"/>
  <c r="O341" i="6"/>
  <c r="N341" i="6"/>
  <c r="L341" i="6"/>
  <c r="H341" i="6"/>
  <c r="F341" i="6"/>
  <c r="C341" i="6"/>
  <c r="AD340" i="6"/>
  <c r="AC340" i="6"/>
  <c r="AA340" i="6"/>
  <c r="W340" i="6"/>
  <c r="X340" i="6" s="1"/>
  <c r="U340" i="6"/>
  <c r="R340" i="6"/>
  <c r="O340" i="6"/>
  <c r="N340" i="6"/>
  <c r="L340" i="6"/>
  <c r="I340" i="6"/>
  <c r="H340" i="6"/>
  <c r="F340" i="6"/>
  <c r="C340" i="6"/>
  <c r="AC339" i="6"/>
  <c r="AA339" i="6"/>
  <c r="X339" i="6"/>
  <c r="W339" i="6"/>
  <c r="U339" i="6"/>
  <c r="R339" i="6"/>
  <c r="O339" i="6"/>
  <c r="N339" i="6"/>
  <c r="L339" i="6"/>
  <c r="I339" i="6"/>
  <c r="H339" i="6"/>
  <c r="F339" i="6"/>
  <c r="C339" i="6"/>
  <c r="AC338" i="6"/>
  <c r="AA338" i="6"/>
  <c r="W338" i="6"/>
  <c r="X338" i="6" s="1"/>
  <c r="U338" i="6"/>
  <c r="R338" i="6"/>
  <c r="N338" i="6"/>
  <c r="O338" i="6" s="1"/>
  <c r="L338" i="6"/>
  <c r="H338" i="6"/>
  <c r="F338" i="6"/>
  <c r="C338" i="6"/>
  <c r="AC337" i="6"/>
  <c r="AA337" i="6"/>
  <c r="X337" i="6"/>
  <c r="W337" i="6"/>
  <c r="U337" i="6"/>
  <c r="R337" i="6"/>
  <c r="N337" i="6"/>
  <c r="O337" i="6" s="1"/>
  <c r="L337" i="6"/>
  <c r="H337" i="6"/>
  <c r="I337" i="6" s="1"/>
  <c r="F337" i="6"/>
  <c r="C337" i="6"/>
  <c r="AD335" i="6"/>
  <c r="AC335" i="6"/>
  <c r="AA335" i="6"/>
  <c r="W335" i="6"/>
  <c r="X335" i="6" s="1"/>
  <c r="U335" i="6"/>
  <c r="R335" i="6"/>
  <c r="N335" i="6"/>
  <c r="O335" i="6" s="1"/>
  <c r="L335" i="6"/>
  <c r="H335" i="6"/>
  <c r="F335" i="6"/>
  <c r="C335" i="6"/>
  <c r="AC334" i="6"/>
  <c r="AA334" i="6"/>
  <c r="W334" i="6"/>
  <c r="X334" i="6" s="1"/>
  <c r="U334" i="6"/>
  <c r="R334" i="6"/>
  <c r="O334" i="6"/>
  <c r="N334" i="6"/>
  <c r="L334" i="6"/>
  <c r="H334" i="6"/>
  <c r="F334" i="6"/>
  <c r="C334" i="6"/>
  <c r="AC333" i="6"/>
  <c r="AD333" i="6" s="1"/>
  <c r="AA333" i="6"/>
  <c r="X333" i="6"/>
  <c r="W333" i="6"/>
  <c r="U333" i="6"/>
  <c r="R333" i="6"/>
  <c r="N333" i="6"/>
  <c r="O333" i="6" s="1"/>
  <c r="L333" i="6"/>
  <c r="H333" i="6"/>
  <c r="I333" i="6" s="1"/>
  <c r="F333" i="6"/>
  <c r="C333" i="6"/>
  <c r="AC332" i="6"/>
  <c r="AA332" i="6"/>
  <c r="X332" i="6"/>
  <c r="W332" i="6"/>
  <c r="U332" i="6"/>
  <c r="R332" i="6"/>
  <c r="O332" i="6"/>
  <c r="N332" i="6"/>
  <c r="L332" i="6"/>
  <c r="H332" i="6"/>
  <c r="F332" i="6"/>
  <c r="C332" i="6"/>
  <c r="AC331" i="6"/>
  <c r="AD331" i="6" s="1"/>
  <c r="AA331" i="6"/>
  <c r="W331" i="6"/>
  <c r="X331" i="6" s="1"/>
  <c r="U331" i="6"/>
  <c r="R331" i="6"/>
  <c r="N331" i="6"/>
  <c r="O331" i="6" s="1"/>
  <c r="L331" i="6"/>
  <c r="I331" i="6"/>
  <c r="H331" i="6"/>
  <c r="F331" i="6"/>
  <c r="C331" i="6"/>
  <c r="AC330" i="6"/>
  <c r="AA330" i="6"/>
  <c r="W330" i="6"/>
  <c r="X330" i="6" s="1"/>
  <c r="U330" i="6"/>
  <c r="R330" i="6"/>
  <c r="O330" i="6"/>
  <c r="N330" i="6"/>
  <c r="L330" i="6"/>
  <c r="H330" i="6"/>
  <c r="I330" i="6" s="1"/>
  <c r="F330" i="6"/>
  <c r="C330" i="6"/>
  <c r="AC329" i="6"/>
  <c r="AA329" i="6"/>
  <c r="W329" i="6"/>
  <c r="X329" i="6" s="1"/>
  <c r="U329" i="6"/>
  <c r="R329" i="6"/>
  <c r="N329" i="6"/>
  <c r="O329" i="6" s="1"/>
  <c r="L329" i="6"/>
  <c r="H329" i="6"/>
  <c r="F329" i="6"/>
  <c r="C329" i="6"/>
  <c r="AC328" i="6"/>
  <c r="AA328" i="6"/>
  <c r="X328" i="6"/>
  <c r="W328" i="6"/>
  <c r="U328" i="6"/>
  <c r="R328" i="6"/>
  <c r="N328" i="6"/>
  <c r="O328" i="6" s="1"/>
  <c r="L328" i="6"/>
  <c r="H328" i="6"/>
  <c r="I328" i="6" s="1"/>
  <c r="F328" i="6"/>
  <c r="C328" i="6"/>
  <c r="AA325" i="6"/>
  <c r="Z325" i="6"/>
  <c r="T325" i="6"/>
  <c r="U325" i="6" s="1"/>
  <c r="Q325" i="6"/>
  <c r="K325" i="6"/>
  <c r="L325" i="6" s="1"/>
  <c r="H325" i="6"/>
  <c r="F325" i="6"/>
  <c r="E325" i="6"/>
  <c r="C325" i="6"/>
  <c r="B325" i="6"/>
  <c r="N325" i="6" s="1"/>
  <c r="O325" i="6" s="1"/>
  <c r="AC324" i="6"/>
  <c r="AD324" i="6" s="1"/>
  <c r="Z324" i="6"/>
  <c r="AA324" i="6" s="1"/>
  <c r="X324" i="6"/>
  <c r="W324" i="6"/>
  <c r="U324" i="6"/>
  <c r="T324" i="6"/>
  <c r="R324" i="6"/>
  <c r="Q324" i="6"/>
  <c r="K324" i="6"/>
  <c r="L324" i="6" s="1"/>
  <c r="E324" i="6"/>
  <c r="F324" i="6" s="1"/>
  <c r="B324" i="6"/>
  <c r="AC323" i="6"/>
  <c r="AA323" i="6"/>
  <c r="W323" i="6"/>
  <c r="X323" i="6" s="1"/>
  <c r="U323" i="6"/>
  <c r="R323" i="6"/>
  <c r="N323" i="6"/>
  <c r="O323" i="6" s="1"/>
  <c r="L323" i="6"/>
  <c r="H323" i="6"/>
  <c r="F323" i="6"/>
  <c r="C323" i="6"/>
  <c r="AC322" i="6"/>
  <c r="AA322" i="6"/>
  <c r="X322" i="6"/>
  <c r="W322" i="6"/>
  <c r="U322" i="6"/>
  <c r="R322" i="6"/>
  <c r="O322" i="6"/>
  <c r="N322" i="6"/>
  <c r="L322" i="6"/>
  <c r="H322" i="6"/>
  <c r="I322" i="6" s="1"/>
  <c r="F322" i="6"/>
  <c r="C322" i="6"/>
  <c r="AC321" i="6"/>
  <c r="AA321" i="6"/>
  <c r="W321" i="6"/>
  <c r="X321" i="6" s="1"/>
  <c r="U321" i="6"/>
  <c r="R321" i="6"/>
  <c r="N321" i="6"/>
  <c r="O321" i="6" s="1"/>
  <c r="L321" i="6"/>
  <c r="H321" i="6"/>
  <c r="F321" i="6"/>
  <c r="C321" i="6"/>
  <c r="AC320" i="6"/>
  <c r="AA320" i="6"/>
  <c r="X320" i="6"/>
  <c r="W320" i="6"/>
  <c r="U320" i="6"/>
  <c r="R320" i="6"/>
  <c r="N320" i="6"/>
  <c r="O320" i="6" s="1"/>
  <c r="L320" i="6"/>
  <c r="H320" i="6"/>
  <c r="I320" i="6" s="1"/>
  <c r="F320" i="6"/>
  <c r="C320" i="6"/>
  <c r="AC319" i="6"/>
  <c r="AA319" i="6"/>
  <c r="W319" i="6"/>
  <c r="X319" i="6" s="1"/>
  <c r="U319" i="6"/>
  <c r="R319" i="6"/>
  <c r="O319" i="6"/>
  <c r="N319" i="6"/>
  <c r="L319" i="6"/>
  <c r="H319" i="6"/>
  <c r="F319" i="6"/>
  <c r="C319" i="6"/>
  <c r="AC318" i="6"/>
  <c r="AD318" i="6" s="1"/>
  <c r="AA318" i="6"/>
  <c r="X318" i="6"/>
  <c r="W318" i="6"/>
  <c r="U318" i="6"/>
  <c r="R318" i="6"/>
  <c r="O318" i="6"/>
  <c r="N318" i="6"/>
  <c r="L318" i="6"/>
  <c r="H318" i="6"/>
  <c r="I318" i="6" s="1"/>
  <c r="F318" i="6"/>
  <c r="C318" i="6"/>
  <c r="AC317" i="6"/>
  <c r="AA317" i="6"/>
  <c r="W317" i="6"/>
  <c r="X317" i="6" s="1"/>
  <c r="U317" i="6"/>
  <c r="R317" i="6"/>
  <c r="N317" i="6"/>
  <c r="O317" i="6" s="1"/>
  <c r="L317" i="6"/>
  <c r="H317" i="6"/>
  <c r="F317" i="6"/>
  <c r="C317" i="6"/>
  <c r="AD316" i="6"/>
  <c r="AC316" i="6"/>
  <c r="AA316" i="6"/>
  <c r="X316" i="6"/>
  <c r="W316" i="6"/>
  <c r="U316" i="6"/>
  <c r="R316" i="6"/>
  <c r="N316" i="6"/>
  <c r="O316" i="6" s="1"/>
  <c r="L316" i="6"/>
  <c r="I316" i="6"/>
  <c r="H316" i="6"/>
  <c r="F316" i="6"/>
  <c r="C316" i="6"/>
  <c r="AC315" i="6"/>
  <c r="AA315" i="6"/>
  <c r="W315" i="6"/>
  <c r="X315" i="6" s="1"/>
  <c r="U315" i="6"/>
  <c r="R315" i="6"/>
  <c r="N315" i="6"/>
  <c r="O315" i="6" s="1"/>
  <c r="L315" i="6"/>
  <c r="H315" i="6"/>
  <c r="F315" i="6"/>
  <c r="C315" i="6"/>
  <c r="AC314" i="6"/>
  <c r="AA314" i="6"/>
  <c r="X314" i="6"/>
  <c r="W314" i="6"/>
  <c r="U314" i="6"/>
  <c r="R314" i="6"/>
  <c r="O314" i="6"/>
  <c r="N314" i="6"/>
  <c r="L314" i="6"/>
  <c r="H314" i="6"/>
  <c r="I314" i="6" s="1"/>
  <c r="F314" i="6"/>
  <c r="C314" i="6"/>
  <c r="AC313" i="6"/>
  <c r="AD313" i="6" s="1"/>
  <c r="AA313" i="6"/>
  <c r="W313" i="6"/>
  <c r="X313" i="6" s="1"/>
  <c r="U313" i="6"/>
  <c r="R313" i="6"/>
  <c r="N313" i="6"/>
  <c r="O313" i="6" s="1"/>
  <c r="L313" i="6"/>
  <c r="H313" i="6"/>
  <c r="F313" i="6"/>
  <c r="C313" i="6"/>
  <c r="AD312" i="6"/>
  <c r="AC312" i="6"/>
  <c r="AA312" i="6"/>
  <c r="X312" i="6"/>
  <c r="W312" i="6"/>
  <c r="U312" i="6"/>
  <c r="R312" i="6"/>
  <c r="N312" i="6"/>
  <c r="O312" i="6" s="1"/>
  <c r="L312" i="6"/>
  <c r="H312" i="6"/>
  <c r="I312" i="6" s="1"/>
  <c r="F312" i="6"/>
  <c r="C312" i="6"/>
  <c r="AC311" i="6"/>
  <c r="AA311" i="6"/>
  <c r="W311" i="6"/>
  <c r="X311" i="6" s="1"/>
  <c r="U311" i="6"/>
  <c r="R311" i="6"/>
  <c r="O311" i="6"/>
  <c r="N311" i="6"/>
  <c r="L311" i="6"/>
  <c r="H311" i="6"/>
  <c r="F311" i="6"/>
  <c r="C311" i="6"/>
  <c r="AC310" i="6"/>
  <c r="AD310" i="6" s="1"/>
  <c r="AA310" i="6"/>
  <c r="X310" i="6"/>
  <c r="W310" i="6"/>
  <c r="U310" i="6"/>
  <c r="R310" i="6"/>
  <c r="O310" i="6"/>
  <c r="N310" i="6"/>
  <c r="L310" i="6"/>
  <c r="I310" i="6"/>
  <c r="H310" i="6"/>
  <c r="F310" i="6"/>
  <c r="C310" i="6"/>
  <c r="AC309" i="6"/>
  <c r="AD309" i="6" s="1"/>
  <c r="AA309" i="6"/>
  <c r="W309" i="6"/>
  <c r="X309" i="6" s="1"/>
  <c r="U309" i="6"/>
  <c r="R309" i="6"/>
  <c r="N309" i="6"/>
  <c r="O309" i="6" s="1"/>
  <c r="L309" i="6"/>
  <c r="H309" i="6"/>
  <c r="F309" i="6"/>
  <c r="C309" i="6"/>
  <c r="AD308" i="6"/>
  <c r="AC308" i="6"/>
  <c r="AA308" i="6"/>
  <c r="X308" i="6"/>
  <c r="W308" i="6"/>
  <c r="U308" i="6"/>
  <c r="R308" i="6"/>
  <c r="N308" i="6"/>
  <c r="O308" i="6" s="1"/>
  <c r="L308" i="6"/>
  <c r="I308" i="6"/>
  <c r="H308" i="6"/>
  <c r="F308" i="6"/>
  <c r="C308" i="6"/>
  <c r="AC307" i="6"/>
  <c r="AA307" i="6"/>
  <c r="W307" i="6"/>
  <c r="X307" i="6" s="1"/>
  <c r="U307" i="6"/>
  <c r="R307" i="6"/>
  <c r="N307" i="6"/>
  <c r="O307" i="6" s="1"/>
  <c r="L307" i="6"/>
  <c r="H307" i="6"/>
  <c r="F307" i="6"/>
  <c r="C307" i="6"/>
  <c r="AC306" i="6"/>
  <c r="AA306" i="6"/>
  <c r="X306" i="6"/>
  <c r="W306" i="6"/>
  <c r="U306" i="6"/>
  <c r="R306" i="6"/>
  <c r="O306" i="6"/>
  <c r="N306" i="6"/>
  <c r="L306" i="6"/>
  <c r="H306" i="6"/>
  <c r="I306" i="6" s="1"/>
  <c r="F306" i="6"/>
  <c r="C306" i="6"/>
  <c r="AD305" i="6"/>
  <c r="AC305" i="6"/>
  <c r="AA305" i="6"/>
  <c r="W305" i="6"/>
  <c r="X305" i="6" s="1"/>
  <c r="U305" i="6"/>
  <c r="R305" i="6"/>
  <c r="N305" i="6"/>
  <c r="O305" i="6" s="1"/>
  <c r="L305" i="6"/>
  <c r="H305" i="6"/>
  <c r="I305" i="6" s="1"/>
  <c r="F305" i="6"/>
  <c r="C305" i="6"/>
  <c r="AD304" i="6"/>
  <c r="AC304" i="6"/>
  <c r="AA304" i="6"/>
  <c r="X304" i="6"/>
  <c r="W304" i="6"/>
  <c r="U304" i="6"/>
  <c r="R304" i="6"/>
  <c r="N304" i="6"/>
  <c r="O304" i="6" s="1"/>
  <c r="L304" i="6"/>
  <c r="H304" i="6"/>
  <c r="F304" i="6"/>
  <c r="C304" i="6"/>
  <c r="AC303" i="6"/>
  <c r="AA303" i="6"/>
  <c r="W303" i="6"/>
  <c r="X303" i="6" s="1"/>
  <c r="U303" i="6"/>
  <c r="R303" i="6"/>
  <c r="N303" i="6"/>
  <c r="O303" i="6" s="1"/>
  <c r="L303" i="6"/>
  <c r="H303" i="6"/>
  <c r="F303" i="6"/>
  <c r="C303" i="6"/>
  <c r="AC302" i="6"/>
  <c r="AD302" i="6" s="1"/>
  <c r="AA302" i="6"/>
  <c r="W302" i="6"/>
  <c r="X302" i="6" s="1"/>
  <c r="U302" i="6"/>
  <c r="R302" i="6"/>
  <c r="O302" i="6"/>
  <c r="N302" i="6"/>
  <c r="L302" i="6"/>
  <c r="H302" i="6"/>
  <c r="I302" i="6" s="1"/>
  <c r="F302" i="6"/>
  <c r="C302" i="6"/>
  <c r="AD301" i="6"/>
  <c r="AC301" i="6"/>
  <c r="AA301" i="6"/>
  <c r="X301" i="6"/>
  <c r="W301" i="6"/>
  <c r="U301" i="6"/>
  <c r="R301" i="6"/>
  <c r="N301" i="6"/>
  <c r="O301" i="6" s="1"/>
  <c r="L301" i="6"/>
  <c r="H301" i="6"/>
  <c r="I301" i="6" s="1"/>
  <c r="F301" i="6"/>
  <c r="C301" i="6"/>
  <c r="AC300" i="6"/>
  <c r="AA300" i="6"/>
  <c r="X300" i="6"/>
  <c r="W300" i="6"/>
  <c r="U300" i="6"/>
  <c r="R300" i="6"/>
  <c r="O300" i="6"/>
  <c r="N300" i="6"/>
  <c r="L300" i="6"/>
  <c r="H300" i="6"/>
  <c r="F300" i="6"/>
  <c r="C300" i="6"/>
  <c r="AC299" i="6"/>
  <c r="AD299" i="6" s="1"/>
  <c r="AA299" i="6"/>
  <c r="W299" i="6"/>
  <c r="X299" i="6" s="1"/>
  <c r="U299" i="6"/>
  <c r="R299" i="6"/>
  <c r="N299" i="6"/>
  <c r="O299" i="6" s="1"/>
  <c r="L299" i="6"/>
  <c r="I299" i="6"/>
  <c r="H299" i="6"/>
  <c r="F299" i="6"/>
  <c r="C299" i="6"/>
  <c r="AC298" i="6"/>
  <c r="AA298" i="6"/>
  <c r="X298" i="6"/>
  <c r="W298" i="6"/>
  <c r="U298" i="6"/>
  <c r="R298" i="6"/>
  <c r="O298" i="6"/>
  <c r="N298" i="6"/>
  <c r="L298" i="6"/>
  <c r="H298" i="6"/>
  <c r="I298" i="6" s="1"/>
  <c r="F298" i="6"/>
  <c r="C298" i="6"/>
  <c r="AD297" i="6"/>
  <c r="AC297" i="6"/>
  <c r="AA297" i="6"/>
  <c r="W297" i="6"/>
  <c r="X297" i="6" s="1"/>
  <c r="U297" i="6"/>
  <c r="R297" i="6"/>
  <c r="N297" i="6"/>
  <c r="O297" i="6" s="1"/>
  <c r="L297" i="6"/>
  <c r="H297" i="6"/>
  <c r="I297" i="6" s="1"/>
  <c r="F297" i="6"/>
  <c r="C297" i="6"/>
  <c r="AA295" i="6"/>
  <c r="Z295" i="6"/>
  <c r="T295" i="6"/>
  <c r="R295" i="6"/>
  <c r="Q295" i="6"/>
  <c r="AC295" i="6" s="1"/>
  <c r="K295" i="6"/>
  <c r="L295" i="6" s="1"/>
  <c r="I295" i="6"/>
  <c r="H295" i="6"/>
  <c r="F295" i="6"/>
  <c r="E295" i="6"/>
  <c r="B295" i="6"/>
  <c r="C295" i="6" s="1"/>
  <c r="AC294" i="6"/>
  <c r="AA294" i="6"/>
  <c r="X294" i="6"/>
  <c r="W294" i="6"/>
  <c r="U294" i="6"/>
  <c r="R294" i="6"/>
  <c r="O294" i="6"/>
  <c r="N294" i="6"/>
  <c r="L294" i="6"/>
  <c r="H294" i="6"/>
  <c r="F294" i="6"/>
  <c r="C294" i="6"/>
  <c r="AD293" i="6"/>
  <c r="AC293" i="6"/>
  <c r="AA293" i="6"/>
  <c r="X293" i="6"/>
  <c r="W293" i="6"/>
  <c r="U293" i="6"/>
  <c r="R293" i="6"/>
  <c r="N293" i="6"/>
  <c r="O293" i="6" s="1"/>
  <c r="L293" i="6"/>
  <c r="H293" i="6"/>
  <c r="F293" i="6"/>
  <c r="C293" i="6"/>
  <c r="AC292" i="6"/>
  <c r="AA292" i="6"/>
  <c r="X292" i="6"/>
  <c r="W292" i="6"/>
  <c r="U292" i="6"/>
  <c r="R292" i="6"/>
  <c r="O292" i="6"/>
  <c r="N292" i="6"/>
  <c r="L292" i="6"/>
  <c r="H292" i="6"/>
  <c r="I292" i="6" s="1"/>
  <c r="F292" i="6"/>
  <c r="C292" i="6"/>
  <c r="AD291" i="6"/>
  <c r="AC291" i="6"/>
  <c r="AA291" i="6"/>
  <c r="W291" i="6"/>
  <c r="X291" i="6" s="1"/>
  <c r="U291" i="6"/>
  <c r="R291" i="6"/>
  <c r="O291" i="6"/>
  <c r="N291" i="6"/>
  <c r="L291" i="6"/>
  <c r="H291" i="6"/>
  <c r="F291" i="6"/>
  <c r="C291" i="6"/>
  <c r="AC290" i="6"/>
  <c r="AD290" i="6" s="1"/>
  <c r="AA290" i="6"/>
  <c r="W290" i="6"/>
  <c r="X290" i="6" s="1"/>
  <c r="U290" i="6"/>
  <c r="R290" i="6"/>
  <c r="O290" i="6"/>
  <c r="N290" i="6"/>
  <c r="L290" i="6"/>
  <c r="I290" i="6"/>
  <c r="H290" i="6"/>
  <c r="F290" i="6"/>
  <c r="C290" i="6"/>
  <c r="AC289" i="6"/>
  <c r="AA289" i="6"/>
  <c r="X289" i="6"/>
  <c r="W289" i="6"/>
  <c r="U289" i="6"/>
  <c r="R289" i="6"/>
  <c r="N289" i="6"/>
  <c r="O289" i="6" s="1"/>
  <c r="L289" i="6"/>
  <c r="H289" i="6"/>
  <c r="F289" i="6"/>
  <c r="C289" i="6"/>
  <c r="AC288" i="6"/>
  <c r="AA288" i="6"/>
  <c r="X288" i="6"/>
  <c r="W288" i="6"/>
  <c r="U288" i="6"/>
  <c r="R288" i="6"/>
  <c r="O288" i="6"/>
  <c r="N288" i="6"/>
  <c r="L288" i="6"/>
  <c r="H288" i="6"/>
  <c r="I288" i="6" s="1"/>
  <c r="F288" i="6"/>
  <c r="C288" i="6"/>
  <c r="AC287" i="6"/>
  <c r="AD287" i="6" s="1"/>
  <c r="AA287" i="6"/>
  <c r="W287" i="6"/>
  <c r="X287" i="6" s="1"/>
  <c r="U287" i="6"/>
  <c r="R287" i="6"/>
  <c r="N287" i="6"/>
  <c r="O287" i="6" s="1"/>
  <c r="L287" i="6"/>
  <c r="H287" i="6"/>
  <c r="F287" i="6"/>
  <c r="C287" i="6"/>
  <c r="AC286" i="6"/>
  <c r="AD286" i="6" s="1"/>
  <c r="AA286" i="6"/>
  <c r="X286" i="6"/>
  <c r="W286" i="6"/>
  <c r="U286" i="6"/>
  <c r="R286" i="6"/>
  <c r="O286" i="6"/>
  <c r="N286" i="6"/>
  <c r="L286" i="6"/>
  <c r="H286" i="6"/>
  <c r="I286" i="6" s="1"/>
  <c r="F286" i="6"/>
  <c r="C286" i="6"/>
  <c r="Z284" i="6"/>
  <c r="AA284" i="6" s="1"/>
  <c r="U284" i="6"/>
  <c r="T284" i="6"/>
  <c r="R284" i="6"/>
  <c r="Q284" i="6"/>
  <c r="K284" i="6"/>
  <c r="L284" i="6" s="1"/>
  <c r="F284" i="6"/>
  <c r="E284" i="6"/>
  <c r="B284" i="6"/>
  <c r="AD283" i="6"/>
  <c r="AC283" i="6"/>
  <c r="AA283" i="6"/>
  <c r="W283" i="6"/>
  <c r="X283" i="6" s="1"/>
  <c r="U283" i="6"/>
  <c r="R283" i="6"/>
  <c r="N283" i="6"/>
  <c r="O283" i="6" s="1"/>
  <c r="L283" i="6"/>
  <c r="H283" i="6"/>
  <c r="F283" i="6"/>
  <c r="C283" i="6"/>
  <c r="AC282" i="6"/>
  <c r="AA282" i="6"/>
  <c r="W282" i="6"/>
  <c r="X282" i="6" s="1"/>
  <c r="U282" i="6"/>
  <c r="R282" i="6"/>
  <c r="O282" i="6"/>
  <c r="N282" i="6"/>
  <c r="L282" i="6"/>
  <c r="H282" i="6"/>
  <c r="F282" i="6"/>
  <c r="C282" i="6"/>
  <c r="AC281" i="6"/>
  <c r="AD281" i="6" s="1"/>
  <c r="AA281" i="6"/>
  <c r="W281" i="6"/>
  <c r="X281" i="6" s="1"/>
  <c r="U281" i="6"/>
  <c r="R281" i="6"/>
  <c r="N281" i="6"/>
  <c r="O281" i="6" s="1"/>
  <c r="L281" i="6"/>
  <c r="H281" i="6"/>
  <c r="I281" i="6" s="1"/>
  <c r="F281" i="6"/>
  <c r="C281" i="6"/>
  <c r="AC280" i="6"/>
  <c r="AA280" i="6"/>
  <c r="X280" i="6"/>
  <c r="W280" i="6"/>
  <c r="U280" i="6"/>
  <c r="R280" i="6"/>
  <c r="N280" i="6"/>
  <c r="O280" i="6" s="1"/>
  <c r="L280" i="6"/>
  <c r="I280" i="6"/>
  <c r="H280" i="6"/>
  <c r="F280" i="6"/>
  <c r="C280" i="6"/>
  <c r="AC279" i="6"/>
  <c r="AA279" i="6"/>
  <c r="W279" i="6"/>
  <c r="X279" i="6" s="1"/>
  <c r="U279" i="6"/>
  <c r="R279" i="6"/>
  <c r="O279" i="6"/>
  <c r="N279" i="6"/>
  <c r="L279" i="6"/>
  <c r="H279" i="6"/>
  <c r="F279" i="6"/>
  <c r="C279" i="6"/>
  <c r="AC278" i="6"/>
  <c r="AA278" i="6"/>
  <c r="X278" i="6"/>
  <c r="W278" i="6"/>
  <c r="U278" i="6"/>
  <c r="R278" i="6"/>
  <c r="O278" i="6"/>
  <c r="N278" i="6"/>
  <c r="L278" i="6"/>
  <c r="H278" i="6"/>
  <c r="I278" i="6" s="1"/>
  <c r="F278" i="6"/>
  <c r="C278" i="6"/>
  <c r="AC277" i="6"/>
  <c r="AD277" i="6" s="1"/>
  <c r="AA277" i="6"/>
  <c r="W277" i="6"/>
  <c r="X277" i="6" s="1"/>
  <c r="U277" i="6"/>
  <c r="R277" i="6"/>
  <c r="N277" i="6"/>
  <c r="O277" i="6" s="1"/>
  <c r="L277" i="6"/>
  <c r="H277" i="6"/>
  <c r="F277" i="6"/>
  <c r="C277" i="6"/>
  <c r="AD276" i="6"/>
  <c r="AC276" i="6"/>
  <c r="AA276" i="6"/>
  <c r="X276" i="6"/>
  <c r="W276" i="6"/>
  <c r="U276" i="6"/>
  <c r="R276" i="6"/>
  <c r="N276" i="6"/>
  <c r="O276" i="6" s="1"/>
  <c r="L276" i="6"/>
  <c r="H276" i="6"/>
  <c r="I276" i="6" s="1"/>
  <c r="F276" i="6"/>
  <c r="C276" i="6"/>
  <c r="AC275" i="6"/>
  <c r="AA275" i="6"/>
  <c r="W275" i="6"/>
  <c r="X275" i="6" s="1"/>
  <c r="U275" i="6"/>
  <c r="R275" i="6"/>
  <c r="O275" i="6"/>
  <c r="N275" i="6"/>
  <c r="L275" i="6"/>
  <c r="H275" i="6"/>
  <c r="F275" i="6"/>
  <c r="C275" i="6"/>
  <c r="AC273" i="6"/>
  <c r="AD273" i="6" s="1"/>
  <c r="AA273" i="6"/>
  <c r="Z273" i="6"/>
  <c r="T273" i="6"/>
  <c r="U273" i="6" s="1"/>
  <c r="Q273" i="6"/>
  <c r="N273" i="6"/>
  <c r="O273" i="6" s="1"/>
  <c r="L273" i="6"/>
  <c r="K273" i="6"/>
  <c r="E273" i="6"/>
  <c r="C273" i="6"/>
  <c r="B273" i="6"/>
  <c r="AC272" i="6"/>
  <c r="AA272" i="6"/>
  <c r="X272" i="6"/>
  <c r="W272" i="6"/>
  <c r="U272" i="6"/>
  <c r="R272" i="6"/>
  <c r="N272" i="6"/>
  <c r="O272" i="6" s="1"/>
  <c r="L272" i="6"/>
  <c r="H272" i="6"/>
  <c r="F272" i="6"/>
  <c r="C272" i="6"/>
  <c r="AD271" i="6"/>
  <c r="AC271" i="6"/>
  <c r="AA271" i="6"/>
  <c r="W271" i="6"/>
  <c r="X271" i="6" s="1"/>
  <c r="U271" i="6"/>
  <c r="R271" i="6"/>
  <c r="N271" i="6"/>
  <c r="O271" i="6" s="1"/>
  <c r="L271" i="6"/>
  <c r="H271" i="6"/>
  <c r="F271" i="6"/>
  <c r="C271" i="6"/>
  <c r="AC270" i="6"/>
  <c r="AA270" i="6"/>
  <c r="W270" i="6"/>
  <c r="X270" i="6" s="1"/>
  <c r="U270" i="6"/>
  <c r="R270" i="6"/>
  <c r="O270" i="6"/>
  <c r="N270" i="6"/>
  <c r="L270" i="6"/>
  <c r="H270" i="6"/>
  <c r="F270" i="6"/>
  <c r="C270" i="6"/>
  <c r="AC269" i="6"/>
  <c r="AD269" i="6" s="1"/>
  <c r="AA269" i="6"/>
  <c r="X269" i="6"/>
  <c r="W269" i="6"/>
  <c r="U269" i="6"/>
  <c r="R269" i="6"/>
  <c r="N269" i="6"/>
  <c r="O269" i="6" s="1"/>
  <c r="L269" i="6"/>
  <c r="H269" i="6"/>
  <c r="I269" i="6" s="1"/>
  <c r="F269" i="6"/>
  <c r="C269" i="6"/>
  <c r="Z267" i="6"/>
  <c r="AA267" i="6" s="1"/>
  <c r="T267" i="6"/>
  <c r="R267" i="6"/>
  <c r="Q267" i="6"/>
  <c r="AC267" i="6" s="1"/>
  <c r="AD267" i="6" s="1"/>
  <c r="N267" i="6"/>
  <c r="O267" i="6" s="1"/>
  <c r="K267" i="6"/>
  <c r="L267" i="6" s="1"/>
  <c r="H267" i="6"/>
  <c r="F267" i="6"/>
  <c r="E267" i="6"/>
  <c r="C267" i="6"/>
  <c r="B267" i="6"/>
  <c r="AC266" i="6"/>
  <c r="AD266" i="6" s="1"/>
  <c r="AA266" i="6"/>
  <c r="W266" i="6"/>
  <c r="X266" i="6" s="1"/>
  <c r="U266" i="6"/>
  <c r="R266" i="6"/>
  <c r="O266" i="6"/>
  <c r="N266" i="6"/>
  <c r="L266" i="6"/>
  <c r="I266" i="6"/>
  <c r="H266" i="6"/>
  <c r="F266" i="6"/>
  <c r="C266" i="6"/>
  <c r="AC265" i="6"/>
  <c r="AA265" i="6"/>
  <c r="W265" i="6"/>
  <c r="X265" i="6" s="1"/>
  <c r="U265" i="6"/>
  <c r="R265" i="6"/>
  <c r="N265" i="6"/>
  <c r="O265" i="6" s="1"/>
  <c r="L265" i="6"/>
  <c r="H265" i="6"/>
  <c r="F265" i="6"/>
  <c r="C265" i="6"/>
  <c r="Z263" i="6"/>
  <c r="AA263" i="6" s="1"/>
  <c r="T263" i="6"/>
  <c r="U263" i="6" s="1"/>
  <c r="R263" i="6"/>
  <c r="Q263" i="6"/>
  <c r="AC263" i="6" s="1"/>
  <c r="AD263" i="6" s="1"/>
  <c r="K263" i="6"/>
  <c r="L263" i="6" s="1"/>
  <c r="F263" i="6"/>
  <c r="E263" i="6"/>
  <c r="B263" i="6"/>
  <c r="AA262" i="6"/>
  <c r="Z262" i="6"/>
  <c r="U262" i="6"/>
  <c r="T262" i="6"/>
  <c r="Q262" i="6"/>
  <c r="L262" i="6"/>
  <c r="K262" i="6"/>
  <c r="I262" i="6"/>
  <c r="H262" i="6"/>
  <c r="E262" i="6"/>
  <c r="F262" i="6" s="1"/>
  <c r="B262" i="6"/>
  <c r="N262" i="6" s="1"/>
  <c r="O262" i="6" s="1"/>
  <c r="AC261" i="6"/>
  <c r="AA261" i="6"/>
  <c r="X261" i="6"/>
  <c r="W261" i="6"/>
  <c r="U261" i="6"/>
  <c r="R261" i="6"/>
  <c r="O261" i="6"/>
  <c r="N261" i="6"/>
  <c r="L261" i="6"/>
  <c r="I261" i="6"/>
  <c r="H261" i="6"/>
  <c r="F261" i="6"/>
  <c r="C261" i="6"/>
  <c r="AC260" i="6"/>
  <c r="AD260" i="6" s="1"/>
  <c r="AA260" i="6"/>
  <c r="W260" i="6"/>
  <c r="X260" i="6" s="1"/>
  <c r="U260" i="6"/>
  <c r="R260" i="6"/>
  <c r="O260" i="6"/>
  <c r="N260" i="6"/>
  <c r="L260" i="6"/>
  <c r="H260" i="6"/>
  <c r="F260" i="6"/>
  <c r="C260" i="6"/>
  <c r="AC259" i="6"/>
  <c r="AD259" i="6" s="1"/>
  <c r="AA259" i="6"/>
  <c r="W259" i="6"/>
  <c r="X259" i="6" s="1"/>
  <c r="U259" i="6"/>
  <c r="R259" i="6"/>
  <c r="O259" i="6"/>
  <c r="N259" i="6"/>
  <c r="L259" i="6"/>
  <c r="I259" i="6"/>
  <c r="H259" i="6"/>
  <c r="F259" i="6"/>
  <c r="C259" i="6"/>
  <c r="AC258" i="6"/>
  <c r="AA258" i="6"/>
  <c r="W258" i="6"/>
  <c r="X258" i="6" s="1"/>
  <c r="U258" i="6"/>
  <c r="R258" i="6"/>
  <c r="N258" i="6"/>
  <c r="O258" i="6" s="1"/>
  <c r="L258" i="6"/>
  <c r="H258" i="6"/>
  <c r="F258" i="6"/>
  <c r="C258" i="6"/>
  <c r="AD257" i="6"/>
  <c r="AC257" i="6"/>
  <c r="AA257" i="6"/>
  <c r="X257" i="6"/>
  <c r="W257" i="6"/>
  <c r="U257" i="6"/>
  <c r="R257" i="6"/>
  <c r="N257" i="6"/>
  <c r="O257" i="6" s="1"/>
  <c r="L257" i="6"/>
  <c r="I257" i="6"/>
  <c r="H257" i="6"/>
  <c r="F257" i="6"/>
  <c r="C257" i="6"/>
  <c r="AC256" i="6"/>
  <c r="AA256" i="6"/>
  <c r="W256" i="6"/>
  <c r="X256" i="6" s="1"/>
  <c r="U256" i="6"/>
  <c r="R256" i="6"/>
  <c r="N256" i="6"/>
  <c r="O256" i="6" s="1"/>
  <c r="L256" i="6"/>
  <c r="H256" i="6"/>
  <c r="F256" i="6"/>
  <c r="C256" i="6"/>
  <c r="AC255" i="6"/>
  <c r="AD255" i="6" s="1"/>
  <c r="AA255" i="6"/>
  <c r="W255" i="6"/>
  <c r="X255" i="6" s="1"/>
  <c r="U255" i="6"/>
  <c r="R255" i="6"/>
  <c r="O255" i="6"/>
  <c r="N255" i="6"/>
  <c r="L255" i="6"/>
  <c r="H255" i="6"/>
  <c r="I255" i="6" s="1"/>
  <c r="F255" i="6"/>
  <c r="C255" i="6"/>
  <c r="AC254" i="6"/>
  <c r="AA254" i="6"/>
  <c r="X254" i="6"/>
  <c r="W254" i="6"/>
  <c r="U254" i="6"/>
  <c r="R254" i="6"/>
  <c r="N254" i="6"/>
  <c r="O254" i="6" s="1"/>
  <c r="L254" i="6"/>
  <c r="H254" i="6"/>
  <c r="F254" i="6"/>
  <c r="C254" i="6"/>
  <c r="AC253" i="6"/>
  <c r="AA253" i="6"/>
  <c r="X253" i="6"/>
  <c r="W253" i="6"/>
  <c r="U253" i="6"/>
  <c r="R253" i="6"/>
  <c r="O253" i="6"/>
  <c r="N253" i="6"/>
  <c r="L253" i="6"/>
  <c r="I253" i="6"/>
  <c r="H253" i="6"/>
  <c r="F253" i="6"/>
  <c r="C253" i="6"/>
  <c r="AC252" i="6"/>
  <c r="AD252" i="6" s="1"/>
  <c r="AA252" i="6"/>
  <c r="W252" i="6"/>
  <c r="X252" i="6" s="1"/>
  <c r="U252" i="6"/>
  <c r="R252" i="6"/>
  <c r="O252" i="6"/>
  <c r="N252" i="6"/>
  <c r="L252" i="6"/>
  <c r="I252" i="6"/>
  <c r="H252" i="6"/>
  <c r="F252" i="6"/>
  <c r="C252" i="6"/>
  <c r="AC251" i="6"/>
  <c r="AA251" i="6"/>
  <c r="W251" i="6"/>
  <c r="X251" i="6" s="1"/>
  <c r="U251" i="6"/>
  <c r="R251" i="6"/>
  <c r="O251" i="6"/>
  <c r="N251" i="6"/>
  <c r="L251" i="6"/>
  <c r="H251" i="6"/>
  <c r="F251" i="6"/>
  <c r="C251" i="6"/>
  <c r="AC250" i="6"/>
  <c r="AD250" i="6" s="1"/>
  <c r="AA250" i="6"/>
  <c r="X250" i="6"/>
  <c r="W250" i="6"/>
  <c r="U250" i="6"/>
  <c r="R250" i="6"/>
  <c r="N250" i="6"/>
  <c r="O250" i="6" s="1"/>
  <c r="L250" i="6"/>
  <c r="H250" i="6"/>
  <c r="I250" i="6" s="1"/>
  <c r="F250" i="6"/>
  <c r="C250" i="6"/>
  <c r="AD249" i="6"/>
  <c r="AC249" i="6"/>
  <c r="AA249" i="6"/>
  <c r="X249" i="6"/>
  <c r="W249" i="6"/>
  <c r="U249" i="6"/>
  <c r="R249" i="6"/>
  <c r="O249" i="6"/>
  <c r="N249" i="6"/>
  <c r="L249" i="6"/>
  <c r="H249" i="6"/>
  <c r="I249" i="6" s="1"/>
  <c r="F249" i="6"/>
  <c r="C249" i="6"/>
  <c r="AD248" i="6"/>
  <c r="AC248" i="6"/>
  <c r="AA248" i="6"/>
  <c r="W248" i="6"/>
  <c r="X248" i="6" s="1"/>
  <c r="U248" i="6"/>
  <c r="R248" i="6"/>
  <c r="N248" i="6"/>
  <c r="O248" i="6" s="1"/>
  <c r="L248" i="6"/>
  <c r="I248" i="6"/>
  <c r="H248" i="6"/>
  <c r="F248" i="6"/>
  <c r="C248" i="6"/>
  <c r="AC247" i="6"/>
  <c r="AA247" i="6"/>
  <c r="W247" i="6"/>
  <c r="X247" i="6" s="1"/>
  <c r="U247" i="6"/>
  <c r="R247" i="6"/>
  <c r="O247" i="6"/>
  <c r="N247" i="6"/>
  <c r="L247" i="6"/>
  <c r="H247" i="6"/>
  <c r="F247" i="6"/>
  <c r="C247" i="6"/>
  <c r="AD246" i="6"/>
  <c r="AC246" i="6"/>
  <c r="AA246" i="6"/>
  <c r="X246" i="6"/>
  <c r="W246" i="6"/>
  <c r="U246" i="6"/>
  <c r="R246" i="6"/>
  <c r="N246" i="6"/>
  <c r="O246" i="6" s="1"/>
  <c r="L246" i="6"/>
  <c r="H246" i="6"/>
  <c r="F246" i="6"/>
  <c r="C246" i="6"/>
  <c r="AC245" i="6"/>
  <c r="AA245" i="6"/>
  <c r="X245" i="6"/>
  <c r="W245" i="6"/>
  <c r="U245" i="6"/>
  <c r="R245" i="6"/>
  <c r="O245" i="6"/>
  <c r="N245" i="6"/>
  <c r="L245" i="6"/>
  <c r="H245" i="6"/>
  <c r="F245" i="6"/>
  <c r="C245" i="6"/>
  <c r="AD244" i="6"/>
  <c r="AC244" i="6"/>
  <c r="AA244" i="6"/>
  <c r="W244" i="6"/>
  <c r="X244" i="6" s="1"/>
  <c r="U244" i="6"/>
  <c r="R244" i="6"/>
  <c r="O244" i="6"/>
  <c r="N244" i="6"/>
  <c r="L244" i="6"/>
  <c r="I244" i="6"/>
  <c r="H244" i="6"/>
  <c r="F244" i="6"/>
  <c r="C244" i="6"/>
  <c r="AC243" i="6"/>
  <c r="AA243" i="6"/>
  <c r="W243" i="6"/>
  <c r="X243" i="6" s="1"/>
  <c r="U243" i="6"/>
  <c r="R243" i="6"/>
  <c r="O243" i="6"/>
  <c r="N243" i="6"/>
  <c r="L243" i="6"/>
  <c r="H243" i="6"/>
  <c r="F243" i="6"/>
  <c r="C243" i="6"/>
  <c r="AC242" i="6"/>
  <c r="AD242" i="6" s="1"/>
  <c r="AA242" i="6"/>
  <c r="W242" i="6"/>
  <c r="X242" i="6" s="1"/>
  <c r="U242" i="6"/>
  <c r="R242" i="6"/>
  <c r="N242" i="6"/>
  <c r="O242" i="6" s="1"/>
  <c r="L242" i="6"/>
  <c r="H242" i="6"/>
  <c r="I242" i="6" s="1"/>
  <c r="F242" i="6"/>
  <c r="C242" i="6"/>
  <c r="AC241" i="6"/>
  <c r="AA241" i="6"/>
  <c r="X241" i="6"/>
  <c r="W241" i="6"/>
  <c r="U241" i="6"/>
  <c r="R241" i="6"/>
  <c r="N241" i="6"/>
  <c r="O241" i="6" s="1"/>
  <c r="L241" i="6"/>
  <c r="H241" i="6"/>
  <c r="I241" i="6" s="1"/>
  <c r="F241" i="6"/>
  <c r="C241" i="6"/>
  <c r="AC240" i="6"/>
  <c r="AD240" i="6" s="1"/>
  <c r="AA240" i="6"/>
  <c r="W240" i="6"/>
  <c r="X240" i="6" s="1"/>
  <c r="U240" i="6"/>
  <c r="R240" i="6"/>
  <c r="N240" i="6"/>
  <c r="O240" i="6" s="1"/>
  <c r="L240" i="6"/>
  <c r="H240" i="6"/>
  <c r="I240" i="6" s="1"/>
  <c r="F240" i="6"/>
  <c r="C240" i="6"/>
  <c r="AC238" i="6"/>
  <c r="AD238" i="6" s="1"/>
  <c r="AA238" i="6"/>
  <c r="W238" i="6"/>
  <c r="X238" i="6" s="1"/>
  <c r="U238" i="6"/>
  <c r="R238" i="6"/>
  <c r="O238" i="6"/>
  <c r="N238" i="6"/>
  <c r="L238" i="6"/>
  <c r="H238" i="6"/>
  <c r="I238" i="6" s="1"/>
  <c r="F238" i="6"/>
  <c r="C238" i="6"/>
  <c r="Z236" i="6"/>
  <c r="AA236" i="6" s="1"/>
  <c r="T236" i="6"/>
  <c r="U236" i="6" s="1"/>
  <c r="Q236" i="6"/>
  <c r="L236" i="6"/>
  <c r="K236" i="6"/>
  <c r="F236" i="6"/>
  <c r="E236" i="6"/>
  <c r="B236" i="6"/>
  <c r="AC235" i="6"/>
  <c r="AD235" i="6" s="1"/>
  <c r="AA235" i="6"/>
  <c r="W235" i="6"/>
  <c r="X235" i="6" s="1"/>
  <c r="U235" i="6"/>
  <c r="R235" i="6"/>
  <c r="O235" i="6"/>
  <c r="N235" i="6"/>
  <c r="L235" i="6"/>
  <c r="I235" i="6"/>
  <c r="H235" i="6"/>
  <c r="F235" i="6"/>
  <c r="C235" i="6"/>
  <c r="AC234" i="6"/>
  <c r="AA234" i="6"/>
  <c r="W234" i="6"/>
  <c r="X234" i="6" s="1"/>
  <c r="U234" i="6"/>
  <c r="R234" i="6"/>
  <c r="O234" i="6"/>
  <c r="N234" i="6"/>
  <c r="L234" i="6"/>
  <c r="H234" i="6"/>
  <c r="F234" i="6"/>
  <c r="C234" i="6"/>
  <c r="AC233" i="6"/>
  <c r="AD233" i="6" s="1"/>
  <c r="AA233" i="6"/>
  <c r="X233" i="6"/>
  <c r="W233" i="6"/>
  <c r="U233" i="6"/>
  <c r="R233" i="6"/>
  <c r="O233" i="6"/>
  <c r="N233" i="6"/>
  <c r="L233" i="6"/>
  <c r="H233" i="6"/>
  <c r="I233" i="6" s="1"/>
  <c r="F233" i="6"/>
  <c r="C233" i="6"/>
  <c r="AC232" i="6"/>
  <c r="AA232" i="6"/>
  <c r="X232" i="6"/>
  <c r="W232" i="6"/>
  <c r="U232" i="6"/>
  <c r="R232" i="6"/>
  <c r="O232" i="6"/>
  <c r="N232" i="6"/>
  <c r="L232" i="6"/>
  <c r="H232" i="6"/>
  <c r="F232" i="6"/>
  <c r="C232" i="6"/>
  <c r="AC231" i="6"/>
  <c r="AD231" i="6" s="1"/>
  <c r="AA231" i="6"/>
  <c r="W231" i="6"/>
  <c r="X231" i="6" s="1"/>
  <c r="U231" i="6"/>
  <c r="R231" i="6"/>
  <c r="N231" i="6"/>
  <c r="O231" i="6" s="1"/>
  <c r="L231" i="6"/>
  <c r="H231" i="6"/>
  <c r="F231" i="6"/>
  <c r="C231" i="6"/>
  <c r="AC230" i="6"/>
  <c r="AA230" i="6"/>
  <c r="W230" i="6"/>
  <c r="X230" i="6" s="1"/>
  <c r="U230" i="6"/>
  <c r="R230" i="6"/>
  <c r="O230" i="6"/>
  <c r="N230" i="6"/>
  <c r="L230" i="6"/>
  <c r="I230" i="6"/>
  <c r="H230" i="6"/>
  <c r="F230" i="6"/>
  <c r="C230" i="6"/>
  <c r="AC229" i="6"/>
  <c r="AD229" i="6" s="1"/>
  <c r="AA229" i="6"/>
  <c r="W229" i="6"/>
  <c r="X229" i="6" s="1"/>
  <c r="U229" i="6"/>
  <c r="R229" i="6"/>
  <c r="N229" i="6"/>
  <c r="O229" i="6" s="1"/>
  <c r="L229" i="6"/>
  <c r="H229" i="6"/>
  <c r="F229" i="6"/>
  <c r="C229" i="6"/>
  <c r="AC227" i="6"/>
  <c r="AD227" i="6" s="1"/>
  <c r="Z227" i="6"/>
  <c r="AA227" i="6" s="1"/>
  <c r="W227" i="6"/>
  <c r="X227" i="6" s="1"/>
  <c r="T227" i="6"/>
  <c r="U227" i="6" s="1"/>
  <c r="Q227" i="6"/>
  <c r="R227" i="6" s="1"/>
  <c r="K227" i="6"/>
  <c r="L227" i="6" s="1"/>
  <c r="E227" i="6"/>
  <c r="F227" i="6" s="1"/>
  <c r="B227" i="6"/>
  <c r="C227" i="6" s="1"/>
  <c r="AC226" i="6"/>
  <c r="AA226" i="6"/>
  <c r="X226" i="6"/>
  <c r="W226" i="6"/>
  <c r="U226" i="6"/>
  <c r="R226" i="6"/>
  <c r="O226" i="6"/>
  <c r="N226" i="6"/>
  <c r="L226" i="6"/>
  <c r="H226" i="6"/>
  <c r="I226" i="6" s="1"/>
  <c r="F226" i="6"/>
  <c r="C226" i="6"/>
  <c r="AD225" i="6"/>
  <c r="AC225" i="6"/>
  <c r="AA225" i="6"/>
  <c r="W225" i="6"/>
  <c r="X225" i="6" s="1"/>
  <c r="U225" i="6"/>
  <c r="R225" i="6"/>
  <c r="N225" i="6"/>
  <c r="O225" i="6" s="1"/>
  <c r="L225" i="6"/>
  <c r="H225" i="6"/>
  <c r="F225" i="6"/>
  <c r="C225" i="6"/>
  <c r="AC224" i="6"/>
  <c r="AA224" i="6"/>
  <c r="X224" i="6"/>
  <c r="W224" i="6"/>
  <c r="U224" i="6"/>
  <c r="R224" i="6"/>
  <c r="O224" i="6"/>
  <c r="N224" i="6"/>
  <c r="L224" i="6"/>
  <c r="I224" i="6"/>
  <c r="H224" i="6"/>
  <c r="F224" i="6"/>
  <c r="C224" i="6"/>
  <c r="AC223" i="6"/>
  <c r="AA223" i="6"/>
  <c r="W223" i="6"/>
  <c r="X223" i="6" s="1"/>
  <c r="U223" i="6"/>
  <c r="R223" i="6"/>
  <c r="O223" i="6"/>
  <c r="N223" i="6"/>
  <c r="L223" i="6"/>
  <c r="H223" i="6"/>
  <c r="F223" i="6"/>
  <c r="C223" i="6"/>
  <c r="AC222" i="6"/>
  <c r="AD222" i="6" s="1"/>
  <c r="AA222" i="6"/>
  <c r="W222" i="6"/>
  <c r="X222" i="6" s="1"/>
  <c r="U222" i="6"/>
  <c r="R222" i="6"/>
  <c r="O222" i="6"/>
  <c r="N222" i="6"/>
  <c r="L222" i="6"/>
  <c r="I222" i="6"/>
  <c r="H222" i="6"/>
  <c r="F222" i="6"/>
  <c r="C222" i="6"/>
  <c r="AC221" i="6"/>
  <c r="AA221" i="6"/>
  <c r="W221" i="6"/>
  <c r="X221" i="6" s="1"/>
  <c r="U221" i="6"/>
  <c r="R221" i="6"/>
  <c r="O221" i="6"/>
  <c r="N221" i="6"/>
  <c r="L221" i="6"/>
  <c r="H221" i="6"/>
  <c r="I221" i="6" s="1"/>
  <c r="F221" i="6"/>
  <c r="C221" i="6"/>
  <c r="AC220" i="6"/>
  <c r="AD220" i="6" s="1"/>
  <c r="AA220" i="6"/>
  <c r="X220" i="6"/>
  <c r="W220" i="6"/>
  <c r="U220" i="6"/>
  <c r="R220" i="6"/>
  <c r="O220" i="6"/>
  <c r="N220" i="6"/>
  <c r="L220" i="6"/>
  <c r="I220" i="6"/>
  <c r="H220" i="6"/>
  <c r="F220" i="6"/>
  <c r="C220" i="6"/>
  <c r="AD219" i="6"/>
  <c r="AC219" i="6"/>
  <c r="AA219" i="6"/>
  <c r="X219" i="6"/>
  <c r="W219" i="6"/>
  <c r="U219" i="6"/>
  <c r="R219" i="6"/>
  <c r="N219" i="6"/>
  <c r="O219" i="6" s="1"/>
  <c r="L219" i="6"/>
  <c r="H219" i="6"/>
  <c r="I219" i="6" s="1"/>
  <c r="F219" i="6"/>
  <c r="C219" i="6"/>
  <c r="AC218" i="6"/>
  <c r="AD218" i="6" s="1"/>
  <c r="Z218" i="6"/>
  <c r="AA218" i="6" s="1"/>
  <c r="T218" i="6"/>
  <c r="Q218" i="6"/>
  <c r="R218" i="6" s="1"/>
  <c r="N218" i="6"/>
  <c r="O218" i="6" s="1"/>
  <c r="K218" i="6"/>
  <c r="L218" i="6" s="1"/>
  <c r="E218" i="6"/>
  <c r="F218" i="6" s="1"/>
  <c r="B218" i="6"/>
  <c r="C218" i="6" s="1"/>
  <c r="AC217" i="6"/>
  <c r="AD217" i="6" s="1"/>
  <c r="AA217" i="6"/>
  <c r="X217" i="6"/>
  <c r="W217" i="6"/>
  <c r="U217" i="6"/>
  <c r="R217" i="6"/>
  <c r="N217" i="6"/>
  <c r="O217" i="6" s="1"/>
  <c r="L217" i="6"/>
  <c r="I217" i="6"/>
  <c r="H217" i="6"/>
  <c r="F217" i="6"/>
  <c r="C217" i="6"/>
  <c r="AC216" i="6"/>
  <c r="AA216" i="6"/>
  <c r="W216" i="6"/>
  <c r="X216" i="6" s="1"/>
  <c r="U216" i="6"/>
  <c r="R216" i="6"/>
  <c r="O216" i="6"/>
  <c r="N216" i="6"/>
  <c r="L216" i="6"/>
  <c r="H216" i="6"/>
  <c r="I216" i="6" s="1"/>
  <c r="F216" i="6"/>
  <c r="C216" i="6"/>
  <c r="AC215" i="6"/>
  <c r="AA215" i="6"/>
  <c r="W215" i="6"/>
  <c r="X215" i="6" s="1"/>
  <c r="U215" i="6"/>
  <c r="R215" i="6"/>
  <c r="O215" i="6"/>
  <c r="N215" i="6"/>
  <c r="L215" i="6"/>
  <c r="H215" i="6"/>
  <c r="F215" i="6"/>
  <c r="C215" i="6"/>
  <c r="AD214" i="6"/>
  <c r="AC214" i="6"/>
  <c r="AA214" i="6"/>
  <c r="X214" i="6"/>
  <c r="W214" i="6"/>
  <c r="U214" i="6"/>
  <c r="R214" i="6"/>
  <c r="N214" i="6"/>
  <c r="O214" i="6" s="1"/>
  <c r="L214" i="6"/>
  <c r="H214" i="6"/>
  <c r="F214" i="6"/>
  <c r="C214" i="6"/>
  <c r="AC213" i="6"/>
  <c r="AA213" i="6"/>
  <c r="X213" i="6"/>
  <c r="W213" i="6"/>
  <c r="U213" i="6"/>
  <c r="R213" i="6"/>
  <c r="O213" i="6"/>
  <c r="N213" i="6"/>
  <c r="L213" i="6"/>
  <c r="I213" i="6"/>
  <c r="H213" i="6"/>
  <c r="F213" i="6"/>
  <c r="C213" i="6"/>
  <c r="AC211" i="6"/>
  <c r="AD211" i="6" s="1"/>
  <c r="AA211" i="6"/>
  <c r="W211" i="6"/>
  <c r="X211" i="6" s="1"/>
  <c r="U211" i="6"/>
  <c r="R211" i="6"/>
  <c r="N211" i="6"/>
  <c r="O211" i="6" s="1"/>
  <c r="L211" i="6"/>
  <c r="H211" i="6"/>
  <c r="I211" i="6" s="1"/>
  <c r="F211" i="6"/>
  <c r="C211" i="6"/>
  <c r="AC209" i="6"/>
  <c r="AD209" i="6" s="1"/>
  <c r="Z209" i="6"/>
  <c r="AA209" i="6" s="1"/>
  <c r="T209" i="6"/>
  <c r="U209" i="6" s="1"/>
  <c r="Q209" i="6"/>
  <c r="K209" i="6"/>
  <c r="L209" i="6" s="1"/>
  <c r="E209" i="6"/>
  <c r="F209" i="6" s="1"/>
  <c r="B209" i="6"/>
  <c r="AC208" i="6"/>
  <c r="AD208" i="6" s="1"/>
  <c r="AA208" i="6"/>
  <c r="X208" i="6"/>
  <c r="W208" i="6"/>
  <c r="U208" i="6"/>
  <c r="R208" i="6"/>
  <c r="O208" i="6"/>
  <c r="N208" i="6"/>
  <c r="L208" i="6"/>
  <c r="H208" i="6"/>
  <c r="F208" i="6"/>
  <c r="C208" i="6"/>
  <c r="AC207" i="6"/>
  <c r="AD207" i="6" s="1"/>
  <c r="AA207" i="6"/>
  <c r="X207" i="6"/>
  <c r="W207" i="6"/>
  <c r="U207" i="6"/>
  <c r="R207" i="6"/>
  <c r="N207" i="6"/>
  <c r="O207" i="6" s="1"/>
  <c r="L207" i="6"/>
  <c r="H207" i="6"/>
  <c r="I207" i="6" s="1"/>
  <c r="F207" i="6"/>
  <c r="C207" i="6"/>
  <c r="AC206" i="6"/>
  <c r="AA206" i="6"/>
  <c r="W206" i="6"/>
  <c r="X206" i="6" s="1"/>
  <c r="U206" i="6"/>
  <c r="R206" i="6"/>
  <c r="O206" i="6"/>
  <c r="N206" i="6"/>
  <c r="L206" i="6"/>
  <c r="I206" i="6"/>
  <c r="H206" i="6"/>
  <c r="F206" i="6"/>
  <c r="C206" i="6"/>
  <c r="AC205" i="6"/>
  <c r="AD205" i="6" s="1"/>
  <c r="AA205" i="6"/>
  <c r="W205" i="6"/>
  <c r="X205" i="6" s="1"/>
  <c r="U205" i="6"/>
  <c r="R205" i="6"/>
  <c r="N205" i="6"/>
  <c r="O205" i="6" s="1"/>
  <c r="L205" i="6"/>
  <c r="H205" i="6"/>
  <c r="I205" i="6" s="1"/>
  <c r="F205" i="6"/>
  <c r="C205" i="6"/>
  <c r="AD204" i="6"/>
  <c r="AC204" i="6"/>
  <c r="AA204" i="6"/>
  <c r="X204" i="6"/>
  <c r="W204" i="6"/>
  <c r="U204" i="6"/>
  <c r="R204" i="6"/>
  <c r="N204" i="6"/>
  <c r="O204" i="6" s="1"/>
  <c r="L204" i="6"/>
  <c r="I204" i="6"/>
  <c r="H204" i="6"/>
  <c r="F204" i="6"/>
  <c r="C204" i="6"/>
  <c r="AC203" i="6"/>
  <c r="AD203" i="6" s="1"/>
  <c r="AA203" i="6"/>
  <c r="W203" i="6"/>
  <c r="X203" i="6" s="1"/>
  <c r="U203" i="6"/>
  <c r="R203" i="6"/>
  <c r="N203" i="6"/>
  <c r="O203" i="6" s="1"/>
  <c r="L203" i="6"/>
  <c r="H203" i="6"/>
  <c r="F203" i="6"/>
  <c r="C203" i="6"/>
  <c r="AC202" i="6"/>
  <c r="AD202" i="6" s="1"/>
  <c r="AA202" i="6"/>
  <c r="X202" i="6"/>
  <c r="W202" i="6"/>
  <c r="U202" i="6"/>
  <c r="R202" i="6"/>
  <c r="O202" i="6"/>
  <c r="N202" i="6"/>
  <c r="L202" i="6"/>
  <c r="I202" i="6"/>
  <c r="H202" i="6"/>
  <c r="F202" i="6"/>
  <c r="C202" i="6"/>
  <c r="AD201" i="6"/>
  <c r="AC201" i="6"/>
  <c r="AA201" i="6"/>
  <c r="X201" i="6"/>
  <c r="W201" i="6"/>
  <c r="U201" i="6"/>
  <c r="R201" i="6"/>
  <c r="N201" i="6"/>
  <c r="O201" i="6" s="1"/>
  <c r="L201" i="6"/>
  <c r="H201" i="6"/>
  <c r="F201" i="6"/>
  <c r="C201" i="6"/>
  <c r="F198" i="6"/>
  <c r="AA197" i="6"/>
  <c r="Z197" i="6"/>
  <c r="AC197" i="6" s="1"/>
  <c r="AD197" i="6" s="1"/>
  <c r="T197" i="6"/>
  <c r="U197" i="6" s="1"/>
  <c r="Q197" i="6"/>
  <c r="O197" i="6"/>
  <c r="N197" i="6"/>
  <c r="L197" i="6"/>
  <c r="K197" i="6"/>
  <c r="E197" i="6"/>
  <c r="F197" i="6" s="1"/>
  <c r="B197" i="6"/>
  <c r="Z196" i="6"/>
  <c r="AA196" i="6" s="1"/>
  <c r="T196" i="6"/>
  <c r="R196" i="6"/>
  <c r="Q196" i="6"/>
  <c r="K196" i="6"/>
  <c r="L196" i="6" s="1"/>
  <c r="F196" i="6"/>
  <c r="E196" i="6"/>
  <c r="C196" i="6"/>
  <c r="B196" i="6"/>
  <c r="H196" i="6" s="1"/>
  <c r="I196" i="6" s="1"/>
  <c r="AC195" i="6"/>
  <c r="AD195" i="6" s="1"/>
  <c r="AA195" i="6"/>
  <c r="W195" i="6"/>
  <c r="X195" i="6" s="1"/>
  <c r="U195" i="6"/>
  <c r="R195" i="6"/>
  <c r="O195" i="6"/>
  <c r="N195" i="6"/>
  <c r="L195" i="6"/>
  <c r="I195" i="6"/>
  <c r="H195" i="6"/>
  <c r="F195" i="6"/>
  <c r="C195" i="6"/>
  <c r="AC194" i="6"/>
  <c r="AD194" i="6" s="1"/>
  <c r="AA194" i="6"/>
  <c r="X194" i="6"/>
  <c r="W194" i="6"/>
  <c r="U194" i="6"/>
  <c r="R194" i="6"/>
  <c r="N194" i="6"/>
  <c r="O194" i="6" s="1"/>
  <c r="L194" i="6"/>
  <c r="H194" i="6"/>
  <c r="I194" i="6" s="1"/>
  <c r="F194" i="6"/>
  <c r="C194" i="6"/>
  <c r="Z193" i="6"/>
  <c r="AA193" i="6" s="1"/>
  <c r="W193" i="6"/>
  <c r="X193" i="6" s="1"/>
  <c r="T193" i="6"/>
  <c r="U193" i="6" s="1"/>
  <c r="R193" i="6"/>
  <c r="Q193" i="6"/>
  <c r="AC193" i="6" s="1"/>
  <c r="AD193" i="6" s="1"/>
  <c r="K193" i="6"/>
  <c r="L193" i="6" s="1"/>
  <c r="F193" i="6"/>
  <c r="E193" i="6"/>
  <c r="B193" i="6"/>
  <c r="AC192" i="6"/>
  <c r="AA192" i="6"/>
  <c r="X192" i="6"/>
  <c r="W192" i="6"/>
  <c r="U192" i="6"/>
  <c r="R192" i="6"/>
  <c r="O192" i="6"/>
  <c r="N192" i="6"/>
  <c r="L192" i="6"/>
  <c r="H192" i="6"/>
  <c r="I192" i="6" s="1"/>
  <c r="F192" i="6"/>
  <c r="C192" i="6"/>
  <c r="AC191" i="6"/>
  <c r="AD191" i="6" s="1"/>
  <c r="AA191" i="6"/>
  <c r="W191" i="6"/>
  <c r="X191" i="6" s="1"/>
  <c r="U191" i="6"/>
  <c r="R191" i="6"/>
  <c r="N191" i="6"/>
  <c r="O191" i="6" s="1"/>
  <c r="L191" i="6"/>
  <c r="H191" i="6"/>
  <c r="I191" i="6" s="1"/>
  <c r="F191" i="6"/>
  <c r="C191" i="6"/>
  <c r="AC190" i="6"/>
  <c r="AA190" i="6"/>
  <c r="X190" i="6"/>
  <c r="W190" i="6"/>
  <c r="U190" i="6"/>
  <c r="R190" i="6"/>
  <c r="N190" i="6"/>
  <c r="O190" i="6" s="1"/>
  <c r="L190" i="6"/>
  <c r="H190" i="6"/>
  <c r="I190" i="6" s="1"/>
  <c r="F190" i="6"/>
  <c r="C190" i="6"/>
  <c r="AD189" i="6"/>
  <c r="AC189" i="6"/>
  <c r="AA189" i="6"/>
  <c r="W189" i="6"/>
  <c r="X189" i="6" s="1"/>
  <c r="U189" i="6"/>
  <c r="R189" i="6"/>
  <c r="N189" i="6"/>
  <c r="O189" i="6" s="1"/>
  <c r="L189" i="6"/>
  <c r="H189" i="6"/>
  <c r="F189" i="6"/>
  <c r="C189" i="6"/>
  <c r="AC188" i="6"/>
  <c r="AD188" i="6" s="1"/>
  <c r="AA188" i="6"/>
  <c r="W188" i="6"/>
  <c r="X188" i="6" s="1"/>
  <c r="U188" i="6"/>
  <c r="R188" i="6"/>
  <c r="O188" i="6"/>
  <c r="N188" i="6"/>
  <c r="L188" i="6"/>
  <c r="I188" i="6"/>
  <c r="H188" i="6"/>
  <c r="F188" i="6"/>
  <c r="C188" i="6"/>
  <c r="AC187" i="6"/>
  <c r="AD187" i="6" s="1"/>
  <c r="AA187" i="6"/>
  <c r="X187" i="6"/>
  <c r="W187" i="6"/>
  <c r="U187" i="6"/>
  <c r="R187" i="6"/>
  <c r="N187" i="6"/>
  <c r="O187" i="6" s="1"/>
  <c r="L187" i="6"/>
  <c r="H187" i="6"/>
  <c r="I187" i="6" s="1"/>
  <c r="F187" i="6"/>
  <c r="C187" i="6"/>
  <c r="AD186" i="6"/>
  <c r="AC186" i="6"/>
  <c r="AA186" i="6"/>
  <c r="X186" i="6"/>
  <c r="W186" i="6"/>
  <c r="U186" i="6"/>
  <c r="R186" i="6"/>
  <c r="O186" i="6"/>
  <c r="N186" i="6"/>
  <c r="L186" i="6"/>
  <c r="I186" i="6"/>
  <c r="H186" i="6"/>
  <c r="F186" i="6"/>
  <c r="C186" i="6"/>
  <c r="AC184" i="6"/>
  <c r="AD184" i="6" s="1"/>
  <c r="AA184" i="6"/>
  <c r="W184" i="6"/>
  <c r="X184" i="6" s="1"/>
  <c r="U184" i="6"/>
  <c r="R184" i="6"/>
  <c r="N184" i="6"/>
  <c r="O184" i="6" s="1"/>
  <c r="L184" i="6"/>
  <c r="I184" i="6"/>
  <c r="H184" i="6"/>
  <c r="F184" i="6"/>
  <c r="C184" i="6"/>
  <c r="AC183" i="6"/>
  <c r="AA183" i="6"/>
  <c r="X183" i="6"/>
  <c r="W183" i="6"/>
  <c r="U183" i="6"/>
  <c r="R183" i="6"/>
  <c r="O183" i="6"/>
  <c r="N183" i="6"/>
  <c r="L183" i="6"/>
  <c r="H183" i="6"/>
  <c r="I183" i="6" s="1"/>
  <c r="F183" i="6"/>
  <c r="C183" i="6"/>
  <c r="Z182" i="6"/>
  <c r="AA182" i="6" s="1"/>
  <c r="U182" i="6"/>
  <c r="T182" i="6"/>
  <c r="Q182" i="6"/>
  <c r="N182" i="6"/>
  <c r="O182" i="6" s="1"/>
  <c r="L182" i="6"/>
  <c r="K182" i="6"/>
  <c r="F182" i="6"/>
  <c r="E182" i="6"/>
  <c r="B182" i="6"/>
  <c r="AC181" i="6"/>
  <c r="AD181" i="6" s="1"/>
  <c r="AA181" i="6"/>
  <c r="W181" i="6"/>
  <c r="X181" i="6" s="1"/>
  <c r="U181" i="6"/>
  <c r="R181" i="6"/>
  <c r="N181" i="6"/>
  <c r="O181" i="6" s="1"/>
  <c r="L181" i="6"/>
  <c r="I181" i="6"/>
  <c r="H181" i="6"/>
  <c r="F181" i="6"/>
  <c r="C181" i="6"/>
  <c r="AC180" i="6"/>
  <c r="AD180" i="6" s="1"/>
  <c r="AA180" i="6"/>
  <c r="W180" i="6"/>
  <c r="X180" i="6" s="1"/>
  <c r="U180" i="6"/>
  <c r="R180" i="6"/>
  <c r="O180" i="6"/>
  <c r="N180" i="6"/>
  <c r="L180" i="6"/>
  <c r="H180" i="6"/>
  <c r="I180" i="6" s="1"/>
  <c r="F180" i="6"/>
  <c r="C180" i="6"/>
  <c r="AD179" i="6"/>
  <c r="AC179" i="6"/>
  <c r="AA179" i="6"/>
  <c r="X179" i="6"/>
  <c r="W179" i="6"/>
  <c r="U179" i="6"/>
  <c r="R179" i="6"/>
  <c r="N179" i="6"/>
  <c r="O179" i="6" s="1"/>
  <c r="L179" i="6"/>
  <c r="H179" i="6"/>
  <c r="F179" i="6"/>
  <c r="C179" i="6"/>
  <c r="AC178" i="6"/>
  <c r="AA178" i="6"/>
  <c r="X178" i="6"/>
  <c r="W178" i="6"/>
  <c r="U178" i="6"/>
  <c r="R178" i="6"/>
  <c r="O178" i="6"/>
  <c r="N178" i="6"/>
  <c r="L178" i="6"/>
  <c r="I178" i="6"/>
  <c r="H178" i="6"/>
  <c r="F178" i="6"/>
  <c r="C178" i="6"/>
  <c r="AC177" i="6"/>
  <c r="AD177" i="6" s="1"/>
  <c r="AA177" i="6"/>
  <c r="W177" i="6"/>
  <c r="X177" i="6" s="1"/>
  <c r="U177" i="6"/>
  <c r="R177" i="6"/>
  <c r="O177" i="6"/>
  <c r="N177" i="6"/>
  <c r="L177" i="6"/>
  <c r="I177" i="6"/>
  <c r="H177" i="6"/>
  <c r="F177" i="6"/>
  <c r="C177" i="6"/>
  <c r="AC175" i="6"/>
  <c r="AD175" i="6" s="1"/>
  <c r="AA175" i="6"/>
  <c r="W175" i="6"/>
  <c r="X175" i="6" s="1"/>
  <c r="U175" i="6"/>
  <c r="R175" i="6"/>
  <c r="O175" i="6"/>
  <c r="N175" i="6"/>
  <c r="L175" i="6"/>
  <c r="I175" i="6"/>
  <c r="H175" i="6"/>
  <c r="F175" i="6"/>
  <c r="C175" i="6"/>
  <c r="Z172" i="6"/>
  <c r="F172" i="6"/>
  <c r="AA171" i="6"/>
  <c r="Z171" i="6"/>
  <c r="T171" i="6"/>
  <c r="U171" i="6" s="1"/>
  <c r="Q171" i="6"/>
  <c r="K171" i="6"/>
  <c r="K172" i="6" s="1"/>
  <c r="H171" i="6"/>
  <c r="I171" i="6" s="1"/>
  <c r="F171" i="6"/>
  <c r="E171" i="6"/>
  <c r="E172" i="6" s="1"/>
  <c r="E198" i="6" s="1"/>
  <c r="C171" i="6"/>
  <c r="B171" i="6"/>
  <c r="Z170" i="6"/>
  <c r="AA170" i="6" s="1"/>
  <c r="X170" i="6"/>
  <c r="W170" i="6"/>
  <c r="U170" i="6"/>
  <c r="T170" i="6"/>
  <c r="R170" i="6"/>
  <c r="Q170" i="6"/>
  <c r="N170" i="6"/>
  <c r="O170" i="6" s="1"/>
  <c r="L170" i="6"/>
  <c r="K170" i="6"/>
  <c r="E170" i="6"/>
  <c r="F170" i="6" s="1"/>
  <c r="B170" i="6"/>
  <c r="AC169" i="6"/>
  <c r="AD169" i="6" s="1"/>
  <c r="AA169" i="6"/>
  <c r="W169" i="6"/>
  <c r="X169" i="6" s="1"/>
  <c r="U169" i="6"/>
  <c r="R169" i="6"/>
  <c r="N169" i="6"/>
  <c r="O169" i="6" s="1"/>
  <c r="L169" i="6"/>
  <c r="I169" i="6"/>
  <c r="H169" i="6"/>
  <c r="F169" i="6"/>
  <c r="C169" i="6"/>
  <c r="AC168" i="6"/>
  <c r="AA168" i="6"/>
  <c r="X168" i="6"/>
  <c r="W168" i="6"/>
  <c r="U168" i="6"/>
  <c r="R168" i="6"/>
  <c r="O168" i="6"/>
  <c r="N168" i="6"/>
  <c r="L168" i="6"/>
  <c r="H168" i="6"/>
  <c r="I168" i="6" s="1"/>
  <c r="F168" i="6"/>
  <c r="C168" i="6"/>
  <c r="AD167" i="6"/>
  <c r="AC167" i="6"/>
  <c r="AA167" i="6"/>
  <c r="W167" i="6"/>
  <c r="X167" i="6" s="1"/>
  <c r="U167" i="6"/>
  <c r="R167" i="6"/>
  <c r="N167" i="6"/>
  <c r="O167" i="6" s="1"/>
  <c r="L167" i="6"/>
  <c r="H167" i="6"/>
  <c r="I167" i="6" s="1"/>
  <c r="F167" i="6"/>
  <c r="C167" i="6"/>
  <c r="AA166" i="6"/>
  <c r="Z166" i="6"/>
  <c r="W166" i="6"/>
  <c r="X166" i="6" s="1"/>
  <c r="U166" i="6"/>
  <c r="T166" i="6"/>
  <c r="R166" i="6"/>
  <c r="Q166" i="6"/>
  <c r="N166" i="6"/>
  <c r="O166" i="6" s="1"/>
  <c r="K166" i="6"/>
  <c r="L166" i="6" s="1"/>
  <c r="H166" i="6"/>
  <c r="I166" i="6" s="1"/>
  <c r="F166" i="6"/>
  <c r="E166" i="6"/>
  <c r="B166" i="6"/>
  <c r="C166" i="6" s="1"/>
  <c r="AC165" i="6"/>
  <c r="AD165" i="6" s="1"/>
  <c r="AA165" i="6"/>
  <c r="W165" i="6"/>
  <c r="X165" i="6" s="1"/>
  <c r="U165" i="6"/>
  <c r="R165" i="6"/>
  <c r="O165" i="6"/>
  <c r="N165" i="6"/>
  <c r="L165" i="6"/>
  <c r="H165" i="6"/>
  <c r="I165" i="6" s="1"/>
  <c r="F165" i="6"/>
  <c r="C165" i="6"/>
  <c r="AD164" i="6"/>
  <c r="AC164" i="6"/>
  <c r="AA164" i="6"/>
  <c r="X164" i="6"/>
  <c r="W164" i="6"/>
  <c r="U164" i="6"/>
  <c r="R164" i="6"/>
  <c r="N164" i="6"/>
  <c r="O164" i="6" s="1"/>
  <c r="L164" i="6"/>
  <c r="H164" i="6"/>
  <c r="F164" i="6"/>
  <c r="C164" i="6"/>
  <c r="AC163" i="6"/>
  <c r="AA163" i="6"/>
  <c r="X163" i="6"/>
  <c r="W163" i="6"/>
  <c r="U163" i="6"/>
  <c r="R163" i="6"/>
  <c r="O163" i="6"/>
  <c r="N163" i="6"/>
  <c r="L163" i="6"/>
  <c r="I163" i="6"/>
  <c r="H163" i="6"/>
  <c r="F163" i="6"/>
  <c r="C163" i="6"/>
  <c r="AC162" i="6"/>
  <c r="AD162" i="6" s="1"/>
  <c r="AA162" i="6"/>
  <c r="W162" i="6"/>
  <c r="X162" i="6" s="1"/>
  <c r="U162" i="6"/>
  <c r="R162" i="6"/>
  <c r="O162" i="6"/>
  <c r="N162" i="6"/>
  <c r="L162" i="6"/>
  <c r="I162" i="6"/>
  <c r="H162" i="6"/>
  <c r="F162" i="6"/>
  <c r="C162" i="6"/>
  <c r="AC161" i="6"/>
  <c r="AD161" i="6" s="1"/>
  <c r="AA161" i="6"/>
  <c r="W161" i="6"/>
  <c r="X161" i="6" s="1"/>
  <c r="U161" i="6"/>
  <c r="R161" i="6"/>
  <c r="O161" i="6"/>
  <c r="N161" i="6"/>
  <c r="L161" i="6"/>
  <c r="I161" i="6"/>
  <c r="H161" i="6"/>
  <c r="F161" i="6"/>
  <c r="C161" i="6"/>
  <c r="AC160" i="6"/>
  <c r="AD160" i="6" s="1"/>
  <c r="AA160" i="6"/>
  <c r="X160" i="6"/>
  <c r="W160" i="6"/>
  <c r="U160" i="6"/>
  <c r="R160" i="6"/>
  <c r="N160" i="6"/>
  <c r="O160" i="6" s="1"/>
  <c r="L160" i="6"/>
  <c r="H160" i="6"/>
  <c r="I160" i="6" s="1"/>
  <c r="F160" i="6"/>
  <c r="C160" i="6"/>
  <c r="Z158" i="6"/>
  <c r="AA158" i="6" s="1"/>
  <c r="W158" i="6"/>
  <c r="X158" i="6" s="1"/>
  <c r="T158" i="6"/>
  <c r="U158" i="6" s="1"/>
  <c r="R158" i="6"/>
  <c r="Q158" i="6"/>
  <c r="AC158" i="6" s="1"/>
  <c r="AD158" i="6" s="1"/>
  <c r="K158" i="6"/>
  <c r="L158" i="6" s="1"/>
  <c r="F158" i="6"/>
  <c r="E158" i="6"/>
  <c r="B158" i="6"/>
  <c r="AC157" i="6"/>
  <c r="AA157" i="6"/>
  <c r="X157" i="6"/>
  <c r="W157" i="6"/>
  <c r="U157" i="6"/>
  <c r="R157" i="6"/>
  <c r="O157" i="6"/>
  <c r="N157" i="6"/>
  <c r="L157" i="6"/>
  <c r="H157" i="6"/>
  <c r="I157" i="6" s="1"/>
  <c r="F157" i="6"/>
  <c r="C157" i="6"/>
  <c r="AD156" i="6"/>
  <c r="AC156" i="6"/>
  <c r="AA156" i="6"/>
  <c r="W156" i="6"/>
  <c r="X156" i="6" s="1"/>
  <c r="U156" i="6"/>
  <c r="R156" i="6"/>
  <c r="N156" i="6"/>
  <c r="O156" i="6" s="1"/>
  <c r="L156" i="6"/>
  <c r="H156" i="6"/>
  <c r="I156" i="6" s="1"/>
  <c r="F156" i="6"/>
  <c r="C156" i="6"/>
  <c r="AC155" i="6"/>
  <c r="AA155" i="6"/>
  <c r="X155" i="6"/>
  <c r="W155" i="6"/>
  <c r="U155" i="6"/>
  <c r="R155" i="6"/>
  <c r="N155" i="6"/>
  <c r="O155" i="6" s="1"/>
  <c r="L155" i="6"/>
  <c r="H155" i="6"/>
  <c r="I155" i="6" s="1"/>
  <c r="F155" i="6"/>
  <c r="C155" i="6"/>
  <c r="AD154" i="6"/>
  <c r="AC154" i="6"/>
  <c r="AA154" i="6"/>
  <c r="W154" i="6"/>
  <c r="X154" i="6" s="1"/>
  <c r="U154" i="6"/>
  <c r="R154" i="6"/>
  <c r="O154" i="6"/>
  <c r="N154" i="6"/>
  <c r="L154" i="6"/>
  <c r="H154" i="6"/>
  <c r="F154" i="6"/>
  <c r="C154" i="6"/>
  <c r="AC153" i="6"/>
  <c r="AD153" i="6" s="1"/>
  <c r="AA153" i="6"/>
  <c r="X153" i="6"/>
  <c r="W153" i="6"/>
  <c r="U153" i="6"/>
  <c r="R153" i="6"/>
  <c r="O153" i="6"/>
  <c r="N153" i="6"/>
  <c r="L153" i="6"/>
  <c r="I153" i="6"/>
  <c r="H153" i="6"/>
  <c r="F153" i="6"/>
  <c r="C153" i="6"/>
  <c r="AC151" i="6"/>
  <c r="AD151" i="6" s="1"/>
  <c r="AA151" i="6"/>
  <c r="X151" i="6"/>
  <c r="W151" i="6"/>
  <c r="U151" i="6"/>
  <c r="R151" i="6"/>
  <c r="N151" i="6"/>
  <c r="O151" i="6" s="1"/>
  <c r="L151" i="6"/>
  <c r="H151" i="6"/>
  <c r="I151" i="6" s="1"/>
  <c r="F151" i="6"/>
  <c r="C151" i="6"/>
  <c r="AA149" i="6"/>
  <c r="Z149" i="6"/>
  <c r="T149" i="6"/>
  <c r="R149" i="6"/>
  <c r="Q149" i="6"/>
  <c r="O149" i="6"/>
  <c r="N149" i="6"/>
  <c r="K149" i="6"/>
  <c r="L149" i="6" s="1"/>
  <c r="F149" i="6"/>
  <c r="E149" i="6"/>
  <c r="B149" i="6"/>
  <c r="H149" i="6" s="1"/>
  <c r="I149" i="6" s="1"/>
  <c r="AA148" i="6"/>
  <c r="Z148" i="6"/>
  <c r="U148" i="6"/>
  <c r="T148" i="6"/>
  <c r="Q148" i="6"/>
  <c r="N148" i="6"/>
  <c r="O148" i="6" s="1"/>
  <c r="L148" i="6"/>
  <c r="K148" i="6"/>
  <c r="H148" i="6"/>
  <c r="I148" i="6" s="1"/>
  <c r="E148" i="6"/>
  <c r="F148" i="6" s="1"/>
  <c r="C148" i="6"/>
  <c r="B148" i="6"/>
  <c r="AD147" i="6"/>
  <c r="AC147" i="6"/>
  <c r="AA147" i="6"/>
  <c r="X147" i="6"/>
  <c r="W147" i="6"/>
  <c r="U147" i="6"/>
  <c r="R147" i="6"/>
  <c r="O147" i="6"/>
  <c r="N147" i="6"/>
  <c r="L147" i="6"/>
  <c r="H147" i="6"/>
  <c r="I147" i="6" s="1"/>
  <c r="F147" i="6"/>
  <c r="C147" i="6"/>
  <c r="AC146" i="6"/>
  <c r="AD146" i="6" s="1"/>
  <c r="AA146" i="6"/>
  <c r="W146" i="6"/>
  <c r="X146" i="6" s="1"/>
  <c r="U146" i="6"/>
  <c r="R146" i="6"/>
  <c r="O146" i="6"/>
  <c r="N146" i="6"/>
  <c r="L146" i="6"/>
  <c r="I146" i="6"/>
  <c r="H146" i="6"/>
  <c r="F146" i="6"/>
  <c r="C146" i="6"/>
  <c r="AC145" i="6"/>
  <c r="AA145" i="6"/>
  <c r="W145" i="6"/>
  <c r="X145" i="6" s="1"/>
  <c r="U145" i="6"/>
  <c r="R145" i="6"/>
  <c r="O145" i="6"/>
  <c r="N145" i="6"/>
  <c r="L145" i="6"/>
  <c r="I145" i="6"/>
  <c r="H145" i="6"/>
  <c r="F145" i="6"/>
  <c r="C145" i="6"/>
  <c r="AD144" i="6"/>
  <c r="AC144" i="6"/>
  <c r="AA144" i="6"/>
  <c r="W144" i="6"/>
  <c r="X144" i="6" s="1"/>
  <c r="U144" i="6"/>
  <c r="R144" i="6"/>
  <c r="N144" i="6"/>
  <c r="O144" i="6" s="1"/>
  <c r="L144" i="6"/>
  <c r="H144" i="6"/>
  <c r="I144" i="6" s="1"/>
  <c r="F144" i="6"/>
  <c r="C144" i="6"/>
  <c r="AD143" i="6"/>
  <c r="AC143" i="6"/>
  <c r="AA143" i="6"/>
  <c r="X143" i="6"/>
  <c r="W143" i="6"/>
  <c r="U143" i="6"/>
  <c r="R143" i="6"/>
  <c r="N143" i="6"/>
  <c r="O143" i="6" s="1"/>
  <c r="L143" i="6"/>
  <c r="H143" i="6"/>
  <c r="I143" i="6" s="1"/>
  <c r="F143" i="6"/>
  <c r="C143" i="6"/>
  <c r="AC141" i="6"/>
  <c r="AD141" i="6" s="1"/>
  <c r="AA141" i="6"/>
  <c r="Z141" i="6"/>
  <c r="T141" i="6"/>
  <c r="R141" i="6"/>
  <c r="Q141" i="6"/>
  <c r="L141" i="6"/>
  <c r="K141" i="6"/>
  <c r="F141" i="6"/>
  <c r="E141" i="6"/>
  <c r="H141" i="6" s="1"/>
  <c r="I141" i="6" s="1"/>
  <c r="C141" i="6"/>
  <c r="B141" i="6"/>
  <c r="AC140" i="6"/>
  <c r="AD140" i="6" s="1"/>
  <c r="AA140" i="6"/>
  <c r="X140" i="6"/>
  <c r="W140" i="6"/>
  <c r="U140" i="6"/>
  <c r="R140" i="6"/>
  <c r="N140" i="6"/>
  <c r="O140" i="6" s="1"/>
  <c r="L140" i="6"/>
  <c r="H140" i="6"/>
  <c r="I140" i="6" s="1"/>
  <c r="F140" i="6"/>
  <c r="C140" i="6"/>
  <c r="AD139" i="6"/>
  <c r="AC139" i="6"/>
  <c r="AA139" i="6"/>
  <c r="X139" i="6"/>
  <c r="W139" i="6"/>
  <c r="U139" i="6"/>
  <c r="R139" i="6"/>
  <c r="O139" i="6"/>
  <c r="N139" i="6"/>
  <c r="L139" i="6"/>
  <c r="I139" i="6"/>
  <c r="H139" i="6"/>
  <c r="F139" i="6"/>
  <c r="C139" i="6"/>
  <c r="AC138" i="6"/>
  <c r="AD138" i="6" s="1"/>
  <c r="AA138" i="6"/>
  <c r="W138" i="6"/>
  <c r="X138" i="6" s="1"/>
  <c r="U138" i="6"/>
  <c r="R138" i="6"/>
  <c r="N138" i="6"/>
  <c r="O138" i="6" s="1"/>
  <c r="L138" i="6"/>
  <c r="I138" i="6"/>
  <c r="H138" i="6"/>
  <c r="F138" i="6"/>
  <c r="C138" i="6"/>
  <c r="AC137" i="6"/>
  <c r="AA137" i="6"/>
  <c r="X137" i="6"/>
  <c r="W137" i="6"/>
  <c r="U137" i="6"/>
  <c r="R137" i="6"/>
  <c r="O137" i="6"/>
  <c r="N137" i="6"/>
  <c r="L137" i="6"/>
  <c r="H137" i="6"/>
  <c r="I137" i="6" s="1"/>
  <c r="F137" i="6"/>
  <c r="C137" i="6"/>
  <c r="AD136" i="6"/>
  <c r="AC136" i="6"/>
  <c r="AA136" i="6"/>
  <c r="W136" i="6"/>
  <c r="X136" i="6" s="1"/>
  <c r="U136" i="6"/>
  <c r="R136" i="6"/>
  <c r="N136" i="6"/>
  <c r="O136" i="6" s="1"/>
  <c r="L136" i="6"/>
  <c r="H136" i="6"/>
  <c r="I136" i="6" s="1"/>
  <c r="F136" i="6"/>
  <c r="C136" i="6"/>
  <c r="AC135" i="6"/>
  <c r="AA135" i="6"/>
  <c r="X135" i="6"/>
  <c r="W135" i="6"/>
  <c r="U135" i="6"/>
  <c r="R135" i="6"/>
  <c r="N135" i="6"/>
  <c r="O135" i="6" s="1"/>
  <c r="L135" i="6"/>
  <c r="H135" i="6"/>
  <c r="I135" i="6" s="1"/>
  <c r="F135" i="6"/>
  <c r="C135" i="6"/>
  <c r="AD134" i="6"/>
  <c r="AC134" i="6"/>
  <c r="AA134" i="6"/>
  <c r="W134" i="6"/>
  <c r="X134" i="6" s="1"/>
  <c r="U134" i="6"/>
  <c r="R134" i="6"/>
  <c r="O134" i="6"/>
  <c r="N134" i="6"/>
  <c r="L134" i="6"/>
  <c r="H134" i="6"/>
  <c r="F134" i="6"/>
  <c r="C134" i="6"/>
  <c r="AC133" i="6"/>
  <c r="AD133" i="6" s="1"/>
  <c r="AA133" i="6"/>
  <c r="X133" i="6"/>
  <c r="W133" i="6"/>
  <c r="U133" i="6"/>
  <c r="R133" i="6"/>
  <c r="O133" i="6"/>
  <c r="N133" i="6"/>
  <c r="L133" i="6"/>
  <c r="H133" i="6"/>
  <c r="I133" i="6" s="1"/>
  <c r="F133" i="6"/>
  <c r="C133" i="6"/>
  <c r="AC132" i="6"/>
  <c r="AD132" i="6" s="1"/>
  <c r="AA132" i="6"/>
  <c r="X132" i="6"/>
  <c r="W132" i="6"/>
  <c r="U132" i="6"/>
  <c r="R132" i="6"/>
  <c r="N132" i="6"/>
  <c r="O132" i="6" s="1"/>
  <c r="L132" i="6"/>
  <c r="H132" i="6"/>
  <c r="I132" i="6" s="1"/>
  <c r="F132" i="6"/>
  <c r="C132" i="6"/>
  <c r="AD131" i="6"/>
  <c r="AC131" i="6"/>
  <c r="AA131" i="6"/>
  <c r="X131" i="6"/>
  <c r="W131" i="6"/>
  <c r="U131" i="6"/>
  <c r="R131" i="6"/>
  <c r="O131" i="6"/>
  <c r="N131" i="6"/>
  <c r="L131" i="6"/>
  <c r="I131" i="6"/>
  <c r="H131" i="6"/>
  <c r="F131" i="6"/>
  <c r="C131" i="6"/>
  <c r="AC130" i="6"/>
  <c r="AD130" i="6" s="1"/>
  <c r="AA130" i="6"/>
  <c r="W130" i="6"/>
  <c r="X130" i="6" s="1"/>
  <c r="U130" i="6"/>
  <c r="R130" i="6"/>
  <c r="N130" i="6"/>
  <c r="O130" i="6" s="1"/>
  <c r="L130" i="6"/>
  <c r="I130" i="6"/>
  <c r="H130" i="6"/>
  <c r="F130" i="6"/>
  <c r="C130" i="6"/>
  <c r="AC129" i="6"/>
  <c r="AA129" i="6"/>
  <c r="X129" i="6"/>
  <c r="W129" i="6"/>
  <c r="U129" i="6"/>
  <c r="R129" i="6"/>
  <c r="O129" i="6"/>
  <c r="N129" i="6"/>
  <c r="L129" i="6"/>
  <c r="H129" i="6"/>
  <c r="I129" i="6" s="1"/>
  <c r="F129" i="6"/>
  <c r="C129" i="6"/>
  <c r="AD127" i="6"/>
  <c r="AC127" i="6"/>
  <c r="AA127" i="6"/>
  <c r="W127" i="6"/>
  <c r="X127" i="6" s="1"/>
  <c r="U127" i="6"/>
  <c r="R127" i="6"/>
  <c r="N127" i="6"/>
  <c r="O127" i="6" s="1"/>
  <c r="L127" i="6"/>
  <c r="H127" i="6"/>
  <c r="I127" i="6" s="1"/>
  <c r="F127" i="6"/>
  <c r="C127" i="6"/>
  <c r="AA124" i="6"/>
  <c r="Z124" i="6"/>
  <c r="T124" i="6"/>
  <c r="R124" i="6"/>
  <c r="Q124" i="6"/>
  <c r="N124" i="6"/>
  <c r="O124" i="6" s="1"/>
  <c r="K124" i="6"/>
  <c r="L124" i="6" s="1"/>
  <c r="H124" i="6"/>
  <c r="I124" i="6" s="1"/>
  <c r="F124" i="6"/>
  <c r="E124" i="6"/>
  <c r="B124" i="6"/>
  <c r="B172" i="6" s="1"/>
  <c r="AC123" i="6"/>
  <c r="AD123" i="6" s="1"/>
  <c r="AA123" i="6"/>
  <c r="X123" i="6"/>
  <c r="W123" i="6"/>
  <c r="U123" i="6"/>
  <c r="R123" i="6"/>
  <c r="O123" i="6"/>
  <c r="N123" i="6"/>
  <c r="L123" i="6"/>
  <c r="H123" i="6"/>
  <c r="I123" i="6" s="1"/>
  <c r="F123" i="6"/>
  <c r="C123" i="6"/>
  <c r="Z122" i="6"/>
  <c r="AA122" i="6" s="1"/>
  <c r="U122" i="6"/>
  <c r="T122" i="6"/>
  <c r="R122" i="6"/>
  <c r="Q122" i="6"/>
  <c r="K122" i="6"/>
  <c r="L122" i="6" s="1"/>
  <c r="F122" i="6"/>
  <c r="E122" i="6"/>
  <c r="B122" i="6"/>
  <c r="AD121" i="6"/>
  <c r="AC121" i="6"/>
  <c r="AA121" i="6"/>
  <c r="W121" i="6"/>
  <c r="X121" i="6" s="1"/>
  <c r="U121" i="6"/>
  <c r="R121" i="6"/>
  <c r="N121" i="6"/>
  <c r="O121" i="6" s="1"/>
  <c r="L121" i="6"/>
  <c r="H121" i="6"/>
  <c r="F121" i="6"/>
  <c r="C121" i="6"/>
  <c r="AC120" i="6"/>
  <c r="AD120" i="6" s="1"/>
  <c r="AA120" i="6"/>
  <c r="W120" i="6"/>
  <c r="X120" i="6" s="1"/>
  <c r="U120" i="6"/>
  <c r="R120" i="6"/>
  <c r="O120" i="6"/>
  <c r="N120" i="6"/>
  <c r="L120" i="6"/>
  <c r="I120" i="6"/>
  <c r="H120" i="6"/>
  <c r="F120" i="6"/>
  <c r="C120" i="6"/>
  <c r="AC119" i="6"/>
  <c r="AD119" i="6" s="1"/>
  <c r="AA119" i="6"/>
  <c r="X119" i="6"/>
  <c r="W119" i="6"/>
  <c r="U119" i="6"/>
  <c r="R119" i="6"/>
  <c r="N119" i="6"/>
  <c r="O119" i="6" s="1"/>
  <c r="L119" i="6"/>
  <c r="H119" i="6"/>
  <c r="I119" i="6" s="1"/>
  <c r="F119" i="6"/>
  <c r="C119" i="6"/>
  <c r="AA118" i="6"/>
  <c r="Z118" i="6"/>
  <c r="T118" i="6"/>
  <c r="R118" i="6"/>
  <c r="Q118" i="6"/>
  <c r="AC118" i="6" s="1"/>
  <c r="AD118" i="6" s="1"/>
  <c r="K118" i="6"/>
  <c r="L118" i="6" s="1"/>
  <c r="F118" i="6"/>
  <c r="E118" i="6"/>
  <c r="C118" i="6"/>
  <c r="B118" i="6"/>
  <c r="AC117" i="6"/>
  <c r="AD117" i="6" s="1"/>
  <c r="AA117" i="6"/>
  <c r="W117" i="6"/>
  <c r="X117" i="6" s="1"/>
  <c r="U117" i="6"/>
  <c r="R117" i="6"/>
  <c r="O117" i="6"/>
  <c r="N117" i="6"/>
  <c r="L117" i="6"/>
  <c r="I117" i="6"/>
  <c r="H117" i="6"/>
  <c r="F117" i="6"/>
  <c r="C117" i="6"/>
  <c r="AC116" i="6"/>
  <c r="AD116" i="6" s="1"/>
  <c r="AA116" i="6"/>
  <c r="X116" i="6"/>
  <c r="W116" i="6"/>
  <c r="U116" i="6"/>
  <c r="R116" i="6"/>
  <c r="N116" i="6"/>
  <c r="O116" i="6" s="1"/>
  <c r="L116" i="6"/>
  <c r="H116" i="6"/>
  <c r="I116" i="6" s="1"/>
  <c r="F116" i="6"/>
  <c r="C116" i="6"/>
  <c r="AD115" i="6"/>
  <c r="AC115" i="6"/>
  <c r="AA115" i="6"/>
  <c r="X115" i="6"/>
  <c r="W115" i="6"/>
  <c r="U115" i="6"/>
  <c r="R115" i="6"/>
  <c r="O115" i="6"/>
  <c r="N115" i="6"/>
  <c r="L115" i="6"/>
  <c r="H115" i="6"/>
  <c r="I115" i="6" s="1"/>
  <c r="F115" i="6"/>
  <c r="C115" i="6"/>
  <c r="AD114" i="6"/>
  <c r="AC114" i="6"/>
  <c r="AA114" i="6"/>
  <c r="W114" i="6"/>
  <c r="X114" i="6" s="1"/>
  <c r="U114" i="6"/>
  <c r="R114" i="6"/>
  <c r="N114" i="6"/>
  <c r="O114" i="6" s="1"/>
  <c r="L114" i="6"/>
  <c r="I114" i="6"/>
  <c r="H114" i="6"/>
  <c r="F114" i="6"/>
  <c r="C114" i="6"/>
  <c r="AC113" i="6"/>
  <c r="AD113" i="6" s="1"/>
  <c r="AA113" i="6"/>
  <c r="X113" i="6"/>
  <c r="W113" i="6"/>
  <c r="U113" i="6"/>
  <c r="R113" i="6"/>
  <c r="O113" i="6"/>
  <c r="N113" i="6"/>
  <c r="L113" i="6"/>
  <c r="H113" i="6"/>
  <c r="I113" i="6" s="1"/>
  <c r="F113" i="6"/>
  <c r="C113" i="6"/>
  <c r="AD112" i="6"/>
  <c r="AC112" i="6"/>
  <c r="AA112" i="6"/>
  <c r="X112" i="6"/>
  <c r="W112" i="6"/>
  <c r="U112" i="6"/>
  <c r="R112" i="6"/>
  <c r="N112" i="6"/>
  <c r="O112" i="6" s="1"/>
  <c r="L112" i="6"/>
  <c r="H112" i="6"/>
  <c r="F112" i="6"/>
  <c r="C112" i="6"/>
  <c r="AC111" i="6"/>
  <c r="AA111" i="6"/>
  <c r="X111" i="6"/>
  <c r="W111" i="6"/>
  <c r="U111" i="6"/>
  <c r="R111" i="6"/>
  <c r="O111" i="6"/>
  <c r="N111" i="6"/>
  <c r="L111" i="6"/>
  <c r="I111" i="6"/>
  <c r="H111" i="6"/>
  <c r="F111" i="6"/>
  <c r="C111" i="6"/>
  <c r="AC110" i="6"/>
  <c r="AD110" i="6" s="1"/>
  <c r="AA110" i="6"/>
  <c r="W110" i="6"/>
  <c r="X110" i="6" s="1"/>
  <c r="U110" i="6"/>
  <c r="R110" i="6"/>
  <c r="O110" i="6"/>
  <c r="N110" i="6"/>
  <c r="L110" i="6"/>
  <c r="I110" i="6"/>
  <c r="H110" i="6"/>
  <c r="F110" i="6"/>
  <c r="C110" i="6"/>
  <c r="AC109" i="6"/>
  <c r="AD109" i="6" s="1"/>
  <c r="AA109" i="6"/>
  <c r="W109" i="6"/>
  <c r="X109" i="6" s="1"/>
  <c r="U109" i="6"/>
  <c r="R109" i="6"/>
  <c r="O109" i="6"/>
  <c r="N109" i="6"/>
  <c r="L109" i="6"/>
  <c r="I109" i="6"/>
  <c r="H109" i="6"/>
  <c r="F109" i="6"/>
  <c r="C109" i="6"/>
  <c r="AC108" i="6"/>
  <c r="AD108" i="6" s="1"/>
  <c r="AA108" i="6"/>
  <c r="X108" i="6"/>
  <c r="W108" i="6"/>
  <c r="U108" i="6"/>
  <c r="R108" i="6"/>
  <c r="N108" i="6"/>
  <c r="O108" i="6" s="1"/>
  <c r="L108" i="6"/>
  <c r="H108" i="6"/>
  <c r="I108" i="6" s="1"/>
  <c r="F108" i="6"/>
  <c r="C108" i="6"/>
  <c r="AD107" i="6"/>
  <c r="AC107" i="6"/>
  <c r="AA107" i="6"/>
  <c r="X107" i="6"/>
  <c r="W107" i="6"/>
  <c r="U107" i="6"/>
  <c r="R107" i="6"/>
  <c r="O107" i="6"/>
  <c r="N107" i="6"/>
  <c r="L107" i="6"/>
  <c r="H107" i="6"/>
  <c r="I107" i="6" s="1"/>
  <c r="F107" i="6"/>
  <c r="C107" i="6"/>
  <c r="AC106" i="6"/>
  <c r="AD106" i="6" s="1"/>
  <c r="AA106" i="6"/>
  <c r="W106" i="6"/>
  <c r="X106" i="6" s="1"/>
  <c r="U106" i="6"/>
  <c r="R106" i="6"/>
  <c r="N106" i="6"/>
  <c r="O106" i="6" s="1"/>
  <c r="L106" i="6"/>
  <c r="I106" i="6"/>
  <c r="H106" i="6"/>
  <c r="F106" i="6"/>
  <c r="C106" i="6"/>
  <c r="AC105" i="6"/>
  <c r="AD105" i="6" s="1"/>
  <c r="AA105" i="6"/>
  <c r="W105" i="6"/>
  <c r="X105" i="6" s="1"/>
  <c r="U105" i="6"/>
  <c r="R105" i="6"/>
  <c r="O105" i="6"/>
  <c r="N105" i="6"/>
  <c r="L105" i="6"/>
  <c r="H105" i="6"/>
  <c r="I105" i="6" s="1"/>
  <c r="F105" i="6"/>
  <c r="C105" i="6"/>
  <c r="AD104" i="6"/>
  <c r="AC104" i="6"/>
  <c r="AA104" i="6"/>
  <c r="X104" i="6"/>
  <c r="W104" i="6"/>
  <c r="U104" i="6"/>
  <c r="R104" i="6"/>
  <c r="N104" i="6"/>
  <c r="O104" i="6" s="1"/>
  <c r="L104" i="6"/>
  <c r="H104" i="6"/>
  <c r="F104" i="6"/>
  <c r="C104" i="6"/>
  <c r="AC103" i="6"/>
  <c r="AA103" i="6"/>
  <c r="X103" i="6"/>
  <c r="W103" i="6"/>
  <c r="U103" i="6"/>
  <c r="R103" i="6"/>
  <c r="O103" i="6"/>
  <c r="N103" i="6"/>
  <c r="L103" i="6"/>
  <c r="I103" i="6"/>
  <c r="H103" i="6"/>
  <c r="F103" i="6"/>
  <c r="C103" i="6"/>
  <c r="AC102" i="6"/>
  <c r="AD102" i="6" s="1"/>
  <c r="AA102" i="6"/>
  <c r="W102" i="6"/>
  <c r="X102" i="6" s="1"/>
  <c r="U102" i="6"/>
  <c r="R102" i="6"/>
  <c r="O102" i="6"/>
  <c r="N102" i="6"/>
  <c r="L102" i="6"/>
  <c r="I102" i="6"/>
  <c r="H102" i="6"/>
  <c r="F102" i="6"/>
  <c r="C102" i="6"/>
  <c r="AC101" i="6"/>
  <c r="AD101" i="6" s="1"/>
  <c r="AA101" i="6"/>
  <c r="W101" i="6"/>
  <c r="X101" i="6" s="1"/>
  <c r="U101" i="6"/>
  <c r="R101" i="6"/>
  <c r="O101" i="6"/>
  <c r="N101" i="6"/>
  <c r="L101" i="6"/>
  <c r="I101" i="6"/>
  <c r="H101" i="6"/>
  <c r="F101" i="6"/>
  <c r="C101" i="6"/>
  <c r="AC100" i="6"/>
  <c r="AD100" i="6" s="1"/>
  <c r="AA100" i="6"/>
  <c r="X100" i="6"/>
  <c r="W100" i="6"/>
  <c r="U100" i="6"/>
  <c r="R100" i="6"/>
  <c r="N100" i="6"/>
  <c r="O100" i="6" s="1"/>
  <c r="L100" i="6"/>
  <c r="H100" i="6"/>
  <c r="I100" i="6" s="1"/>
  <c r="F100" i="6"/>
  <c r="C100" i="6"/>
  <c r="AD99" i="6"/>
  <c r="AC99" i="6"/>
  <c r="AA99" i="6"/>
  <c r="X99" i="6"/>
  <c r="W99" i="6"/>
  <c r="U99" i="6"/>
  <c r="R99" i="6"/>
  <c r="O99" i="6"/>
  <c r="N99" i="6"/>
  <c r="L99" i="6"/>
  <c r="H99" i="6"/>
  <c r="I99" i="6" s="1"/>
  <c r="F99" i="6"/>
  <c r="C99" i="6"/>
  <c r="AD98" i="6"/>
  <c r="AC98" i="6"/>
  <c r="AA98" i="6"/>
  <c r="W98" i="6"/>
  <c r="X98" i="6" s="1"/>
  <c r="U98" i="6"/>
  <c r="R98" i="6"/>
  <c r="N98" i="6"/>
  <c r="O98" i="6" s="1"/>
  <c r="L98" i="6"/>
  <c r="I98" i="6"/>
  <c r="H98" i="6"/>
  <c r="F98" i="6"/>
  <c r="C98" i="6"/>
  <c r="AC97" i="6"/>
  <c r="AD97" i="6" s="1"/>
  <c r="AA97" i="6"/>
  <c r="X97" i="6"/>
  <c r="W97" i="6"/>
  <c r="U97" i="6"/>
  <c r="R97" i="6"/>
  <c r="O97" i="6"/>
  <c r="N97" i="6"/>
  <c r="L97" i="6"/>
  <c r="H97" i="6"/>
  <c r="I97" i="6" s="1"/>
  <c r="F97" i="6"/>
  <c r="C97" i="6"/>
  <c r="AD96" i="6"/>
  <c r="AC96" i="6"/>
  <c r="AA96" i="6"/>
  <c r="X96" i="6"/>
  <c r="W96" i="6"/>
  <c r="U96" i="6"/>
  <c r="R96" i="6"/>
  <c r="N96" i="6"/>
  <c r="O96" i="6" s="1"/>
  <c r="L96" i="6"/>
  <c r="H96" i="6"/>
  <c r="F96" i="6"/>
  <c r="C96" i="6"/>
  <c r="AC95" i="6"/>
  <c r="AA95" i="6"/>
  <c r="X95" i="6"/>
  <c r="W95" i="6"/>
  <c r="U95" i="6"/>
  <c r="R95" i="6"/>
  <c r="O95" i="6"/>
  <c r="N95" i="6"/>
  <c r="L95" i="6"/>
  <c r="H95" i="6"/>
  <c r="I95" i="6" s="1"/>
  <c r="F95" i="6"/>
  <c r="C95" i="6"/>
  <c r="AC94" i="6"/>
  <c r="AD94" i="6" s="1"/>
  <c r="AA94" i="6"/>
  <c r="W94" i="6"/>
  <c r="X94" i="6" s="1"/>
  <c r="U94" i="6"/>
  <c r="R94" i="6"/>
  <c r="O94" i="6"/>
  <c r="N94" i="6"/>
  <c r="L94" i="6"/>
  <c r="I94" i="6"/>
  <c r="H94" i="6"/>
  <c r="F94" i="6"/>
  <c r="C94" i="6"/>
  <c r="AC92" i="6"/>
  <c r="AD92" i="6" s="1"/>
  <c r="AA92" i="6"/>
  <c r="W92" i="6"/>
  <c r="X92" i="6" s="1"/>
  <c r="U92" i="6"/>
  <c r="R92" i="6"/>
  <c r="O92" i="6"/>
  <c r="N92" i="6"/>
  <c r="L92" i="6"/>
  <c r="I92" i="6"/>
  <c r="H92" i="6"/>
  <c r="F92" i="6"/>
  <c r="C92" i="6"/>
  <c r="AC91" i="6"/>
  <c r="AD91" i="6" s="1"/>
  <c r="AA91" i="6"/>
  <c r="X91" i="6"/>
  <c r="W91" i="6"/>
  <c r="U91" i="6"/>
  <c r="R91" i="6"/>
  <c r="N91" i="6"/>
  <c r="O91" i="6" s="1"/>
  <c r="L91" i="6"/>
  <c r="H91" i="6"/>
  <c r="I91" i="6" s="1"/>
  <c r="F91" i="6"/>
  <c r="C91" i="6"/>
  <c r="AD90" i="6"/>
  <c r="AC90" i="6"/>
  <c r="AA90" i="6"/>
  <c r="X90" i="6"/>
  <c r="W90" i="6"/>
  <c r="U90" i="6"/>
  <c r="R90" i="6"/>
  <c r="O90" i="6"/>
  <c r="N90" i="6"/>
  <c r="L90" i="6"/>
  <c r="H90" i="6"/>
  <c r="I90" i="6" s="1"/>
  <c r="F90" i="6"/>
  <c r="C90" i="6"/>
  <c r="AD89" i="6"/>
  <c r="AC89" i="6"/>
  <c r="AA89" i="6"/>
  <c r="W89" i="6"/>
  <c r="X89" i="6" s="1"/>
  <c r="U89" i="6"/>
  <c r="R89" i="6"/>
  <c r="N89" i="6"/>
  <c r="O89" i="6" s="1"/>
  <c r="L89" i="6"/>
  <c r="I89" i="6"/>
  <c r="H89" i="6"/>
  <c r="F89" i="6"/>
  <c r="C89" i="6"/>
  <c r="Z88" i="6"/>
  <c r="AA88" i="6" s="1"/>
  <c r="U88" i="6"/>
  <c r="T88" i="6"/>
  <c r="Q88" i="6"/>
  <c r="N88" i="6"/>
  <c r="O88" i="6" s="1"/>
  <c r="L88" i="6"/>
  <c r="K88" i="6"/>
  <c r="E88" i="6"/>
  <c r="B88" i="6"/>
  <c r="C88" i="6" s="1"/>
  <c r="AD87" i="6"/>
  <c r="AC87" i="6"/>
  <c r="AA87" i="6"/>
  <c r="X87" i="6"/>
  <c r="W87" i="6"/>
  <c r="U87" i="6"/>
  <c r="R87" i="6"/>
  <c r="N87" i="6"/>
  <c r="O87" i="6" s="1"/>
  <c r="L87" i="6"/>
  <c r="I87" i="6"/>
  <c r="H87" i="6"/>
  <c r="F87" i="6"/>
  <c r="C87" i="6"/>
  <c r="AC86" i="6"/>
  <c r="AD86" i="6" s="1"/>
  <c r="AA86" i="6"/>
  <c r="W86" i="6"/>
  <c r="X86" i="6" s="1"/>
  <c r="U86" i="6"/>
  <c r="R86" i="6"/>
  <c r="O86" i="6"/>
  <c r="N86" i="6"/>
  <c r="L86" i="6"/>
  <c r="H86" i="6"/>
  <c r="F86" i="6"/>
  <c r="C86" i="6"/>
  <c r="AC85" i="6"/>
  <c r="AD85" i="6" s="1"/>
  <c r="AA85" i="6"/>
  <c r="X85" i="6"/>
  <c r="W85" i="6"/>
  <c r="U85" i="6"/>
  <c r="R85" i="6"/>
  <c r="O85" i="6"/>
  <c r="N85" i="6"/>
  <c r="L85" i="6"/>
  <c r="I85" i="6"/>
  <c r="H85" i="6"/>
  <c r="F85" i="6"/>
  <c r="C85" i="6"/>
  <c r="AD84" i="6"/>
  <c r="AC84" i="6"/>
  <c r="AA84" i="6"/>
  <c r="X84" i="6"/>
  <c r="W84" i="6"/>
  <c r="U84" i="6"/>
  <c r="R84" i="6"/>
  <c r="N84" i="6"/>
  <c r="O84" i="6" s="1"/>
  <c r="L84" i="6"/>
  <c r="H84" i="6"/>
  <c r="F84" i="6"/>
  <c r="C84" i="6"/>
  <c r="AD83" i="6"/>
  <c r="AC83" i="6"/>
  <c r="AA83" i="6"/>
  <c r="X83" i="6"/>
  <c r="W83" i="6"/>
  <c r="U83" i="6"/>
  <c r="R83" i="6"/>
  <c r="O83" i="6"/>
  <c r="N83" i="6"/>
  <c r="L83" i="6"/>
  <c r="H83" i="6"/>
  <c r="I83" i="6" s="1"/>
  <c r="F83" i="6"/>
  <c r="C83" i="6"/>
  <c r="AD82" i="6"/>
  <c r="AC82" i="6"/>
  <c r="AA82" i="6"/>
  <c r="W82" i="6"/>
  <c r="X82" i="6" s="1"/>
  <c r="U82" i="6"/>
  <c r="R82" i="6"/>
  <c r="O82" i="6"/>
  <c r="N82" i="6"/>
  <c r="L82" i="6"/>
  <c r="I82" i="6"/>
  <c r="H82" i="6"/>
  <c r="F82" i="6"/>
  <c r="C82" i="6"/>
  <c r="AC81" i="6"/>
  <c r="AA81" i="6"/>
  <c r="W81" i="6"/>
  <c r="X81" i="6" s="1"/>
  <c r="U81" i="6"/>
  <c r="R81" i="6"/>
  <c r="O81" i="6"/>
  <c r="N81" i="6"/>
  <c r="L81" i="6"/>
  <c r="I81" i="6"/>
  <c r="H81" i="6"/>
  <c r="F81" i="6"/>
  <c r="C81" i="6"/>
  <c r="AC80" i="6"/>
  <c r="AD80" i="6" s="1"/>
  <c r="AA80" i="6"/>
  <c r="W80" i="6"/>
  <c r="X80" i="6" s="1"/>
  <c r="U80" i="6"/>
  <c r="R80" i="6"/>
  <c r="N80" i="6"/>
  <c r="O80" i="6" s="1"/>
  <c r="L80" i="6"/>
  <c r="H80" i="6"/>
  <c r="I80" i="6" s="1"/>
  <c r="F80" i="6"/>
  <c r="C80" i="6"/>
  <c r="AD79" i="6"/>
  <c r="AC79" i="6"/>
  <c r="AA79" i="6"/>
  <c r="X79" i="6"/>
  <c r="W79" i="6"/>
  <c r="U79" i="6"/>
  <c r="R79" i="6"/>
  <c r="N79" i="6"/>
  <c r="O79" i="6" s="1"/>
  <c r="L79" i="6"/>
  <c r="H79" i="6"/>
  <c r="I79" i="6" s="1"/>
  <c r="F79" i="6"/>
  <c r="C79" i="6"/>
  <c r="AC78" i="6"/>
  <c r="AD78" i="6" s="1"/>
  <c r="AA78" i="6"/>
  <c r="W78" i="6"/>
  <c r="X78" i="6" s="1"/>
  <c r="U78" i="6"/>
  <c r="R78" i="6"/>
  <c r="O78" i="6"/>
  <c r="N78" i="6"/>
  <c r="L78" i="6"/>
  <c r="H78" i="6"/>
  <c r="F78" i="6"/>
  <c r="C78" i="6"/>
  <c r="AC77" i="6"/>
  <c r="AD77" i="6" s="1"/>
  <c r="AA77" i="6"/>
  <c r="X77" i="6"/>
  <c r="W77" i="6"/>
  <c r="U77" i="6"/>
  <c r="R77" i="6"/>
  <c r="O77" i="6"/>
  <c r="N77" i="6"/>
  <c r="L77" i="6"/>
  <c r="H77" i="6"/>
  <c r="I77" i="6" s="1"/>
  <c r="F77" i="6"/>
  <c r="C77" i="6"/>
  <c r="AD76" i="6"/>
  <c r="AC76" i="6"/>
  <c r="AA76" i="6"/>
  <c r="X76" i="6"/>
  <c r="W76" i="6"/>
  <c r="U76" i="6"/>
  <c r="R76" i="6"/>
  <c r="N76" i="6"/>
  <c r="O76" i="6" s="1"/>
  <c r="L76" i="6"/>
  <c r="H76" i="6"/>
  <c r="F76" i="6"/>
  <c r="C76" i="6"/>
  <c r="AD75" i="6"/>
  <c r="AC75" i="6"/>
  <c r="AA75" i="6"/>
  <c r="X75" i="6"/>
  <c r="W75" i="6"/>
  <c r="U75" i="6"/>
  <c r="R75" i="6"/>
  <c r="O75" i="6"/>
  <c r="N75" i="6"/>
  <c r="L75" i="6"/>
  <c r="H75" i="6"/>
  <c r="I75" i="6" s="1"/>
  <c r="F75" i="6"/>
  <c r="C75" i="6"/>
  <c r="AD73" i="6"/>
  <c r="AC73" i="6"/>
  <c r="AA73" i="6"/>
  <c r="Z73" i="6"/>
  <c r="T73" i="6"/>
  <c r="U73" i="6" s="1"/>
  <c r="Q73" i="6"/>
  <c r="L73" i="6"/>
  <c r="K73" i="6"/>
  <c r="E73" i="6"/>
  <c r="C73" i="6"/>
  <c r="B73" i="6"/>
  <c r="AD72" i="6"/>
  <c r="AC72" i="6"/>
  <c r="AA72" i="6"/>
  <c r="W72" i="6"/>
  <c r="X72" i="6" s="1"/>
  <c r="U72" i="6"/>
  <c r="R72" i="6"/>
  <c r="N72" i="6"/>
  <c r="O72" i="6" s="1"/>
  <c r="L72" i="6"/>
  <c r="H72" i="6"/>
  <c r="I72" i="6" s="1"/>
  <c r="F72" i="6"/>
  <c r="C72" i="6"/>
  <c r="AC71" i="6"/>
  <c r="AA71" i="6"/>
  <c r="X71" i="6"/>
  <c r="W71" i="6"/>
  <c r="U71" i="6"/>
  <c r="R71" i="6"/>
  <c r="N71" i="6"/>
  <c r="O71" i="6" s="1"/>
  <c r="L71" i="6"/>
  <c r="H71" i="6"/>
  <c r="I71" i="6" s="1"/>
  <c r="F71" i="6"/>
  <c r="C71" i="6"/>
  <c r="AD70" i="6"/>
  <c r="AC70" i="6"/>
  <c r="AA70" i="6"/>
  <c r="W70" i="6"/>
  <c r="X70" i="6" s="1"/>
  <c r="U70" i="6"/>
  <c r="R70" i="6"/>
  <c r="O70" i="6"/>
  <c r="N70" i="6"/>
  <c r="L70" i="6"/>
  <c r="H70" i="6"/>
  <c r="F70" i="6"/>
  <c r="C70" i="6"/>
  <c r="AC69" i="6"/>
  <c r="AD69" i="6" s="1"/>
  <c r="AA69" i="6"/>
  <c r="X69" i="6"/>
  <c r="W69" i="6"/>
  <c r="U69" i="6"/>
  <c r="R69" i="6"/>
  <c r="O69" i="6"/>
  <c r="N69" i="6"/>
  <c r="L69" i="6"/>
  <c r="I69" i="6"/>
  <c r="H69" i="6"/>
  <c r="F69" i="6"/>
  <c r="C69" i="6"/>
  <c r="AC68" i="6"/>
  <c r="AD68" i="6" s="1"/>
  <c r="AA68" i="6"/>
  <c r="W68" i="6"/>
  <c r="X68" i="6" s="1"/>
  <c r="U68" i="6"/>
  <c r="R68" i="6"/>
  <c r="N68" i="6"/>
  <c r="O68" i="6" s="1"/>
  <c r="L68" i="6"/>
  <c r="H68" i="6"/>
  <c r="I68" i="6" s="1"/>
  <c r="F68" i="6"/>
  <c r="C68" i="6"/>
  <c r="AD67" i="6"/>
  <c r="AC67" i="6"/>
  <c r="AA67" i="6"/>
  <c r="X67" i="6"/>
  <c r="W67" i="6"/>
  <c r="U67" i="6"/>
  <c r="R67" i="6"/>
  <c r="N67" i="6"/>
  <c r="O67" i="6" s="1"/>
  <c r="L67" i="6"/>
  <c r="I67" i="6"/>
  <c r="H67" i="6"/>
  <c r="F67" i="6"/>
  <c r="C67" i="6"/>
  <c r="AC66" i="6"/>
  <c r="AD66" i="6" s="1"/>
  <c r="AA66" i="6"/>
  <c r="W66" i="6"/>
  <c r="X66" i="6" s="1"/>
  <c r="U66" i="6"/>
  <c r="R66" i="6"/>
  <c r="N66" i="6"/>
  <c r="O66" i="6" s="1"/>
  <c r="L66" i="6"/>
  <c r="I66" i="6"/>
  <c r="H66" i="6"/>
  <c r="F66" i="6"/>
  <c r="C66" i="6"/>
  <c r="AC65" i="6"/>
  <c r="AA65" i="6"/>
  <c r="X65" i="6"/>
  <c r="W65" i="6"/>
  <c r="U65" i="6"/>
  <c r="R65" i="6"/>
  <c r="O65" i="6"/>
  <c r="N65" i="6"/>
  <c r="L65" i="6"/>
  <c r="H65" i="6"/>
  <c r="I65" i="6" s="1"/>
  <c r="F65" i="6"/>
  <c r="C65" i="6"/>
  <c r="AC64" i="6"/>
  <c r="AD64" i="6" s="1"/>
  <c r="AA64" i="6"/>
  <c r="W64" i="6"/>
  <c r="X64" i="6" s="1"/>
  <c r="U64" i="6"/>
  <c r="R64" i="6"/>
  <c r="N64" i="6"/>
  <c r="O64" i="6" s="1"/>
  <c r="L64" i="6"/>
  <c r="H64" i="6"/>
  <c r="I64" i="6" s="1"/>
  <c r="F64" i="6"/>
  <c r="C64" i="6"/>
  <c r="AA62" i="6"/>
  <c r="Z62" i="6"/>
  <c r="W62" i="6"/>
  <c r="X62" i="6" s="1"/>
  <c r="U62" i="6"/>
  <c r="T62" i="6"/>
  <c r="R62" i="6"/>
  <c r="Q62" i="6"/>
  <c r="N62" i="6"/>
  <c r="O62" i="6" s="1"/>
  <c r="K62" i="6"/>
  <c r="L62" i="6" s="1"/>
  <c r="H62" i="6"/>
  <c r="I62" i="6" s="1"/>
  <c r="F62" i="6"/>
  <c r="E62" i="6"/>
  <c r="B62" i="6"/>
  <c r="C62" i="6" s="1"/>
  <c r="AC61" i="6"/>
  <c r="AD61" i="6" s="1"/>
  <c r="Z61" i="6"/>
  <c r="AA61" i="6" s="1"/>
  <c r="T61" i="6"/>
  <c r="U61" i="6" s="1"/>
  <c r="Q61" i="6"/>
  <c r="N61" i="6"/>
  <c r="O61" i="6" s="1"/>
  <c r="L61" i="6"/>
  <c r="K61" i="6"/>
  <c r="H61" i="6"/>
  <c r="I61" i="6" s="1"/>
  <c r="E61" i="6"/>
  <c r="F61" i="6" s="1"/>
  <c r="B61" i="6"/>
  <c r="C61" i="6" s="1"/>
  <c r="AD60" i="6"/>
  <c r="AC60" i="6"/>
  <c r="AA60" i="6"/>
  <c r="X60" i="6"/>
  <c r="W60" i="6"/>
  <c r="U60" i="6"/>
  <c r="R60" i="6"/>
  <c r="N60" i="6"/>
  <c r="O60" i="6" s="1"/>
  <c r="L60" i="6"/>
  <c r="I60" i="6"/>
  <c r="H60" i="6"/>
  <c r="F60" i="6"/>
  <c r="C60" i="6"/>
  <c r="AC59" i="6"/>
  <c r="AD59" i="6" s="1"/>
  <c r="AA59" i="6"/>
  <c r="W59" i="6"/>
  <c r="X59" i="6" s="1"/>
  <c r="U59" i="6"/>
  <c r="R59" i="6"/>
  <c r="N59" i="6"/>
  <c r="O59" i="6" s="1"/>
  <c r="L59" i="6"/>
  <c r="H59" i="6"/>
  <c r="F59" i="6"/>
  <c r="C59" i="6"/>
  <c r="AC58" i="6"/>
  <c r="AD58" i="6" s="1"/>
  <c r="AA58" i="6"/>
  <c r="X58" i="6"/>
  <c r="W58" i="6"/>
  <c r="U58" i="6"/>
  <c r="R58" i="6"/>
  <c r="O58" i="6"/>
  <c r="N58" i="6"/>
  <c r="L58" i="6"/>
  <c r="I58" i="6"/>
  <c r="H58" i="6"/>
  <c r="F58" i="6"/>
  <c r="C58" i="6"/>
  <c r="AD57" i="6"/>
  <c r="AC57" i="6"/>
  <c r="AA57" i="6"/>
  <c r="X57" i="6"/>
  <c r="W57" i="6"/>
  <c r="U57" i="6"/>
  <c r="R57" i="6"/>
  <c r="N57" i="6"/>
  <c r="O57" i="6" s="1"/>
  <c r="L57" i="6"/>
  <c r="H57" i="6"/>
  <c r="F57" i="6"/>
  <c r="C57" i="6"/>
  <c r="AD56" i="6"/>
  <c r="AC56" i="6"/>
  <c r="AA56" i="6"/>
  <c r="X56" i="6"/>
  <c r="W56" i="6"/>
  <c r="U56" i="6"/>
  <c r="R56" i="6"/>
  <c r="O56" i="6"/>
  <c r="N56" i="6"/>
  <c r="L56" i="6"/>
  <c r="H56" i="6"/>
  <c r="I56" i="6" s="1"/>
  <c r="F56" i="6"/>
  <c r="C56" i="6"/>
  <c r="AD55" i="6"/>
  <c r="AC55" i="6"/>
  <c r="AA55" i="6"/>
  <c r="W55" i="6"/>
  <c r="X55" i="6" s="1"/>
  <c r="U55" i="6"/>
  <c r="R55" i="6"/>
  <c r="O55" i="6"/>
  <c r="N55" i="6"/>
  <c r="L55" i="6"/>
  <c r="I55" i="6"/>
  <c r="H55" i="6"/>
  <c r="F55" i="6"/>
  <c r="C55" i="6"/>
  <c r="AC54" i="6"/>
  <c r="AA54" i="6"/>
  <c r="W54" i="6"/>
  <c r="X54" i="6" s="1"/>
  <c r="U54" i="6"/>
  <c r="R54" i="6"/>
  <c r="O54" i="6"/>
  <c r="N54" i="6"/>
  <c r="L54" i="6"/>
  <c r="I54" i="6"/>
  <c r="H54" i="6"/>
  <c r="F54" i="6"/>
  <c r="C54" i="6"/>
  <c r="AC53" i="6"/>
  <c r="AD53" i="6" s="1"/>
  <c r="AA53" i="6"/>
  <c r="W53" i="6"/>
  <c r="X53" i="6" s="1"/>
  <c r="U53" i="6"/>
  <c r="R53" i="6"/>
  <c r="N53" i="6"/>
  <c r="O53" i="6" s="1"/>
  <c r="L53" i="6"/>
  <c r="H53" i="6"/>
  <c r="I53" i="6" s="1"/>
  <c r="F53" i="6"/>
  <c r="C53" i="6"/>
  <c r="AD52" i="6"/>
  <c r="AC52" i="6"/>
  <c r="AA52" i="6"/>
  <c r="X52" i="6"/>
  <c r="W52" i="6"/>
  <c r="U52" i="6"/>
  <c r="R52" i="6"/>
  <c r="N52" i="6"/>
  <c r="O52" i="6" s="1"/>
  <c r="L52" i="6"/>
  <c r="I52" i="6"/>
  <c r="H52" i="6"/>
  <c r="F52" i="6"/>
  <c r="C52" i="6"/>
  <c r="AC51" i="6"/>
  <c r="AD51" i="6" s="1"/>
  <c r="AA51" i="6"/>
  <c r="W51" i="6"/>
  <c r="X51" i="6" s="1"/>
  <c r="U51" i="6"/>
  <c r="R51" i="6"/>
  <c r="N51" i="6"/>
  <c r="O51" i="6" s="1"/>
  <c r="L51" i="6"/>
  <c r="H51" i="6"/>
  <c r="F51" i="6"/>
  <c r="C51" i="6"/>
  <c r="AC50" i="6"/>
  <c r="AD50" i="6" s="1"/>
  <c r="AA50" i="6"/>
  <c r="X50" i="6"/>
  <c r="W50" i="6"/>
  <c r="U50" i="6"/>
  <c r="R50" i="6"/>
  <c r="O50" i="6"/>
  <c r="N50" i="6"/>
  <c r="L50" i="6"/>
  <c r="I50" i="6"/>
  <c r="H50" i="6"/>
  <c r="F50" i="6"/>
  <c r="C50" i="6"/>
  <c r="AD49" i="6"/>
  <c r="AC49" i="6"/>
  <c r="AA49" i="6"/>
  <c r="W49" i="6"/>
  <c r="X49" i="6" s="1"/>
  <c r="U49" i="6"/>
  <c r="R49" i="6"/>
  <c r="N49" i="6"/>
  <c r="O49" i="6" s="1"/>
  <c r="L49" i="6"/>
  <c r="H49" i="6"/>
  <c r="F49" i="6"/>
  <c r="C49" i="6"/>
  <c r="AD48" i="6"/>
  <c r="AC48" i="6"/>
  <c r="AA48" i="6"/>
  <c r="X48" i="6"/>
  <c r="W48" i="6"/>
  <c r="U48" i="6"/>
  <c r="R48" i="6"/>
  <c r="N48" i="6"/>
  <c r="O48" i="6" s="1"/>
  <c r="L48" i="6"/>
  <c r="H48" i="6"/>
  <c r="I48" i="6" s="1"/>
  <c r="F48" i="6"/>
  <c r="C48" i="6"/>
  <c r="AD47" i="6"/>
  <c r="AC47" i="6"/>
  <c r="AA47" i="6"/>
  <c r="W47" i="6"/>
  <c r="X47" i="6" s="1"/>
  <c r="U47" i="6"/>
  <c r="R47" i="6"/>
  <c r="O47" i="6"/>
  <c r="N47" i="6"/>
  <c r="L47" i="6"/>
  <c r="I47" i="6"/>
  <c r="H47" i="6"/>
  <c r="F47" i="6"/>
  <c r="C47" i="6"/>
  <c r="AC46" i="6"/>
  <c r="AA46" i="6"/>
  <c r="W46" i="6"/>
  <c r="X46" i="6" s="1"/>
  <c r="U46" i="6"/>
  <c r="R46" i="6"/>
  <c r="O46" i="6"/>
  <c r="N46" i="6"/>
  <c r="L46" i="6"/>
  <c r="I46" i="6"/>
  <c r="H46" i="6"/>
  <c r="F46" i="6"/>
  <c r="C46" i="6"/>
  <c r="AD44" i="6"/>
  <c r="AC44" i="6"/>
  <c r="AA44" i="6"/>
  <c r="W44" i="6"/>
  <c r="X44" i="6" s="1"/>
  <c r="U44" i="6"/>
  <c r="R44" i="6"/>
  <c r="N44" i="6"/>
  <c r="O44" i="6" s="1"/>
  <c r="L44" i="6"/>
  <c r="H44" i="6"/>
  <c r="I44" i="6" s="1"/>
  <c r="F44" i="6"/>
  <c r="C44" i="6"/>
  <c r="AD43" i="6"/>
  <c r="AC43" i="6"/>
  <c r="AA43" i="6"/>
  <c r="X43" i="6"/>
  <c r="W43" i="6"/>
  <c r="U43" i="6"/>
  <c r="R43" i="6"/>
  <c r="N43" i="6"/>
  <c r="O43" i="6" s="1"/>
  <c r="L43" i="6"/>
  <c r="H43" i="6"/>
  <c r="I43" i="6" s="1"/>
  <c r="F43" i="6"/>
  <c r="C43" i="6"/>
  <c r="AC42" i="6"/>
  <c r="AD42" i="6" s="1"/>
  <c r="AA42" i="6"/>
  <c r="W42" i="6"/>
  <c r="X42" i="6" s="1"/>
  <c r="U42" i="6"/>
  <c r="R42" i="6"/>
  <c r="O42" i="6"/>
  <c r="N42" i="6"/>
  <c r="L42" i="6"/>
  <c r="H42" i="6"/>
  <c r="F42" i="6"/>
  <c r="C42" i="6"/>
  <c r="AA40" i="6"/>
  <c r="Z40" i="6"/>
  <c r="AC40" i="6" s="1"/>
  <c r="AD40" i="6" s="1"/>
  <c r="T40" i="6"/>
  <c r="U40" i="6" s="1"/>
  <c r="Q40" i="6"/>
  <c r="L40" i="6"/>
  <c r="K40" i="6"/>
  <c r="E40" i="6"/>
  <c r="F40" i="6" s="1"/>
  <c r="B40" i="6"/>
  <c r="AD39" i="6"/>
  <c r="AC39" i="6"/>
  <c r="AA39" i="6"/>
  <c r="X39" i="6"/>
  <c r="W39" i="6"/>
  <c r="U39" i="6"/>
  <c r="R39" i="6"/>
  <c r="O39" i="6"/>
  <c r="N39" i="6"/>
  <c r="L39" i="6"/>
  <c r="I39" i="6"/>
  <c r="H39" i="6"/>
  <c r="F39" i="6"/>
  <c r="C39" i="6"/>
  <c r="AC38" i="6"/>
  <c r="AD38" i="6" s="1"/>
  <c r="AA38" i="6"/>
  <c r="W38" i="6"/>
  <c r="X38" i="6" s="1"/>
  <c r="U38" i="6"/>
  <c r="R38" i="6"/>
  <c r="N38" i="6"/>
  <c r="O38" i="6" s="1"/>
  <c r="L38" i="6"/>
  <c r="I38" i="6"/>
  <c r="H38" i="6"/>
  <c r="F38" i="6"/>
  <c r="C38" i="6"/>
  <c r="AC37" i="6"/>
  <c r="AA37" i="6"/>
  <c r="X37" i="6"/>
  <c r="W37" i="6"/>
  <c r="U37" i="6"/>
  <c r="R37" i="6"/>
  <c r="O37" i="6"/>
  <c r="N37" i="6"/>
  <c r="L37" i="6"/>
  <c r="H37" i="6"/>
  <c r="I37" i="6" s="1"/>
  <c r="F37" i="6"/>
  <c r="C37" i="6"/>
  <c r="AC36" i="6"/>
  <c r="AD36" i="6" s="1"/>
  <c r="AA36" i="6"/>
  <c r="W36" i="6"/>
  <c r="X36" i="6" s="1"/>
  <c r="U36" i="6"/>
  <c r="R36" i="6"/>
  <c r="N36" i="6"/>
  <c r="O36" i="6" s="1"/>
  <c r="L36" i="6"/>
  <c r="H36" i="6"/>
  <c r="I36" i="6" s="1"/>
  <c r="F36" i="6"/>
  <c r="C36" i="6"/>
  <c r="AC35" i="6"/>
  <c r="AA35" i="6"/>
  <c r="X35" i="6"/>
  <c r="W35" i="6"/>
  <c r="U35" i="6"/>
  <c r="R35" i="6"/>
  <c r="N35" i="6"/>
  <c r="O35" i="6" s="1"/>
  <c r="L35" i="6"/>
  <c r="H35" i="6"/>
  <c r="I35" i="6" s="1"/>
  <c r="F35" i="6"/>
  <c r="C35" i="6"/>
  <c r="AD34" i="6"/>
  <c r="AC34" i="6"/>
  <c r="AA34" i="6"/>
  <c r="W34" i="6"/>
  <c r="X34" i="6" s="1"/>
  <c r="U34" i="6"/>
  <c r="R34" i="6"/>
  <c r="O34" i="6"/>
  <c r="N34" i="6"/>
  <c r="L34" i="6"/>
  <c r="H34" i="6"/>
  <c r="F34" i="6"/>
  <c r="C34" i="6"/>
  <c r="AC33" i="6"/>
  <c r="AD33" i="6" s="1"/>
  <c r="AA33" i="6"/>
  <c r="X33" i="6"/>
  <c r="W33" i="6"/>
  <c r="U33" i="6"/>
  <c r="R33" i="6"/>
  <c r="O33" i="6"/>
  <c r="N33" i="6"/>
  <c r="L33" i="6"/>
  <c r="I33" i="6"/>
  <c r="H33" i="6"/>
  <c r="F33" i="6"/>
  <c r="C33" i="6"/>
  <c r="AC32" i="6"/>
  <c r="AD32" i="6" s="1"/>
  <c r="AA32" i="6"/>
  <c r="X32" i="6"/>
  <c r="W32" i="6"/>
  <c r="U32" i="6"/>
  <c r="R32" i="6"/>
  <c r="N32" i="6"/>
  <c r="O32" i="6" s="1"/>
  <c r="L32" i="6"/>
  <c r="H32" i="6"/>
  <c r="I32" i="6" s="1"/>
  <c r="F32" i="6"/>
  <c r="C32" i="6"/>
  <c r="AD31" i="6"/>
  <c r="AC31" i="6"/>
  <c r="AA31" i="6"/>
  <c r="X31" i="6"/>
  <c r="W31" i="6"/>
  <c r="U31" i="6"/>
  <c r="R31" i="6"/>
  <c r="O31" i="6"/>
  <c r="N31" i="6"/>
  <c r="L31" i="6"/>
  <c r="I31" i="6"/>
  <c r="H31" i="6"/>
  <c r="F31" i="6"/>
  <c r="C31" i="6"/>
  <c r="AC29" i="6"/>
  <c r="AD29" i="6" s="1"/>
  <c r="AA29" i="6"/>
  <c r="Z29" i="6"/>
  <c r="X29" i="6"/>
  <c r="T29" i="6"/>
  <c r="U29" i="6" s="1"/>
  <c r="R29" i="6"/>
  <c r="Q29" i="6"/>
  <c r="W29" i="6" s="1"/>
  <c r="K29" i="6"/>
  <c r="L29" i="6" s="1"/>
  <c r="H29" i="6"/>
  <c r="I29" i="6" s="1"/>
  <c r="E29" i="6"/>
  <c r="F29" i="6" s="1"/>
  <c r="C29" i="6"/>
  <c r="B29" i="6"/>
  <c r="AC28" i="6"/>
  <c r="AD28" i="6" s="1"/>
  <c r="AA28" i="6"/>
  <c r="X28" i="6"/>
  <c r="W28" i="6"/>
  <c r="U28" i="6"/>
  <c r="R28" i="6"/>
  <c r="N28" i="6"/>
  <c r="O28" i="6" s="1"/>
  <c r="L28" i="6"/>
  <c r="H28" i="6"/>
  <c r="I28" i="6" s="1"/>
  <c r="F28" i="6"/>
  <c r="C28" i="6"/>
  <c r="AC27" i="6"/>
  <c r="AA27" i="6"/>
  <c r="X27" i="6"/>
  <c r="W27" i="6"/>
  <c r="U27" i="6"/>
  <c r="R27" i="6"/>
  <c r="O27" i="6"/>
  <c r="N27" i="6"/>
  <c r="L27" i="6"/>
  <c r="I27" i="6"/>
  <c r="H27" i="6"/>
  <c r="F27" i="6"/>
  <c r="C27" i="6"/>
  <c r="AD26" i="6"/>
  <c r="AC26" i="6"/>
  <c r="AA26" i="6"/>
  <c r="W26" i="6"/>
  <c r="X26" i="6" s="1"/>
  <c r="U26" i="6"/>
  <c r="R26" i="6"/>
  <c r="O26" i="6"/>
  <c r="N26" i="6"/>
  <c r="L26" i="6"/>
  <c r="I26" i="6"/>
  <c r="H26" i="6"/>
  <c r="F26" i="6"/>
  <c r="C26" i="6"/>
  <c r="AC25" i="6"/>
  <c r="AA25" i="6"/>
  <c r="W25" i="6"/>
  <c r="X25" i="6" s="1"/>
  <c r="U25" i="6"/>
  <c r="R25" i="6"/>
  <c r="O25" i="6"/>
  <c r="N25" i="6"/>
  <c r="L25" i="6"/>
  <c r="I25" i="6"/>
  <c r="H25" i="6"/>
  <c r="F25" i="6"/>
  <c r="C25" i="6"/>
  <c r="AC24" i="6"/>
  <c r="AD24" i="6" s="1"/>
  <c r="AA24" i="6"/>
  <c r="W24" i="6"/>
  <c r="X24" i="6" s="1"/>
  <c r="U24" i="6"/>
  <c r="R24" i="6"/>
  <c r="N24" i="6"/>
  <c r="O24" i="6" s="1"/>
  <c r="L24" i="6"/>
  <c r="H24" i="6"/>
  <c r="F24" i="6"/>
  <c r="C24" i="6"/>
  <c r="AD23" i="6"/>
  <c r="AC23" i="6"/>
  <c r="AA23" i="6"/>
  <c r="X23" i="6"/>
  <c r="W23" i="6"/>
  <c r="U23" i="6"/>
  <c r="R23" i="6"/>
  <c r="N23" i="6"/>
  <c r="O23" i="6" s="1"/>
  <c r="L23" i="6"/>
  <c r="I23" i="6"/>
  <c r="H23" i="6"/>
  <c r="F23" i="6"/>
  <c r="C23" i="6"/>
  <c r="AD22" i="6"/>
  <c r="AC22" i="6"/>
  <c r="AA22" i="6"/>
  <c r="W22" i="6"/>
  <c r="X22" i="6" s="1"/>
  <c r="U22" i="6"/>
  <c r="R22" i="6"/>
  <c r="N22" i="6"/>
  <c r="O22" i="6" s="1"/>
  <c r="L22" i="6"/>
  <c r="H22" i="6"/>
  <c r="F22" i="6"/>
  <c r="C22" i="6"/>
  <c r="AC21" i="6"/>
  <c r="AD21" i="6" s="1"/>
  <c r="AA21" i="6"/>
  <c r="W21" i="6"/>
  <c r="X21" i="6" s="1"/>
  <c r="U21" i="6"/>
  <c r="R21" i="6"/>
  <c r="O21" i="6"/>
  <c r="N21" i="6"/>
  <c r="L21" i="6"/>
  <c r="H21" i="6"/>
  <c r="I21" i="6" s="1"/>
  <c r="F21" i="6"/>
  <c r="C21" i="6"/>
  <c r="AC19" i="6"/>
  <c r="AD19" i="6" s="1"/>
  <c r="AA19" i="6"/>
  <c r="X19" i="6"/>
  <c r="W19" i="6"/>
  <c r="U19" i="6"/>
  <c r="R19" i="6"/>
  <c r="N19" i="6"/>
  <c r="O19" i="6" s="1"/>
  <c r="L19" i="6"/>
  <c r="H19" i="6"/>
  <c r="I19" i="6" s="1"/>
  <c r="F19" i="6"/>
  <c r="C19" i="6"/>
  <c r="Z18" i="6"/>
  <c r="AA18" i="6" s="1"/>
  <c r="U18" i="6"/>
  <c r="T18" i="6"/>
  <c r="W18" i="6" s="1"/>
  <c r="X18" i="6" s="1"/>
  <c r="R18" i="6"/>
  <c r="Q18" i="6"/>
  <c r="K18" i="6"/>
  <c r="H18" i="6"/>
  <c r="I18" i="6" s="1"/>
  <c r="F18" i="6"/>
  <c r="E18" i="6"/>
  <c r="C18" i="6"/>
  <c r="B18" i="6"/>
  <c r="AC17" i="6"/>
  <c r="AA17" i="6"/>
  <c r="W17" i="6"/>
  <c r="X17" i="6" s="1"/>
  <c r="U17" i="6"/>
  <c r="R17" i="6"/>
  <c r="O17" i="6"/>
  <c r="N17" i="6"/>
  <c r="L17" i="6"/>
  <c r="I17" i="6"/>
  <c r="H17" i="6"/>
  <c r="F17" i="6"/>
  <c r="C17" i="6"/>
  <c r="AC16" i="6"/>
  <c r="AD16" i="6" s="1"/>
  <c r="AA16" i="6"/>
  <c r="W16" i="6"/>
  <c r="X16" i="6" s="1"/>
  <c r="U16" i="6"/>
  <c r="R16" i="6"/>
  <c r="N16" i="6"/>
  <c r="O16" i="6" s="1"/>
  <c r="L16" i="6"/>
  <c r="H16" i="6"/>
  <c r="I16" i="6" s="1"/>
  <c r="F16" i="6"/>
  <c r="C16" i="6"/>
  <c r="AD15" i="6"/>
  <c r="AC15" i="6"/>
  <c r="AA15" i="6"/>
  <c r="X15" i="6"/>
  <c r="W15" i="6"/>
  <c r="U15" i="6"/>
  <c r="R15" i="6"/>
  <c r="N15" i="6"/>
  <c r="O15" i="6" s="1"/>
  <c r="L15" i="6"/>
  <c r="I15" i="6"/>
  <c r="H15" i="6"/>
  <c r="F15" i="6"/>
  <c r="C15" i="6"/>
  <c r="AC14" i="6"/>
  <c r="AD14" i="6" s="1"/>
  <c r="AA14" i="6"/>
  <c r="W14" i="6"/>
  <c r="X14" i="6" s="1"/>
  <c r="U14" i="6"/>
  <c r="R14" i="6"/>
  <c r="N14" i="6"/>
  <c r="O14" i="6" s="1"/>
  <c r="L14" i="6"/>
  <c r="H14" i="6"/>
  <c r="F14" i="6"/>
  <c r="C14" i="6"/>
  <c r="AC13" i="6"/>
  <c r="AD13" i="6" s="1"/>
  <c r="AA13" i="6"/>
  <c r="X13" i="6"/>
  <c r="W13" i="6"/>
  <c r="U13" i="6"/>
  <c r="R13" i="6"/>
  <c r="O13" i="6"/>
  <c r="N13" i="6"/>
  <c r="L13" i="6"/>
  <c r="I13" i="6"/>
  <c r="H13" i="6"/>
  <c r="F13" i="6"/>
  <c r="C13" i="6"/>
  <c r="AD12" i="6"/>
  <c r="AC12" i="6"/>
  <c r="AA12" i="6"/>
  <c r="X12" i="6"/>
  <c r="W12" i="6"/>
  <c r="U12" i="6"/>
  <c r="R12" i="6"/>
  <c r="N12" i="6"/>
  <c r="O12" i="6" s="1"/>
  <c r="L12" i="6"/>
  <c r="H12" i="6"/>
  <c r="F12" i="6"/>
  <c r="C12" i="6"/>
  <c r="AD11" i="6"/>
  <c r="AC11" i="6"/>
  <c r="AA11" i="6"/>
  <c r="X11" i="6"/>
  <c r="W11" i="6"/>
  <c r="U11" i="6"/>
  <c r="R11" i="6"/>
  <c r="O11" i="6"/>
  <c r="N11" i="6"/>
  <c r="L11" i="6"/>
  <c r="H11" i="6"/>
  <c r="I11" i="6" s="1"/>
  <c r="F11" i="6"/>
  <c r="C11" i="6"/>
  <c r="AC10" i="6"/>
  <c r="AD10" i="6" s="1"/>
  <c r="AA10" i="6"/>
  <c r="W10" i="6"/>
  <c r="X10" i="6" s="1"/>
  <c r="U10" i="6"/>
  <c r="R10" i="6"/>
  <c r="O10" i="6"/>
  <c r="N10" i="6"/>
  <c r="L10" i="6"/>
  <c r="I10" i="6"/>
  <c r="H10" i="6"/>
  <c r="F10" i="6"/>
  <c r="C10" i="6"/>
  <c r="AC8" i="6"/>
  <c r="AA8" i="6"/>
  <c r="W8" i="6"/>
  <c r="X8" i="6" s="1"/>
  <c r="U8" i="6"/>
  <c r="R8" i="6"/>
  <c r="O8" i="6"/>
  <c r="N8" i="6"/>
  <c r="L8" i="6"/>
  <c r="I8" i="6"/>
  <c r="H8" i="6"/>
  <c r="F8" i="6"/>
  <c r="C8" i="6"/>
  <c r="AC444" i="5"/>
  <c r="AD432" i="5" s="1"/>
  <c r="W444" i="5"/>
  <c r="X400" i="5" s="1"/>
  <c r="N444" i="5"/>
  <c r="H444" i="5"/>
  <c r="AC442" i="5"/>
  <c r="AD442" i="5" s="1"/>
  <c r="Z442" i="5"/>
  <c r="AA442" i="5" s="1"/>
  <c r="W442" i="5"/>
  <c r="U442" i="5"/>
  <c r="T442" i="5"/>
  <c r="Q442" i="5"/>
  <c r="R442" i="5" s="1"/>
  <c r="K442" i="5"/>
  <c r="L442" i="5" s="1"/>
  <c r="F442" i="5"/>
  <c r="E442" i="5"/>
  <c r="B442" i="5"/>
  <c r="AC441" i="5"/>
  <c r="AA441" i="5"/>
  <c r="Z441" i="5"/>
  <c r="X441" i="5"/>
  <c r="W441" i="5"/>
  <c r="T441" i="5"/>
  <c r="U441" i="5" s="1"/>
  <c r="Q441" i="5"/>
  <c r="R441" i="5" s="1"/>
  <c r="O441" i="5"/>
  <c r="K441" i="5"/>
  <c r="L441" i="5" s="1"/>
  <c r="E441" i="5"/>
  <c r="H441" i="5" s="1"/>
  <c r="I441" i="5" s="1"/>
  <c r="C441" i="5"/>
  <c r="B441" i="5"/>
  <c r="N441" i="5" s="1"/>
  <c r="AC440" i="5"/>
  <c r="AA440" i="5"/>
  <c r="W440" i="5"/>
  <c r="X440" i="5" s="1"/>
  <c r="U440" i="5"/>
  <c r="R440" i="5"/>
  <c r="N440" i="5"/>
  <c r="O440" i="5" s="1"/>
  <c r="L440" i="5"/>
  <c r="H440" i="5"/>
  <c r="F440" i="5"/>
  <c r="C440" i="5"/>
  <c r="AD439" i="5"/>
  <c r="AC439" i="5"/>
  <c r="AA439" i="5"/>
  <c r="W439" i="5"/>
  <c r="U439" i="5"/>
  <c r="R439" i="5"/>
  <c r="N439" i="5"/>
  <c r="O439" i="5" s="1"/>
  <c r="L439" i="5"/>
  <c r="H439" i="5"/>
  <c r="I439" i="5" s="1"/>
  <c r="F439" i="5"/>
  <c r="C439" i="5"/>
  <c r="AC438" i="5"/>
  <c r="AA438" i="5"/>
  <c r="W438" i="5"/>
  <c r="U438" i="5"/>
  <c r="R438" i="5"/>
  <c r="O438" i="5"/>
  <c r="N438" i="5"/>
  <c r="L438" i="5"/>
  <c r="I438" i="5"/>
  <c r="H438" i="5"/>
  <c r="F438" i="5"/>
  <c r="C438" i="5"/>
  <c r="AC437" i="5"/>
  <c r="AD437" i="5" s="1"/>
  <c r="AA437" i="5"/>
  <c r="W437" i="5"/>
  <c r="U437" i="5"/>
  <c r="R437" i="5"/>
  <c r="O437" i="5"/>
  <c r="N437" i="5"/>
  <c r="L437" i="5"/>
  <c r="I437" i="5"/>
  <c r="H437" i="5"/>
  <c r="F437" i="5"/>
  <c r="C437" i="5"/>
  <c r="AC436" i="5"/>
  <c r="AA436" i="5"/>
  <c r="W436" i="5"/>
  <c r="X436" i="5" s="1"/>
  <c r="U436" i="5"/>
  <c r="R436" i="5"/>
  <c r="N436" i="5"/>
  <c r="O436" i="5" s="1"/>
  <c r="L436" i="5"/>
  <c r="H436" i="5"/>
  <c r="I436" i="5" s="1"/>
  <c r="F436" i="5"/>
  <c r="C436" i="5"/>
  <c r="AD435" i="5"/>
  <c r="AC435" i="5"/>
  <c r="AA435" i="5"/>
  <c r="W435" i="5"/>
  <c r="U435" i="5"/>
  <c r="R435" i="5"/>
  <c r="O435" i="5"/>
  <c r="N435" i="5"/>
  <c r="L435" i="5"/>
  <c r="H435" i="5"/>
  <c r="I435" i="5" s="1"/>
  <c r="F435" i="5"/>
  <c r="C435" i="5"/>
  <c r="AC434" i="5"/>
  <c r="AA434" i="5"/>
  <c r="W434" i="5"/>
  <c r="U434" i="5"/>
  <c r="R434" i="5"/>
  <c r="O434" i="5"/>
  <c r="N434" i="5"/>
  <c r="L434" i="5"/>
  <c r="I434" i="5"/>
  <c r="H434" i="5"/>
  <c r="F434" i="5"/>
  <c r="C434" i="5"/>
  <c r="AC433" i="5"/>
  <c r="AA433" i="5"/>
  <c r="W433" i="5"/>
  <c r="U433" i="5"/>
  <c r="R433" i="5"/>
  <c r="O433" i="5"/>
  <c r="N433" i="5"/>
  <c r="L433" i="5"/>
  <c r="I433" i="5"/>
  <c r="H433" i="5"/>
  <c r="F433" i="5"/>
  <c r="C433" i="5"/>
  <c r="AC432" i="5"/>
  <c r="AA432" i="5"/>
  <c r="W432" i="5"/>
  <c r="U432" i="5"/>
  <c r="R432" i="5"/>
  <c r="N432" i="5"/>
  <c r="O432" i="5" s="1"/>
  <c r="L432" i="5"/>
  <c r="H432" i="5"/>
  <c r="F432" i="5"/>
  <c r="C432" i="5"/>
  <c r="AA429" i="5"/>
  <c r="Z429" i="5"/>
  <c r="W429" i="5"/>
  <c r="X429" i="5" s="1"/>
  <c r="U429" i="5"/>
  <c r="T429" i="5"/>
  <c r="R429" i="5"/>
  <c r="Q429" i="5"/>
  <c r="AC429" i="5" s="1"/>
  <c r="K429" i="5"/>
  <c r="L429" i="5" s="1"/>
  <c r="H429" i="5"/>
  <c r="I429" i="5" s="1"/>
  <c r="F429" i="5"/>
  <c r="E429" i="5"/>
  <c r="B429" i="5"/>
  <c r="C429" i="5" s="1"/>
  <c r="Z428" i="5"/>
  <c r="AA428" i="5" s="1"/>
  <c r="T428" i="5"/>
  <c r="U428" i="5" s="1"/>
  <c r="Q428" i="5"/>
  <c r="L428" i="5"/>
  <c r="K428" i="5"/>
  <c r="E428" i="5"/>
  <c r="F428" i="5" s="1"/>
  <c r="C428" i="5"/>
  <c r="B428" i="5"/>
  <c r="AC427" i="5"/>
  <c r="AA427" i="5"/>
  <c r="W427" i="5"/>
  <c r="U427" i="5"/>
  <c r="R427" i="5"/>
  <c r="O427" i="5"/>
  <c r="N427" i="5"/>
  <c r="L427" i="5"/>
  <c r="I427" i="5"/>
  <c r="H427" i="5"/>
  <c r="F427" i="5"/>
  <c r="C427" i="5"/>
  <c r="AC426" i="5"/>
  <c r="AD426" i="5" s="1"/>
  <c r="AA426" i="5"/>
  <c r="W426" i="5"/>
  <c r="U426" i="5"/>
  <c r="R426" i="5"/>
  <c r="N426" i="5"/>
  <c r="O426" i="5" s="1"/>
  <c r="L426" i="5"/>
  <c r="I426" i="5"/>
  <c r="H426" i="5"/>
  <c r="F426" i="5"/>
  <c r="C426" i="5"/>
  <c r="AC425" i="5"/>
  <c r="AA425" i="5"/>
  <c r="X425" i="5"/>
  <c r="W425" i="5"/>
  <c r="U425" i="5"/>
  <c r="R425" i="5"/>
  <c r="O425" i="5"/>
  <c r="N425" i="5"/>
  <c r="L425" i="5"/>
  <c r="H425" i="5"/>
  <c r="I425" i="5" s="1"/>
  <c r="F425" i="5"/>
  <c r="C425" i="5"/>
  <c r="AD424" i="5"/>
  <c r="AC424" i="5"/>
  <c r="AA424" i="5"/>
  <c r="W424" i="5"/>
  <c r="U424" i="5"/>
  <c r="R424" i="5"/>
  <c r="N424" i="5"/>
  <c r="O424" i="5" s="1"/>
  <c r="L424" i="5"/>
  <c r="H424" i="5"/>
  <c r="F424" i="5"/>
  <c r="C424" i="5"/>
  <c r="AC423" i="5"/>
  <c r="AA423" i="5"/>
  <c r="W423" i="5"/>
  <c r="U423" i="5"/>
  <c r="R423" i="5"/>
  <c r="O423" i="5"/>
  <c r="N423" i="5"/>
  <c r="L423" i="5"/>
  <c r="H423" i="5"/>
  <c r="I423" i="5" s="1"/>
  <c r="F423" i="5"/>
  <c r="C423" i="5"/>
  <c r="AD422" i="5"/>
  <c r="AC422" i="5"/>
  <c r="AA422" i="5"/>
  <c r="W422" i="5"/>
  <c r="U422" i="5"/>
  <c r="R422" i="5"/>
  <c r="O422" i="5"/>
  <c r="N422" i="5"/>
  <c r="L422" i="5"/>
  <c r="I422" i="5"/>
  <c r="H422" i="5"/>
  <c r="F422" i="5"/>
  <c r="C422" i="5"/>
  <c r="AC421" i="5"/>
  <c r="AA421" i="5"/>
  <c r="W421" i="5"/>
  <c r="X421" i="5" s="1"/>
  <c r="U421" i="5"/>
  <c r="R421" i="5"/>
  <c r="O421" i="5"/>
  <c r="N421" i="5"/>
  <c r="L421" i="5"/>
  <c r="I421" i="5"/>
  <c r="H421" i="5"/>
  <c r="F421" i="5"/>
  <c r="C421" i="5"/>
  <c r="AC420" i="5"/>
  <c r="AA420" i="5"/>
  <c r="W420" i="5"/>
  <c r="U420" i="5"/>
  <c r="R420" i="5"/>
  <c r="N420" i="5"/>
  <c r="O420" i="5" s="1"/>
  <c r="L420" i="5"/>
  <c r="H420" i="5"/>
  <c r="I420" i="5" s="1"/>
  <c r="F420" i="5"/>
  <c r="C420" i="5"/>
  <c r="AC419" i="5"/>
  <c r="AA419" i="5"/>
  <c r="W419" i="5"/>
  <c r="U419" i="5"/>
  <c r="R419" i="5"/>
  <c r="O419" i="5"/>
  <c r="N419" i="5"/>
  <c r="L419" i="5"/>
  <c r="H419" i="5"/>
  <c r="I419" i="5" s="1"/>
  <c r="F419" i="5"/>
  <c r="C419" i="5"/>
  <c r="AC418" i="5"/>
  <c r="AD418" i="5" s="1"/>
  <c r="AA418" i="5"/>
  <c r="W418" i="5"/>
  <c r="U418" i="5"/>
  <c r="R418" i="5"/>
  <c r="N418" i="5"/>
  <c r="O418" i="5" s="1"/>
  <c r="L418" i="5"/>
  <c r="I418" i="5"/>
  <c r="H418" i="5"/>
  <c r="F418" i="5"/>
  <c r="C418" i="5"/>
  <c r="AC417" i="5"/>
  <c r="AA417" i="5"/>
  <c r="W417" i="5"/>
  <c r="U417" i="5"/>
  <c r="R417" i="5"/>
  <c r="O417" i="5"/>
  <c r="N417" i="5"/>
  <c r="L417" i="5"/>
  <c r="H417" i="5"/>
  <c r="I417" i="5" s="1"/>
  <c r="F417" i="5"/>
  <c r="C417" i="5"/>
  <c r="AC416" i="5"/>
  <c r="AA416" i="5"/>
  <c r="X416" i="5"/>
  <c r="W416" i="5"/>
  <c r="U416" i="5"/>
  <c r="R416" i="5"/>
  <c r="O416" i="5"/>
  <c r="N416" i="5"/>
  <c r="L416" i="5"/>
  <c r="H416" i="5"/>
  <c r="I416" i="5" s="1"/>
  <c r="F416" i="5"/>
  <c r="C416" i="5"/>
  <c r="AC415" i="5"/>
  <c r="AA415" i="5"/>
  <c r="W415" i="5"/>
  <c r="U415" i="5"/>
  <c r="R415" i="5"/>
  <c r="N415" i="5"/>
  <c r="O415" i="5" s="1"/>
  <c r="L415" i="5"/>
  <c r="I415" i="5"/>
  <c r="H415" i="5"/>
  <c r="F415" i="5"/>
  <c r="C415" i="5"/>
  <c r="AC414" i="5"/>
  <c r="AA414" i="5"/>
  <c r="W414" i="5"/>
  <c r="X414" i="5" s="1"/>
  <c r="U414" i="5"/>
  <c r="R414" i="5"/>
  <c r="O414" i="5"/>
  <c r="N414" i="5"/>
  <c r="L414" i="5"/>
  <c r="H414" i="5"/>
  <c r="I414" i="5" s="1"/>
  <c r="F414" i="5"/>
  <c r="C414" i="5"/>
  <c r="AC413" i="5"/>
  <c r="AA413" i="5"/>
  <c r="W413" i="5"/>
  <c r="U413" i="5"/>
  <c r="R413" i="5"/>
  <c r="O413" i="5"/>
  <c r="N413" i="5"/>
  <c r="L413" i="5"/>
  <c r="I413" i="5"/>
  <c r="H413" i="5"/>
  <c r="F413" i="5"/>
  <c r="C413" i="5"/>
  <c r="AC412" i="5"/>
  <c r="AD412" i="5" s="1"/>
  <c r="AA412" i="5"/>
  <c r="W412" i="5"/>
  <c r="U412" i="5"/>
  <c r="R412" i="5"/>
  <c r="N412" i="5"/>
  <c r="O412" i="5" s="1"/>
  <c r="L412" i="5"/>
  <c r="H412" i="5"/>
  <c r="I412" i="5" s="1"/>
  <c r="F412" i="5"/>
  <c r="C412" i="5"/>
  <c r="AC411" i="5"/>
  <c r="AA411" i="5"/>
  <c r="W411" i="5"/>
  <c r="U411" i="5"/>
  <c r="R411" i="5"/>
  <c r="N411" i="5"/>
  <c r="O411" i="5" s="1"/>
  <c r="L411" i="5"/>
  <c r="H411" i="5"/>
  <c r="I411" i="5" s="1"/>
  <c r="F411" i="5"/>
  <c r="C411" i="5"/>
  <c r="AC410" i="5"/>
  <c r="AA410" i="5"/>
  <c r="W410" i="5"/>
  <c r="U410" i="5"/>
  <c r="R410" i="5"/>
  <c r="O410" i="5"/>
  <c r="N410" i="5"/>
  <c r="L410" i="5"/>
  <c r="I410" i="5"/>
  <c r="H410" i="5"/>
  <c r="F410" i="5"/>
  <c r="C410" i="5"/>
  <c r="AC409" i="5"/>
  <c r="AA409" i="5"/>
  <c r="W409" i="5"/>
  <c r="U409" i="5"/>
  <c r="R409" i="5"/>
  <c r="O409" i="5"/>
  <c r="N409" i="5"/>
  <c r="L409" i="5"/>
  <c r="I409" i="5"/>
  <c r="H409" i="5"/>
  <c r="F409" i="5"/>
  <c r="C409" i="5"/>
  <c r="AC408" i="5"/>
  <c r="AA408" i="5"/>
  <c r="W408" i="5"/>
  <c r="U408" i="5"/>
  <c r="R408" i="5"/>
  <c r="O408" i="5"/>
  <c r="N408" i="5"/>
  <c r="L408" i="5"/>
  <c r="H408" i="5"/>
  <c r="I408" i="5" s="1"/>
  <c r="F408" i="5"/>
  <c r="C408" i="5"/>
  <c r="AC407" i="5"/>
  <c r="AA407" i="5"/>
  <c r="W407" i="5"/>
  <c r="U407" i="5"/>
  <c r="R407" i="5"/>
  <c r="O407" i="5"/>
  <c r="N407" i="5"/>
  <c r="L407" i="5"/>
  <c r="I407" i="5"/>
  <c r="H407" i="5"/>
  <c r="F407" i="5"/>
  <c r="C407" i="5"/>
  <c r="AA403" i="5"/>
  <c r="Z403" i="5"/>
  <c r="T403" i="5"/>
  <c r="R403" i="5"/>
  <c r="Q403" i="5"/>
  <c r="AC403" i="5" s="1"/>
  <c r="AD403" i="5" s="1"/>
  <c r="K403" i="5"/>
  <c r="L403" i="5" s="1"/>
  <c r="F403" i="5"/>
  <c r="E403" i="5"/>
  <c r="B403" i="5"/>
  <c r="AC402" i="5"/>
  <c r="AA402" i="5"/>
  <c r="W402" i="5"/>
  <c r="U402" i="5"/>
  <c r="R402" i="5"/>
  <c r="O402" i="5"/>
  <c r="N402" i="5"/>
  <c r="L402" i="5"/>
  <c r="H402" i="5"/>
  <c r="I402" i="5" s="1"/>
  <c r="F402" i="5"/>
  <c r="C402" i="5"/>
  <c r="AC401" i="5"/>
  <c r="AA401" i="5"/>
  <c r="W401" i="5"/>
  <c r="U401" i="5"/>
  <c r="R401" i="5"/>
  <c r="N401" i="5"/>
  <c r="O401" i="5" s="1"/>
  <c r="L401" i="5"/>
  <c r="I401" i="5"/>
  <c r="H401" i="5"/>
  <c r="F401" i="5"/>
  <c r="C401" i="5"/>
  <c r="AC400" i="5"/>
  <c r="AA400" i="5"/>
  <c r="W400" i="5"/>
  <c r="U400" i="5"/>
  <c r="R400" i="5"/>
  <c r="N400" i="5"/>
  <c r="O400" i="5" s="1"/>
  <c r="L400" i="5"/>
  <c r="I400" i="5"/>
  <c r="H400" i="5"/>
  <c r="F400" i="5"/>
  <c r="C400" i="5"/>
  <c r="AC399" i="5"/>
  <c r="AA399" i="5"/>
  <c r="W399" i="5"/>
  <c r="U399" i="5"/>
  <c r="R399" i="5"/>
  <c r="O399" i="5"/>
  <c r="N399" i="5"/>
  <c r="L399" i="5"/>
  <c r="I399" i="5"/>
  <c r="H399" i="5"/>
  <c r="F399" i="5"/>
  <c r="C399" i="5"/>
  <c r="AD398" i="5"/>
  <c r="AC398" i="5"/>
  <c r="AA398" i="5"/>
  <c r="W398" i="5"/>
  <c r="U398" i="5"/>
  <c r="R398" i="5"/>
  <c r="N398" i="5"/>
  <c r="O398" i="5" s="1"/>
  <c r="L398" i="5"/>
  <c r="H398" i="5"/>
  <c r="I398" i="5" s="1"/>
  <c r="F398" i="5"/>
  <c r="C398" i="5"/>
  <c r="AC397" i="5"/>
  <c r="AA397" i="5"/>
  <c r="X397" i="5"/>
  <c r="W397" i="5"/>
  <c r="U397" i="5"/>
  <c r="R397" i="5"/>
  <c r="N397" i="5"/>
  <c r="O397" i="5" s="1"/>
  <c r="L397" i="5"/>
  <c r="I397" i="5"/>
  <c r="H397" i="5"/>
  <c r="F397" i="5"/>
  <c r="C397" i="5"/>
  <c r="AD396" i="5"/>
  <c r="AA396" i="5"/>
  <c r="Z396" i="5"/>
  <c r="W396" i="5"/>
  <c r="T396" i="5"/>
  <c r="U396" i="5" s="1"/>
  <c r="R396" i="5"/>
  <c r="Q396" i="5"/>
  <c r="AC396" i="5" s="1"/>
  <c r="N396" i="5"/>
  <c r="O396" i="5" s="1"/>
  <c r="L396" i="5"/>
  <c r="K396" i="5"/>
  <c r="F396" i="5"/>
  <c r="E396" i="5"/>
  <c r="B396" i="5"/>
  <c r="H396" i="5" s="1"/>
  <c r="I396" i="5" s="1"/>
  <c r="AD395" i="5"/>
  <c r="AC395" i="5"/>
  <c r="AA395" i="5"/>
  <c r="W395" i="5"/>
  <c r="U395" i="5"/>
  <c r="R395" i="5"/>
  <c r="N395" i="5"/>
  <c r="O395" i="5" s="1"/>
  <c r="L395" i="5"/>
  <c r="H395" i="5"/>
  <c r="I395" i="5" s="1"/>
  <c r="F395" i="5"/>
  <c r="C395" i="5"/>
  <c r="AC394" i="5"/>
  <c r="AD394" i="5" s="1"/>
  <c r="AA394" i="5"/>
  <c r="X394" i="5"/>
  <c r="W394" i="5"/>
  <c r="U394" i="5"/>
  <c r="R394" i="5"/>
  <c r="N394" i="5"/>
  <c r="O394" i="5" s="1"/>
  <c r="L394" i="5"/>
  <c r="I394" i="5"/>
  <c r="H394" i="5"/>
  <c r="F394" i="5"/>
  <c r="C394" i="5"/>
  <c r="AA393" i="5"/>
  <c r="Z393" i="5"/>
  <c r="T393" i="5"/>
  <c r="U393" i="5" s="1"/>
  <c r="R393" i="5"/>
  <c r="Q393" i="5"/>
  <c r="AC393" i="5" s="1"/>
  <c r="AD393" i="5" s="1"/>
  <c r="K393" i="5"/>
  <c r="H393" i="5"/>
  <c r="I393" i="5" s="1"/>
  <c r="F393" i="5"/>
  <c r="E393" i="5"/>
  <c r="C393" i="5"/>
  <c r="B393" i="5"/>
  <c r="AC392" i="5"/>
  <c r="AA392" i="5"/>
  <c r="W392" i="5"/>
  <c r="X392" i="5" s="1"/>
  <c r="U392" i="5"/>
  <c r="R392" i="5"/>
  <c r="N392" i="5"/>
  <c r="O392" i="5" s="1"/>
  <c r="L392" i="5"/>
  <c r="H392" i="5"/>
  <c r="I392" i="5" s="1"/>
  <c r="F392" i="5"/>
  <c r="C392" i="5"/>
  <c r="AD391" i="5"/>
  <c r="AC391" i="5"/>
  <c r="AA391" i="5"/>
  <c r="W391" i="5"/>
  <c r="U391" i="5"/>
  <c r="R391" i="5"/>
  <c r="N391" i="5"/>
  <c r="O391" i="5" s="1"/>
  <c r="L391" i="5"/>
  <c r="I391" i="5"/>
  <c r="H391" i="5"/>
  <c r="F391" i="5"/>
  <c r="C391" i="5"/>
  <c r="AC390" i="5"/>
  <c r="AA390" i="5"/>
  <c r="X390" i="5"/>
  <c r="W390" i="5"/>
  <c r="U390" i="5"/>
  <c r="R390" i="5"/>
  <c r="N390" i="5"/>
  <c r="O390" i="5" s="1"/>
  <c r="L390" i="5"/>
  <c r="H390" i="5"/>
  <c r="I390" i="5" s="1"/>
  <c r="F390" i="5"/>
  <c r="C390" i="5"/>
  <c r="AC389" i="5"/>
  <c r="AA389" i="5"/>
  <c r="W389" i="5"/>
  <c r="U389" i="5"/>
  <c r="R389" i="5"/>
  <c r="O389" i="5"/>
  <c r="N389" i="5"/>
  <c r="L389" i="5"/>
  <c r="I389" i="5"/>
  <c r="H389" i="5"/>
  <c r="F389" i="5"/>
  <c r="C389" i="5"/>
  <c r="AC388" i="5"/>
  <c r="AD388" i="5" s="1"/>
  <c r="AA388" i="5"/>
  <c r="W388" i="5"/>
  <c r="X388" i="5" s="1"/>
  <c r="U388" i="5"/>
  <c r="R388" i="5"/>
  <c r="N388" i="5"/>
  <c r="O388" i="5" s="1"/>
  <c r="L388" i="5"/>
  <c r="H388" i="5"/>
  <c r="I388" i="5" s="1"/>
  <c r="F388" i="5"/>
  <c r="C388" i="5"/>
  <c r="AC386" i="5"/>
  <c r="AD386" i="5" s="1"/>
  <c r="AA386" i="5"/>
  <c r="W386" i="5"/>
  <c r="U386" i="5"/>
  <c r="R386" i="5"/>
  <c r="N386" i="5"/>
  <c r="O386" i="5" s="1"/>
  <c r="L386" i="5"/>
  <c r="I386" i="5"/>
  <c r="H386" i="5"/>
  <c r="F386" i="5"/>
  <c r="C386" i="5"/>
  <c r="AC385" i="5"/>
  <c r="AA385" i="5"/>
  <c r="W385" i="5"/>
  <c r="X385" i="5" s="1"/>
  <c r="U385" i="5"/>
  <c r="R385" i="5"/>
  <c r="O385" i="5"/>
  <c r="N385" i="5"/>
  <c r="L385" i="5"/>
  <c r="I385" i="5"/>
  <c r="H385" i="5"/>
  <c r="F385" i="5"/>
  <c r="C385" i="5"/>
  <c r="AC383" i="5"/>
  <c r="AD383" i="5" s="1"/>
  <c r="AA383" i="5"/>
  <c r="W383" i="5"/>
  <c r="U383" i="5"/>
  <c r="R383" i="5"/>
  <c r="O383" i="5"/>
  <c r="N383" i="5"/>
  <c r="L383" i="5"/>
  <c r="I383" i="5"/>
  <c r="H383" i="5"/>
  <c r="F383" i="5"/>
  <c r="C383" i="5"/>
  <c r="AC382" i="5"/>
  <c r="AA382" i="5"/>
  <c r="W382" i="5"/>
  <c r="X382" i="5" s="1"/>
  <c r="U382" i="5"/>
  <c r="R382" i="5"/>
  <c r="N382" i="5"/>
  <c r="O382" i="5" s="1"/>
  <c r="L382" i="5"/>
  <c r="H382" i="5"/>
  <c r="I382" i="5" s="1"/>
  <c r="F382" i="5"/>
  <c r="C382" i="5"/>
  <c r="AD381" i="5"/>
  <c r="AC381" i="5"/>
  <c r="AA381" i="5"/>
  <c r="W381" i="5"/>
  <c r="U381" i="5"/>
  <c r="R381" i="5"/>
  <c r="N381" i="5"/>
  <c r="O381" i="5" s="1"/>
  <c r="L381" i="5"/>
  <c r="I381" i="5"/>
  <c r="H381" i="5"/>
  <c r="F381" i="5"/>
  <c r="C381" i="5"/>
  <c r="AC380" i="5"/>
  <c r="AA380" i="5"/>
  <c r="X380" i="5"/>
  <c r="W380" i="5"/>
  <c r="U380" i="5"/>
  <c r="R380" i="5"/>
  <c r="N380" i="5"/>
  <c r="O380" i="5" s="1"/>
  <c r="L380" i="5"/>
  <c r="H380" i="5"/>
  <c r="I380" i="5" s="1"/>
  <c r="F380" i="5"/>
  <c r="C380" i="5"/>
  <c r="AC379" i="5"/>
  <c r="AA379" i="5"/>
  <c r="W379" i="5"/>
  <c r="U379" i="5"/>
  <c r="R379" i="5"/>
  <c r="O379" i="5"/>
  <c r="N379" i="5"/>
  <c r="L379" i="5"/>
  <c r="I379" i="5"/>
  <c r="H379" i="5"/>
  <c r="F379" i="5"/>
  <c r="C379" i="5"/>
  <c r="AC378" i="5"/>
  <c r="AD378" i="5" s="1"/>
  <c r="AA378" i="5"/>
  <c r="W378" i="5"/>
  <c r="X378" i="5" s="1"/>
  <c r="U378" i="5"/>
  <c r="R378" i="5"/>
  <c r="N378" i="5"/>
  <c r="O378" i="5" s="1"/>
  <c r="L378" i="5"/>
  <c r="H378" i="5"/>
  <c r="I378" i="5" s="1"/>
  <c r="F378" i="5"/>
  <c r="C378" i="5"/>
  <c r="AC377" i="5"/>
  <c r="AD377" i="5" s="1"/>
  <c r="AA377" i="5"/>
  <c r="W377" i="5"/>
  <c r="U377" i="5"/>
  <c r="R377" i="5"/>
  <c r="N377" i="5"/>
  <c r="O377" i="5" s="1"/>
  <c r="L377" i="5"/>
  <c r="I377" i="5"/>
  <c r="H377" i="5"/>
  <c r="F377" i="5"/>
  <c r="C377" i="5"/>
  <c r="AC376" i="5"/>
  <c r="AA376" i="5"/>
  <c r="W376" i="5"/>
  <c r="X376" i="5" s="1"/>
  <c r="U376" i="5"/>
  <c r="R376" i="5"/>
  <c r="O376" i="5"/>
  <c r="N376" i="5"/>
  <c r="L376" i="5"/>
  <c r="I376" i="5"/>
  <c r="H376" i="5"/>
  <c r="F376" i="5"/>
  <c r="C376" i="5"/>
  <c r="AC375" i="5"/>
  <c r="AD375" i="5" s="1"/>
  <c r="AA375" i="5"/>
  <c r="W375" i="5"/>
  <c r="U375" i="5"/>
  <c r="R375" i="5"/>
  <c r="O375" i="5"/>
  <c r="N375" i="5"/>
  <c r="L375" i="5"/>
  <c r="I375" i="5"/>
  <c r="H375" i="5"/>
  <c r="F375" i="5"/>
  <c r="C375" i="5"/>
  <c r="AC374" i="5"/>
  <c r="AA374" i="5"/>
  <c r="W374" i="5"/>
  <c r="X374" i="5" s="1"/>
  <c r="U374" i="5"/>
  <c r="R374" i="5"/>
  <c r="N374" i="5"/>
  <c r="O374" i="5" s="1"/>
  <c r="L374" i="5"/>
  <c r="H374" i="5"/>
  <c r="I374" i="5" s="1"/>
  <c r="F374" i="5"/>
  <c r="C374" i="5"/>
  <c r="AD373" i="5"/>
  <c r="AC373" i="5"/>
  <c r="AA373" i="5"/>
  <c r="W373" i="5"/>
  <c r="U373" i="5"/>
  <c r="R373" i="5"/>
  <c r="N373" i="5"/>
  <c r="O373" i="5" s="1"/>
  <c r="L373" i="5"/>
  <c r="I373" i="5"/>
  <c r="H373" i="5"/>
  <c r="F373" i="5"/>
  <c r="C373" i="5"/>
  <c r="AC372" i="5"/>
  <c r="AA372" i="5"/>
  <c r="X372" i="5"/>
  <c r="W372" i="5"/>
  <c r="U372" i="5"/>
  <c r="R372" i="5"/>
  <c r="N372" i="5"/>
  <c r="O372" i="5" s="1"/>
  <c r="L372" i="5"/>
  <c r="H372" i="5"/>
  <c r="I372" i="5" s="1"/>
  <c r="F372" i="5"/>
  <c r="C372" i="5"/>
  <c r="AC371" i="5"/>
  <c r="AA371" i="5"/>
  <c r="W371" i="5"/>
  <c r="U371" i="5"/>
  <c r="R371" i="5"/>
  <c r="O371" i="5"/>
  <c r="N371" i="5"/>
  <c r="L371" i="5"/>
  <c r="I371" i="5"/>
  <c r="H371" i="5"/>
  <c r="F371" i="5"/>
  <c r="C371" i="5"/>
  <c r="AC370" i="5"/>
  <c r="AD370" i="5" s="1"/>
  <c r="AA370" i="5"/>
  <c r="W370" i="5"/>
  <c r="X370" i="5" s="1"/>
  <c r="U370" i="5"/>
  <c r="R370" i="5"/>
  <c r="N370" i="5"/>
  <c r="O370" i="5" s="1"/>
  <c r="L370" i="5"/>
  <c r="H370" i="5"/>
  <c r="I370" i="5" s="1"/>
  <c r="F370" i="5"/>
  <c r="C370" i="5"/>
  <c r="AC369" i="5"/>
  <c r="AD369" i="5" s="1"/>
  <c r="AA369" i="5"/>
  <c r="W369" i="5"/>
  <c r="U369" i="5"/>
  <c r="R369" i="5"/>
  <c r="N369" i="5"/>
  <c r="O369" i="5" s="1"/>
  <c r="L369" i="5"/>
  <c r="I369" i="5"/>
  <c r="H369" i="5"/>
  <c r="F369" i="5"/>
  <c r="C369" i="5"/>
  <c r="Z368" i="5"/>
  <c r="AA368" i="5" s="1"/>
  <c r="W368" i="5"/>
  <c r="X368" i="5" s="1"/>
  <c r="T368" i="5"/>
  <c r="U368" i="5" s="1"/>
  <c r="R368" i="5"/>
  <c r="Q368" i="5"/>
  <c r="AC368" i="5" s="1"/>
  <c r="AD368" i="5" s="1"/>
  <c r="L368" i="5"/>
  <c r="K368" i="5"/>
  <c r="H368" i="5"/>
  <c r="I368" i="5" s="1"/>
  <c r="F368" i="5"/>
  <c r="E368" i="5"/>
  <c r="C368" i="5"/>
  <c r="B368" i="5"/>
  <c r="N368" i="5" s="1"/>
  <c r="O368" i="5" s="1"/>
  <c r="AC367" i="5"/>
  <c r="AD367" i="5" s="1"/>
  <c r="AA367" i="5"/>
  <c r="W367" i="5"/>
  <c r="X367" i="5" s="1"/>
  <c r="U367" i="5"/>
  <c r="R367" i="5"/>
  <c r="O367" i="5"/>
  <c r="N367" i="5"/>
  <c r="L367" i="5"/>
  <c r="H367" i="5"/>
  <c r="I367" i="5" s="1"/>
  <c r="F367" i="5"/>
  <c r="C367" i="5"/>
  <c r="AC366" i="5"/>
  <c r="AD366" i="5" s="1"/>
  <c r="AA366" i="5"/>
  <c r="W366" i="5"/>
  <c r="U366" i="5"/>
  <c r="R366" i="5"/>
  <c r="N366" i="5"/>
  <c r="O366" i="5" s="1"/>
  <c r="L366" i="5"/>
  <c r="I366" i="5"/>
  <c r="H366" i="5"/>
  <c r="F366" i="5"/>
  <c r="C366" i="5"/>
  <c r="AC365" i="5"/>
  <c r="AA365" i="5"/>
  <c r="W365" i="5"/>
  <c r="X365" i="5" s="1"/>
  <c r="U365" i="5"/>
  <c r="R365" i="5"/>
  <c r="O365" i="5"/>
  <c r="N365" i="5"/>
  <c r="L365" i="5"/>
  <c r="I365" i="5"/>
  <c r="H365" i="5"/>
  <c r="F365" i="5"/>
  <c r="C365" i="5"/>
  <c r="AC364" i="5"/>
  <c r="AA364" i="5"/>
  <c r="W364" i="5"/>
  <c r="U364" i="5"/>
  <c r="R364" i="5"/>
  <c r="O364" i="5"/>
  <c r="N364" i="5"/>
  <c r="L364" i="5"/>
  <c r="I364" i="5"/>
  <c r="H364" i="5"/>
  <c r="F364" i="5"/>
  <c r="C364" i="5"/>
  <c r="AC363" i="5"/>
  <c r="AA363" i="5"/>
  <c r="W363" i="5"/>
  <c r="U363" i="5"/>
  <c r="R363" i="5"/>
  <c r="N363" i="5"/>
  <c r="O363" i="5" s="1"/>
  <c r="L363" i="5"/>
  <c r="H363" i="5"/>
  <c r="I363" i="5" s="1"/>
  <c r="F363" i="5"/>
  <c r="C363" i="5"/>
  <c r="AC362" i="5"/>
  <c r="AA362" i="5"/>
  <c r="X362" i="5"/>
  <c r="W362" i="5"/>
  <c r="U362" i="5"/>
  <c r="R362" i="5"/>
  <c r="N362" i="5"/>
  <c r="O362" i="5" s="1"/>
  <c r="L362" i="5"/>
  <c r="H362" i="5"/>
  <c r="I362" i="5" s="1"/>
  <c r="F362" i="5"/>
  <c r="C362" i="5"/>
  <c r="AD361" i="5"/>
  <c r="AC361" i="5"/>
  <c r="AA361" i="5"/>
  <c r="W361" i="5"/>
  <c r="U361" i="5"/>
  <c r="R361" i="5"/>
  <c r="N361" i="5"/>
  <c r="O361" i="5" s="1"/>
  <c r="L361" i="5"/>
  <c r="H361" i="5"/>
  <c r="I361" i="5" s="1"/>
  <c r="F361" i="5"/>
  <c r="C361" i="5"/>
  <c r="AC360" i="5"/>
  <c r="AA360" i="5"/>
  <c r="W360" i="5"/>
  <c r="X360" i="5" s="1"/>
  <c r="U360" i="5"/>
  <c r="R360" i="5"/>
  <c r="O360" i="5"/>
  <c r="N360" i="5"/>
  <c r="L360" i="5"/>
  <c r="I360" i="5"/>
  <c r="H360" i="5"/>
  <c r="F360" i="5"/>
  <c r="C360" i="5"/>
  <c r="AC358" i="5"/>
  <c r="AD358" i="5" s="1"/>
  <c r="Z358" i="5"/>
  <c r="AA358" i="5" s="1"/>
  <c r="U358" i="5"/>
  <c r="T358" i="5"/>
  <c r="R358" i="5"/>
  <c r="Q358" i="5"/>
  <c r="L358" i="5"/>
  <c r="K358" i="5"/>
  <c r="F358" i="5"/>
  <c r="E358" i="5"/>
  <c r="H358" i="5" s="1"/>
  <c r="I358" i="5" s="1"/>
  <c r="B358" i="5"/>
  <c r="C358" i="5" s="1"/>
  <c r="AC357" i="5"/>
  <c r="AA357" i="5"/>
  <c r="X357" i="5"/>
  <c r="W357" i="5"/>
  <c r="U357" i="5"/>
  <c r="R357" i="5"/>
  <c r="O357" i="5"/>
  <c r="N357" i="5"/>
  <c r="L357" i="5"/>
  <c r="H357" i="5"/>
  <c r="I357" i="5" s="1"/>
  <c r="F357" i="5"/>
  <c r="C357" i="5"/>
  <c r="AC356" i="5"/>
  <c r="AA356" i="5"/>
  <c r="W356" i="5"/>
  <c r="U356" i="5"/>
  <c r="R356" i="5"/>
  <c r="O356" i="5"/>
  <c r="N356" i="5"/>
  <c r="L356" i="5"/>
  <c r="I356" i="5"/>
  <c r="H356" i="5"/>
  <c r="F356" i="5"/>
  <c r="C356" i="5"/>
  <c r="AC355" i="5"/>
  <c r="AD355" i="5" s="1"/>
  <c r="AA355" i="5"/>
  <c r="X355" i="5"/>
  <c r="W355" i="5"/>
  <c r="U355" i="5"/>
  <c r="R355" i="5"/>
  <c r="O355" i="5"/>
  <c r="N355" i="5"/>
  <c r="L355" i="5"/>
  <c r="H355" i="5"/>
  <c r="I355" i="5" s="1"/>
  <c r="F355" i="5"/>
  <c r="C355" i="5"/>
  <c r="AC354" i="5"/>
  <c r="AA354" i="5"/>
  <c r="W354" i="5"/>
  <c r="U354" i="5"/>
  <c r="R354" i="5"/>
  <c r="N354" i="5"/>
  <c r="O354" i="5" s="1"/>
  <c r="L354" i="5"/>
  <c r="H354" i="5"/>
  <c r="I354" i="5" s="1"/>
  <c r="F354" i="5"/>
  <c r="C354" i="5"/>
  <c r="AC353" i="5"/>
  <c r="AA353" i="5"/>
  <c r="W353" i="5"/>
  <c r="U353" i="5"/>
  <c r="R353" i="5"/>
  <c r="N353" i="5"/>
  <c r="O353" i="5" s="1"/>
  <c r="L353" i="5"/>
  <c r="I353" i="5"/>
  <c r="H353" i="5"/>
  <c r="F353" i="5"/>
  <c r="C353" i="5"/>
  <c r="AC352" i="5"/>
  <c r="AA352" i="5"/>
  <c r="W352" i="5"/>
  <c r="U352" i="5"/>
  <c r="R352" i="5"/>
  <c r="O352" i="5"/>
  <c r="N352" i="5"/>
  <c r="L352" i="5"/>
  <c r="I352" i="5"/>
  <c r="H352" i="5"/>
  <c r="F352" i="5"/>
  <c r="C352" i="5"/>
  <c r="AD351" i="5"/>
  <c r="AC351" i="5"/>
  <c r="AA351" i="5"/>
  <c r="W351" i="5"/>
  <c r="U351" i="5"/>
  <c r="R351" i="5"/>
  <c r="O351" i="5"/>
  <c r="N351" i="5"/>
  <c r="L351" i="5"/>
  <c r="H351" i="5"/>
  <c r="I351" i="5" s="1"/>
  <c r="F351" i="5"/>
  <c r="C351" i="5"/>
  <c r="AC350" i="5"/>
  <c r="AA350" i="5"/>
  <c r="W350" i="5"/>
  <c r="U350" i="5"/>
  <c r="R350" i="5"/>
  <c r="N350" i="5"/>
  <c r="O350" i="5" s="1"/>
  <c r="L350" i="5"/>
  <c r="H350" i="5"/>
  <c r="I350" i="5" s="1"/>
  <c r="F350" i="5"/>
  <c r="C350" i="5"/>
  <c r="AC349" i="5"/>
  <c r="AA349" i="5"/>
  <c r="X349" i="5"/>
  <c r="W349" i="5"/>
  <c r="U349" i="5"/>
  <c r="R349" i="5"/>
  <c r="O349" i="5"/>
  <c r="N349" i="5"/>
  <c r="L349" i="5"/>
  <c r="H349" i="5"/>
  <c r="I349" i="5" s="1"/>
  <c r="F349" i="5"/>
  <c r="C349" i="5"/>
  <c r="AC347" i="5"/>
  <c r="AA347" i="5"/>
  <c r="W347" i="5"/>
  <c r="U347" i="5"/>
  <c r="R347" i="5"/>
  <c r="O347" i="5"/>
  <c r="N347" i="5"/>
  <c r="L347" i="5"/>
  <c r="I347" i="5"/>
  <c r="H347" i="5"/>
  <c r="F347" i="5"/>
  <c r="C347" i="5"/>
  <c r="Z344" i="5"/>
  <c r="AA344" i="5" s="1"/>
  <c r="X344" i="5"/>
  <c r="W344" i="5"/>
  <c r="T344" i="5"/>
  <c r="U344" i="5" s="1"/>
  <c r="R344" i="5"/>
  <c r="Q344" i="5"/>
  <c r="K344" i="5"/>
  <c r="L344" i="5" s="1"/>
  <c r="H344" i="5"/>
  <c r="I344" i="5" s="1"/>
  <c r="F344" i="5"/>
  <c r="E344" i="5"/>
  <c r="B344" i="5"/>
  <c r="C344" i="5" s="1"/>
  <c r="Z343" i="5"/>
  <c r="AA343" i="5" s="1"/>
  <c r="U343" i="5"/>
  <c r="T343" i="5"/>
  <c r="Q343" i="5"/>
  <c r="W343" i="5" s="1"/>
  <c r="L343" i="5"/>
  <c r="K343" i="5"/>
  <c r="H343" i="5"/>
  <c r="I343" i="5" s="1"/>
  <c r="F343" i="5"/>
  <c r="E343" i="5"/>
  <c r="B343" i="5"/>
  <c r="C343" i="5" s="1"/>
  <c r="AA342" i="5"/>
  <c r="Z342" i="5"/>
  <c r="W342" i="5"/>
  <c r="T342" i="5"/>
  <c r="U342" i="5" s="1"/>
  <c r="R342" i="5"/>
  <c r="Q342" i="5"/>
  <c r="L342" i="5"/>
  <c r="K342" i="5"/>
  <c r="N342" i="5" s="1"/>
  <c r="O342" i="5" s="1"/>
  <c r="H342" i="5"/>
  <c r="I342" i="5" s="1"/>
  <c r="F342" i="5"/>
  <c r="E342" i="5"/>
  <c r="C342" i="5"/>
  <c r="B342" i="5"/>
  <c r="AC341" i="5"/>
  <c r="AD341" i="5" s="1"/>
  <c r="AA341" i="5"/>
  <c r="W341" i="5"/>
  <c r="U341" i="5"/>
  <c r="R341" i="5"/>
  <c r="N341" i="5"/>
  <c r="O341" i="5" s="1"/>
  <c r="L341" i="5"/>
  <c r="H341" i="5"/>
  <c r="I341" i="5" s="1"/>
  <c r="F341" i="5"/>
  <c r="C341" i="5"/>
  <c r="AC340" i="5"/>
  <c r="AA340" i="5"/>
  <c r="W340" i="5"/>
  <c r="U340" i="5"/>
  <c r="R340" i="5"/>
  <c r="N340" i="5"/>
  <c r="O340" i="5" s="1"/>
  <c r="L340" i="5"/>
  <c r="I340" i="5"/>
  <c r="H340" i="5"/>
  <c r="F340" i="5"/>
  <c r="C340" i="5"/>
  <c r="AD339" i="5"/>
  <c r="AC339" i="5"/>
  <c r="AA339" i="5"/>
  <c r="W339" i="5"/>
  <c r="U339" i="5"/>
  <c r="R339" i="5"/>
  <c r="N339" i="5"/>
  <c r="O339" i="5" s="1"/>
  <c r="L339" i="5"/>
  <c r="I339" i="5"/>
  <c r="H339" i="5"/>
  <c r="F339" i="5"/>
  <c r="C339" i="5"/>
  <c r="AC338" i="5"/>
  <c r="AA338" i="5"/>
  <c r="W338" i="5"/>
  <c r="X338" i="5" s="1"/>
  <c r="U338" i="5"/>
  <c r="R338" i="5"/>
  <c r="O338" i="5"/>
  <c r="N338" i="5"/>
  <c r="L338" i="5"/>
  <c r="I338" i="5"/>
  <c r="H338" i="5"/>
  <c r="F338" i="5"/>
  <c r="C338" i="5"/>
  <c r="AC337" i="5"/>
  <c r="AA337" i="5"/>
  <c r="W337" i="5"/>
  <c r="U337" i="5"/>
  <c r="R337" i="5"/>
  <c r="O337" i="5"/>
  <c r="N337" i="5"/>
  <c r="L337" i="5"/>
  <c r="H337" i="5"/>
  <c r="I337" i="5" s="1"/>
  <c r="F337" i="5"/>
  <c r="C337" i="5"/>
  <c r="AC335" i="5"/>
  <c r="AD335" i="5" s="1"/>
  <c r="AA335" i="5"/>
  <c r="W335" i="5"/>
  <c r="U335" i="5"/>
  <c r="R335" i="5"/>
  <c r="N335" i="5"/>
  <c r="O335" i="5" s="1"/>
  <c r="L335" i="5"/>
  <c r="H335" i="5"/>
  <c r="I335" i="5" s="1"/>
  <c r="F335" i="5"/>
  <c r="C335" i="5"/>
  <c r="AC334" i="5"/>
  <c r="AA334" i="5"/>
  <c r="X334" i="5"/>
  <c r="W334" i="5"/>
  <c r="U334" i="5"/>
  <c r="R334" i="5"/>
  <c r="N334" i="5"/>
  <c r="O334" i="5" s="1"/>
  <c r="L334" i="5"/>
  <c r="H334" i="5"/>
  <c r="I334" i="5" s="1"/>
  <c r="F334" i="5"/>
  <c r="C334" i="5"/>
  <c r="AC333" i="5"/>
  <c r="AA333" i="5"/>
  <c r="W333" i="5"/>
  <c r="U333" i="5"/>
  <c r="R333" i="5"/>
  <c r="O333" i="5"/>
  <c r="N333" i="5"/>
  <c r="L333" i="5"/>
  <c r="I333" i="5"/>
  <c r="H333" i="5"/>
  <c r="F333" i="5"/>
  <c r="C333" i="5"/>
  <c r="AC332" i="5"/>
  <c r="AD332" i="5" s="1"/>
  <c r="AA332" i="5"/>
  <c r="W332" i="5"/>
  <c r="U332" i="5"/>
  <c r="R332" i="5"/>
  <c r="N332" i="5"/>
  <c r="O332" i="5" s="1"/>
  <c r="L332" i="5"/>
  <c r="H332" i="5"/>
  <c r="I332" i="5" s="1"/>
  <c r="F332" i="5"/>
  <c r="C332" i="5"/>
  <c r="AC331" i="5"/>
  <c r="AA331" i="5"/>
  <c r="W331" i="5"/>
  <c r="U331" i="5"/>
  <c r="R331" i="5"/>
  <c r="N331" i="5"/>
  <c r="O331" i="5" s="1"/>
  <c r="L331" i="5"/>
  <c r="I331" i="5"/>
  <c r="H331" i="5"/>
  <c r="F331" i="5"/>
  <c r="C331" i="5"/>
  <c r="AD330" i="5"/>
  <c r="AC330" i="5"/>
  <c r="AA330" i="5"/>
  <c r="W330" i="5"/>
  <c r="U330" i="5"/>
  <c r="R330" i="5"/>
  <c r="N330" i="5"/>
  <c r="O330" i="5" s="1"/>
  <c r="L330" i="5"/>
  <c r="I330" i="5"/>
  <c r="H330" i="5"/>
  <c r="F330" i="5"/>
  <c r="C330" i="5"/>
  <c r="AC329" i="5"/>
  <c r="AA329" i="5"/>
  <c r="W329" i="5"/>
  <c r="X329" i="5" s="1"/>
  <c r="U329" i="5"/>
  <c r="R329" i="5"/>
  <c r="O329" i="5"/>
  <c r="N329" i="5"/>
  <c r="L329" i="5"/>
  <c r="I329" i="5"/>
  <c r="H329" i="5"/>
  <c r="F329" i="5"/>
  <c r="C329" i="5"/>
  <c r="AC328" i="5"/>
  <c r="AA328" i="5"/>
  <c r="W328" i="5"/>
  <c r="U328" i="5"/>
  <c r="R328" i="5"/>
  <c r="O328" i="5"/>
  <c r="N328" i="5"/>
  <c r="L328" i="5"/>
  <c r="H328" i="5"/>
  <c r="I328" i="5" s="1"/>
  <c r="F328" i="5"/>
  <c r="C328" i="5"/>
  <c r="AC325" i="5"/>
  <c r="AD325" i="5" s="1"/>
  <c r="AA325" i="5"/>
  <c r="Z325" i="5"/>
  <c r="U325" i="5"/>
  <c r="T325" i="5"/>
  <c r="R325" i="5"/>
  <c r="Q325" i="5"/>
  <c r="W325" i="5" s="1"/>
  <c r="K325" i="5"/>
  <c r="L325" i="5" s="1"/>
  <c r="F325" i="5"/>
  <c r="E325" i="5"/>
  <c r="B325" i="5"/>
  <c r="H325" i="5" s="1"/>
  <c r="I325" i="5" s="1"/>
  <c r="AA324" i="5"/>
  <c r="Z324" i="5"/>
  <c r="T324" i="5"/>
  <c r="U324" i="5" s="1"/>
  <c r="Q324" i="5"/>
  <c r="AC324" i="5" s="1"/>
  <c r="AD324" i="5" s="1"/>
  <c r="O324" i="5"/>
  <c r="L324" i="5"/>
  <c r="K324" i="5"/>
  <c r="H324" i="5"/>
  <c r="I324" i="5" s="1"/>
  <c r="E324" i="5"/>
  <c r="F324" i="5" s="1"/>
  <c r="C324" i="5"/>
  <c r="B324" i="5"/>
  <c r="N324" i="5" s="1"/>
  <c r="AD323" i="5"/>
  <c r="AC323" i="5"/>
  <c r="AA323" i="5"/>
  <c r="W323" i="5"/>
  <c r="U323" i="5"/>
  <c r="R323" i="5"/>
  <c r="N323" i="5"/>
  <c r="O323" i="5" s="1"/>
  <c r="L323" i="5"/>
  <c r="I323" i="5"/>
  <c r="H323" i="5"/>
  <c r="F323" i="5"/>
  <c r="C323" i="5"/>
  <c r="AC322" i="5"/>
  <c r="AA322" i="5"/>
  <c r="W322" i="5"/>
  <c r="U322" i="5"/>
  <c r="R322" i="5"/>
  <c r="O322" i="5"/>
  <c r="N322" i="5"/>
  <c r="L322" i="5"/>
  <c r="H322" i="5"/>
  <c r="I322" i="5" s="1"/>
  <c r="F322" i="5"/>
  <c r="C322" i="5"/>
  <c r="AC321" i="5"/>
  <c r="AA321" i="5"/>
  <c r="W321" i="5"/>
  <c r="U321" i="5"/>
  <c r="R321" i="5"/>
  <c r="O321" i="5"/>
  <c r="N321" i="5"/>
  <c r="L321" i="5"/>
  <c r="I321" i="5"/>
  <c r="H321" i="5"/>
  <c r="F321" i="5"/>
  <c r="C321" i="5"/>
  <c r="AC320" i="5"/>
  <c r="AD320" i="5" s="1"/>
  <c r="AA320" i="5"/>
  <c r="W320" i="5"/>
  <c r="U320" i="5"/>
  <c r="R320" i="5"/>
  <c r="O320" i="5"/>
  <c r="N320" i="5"/>
  <c r="L320" i="5"/>
  <c r="H320" i="5"/>
  <c r="I320" i="5" s="1"/>
  <c r="F320" i="5"/>
  <c r="C320" i="5"/>
  <c r="AC319" i="5"/>
  <c r="AA319" i="5"/>
  <c r="X319" i="5"/>
  <c r="W319" i="5"/>
  <c r="U319" i="5"/>
  <c r="R319" i="5"/>
  <c r="N319" i="5"/>
  <c r="O319" i="5" s="1"/>
  <c r="L319" i="5"/>
  <c r="H319" i="5"/>
  <c r="I319" i="5" s="1"/>
  <c r="F319" i="5"/>
  <c r="C319" i="5"/>
  <c r="AC318" i="5"/>
  <c r="AA318" i="5"/>
  <c r="W318" i="5"/>
  <c r="U318" i="5"/>
  <c r="R318" i="5"/>
  <c r="N318" i="5"/>
  <c r="O318" i="5" s="1"/>
  <c r="L318" i="5"/>
  <c r="H318" i="5"/>
  <c r="I318" i="5" s="1"/>
  <c r="F318" i="5"/>
  <c r="C318" i="5"/>
  <c r="AC317" i="5"/>
  <c r="AD317" i="5" s="1"/>
  <c r="AA317" i="5"/>
  <c r="W317" i="5"/>
  <c r="X317" i="5" s="1"/>
  <c r="U317" i="5"/>
  <c r="R317" i="5"/>
  <c r="O317" i="5"/>
  <c r="N317" i="5"/>
  <c r="L317" i="5"/>
  <c r="I317" i="5"/>
  <c r="H317" i="5"/>
  <c r="F317" i="5"/>
  <c r="C317" i="5"/>
  <c r="AC316" i="5"/>
  <c r="AA316" i="5"/>
  <c r="W316" i="5"/>
  <c r="U316" i="5"/>
  <c r="R316" i="5"/>
  <c r="O316" i="5"/>
  <c r="N316" i="5"/>
  <c r="L316" i="5"/>
  <c r="H316" i="5"/>
  <c r="I316" i="5" s="1"/>
  <c r="F316" i="5"/>
  <c r="C316" i="5"/>
  <c r="AD315" i="5"/>
  <c r="AC315" i="5"/>
  <c r="AA315" i="5"/>
  <c r="W315" i="5"/>
  <c r="U315" i="5"/>
  <c r="R315" i="5"/>
  <c r="N315" i="5"/>
  <c r="O315" i="5" s="1"/>
  <c r="L315" i="5"/>
  <c r="I315" i="5"/>
  <c r="H315" i="5"/>
  <c r="F315" i="5"/>
  <c r="C315" i="5"/>
  <c r="AC314" i="5"/>
  <c r="AA314" i="5"/>
  <c r="W314" i="5"/>
  <c r="U314" i="5"/>
  <c r="R314" i="5"/>
  <c r="O314" i="5"/>
  <c r="N314" i="5"/>
  <c r="L314" i="5"/>
  <c r="H314" i="5"/>
  <c r="I314" i="5" s="1"/>
  <c r="F314" i="5"/>
  <c r="C314" i="5"/>
  <c r="AC313" i="5"/>
  <c r="AA313" i="5"/>
  <c r="W313" i="5"/>
  <c r="U313" i="5"/>
  <c r="R313" i="5"/>
  <c r="O313" i="5"/>
  <c r="N313" i="5"/>
  <c r="L313" i="5"/>
  <c r="I313" i="5"/>
  <c r="H313" i="5"/>
  <c r="F313" i="5"/>
  <c r="C313" i="5"/>
  <c r="AC312" i="5"/>
  <c r="AD312" i="5" s="1"/>
  <c r="AA312" i="5"/>
  <c r="W312" i="5"/>
  <c r="U312" i="5"/>
  <c r="R312" i="5"/>
  <c r="O312" i="5"/>
  <c r="N312" i="5"/>
  <c r="L312" i="5"/>
  <c r="H312" i="5"/>
  <c r="I312" i="5" s="1"/>
  <c r="F312" i="5"/>
  <c r="C312" i="5"/>
  <c r="AC311" i="5"/>
  <c r="AA311" i="5"/>
  <c r="X311" i="5"/>
  <c r="W311" i="5"/>
  <c r="U311" i="5"/>
  <c r="R311" i="5"/>
  <c r="N311" i="5"/>
  <c r="O311" i="5" s="1"/>
  <c r="L311" i="5"/>
  <c r="H311" i="5"/>
  <c r="I311" i="5" s="1"/>
  <c r="F311" i="5"/>
  <c r="C311" i="5"/>
  <c r="AC310" i="5"/>
  <c r="AA310" i="5"/>
  <c r="W310" i="5"/>
  <c r="U310" i="5"/>
  <c r="R310" i="5"/>
  <c r="N310" i="5"/>
  <c r="O310" i="5" s="1"/>
  <c r="L310" i="5"/>
  <c r="H310" i="5"/>
  <c r="I310" i="5" s="1"/>
  <c r="F310" i="5"/>
  <c r="C310" i="5"/>
  <c r="AC309" i="5"/>
  <c r="AD309" i="5" s="1"/>
  <c r="AA309" i="5"/>
  <c r="W309" i="5"/>
  <c r="X309" i="5" s="1"/>
  <c r="U309" i="5"/>
  <c r="R309" i="5"/>
  <c r="O309" i="5"/>
  <c r="N309" i="5"/>
  <c r="L309" i="5"/>
  <c r="I309" i="5"/>
  <c r="H309" i="5"/>
  <c r="F309" i="5"/>
  <c r="C309" i="5"/>
  <c r="AC308" i="5"/>
  <c r="AA308" i="5"/>
  <c r="W308" i="5"/>
  <c r="U308" i="5"/>
  <c r="R308" i="5"/>
  <c r="O308" i="5"/>
  <c r="N308" i="5"/>
  <c r="L308" i="5"/>
  <c r="H308" i="5"/>
  <c r="I308" i="5" s="1"/>
  <c r="F308" i="5"/>
  <c r="C308" i="5"/>
  <c r="AD307" i="5"/>
  <c r="AC307" i="5"/>
  <c r="AA307" i="5"/>
  <c r="W307" i="5"/>
  <c r="U307" i="5"/>
  <c r="R307" i="5"/>
  <c r="N307" i="5"/>
  <c r="O307" i="5" s="1"/>
  <c r="L307" i="5"/>
  <c r="I307" i="5"/>
  <c r="H307" i="5"/>
  <c r="F307" i="5"/>
  <c r="C307" i="5"/>
  <c r="AC306" i="5"/>
  <c r="AA306" i="5"/>
  <c r="W306" i="5"/>
  <c r="U306" i="5"/>
  <c r="R306" i="5"/>
  <c r="O306" i="5"/>
  <c r="N306" i="5"/>
  <c r="L306" i="5"/>
  <c r="H306" i="5"/>
  <c r="I306" i="5" s="1"/>
  <c r="F306" i="5"/>
  <c r="C306" i="5"/>
  <c r="AC305" i="5"/>
  <c r="AA305" i="5"/>
  <c r="W305" i="5"/>
  <c r="U305" i="5"/>
  <c r="R305" i="5"/>
  <c r="O305" i="5"/>
  <c r="N305" i="5"/>
  <c r="L305" i="5"/>
  <c r="I305" i="5"/>
  <c r="H305" i="5"/>
  <c r="F305" i="5"/>
  <c r="C305" i="5"/>
  <c r="AC304" i="5"/>
  <c r="AD304" i="5" s="1"/>
  <c r="AA304" i="5"/>
  <c r="W304" i="5"/>
  <c r="U304" i="5"/>
  <c r="R304" i="5"/>
  <c r="O304" i="5"/>
  <c r="N304" i="5"/>
  <c r="L304" i="5"/>
  <c r="H304" i="5"/>
  <c r="I304" i="5" s="1"/>
  <c r="F304" i="5"/>
  <c r="C304" i="5"/>
  <c r="AC303" i="5"/>
  <c r="AA303" i="5"/>
  <c r="X303" i="5"/>
  <c r="W303" i="5"/>
  <c r="U303" i="5"/>
  <c r="R303" i="5"/>
  <c r="N303" i="5"/>
  <c r="O303" i="5" s="1"/>
  <c r="L303" i="5"/>
  <c r="H303" i="5"/>
  <c r="I303" i="5" s="1"/>
  <c r="F303" i="5"/>
  <c r="C303" i="5"/>
  <c r="AC302" i="5"/>
  <c r="AA302" i="5"/>
  <c r="W302" i="5"/>
  <c r="U302" i="5"/>
  <c r="R302" i="5"/>
  <c r="N302" i="5"/>
  <c r="O302" i="5" s="1"/>
  <c r="L302" i="5"/>
  <c r="H302" i="5"/>
  <c r="I302" i="5" s="1"/>
  <c r="F302" i="5"/>
  <c r="C302" i="5"/>
  <c r="AC301" i="5"/>
  <c r="AD301" i="5" s="1"/>
  <c r="AA301" i="5"/>
  <c r="W301" i="5"/>
  <c r="X301" i="5" s="1"/>
  <c r="U301" i="5"/>
  <c r="R301" i="5"/>
  <c r="O301" i="5"/>
  <c r="N301" i="5"/>
  <c r="L301" i="5"/>
  <c r="I301" i="5"/>
  <c r="H301" i="5"/>
  <c r="F301" i="5"/>
  <c r="C301" i="5"/>
  <c r="AC300" i="5"/>
  <c r="AA300" i="5"/>
  <c r="W300" i="5"/>
  <c r="U300" i="5"/>
  <c r="R300" i="5"/>
  <c r="O300" i="5"/>
  <c r="N300" i="5"/>
  <c r="L300" i="5"/>
  <c r="H300" i="5"/>
  <c r="I300" i="5" s="1"/>
  <c r="F300" i="5"/>
  <c r="C300" i="5"/>
  <c r="AD299" i="5"/>
  <c r="AC299" i="5"/>
  <c r="AA299" i="5"/>
  <c r="W299" i="5"/>
  <c r="U299" i="5"/>
  <c r="R299" i="5"/>
  <c r="N299" i="5"/>
  <c r="O299" i="5" s="1"/>
  <c r="L299" i="5"/>
  <c r="I299" i="5"/>
  <c r="H299" i="5"/>
  <c r="F299" i="5"/>
  <c r="C299" i="5"/>
  <c r="AC298" i="5"/>
  <c r="AA298" i="5"/>
  <c r="W298" i="5"/>
  <c r="U298" i="5"/>
  <c r="R298" i="5"/>
  <c r="O298" i="5"/>
  <c r="N298" i="5"/>
  <c r="L298" i="5"/>
  <c r="H298" i="5"/>
  <c r="I298" i="5" s="1"/>
  <c r="F298" i="5"/>
  <c r="C298" i="5"/>
  <c r="AC297" i="5"/>
  <c r="AA297" i="5"/>
  <c r="W297" i="5"/>
  <c r="U297" i="5"/>
  <c r="R297" i="5"/>
  <c r="O297" i="5"/>
  <c r="N297" i="5"/>
  <c r="L297" i="5"/>
  <c r="I297" i="5"/>
  <c r="H297" i="5"/>
  <c r="F297" i="5"/>
  <c r="C297" i="5"/>
  <c r="Z295" i="5"/>
  <c r="AA295" i="5" s="1"/>
  <c r="T295" i="5"/>
  <c r="U295" i="5" s="1"/>
  <c r="Q295" i="5"/>
  <c r="N295" i="5"/>
  <c r="O295" i="5" s="1"/>
  <c r="L295" i="5"/>
  <c r="K295" i="5"/>
  <c r="F295" i="5"/>
  <c r="E295" i="5"/>
  <c r="B295" i="5"/>
  <c r="AD294" i="5"/>
  <c r="AC294" i="5"/>
  <c r="AA294" i="5"/>
  <c r="W294" i="5"/>
  <c r="U294" i="5"/>
  <c r="R294" i="5"/>
  <c r="O294" i="5"/>
  <c r="N294" i="5"/>
  <c r="L294" i="5"/>
  <c r="I294" i="5"/>
  <c r="H294" i="5"/>
  <c r="F294" i="5"/>
  <c r="C294" i="5"/>
  <c r="AC293" i="5"/>
  <c r="AA293" i="5"/>
  <c r="W293" i="5"/>
  <c r="U293" i="5"/>
  <c r="R293" i="5"/>
  <c r="O293" i="5"/>
  <c r="N293" i="5"/>
  <c r="L293" i="5"/>
  <c r="I293" i="5"/>
  <c r="H293" i="5"/>
  <c r="F293" i="5"/>
  <c r="C293" i="5"/>
  <c r="AD292" i="5"/>
  <c r="AC292" i="5"/>
  <c r="AA292" i="5"/>
  <c r="W292" i="5"/>
  <c r="U292" i="5"/>
  <c r="R292" i="5"/>
  <c r="N292" i="5"/>
  <c r="O292" i="5" s="1"/>
  <c r="L292" i="5"/>
  <c r="H292" i="5"/>
  <c r="I292" i="5" s="1"/>
  <c r="F292" i="5"/>
  <c r="C292" i="5"/>
  <c r="AC291" i="5"/>
  <c r="AD291" i="5" s="1"/>
  <c r="AA291" i="5"/>
  <c r="X291" i="5"/>
  <c r="W291" i="5"/>
  <c r="U291" i="5"/>
  <c r="R291" i="5"/>
  <c r="N291" i="5"/>
  <c r="O291" i="5" s="1"/>
  <c r="L291" i="5"/>
  <c r="I291" i="5"/>
  <c r="H291" i="5"/>
  <c r="F291" i="5"/>
  <c r="C291" i="5"/>
  <c r="AC290" i="5"/>
  <c r="AA290" i="5"/>
  <c r="W290" i="5"/>
  <c r="U290" i="5"/>
  <c r="R290" i="5"/>
  <c r="O290" i="5"/>
  <c r="N290" i="5"/>
  <c r="L290" i="5"/>
  <c r="H290" i="5"/>
  <c r="I290" i="5" s="1"/>
  <c r="F290" i="5"/>
  <c r="C290" i="5"/>
  <c r="AC289" i="5"/>
  <c r="AA289" i="5"/>
  <c r="W289" i="5"/>
  <c r="U289" i="5"/>
  <c r="R289" i="5"/>
  <c r="O289" i="5"/>
  <c r="N289" i="5"/>
  <c r="L289" i="5"/>
  <c r="I289" i="5"/>
  <c r="H289" i="5"/>
  <c r="F289" i="5"/>
  <c r="C289" i="5"/>
  <c r="AC288" i="5"/>
  <c r="AD288" i="5" s="1"/>
  <c r="AA288" i="5"/>
  <c r="W288" i="5"/>
  <c r="U288" i="5"/>
  <c r="R288" i="5"/>
  <c r="O288" i="5"/>
  <c r="N288" i="5"/>
  <c r="L288" i="5"/>
  <c r="H288" i="5"/>
  <c r="I288" i="5" s="1"/>
  <c r="F288" i="5"/>
  <c r="C288" i="5"/>
  <c r="AC287" i="5"/>
  <c r="AA287" i="5"/>
  <c r="W287" i="5"/>
  <c r="U287" i="5"/>
  <c r="R287" i="5"/>
  <c r="N287" i="5"/>
  <c r="O287" i="5" s="1"/>
  <c r="L287" i="5"/>
  <c r="H287" i="5"/>
  <c r="I287" i="5" s="1"/>
  <c r="F287" i="5"/>
  <c r="C287" i="5"/>
  <c r="AD286" i="5"/>
  <c r="AC286" i="5"/>
  <c r="AA286" i="5"/>
  <c r="W286" i="5"/>
  <c r="U286" i="5"/>
  <c r="R286" i="5"/>
  <c r="O286" i="5"/>
  <c r="N286" i="5"/>
  <c r="L286" i="5"/>
  <c r="I286" i="5"/>
  <c r="H286" i="5"/>
  <c r="F286" i="5"/>
  <c r="C286" i="5"/>
  <c r="AA284" i="5"/>
  <c r="Z284" i="5"/>
  <c r="W284" i="5"/>
  <c r="X284" i="5" s="1"/>
  <c r="U284" i="5"/>
  <c r="T284" i="5"/>
  <c r="Q284" i="5"/>
  <c r="R284" i="5" s="1"/>
  <c r="L284" i="5"/>
  <c r="K284" i="5"/>
  <c r="I284" i="5"/>
  <c r="H284" i="5"/>
  <c r="E284" i="5"/>
  <c r="F284" i="5" s="1"/>
  <c r="C284" i="5"/>
  <c r="B284" i="5"/>
  <c r="AC283" i="5"/>
  <c r="AD283" i="5" s="1"/>
  <c r="AA283" i="5"/>
  <c r="W283" i="5"/>
  <c r="U283" i="5"/>
  <c r="R283" i="5"/>
  <c r="N283" i="5"/>
  <c r="O283" i="5" s="1"/>
  <c r="L283" i="5"/>
  <c r="I283" i="5"/>
  <c r="H283" i="5"/>
  <c r="F283" i="5"/>
  <c r="C283" i="5"/>
  <c r="AC282" i="5"/>
  <c r="AA282" i="5"/>
  <c r="W282" i="5"/>
  <c r="X282" i="5" s="1"/>
  <c r="U282" i="5"/>
  <c r="R282" i="5"/>
  <c r="O282" i="5"/>
  <c r="N282" i="5"/>
  <c r="L282" i="5"/>
  <c r="I282" i="5"/>
  <c r="H282" i="5"/>
  <c r="F282" i="5"/>
  <c r="C282" i="5"/>
  <c r="AC281" i="5"/>
  <c r="AD281" i="5" s="1"/>
  <c r="AA281" i="5"/>
  <c r="W281" i="5"/>
  <c r="U281" i="5"/>
  <c r="R281" i="5"/>
  <c r="O281" i="5"/>
  <c r="N281" i="5"/>
  <c r="L281" i="5"/>
  <c r="I281" i="5"/>
  <c r="H281" i="5"/>
  <c r="F281" i="5"/>
  <c r="C281" i="5"/>
  <c r="AC280" i="5"/>
  <c r="AA280" i="5"/>
  <c r="W280" i="5"/>
  <c r="X280" i="5" s="1"/>
  <c r="U280" i="5"/>
  <c r="R280" i="5"/>
  <c r="N280" i="5"/>
  <c r="O280" i="5" s="1"/>
  <c r="L280" i="5"/>
  <c r="H280" i="5"/>
  <c r="I280" i="5" s="1"/>
  <c r="F280" i="5"/>
  <c r="C280" i="5"/>
  <c r="AD279" i="5"/>
  <c r="AC279" i="5"/>
  <c r="AA279" i="5"/>
  <c r="W279" i="5"/>
  <c r="U279" i="5"/>
  <c r="R279" i="5"/>
  <c r="N279" i="5"/>
  <c r="O279" i="5" s="1"/>
  <c r="L279" i="5"/>
  <c r="I279" i="5"/>
  <c r="H279" i="5"/>
  <c r="F279" i="5"/>
  <c r="C279" i="5"/>
  <c r="AC278" i="5"/>
  <c r="AA278" i="5"/>
  <c r="X278" i="5"/>
  <c r="W278" i="5"/>
  <c r="U278" i="5"/>
  <c r="R278" i="5"/>
  <c r="N278" i="5"/>
  <c r="O278" i="5" s="1"/>
  <c r="L278" i="5"/>
  <c r="H278" i="5"/>
  <c r="I278" i="5" s="1"/>
  <c r="F278" i="5"/>
  <c r="C278" i="5"/>
  <c r="AC277" i="5"/>
  <c r="AA277" i="5"/>
  <c r="W277" i="5"/>
  <c r="U277" i="5"/>
  <c r="R277" i="5"/>
  <c r="O277" i="5"/>
  <c r="N277" i="5"/>
  <c r="L277" i="5"/>
  <c r="I277" i="5"/>
  <c r="H277" i="5"/>
  <c r="F277" i="5"/>
  <c r="C277" i="5"/>
  <c r="AC276" i="5"/>
  <c r="AD276" i="5" s="1"/>
  <c r="AA276" i="5"/>
  <c r="W276" i="5"/>
  <c r="X276" i="5" s="1"/>
  <c r="U276" i="5"/>
  <c r="R276" i="5"/>
  <c r="N276" i="5"/>
  <c r="O276" i="5" s="1"/>
  <c r="L276" i="5"/>
  <c r="H276" i="5"/>
  <c r="I276" i="5" s="1"/>
  <c r="F276" i="5"/>
  <c r="C276" i="5"/>
  <c r="AC275" i="5"/>
  <c r="AD275" i="5" s="1"/>
  <c r="AA275" i="5"/>
  <c r="W275" i="5"/>
  <c r="U275" i="5"/>
  <c r="R275" i="5"/>
  <c r="N275" i="5"/>
  <c r="O275" i="5" s="1"/>
  <c r="L275" i="5"/>
  <c r="I275" i="5"/>
  <c r="H275" i="5"/>
  <c r="F275" i="5"/>
  <c r="C275" i="5"/>
  <c r="Z273" i="5"/>
  <c r="AA273" i="5" s="1"/>
  <c r="W273" i="5"/>
  <c r="X273" i="5" s="1"/>
  <c r="T273" i="5"/>
  <c r="U273" i="5" s="1"/>
  <c r="R273" i="5"/>
  <c r="Q273" i="5"/>
  <c r="AC273" i="5" s="1"/>
  <c r="AD273" i="5" s="1"/>
  <c r="L273" i="5"/>
  <c r="K273" i="5"/>
  <c r="H273" i="5"/>
  <c r="I273" i="5" s="1"/>
  <c r="F273" i="5"/>
  <c r="E273" i="5"/>
  <c r="C273" i="5"/>
  <c r="B273" i="5"/>
  <c r="N273" i="5" s="1"/>
  <c r="O273" i="5" s="1"/>
  <c r="AC272" i="5"/>
  <c r="AD272" i="5" s="1"/>
  <c r="AA272" i="5"/>
  <c r="W272" i="5"/>
  <c r="X272" i="5" s="1"/>
  <c r="U272" i="5"/>
  <c r="R272" i="5"/>
  <c r="O272" i="5"/>
  <c r="N272" i="5"/>
  <c r="L272" i="5"/>
  <c r="H272" i="5"/>
  <c r="I272" i="5" s="1"/>
  <c r="F272" i="5"/>
  <c r="C272" i="5"/>
  <c r="AC271" i="5"/>
  <c r="AD271" i="5" s="1"/>
  <c r="AA271" i="5"/>
  <c r="W271" i="5"/>
  <c r="U271" i="5"/>
  <c r="R271" i="5"/>
  <c r="N271" i="5"/>
  <c r="O271" i="5" s="1"/>
  <c r="L271" i="5"/>
  <c r="I271" i="5"/>
  <c r="H271" i="5"/>
  <c r="F271" i="5"/>
  <c r="C271" i="5"/>
  <c r="AC270" i="5"/>
  <c r="AA270" i="5"/>
  <c r="W270" i="5"/>
  <c r="X270" i="5" s="1"/>
  <c r="U270" i="5"/>
  <c r="R270" i="5"/>
  <c r="O270" i="5"/>
  <c r="N270" i="5"/>
  <c r="L270" i="5"/>
  <c r="I270" i="5"/>
  <c r="H270" i="5"/>
  <c r="F270" i="5"/>
  <c r="C270" i="5"/>
  <c r="AC269" i="5"/>
  <c r="AA269" i="5"/>
  <c r="W269" i="5"/>
  <c r="U269" i="5"/>
  <c r="R269" i="5"/>
  <c r="O269" i="5"/>
  <c r="N269" i="5"/>
  <c r="L269" i="5"/>
  <c r="I269" i="5"/>
  <c r="H269" i="5"/>
  <c r="F269" i="5"/>
  <c r="C269" i="5"/>
  <c r="Z267" i="5"/>
  <c r="AA267" i="5" s="1"/>
  <c r="T267" i="5"/>
  <c r="U267" i="5" s="1"/>
  <c r="Q267" i="5"/>
  <c r="N267" i="5"/>
  <c r="O267" i="5" s="1"/>
  <c r="L267" i="5"/>
  <c r="K267" i="5"/>
  <c r="F267" i="5"/>
  <c r="E267" i="5"/>
  <c r="B267" i="5"/>
  <c r="AC266" i="5"/>
  <c r="AA266" i="5"/>
  <c r="W266" i="5"/>
  <c r="U266" i="5"/>
  <c r="R266" i="5"/>
  <c r="N266" i="5"/>
  <c r="O266" i="5" s="1"/>
  <c r="L266" i="5"/>
  <c r="I266" i="5"/>
  <c r="H266" i="5"/>
  <c r="F266" i="5"/>
  <c r="C266" i="5"/>
  <c r="AC265" i="5"/>
  <c r="AA265" i="5"/>
  <c r="W265" i="5"/>
  <c r="U265" i="5"/>
  <c r="R265" i="5"/>
  <c r="O265" i="5"/>
  <c r="N265" i="5"/>
  <c r="L265" i="5"/>
  <c r="I265" i="5"/>
  <c r="H265" i="5"/>
  <c r="F265" i="5"/>
  <c r="C265" i="5"/>
  <c r="Z263" i="5"/>
  <c r="AA263" i="5" s="1"/>
  <c r="T263" i="5"/>
  <c r="U263" i="5" s="1"/>
  <c r="R263" i="5"/>
  <c r="Q263" i="5"/>
  <c r="L263" i="5"/>
  <c r="K263" i="5"/>
  <c r="F263" i="5"/>
  <c r="E263" i="5"/>
  <c r="B263" i="5"/>
  <c r="AA262" i="5"/>
  <c r="Z262" i="5"/>
  <c r="T262" i="5"/>
  <c r="R262" i="5"/>
  <c r="Q262" i="5"/>
  <c r="AC262" i="5" s="1"/>
  <c r="AD262" i="5" s="1"/>
  <c r="K262" i="5"/>
  <c r="L262" i="5" s="1"/>
  <c r="F262" i="5"/>
  <c r="E262" i="5"/>
  <c r="B262" i="5"/>
  <c r="AC261" i="5"/>
  <c r="AA261" i="5"/>
  <c r="W261" i="5"/>
  <c r="X261" i="5" s="1"/>
  <c r="U261" i="5"/>
  <c r="R261" i="5"/>
  <c r="O261" i="5"/>
  <c r="N261" i="5"/>
  <c r="L261" i="5"/>
  <c r="H261" i="5"/>
  <c r="I261" i="5" s="1"/>
  <c r="F261" i="5"/>
  <c r="C261" i="5"/>
  <c r="AD260" i="5"/>
  <c r="AC260" i="5"/>
  <c r="AA260" i="5"/>
  <c r="W260" i="5"/>
  <c r="U260" i="5"/>
  <c r="R260" i="5"/>
  <c r="N260" i="5"/>
  <c r="O260" i="5" s="1"/>
  <c r="L260" i="5"/>
  <c r="I260" i="5"/>
  <c r="H260" i="5"/>
  <c r="F260" i="5"/>
  <c r="C260" i="5"/>
  <c r="AC259" i="5"/>
  <c r="AA259" i="5"/>
  <c r="X259" i="5"/>
  <c r="W259" i="5"/>
  <c r="U259" i="5"/>
  <c r="R259" i="5"/>
  <c r="N259" i="5"/>
  <c r="O259" i="5" s="1"/>
  <c r="L259" i="5"/>
  <c r="I259" i="5"/>
  <c r="H259" i="5"/>
  <c r="F259" i="5"/>
  <c r="C259" i="5"/>
  <c r="AC258" i="5"/>
  <c r="AA258" i="5"/>
  <c r="W258" i="5"/>
  <c r="U258" i="5"/>
  <c r="R258" i="5"/>
  <c r="O258" i="5"/>
  <c r="N258" i="5"/>
  <c r="L258" i="5"/>
  <c r="I258" i="5"/>
  <c r="H258" i="5"/>
  <c r="F258" i="5"/>
  <c r="C258" i="5"/>
  <c r="AC257" i="5"/>
  <c r="AA257" i="5"/>
  <c r="X257" i="5"/>
  <c r="W257" i="5"/>
  <c r="U257" i="5"/>
  <c r="R257" i="5"/>
  <c r="N257" i="5"/>
  <c r="O257" i="5" s="1"/>
  <c r="L257" i="5"/>
  <c r="H257" i="5"/>
  <c r="I257" i="5" s="1"/>
  <c r="F257" i="5"/>
  <c r="C257" i="5"/>
  <c r="AC256" i="5"/>
  <c r="AD256" i="5" s="1"/>
  <c r="AA256" i="5"/>
  <c r="W256" i="5"/>
  <c r="U256" i="5"/>
  <c r="R256" i="5"/>
  <c r="N256" i="5"/>
  <c r="O256" i="5" s="1"/>
  <c r="L256" i="5"/>
  <c r="I256" i="5"/>
  <c r="H256" i="5"/>
  <c r="F256" i="5"/>
  <c r="C256" i="5"/>
  <c r="AC255" i="5"/>
  <c r="AA255" i="5"/>
  <c r="W255" i="5"/>
  <c r="X255" i="5" s="1"/>
  <c r="U255" i="5"/>
  <c r="R255" i="5"/>
  <c r="O255" i="5"/>
  <c r="N255" i="5"/>
  <c r="L255" i="5"/>
  <c r="I255" i="5"/>
  <c r="H255" i="5"/>
  <c r="F255" i="5"/>
  <c r="C255" i="5"/>
  <c r="AC254" i="5"/>
  <c r="AD254" i="5" s="1"/>
  <c r="AA254" i="5"/>
  <c r="W254" i="5"/>
  <c r="U254" i="5"/>
  <c r="R254" i="5"/>
  <c r="O254" i="5"/>
  <c r="N254" i="5"/>
  <c r="L254" i="5"/>
  <c r="I254" i="5"/>
  <c r="H254" i="5"/>
  <c r="F254" i="5"/>
  <c r="C254" i="5"/>
  <c r="AC253" i="5"/>
  <c r="AA253" i="5"/>
  <c r="W253" i="5"/>
  <c r="X253" i="5" s="1"/>
  <c r="U253" i="5"/>
  <c r="R253" i="5"/>
  <c r="O253" i="5"/>
  <c r="N253" i="5"/>
  <c r="L253" i="5"/>
  <c r="H253" i="5"/>
  <c r="I253" i="5" s="1"/>
  <c r="F253" i="5"/>
  <c r="C253" i="5"/>
  <c r="AC252" i="5"/>
  <c r="AD252" i="5" s="1"/>
  <c r="AA252" i="5"/>
  <c r="W252" i="5"/>
  <c r="U252" i="5"/>
  <c r="R252" i="5"/>
  <c r="N252" i="5"/>
  <c r="O252" i="5" s="1"/>
  <c r="L252" i="5"/>
  <c r="H252" i="5"/>
  <c r="I252" i="5" s="1"/>
  <c r="F252" i="5"/>
  <c r="C252" i="5"/>
  <c r="AC251" i="5"/>
  <c r="AA251" i="5"/>
  <c r="W251" i="5"/>
  <c r="X251" i="5" s="1"/>
  <c r="U251" i="5"/>
  <c r="R251" i="5"/>
  <c r="N251" i="5"/>
  <c r="O251" i="5" s="1"/>
  <c r="L251" i="5"/>
  <c r="I251" i="5"/>
  <c r="H251" i="5"/>
  <c r="F251" i="5"/>
  <c r="C251" i="5"/>
  <c r="AC250" i="5"/>
  <c r="AA250" i="5"/>
  <c r="W250" i="5"/>
  <c r="U250" i="5"/>
  <c r="R250" i="5"/>
  <c r="O250" i="5"/>
  <c r="N250" i="5"/>
  <c r="L250" i="5"/>
  <c r="I250" i="5"/>
  <c r="H250" i="5"/>
  <c r="F250" i="5"/>
  <c r="C250" i="5"/>
  <c r="AC249" i="5"/>
  <c r="AA249" i="5"/>
  <c r="X249" i="5"/>
  <c r="W249" i="5"/>
  <c r="U249" i="5"/>
  <c r="R249" i="5"/>
  <c r="N249" i="5"/>
  <c r="O249" i="5" s="1"/>
  <c r="L249" i="5"/>
  <c r="H249" i="5"/>
  <c r="I249" i="5" s="1"/>
  <c r="F249" i="5"/>
  <c r="C249" i="5"/>
  <c r="AC248" i="5"/>
  <c r="AD248" i="5" s="1"/>
  <c r="AA248" i="5"/>
  <c r="W248" i="5"/>
  <c r="U248" i="5"/>
  <c r="R248" i="5"/>
  <c r="N248" i="5"/>
  <c r="O248" i="5" s="1"/>
  <c r="L248" i="5"/>
  <c r="I248" i="5"/>
  <c r="H248" i="5"/>
  <c r="F248" i="5"/>
  <c r="C248" i="5"/>
  <c r="AC247" i="5"/>
  <c r="AA247" i="5"/>
  <c r="W247" i="5"/>
  <c r="X247" i="5" s="1"/>
  <c r="U247" i="5"/>
  <c r="R247" i="5"/>
  <c r="O247" i="5"/>
  <c r="N247" i="5"/>
  <c r="L247" i="5"/>
  <c r="I247" i="5"/>
  <c r="H247" i="5"/>
  <c r="F247" i="5"/>
  <c r="C247" i="5"/>
  <c r="AC246" i="5"/>
  <c r="AD246" i="5" s="1"/>
  <c r="AA246" i="5"/>
  <c r="W246" i="5"/>
  <c r="U246" i="5"/>
  <c r="R246" i="5"/>
  <c r="O246" i="5"/>
  <c r="N246" i="5"/>
  <c r="L246" i="5"/>
  <c r="I246" i="5"/>
  <c r="H246" i="5"/>
  <c r="F246" i="5"/>
  <c r="C246" i="5"/>
  <c r="AC245" i="5"/>
  <c r="AA245" i="5"/>
  <c r="W245" i="5"/>
  <c r="X245" i="5" s="1"/>
  <c r="U245" i="5"/>
  <c r="R245" i="5"/>
  <c r="O245" i="5"/>
  <c r="N245" i="5"/>
  <c r="L245" i="5"/>
  <c r="H245" i="5"/>
  <c r="I245" i="5" s="1"/>
  <c r="F245" i="5"/>
  <c r="C245" i="5"/>
  <c r="AC244" i="5"/>
  <c r="AD244" i="5" s="1"/>
  <c r="AA244" i="5"/>
  <c r="W244" i="5"/>
  <c r="U244" i="5"/>
  <c r="R244" i="5"/>
  <c r="N244" i="5"/>
  <c r="O244" i="5" s="1"/>
  <c r="L244" i="5"/>
  <c r="H244" i="5"/>
  <c r="I244" i="5" s="1"/>
  <c r="F244" i="5"/>
  <c r="C244" i="5"/>
  <c r="AC243" i="5"/>
  <c r="AA243" i="5"/>
  <c r="W243" i="5"/>
  <c r="X243" i="5" s="1"/>
  <c r="U243" i="5"/>
  <c r="R243" i="5"/>
  <c r="N243" i="5"/>
  <c r="O243" i="5" s="1"/>
  <c r="L243" i="5"/>
  <c r="I243" i="5"/>
  <c r="H243" i="5"/>
  <c r="F243" i="5"/>
  <c r="C243" i="5"/>
  <c r="AC242" i="5"/>
  <c r="AA242" i="5"/>
  <c r="W242" i="5"/>
  <c r="U242" i="5"/>
  <c r="R242" i="5"/>
  <c r="O242" i="5"/>
  <c r="N242" i="5"/>
  <c r="L242" i="5"/>
  <c r="I242" i="5"/>
  <c r="H242" i="5"/>
  <c r="F242" i="5"/>
  <c r="C242" i="5"/>
  <c r="AC241" i="5"/>
  <c r="AA241" i="5"/>
  <c r="X241" i="5"/>
  <c r="W241" i="5"/>
  <c r="U241" i="5"/>
  <c r="R241" i="5"/>
  <c r="N241" i="5"/>
  <c r="O241" i="5" s="1"/>
  <c r="L241" i="5"/>
  <c r="H241" i="5"/>
  <c r="I241" i="5" s="1"/>
  <c r="F241" i="5"/>
  <c r="C241" i="5"/>
  <c r="AC240" i="5"/>
  <c r="AD240" i="5" s="1"/>
  <c r="AA240" i="5"/>
  <c r="W240" i="5"/>
  <c r="U240" i="5"/>
  <c r="R240" i="5"/>
  <c r="N240" i="5"/>
  <c r="O240" i="5" s="1"/>
  <c r="L240" i="5"/>
  <c r="I240" i="5"/>
  <c r="H240" i="5"/>
  <c r="F240" i="5"/>
  <c r="C240" i="5"/>
  <c r="AC238" i="5"/>
  <c r="AA238" i="5"/>
  <c r="W238" i="5"/>
  <c r="X238" i="5" s="1"/>
  <c r="U238" i="5"/>
  <c r="R238" i="5"/>
  <c r="O238" i="5"/>
  <c r="N238" i="5"/>
  <c r="L238" i="5"/>
  <c r="I238" i="5"/>
  <c r="H238" i="5"/>
  <c r="F238" i="5"/>
  <c r="C238" i="5"/>
  <c r="AC236" i="5"/>
  <c r="AD236" i="5" s="1"/>
  <c r="AA236" i="5"/>
  <c r="Z236" i="5"/>
  <c r="T236" i="5"/>
  <c r="U236" i="5" s="1"/>
  <c r="Q236" i="5"/>
  <c r="R236" i="5" s="1"/>
  <c r="K236" i="5"/>
  <c r="L236" i="5" s="1"/>
  <c r="I236" i="5"/>
  <c r="H236" i="5"/>
  <c r="E236" i="5"/>
  <c r="F236" i="5" s="1"/>
  <c r="C236" i="5"/>
  <c r="B236" i="5"/>
  <c r="AD235" i="5"/>
  <c r="AC235" i="5"/>
  <c r="AA235" i="5"/>
  <c r="W235" i="5"/>
  <c r="U235" i="5"/>
  <c r="R235" i="5"/>
  <c r="N235" i="5"/>
  <c r="O235" i="5" s="1"/>
  <c r="L235" i="5"/>
  <c r="I235" i="5"/>
  <c r="H235" i="5"/>
  <c r="F235" i="5"/>
  <c r="C235" i="5"/>
  <c r="AC234" i="5"/>
  <c r="AA234" i="5"/>
  <c r="W234" i="5"/>
  <c r="X234" i="5" s="1"/>
  <c r="U234" i="5"/>
  <c r="R234" i="5"/>
  <c r="O234" i="5"/>
  <c r="N234" i="5"/>
  <c r="L234" i="5"/>
  <c r="H234" i="5"/>
  <c r="I234" i="5" s="1"/>
  <c r="F234" i="5"/>
  <c r="C234" i="5"/>
  <c r="AC233" i="5"/>
  <c r="AD233" i="5" s="1"/>
  <c r="AA233" i="5"/>
  <c r="W233" i="5"/>
  <c r="U233" i="5"/>
  <c r="R233" i="5"/>
  <c r="O233" i="5"/>
  <c r="N233" i="5"/>
  <c r="L233" i="5"/>
  <c r="I233" i="5"/>
  <c r="H233" i="5"/>
  <c r="F233" i="5"/>
  <c r="C233" i="5"/>
  <c r="AC232" i="5"/>
  <c r="AA232" i="5"/>
  <c r="W232" i="5"/>
  <c r="X232" i="5" s="1"/>
  <c r="U232" i="5"/>
  <c r="R232" i="5"/>
  <c r="O232" i="5"/>
  <c r="N232" i="5"/>
  <c r="L232" i="5"/>
  <c r="H232" i="5"/>
  <c r="I232" i="5" s="1"/>
  <c r="F232" i="5"/>
  <c r="C232" i="5"/>
  <c r="AC231" i="5"/>
  <c r="AA231" i="5"/>
  <c r="W231" i="5"/>
  <c r="U231" i="5"/>
  <c r="R231" i="5"/>
  <c r="N231" i="5"/>
  <c r="O231" i="5" s="1"/>
  <c r="L231" i="5"/>
  <c r="H231" i="5"/>
  <c r="I231" i="5" s="1"/>
  <c r="F231" i="5"/>
  <c r="C231" i="5"/>
  <c r="AC230" i="5"/>
  <c r="AA230" i="5"/>
  <c r="W230" i="5"/>
  <c r="U230" i="5"/>
  <c r="R230" i="5"/>
  <c r="N230" i="5"/>
  <c r="O230" i="5" s="1"/>
  <c r="L230" i="5"/>
  <c r="I230" i="5"/>
  <c r="H230" i="5"/>
  <c r="F230" i="5"/>
  <c r="C230" i="5"/>
  <c r="AC229" i="5"/>
  <c r="AA229" i="5"/>
  <c r="W229" i="5"/>
  <c r="X229" i="5" s="1"/>
  <c r="U229" i="5"/>
  <c r="R229" i="5"/>
  <c r="O229" i="5"/>
  <c r="N229" i="5"/>
  <c r="L229" i="5"/>
  <c r="I229" i="5"/>
  <c r="H229" i="5"/>
  <c r="F229" i="5"/>
  <c r="C229" i="5"/>
  <c r="Z227" i="5"/>
  <c r="AA227" i="5" s="1"/>
  <c r="T227" i="5"/>
  <c r="U227" i="5" s="1"/>
  <c r="R227" i="5"/>
  <c r="Q227" i="5"/>
  <c r="N227" i="5"/>
  <c r="O227" i="5" s="1"/>
  <c r="L227" i="5"/>
  <c r="K227" i="5"/>
  <c r="E227" i="5"/>
  <c r="F227" i="5" s="1"/>
  <c r="B227" i="5"/>
  <c r="AD226" i="5"/>
  <c r="AC226" i="5"/>
  <c r="AA226" i="5"/>
  <c r="W226" i="5"/>
  <c r="U226" i="5"/>
  <c r="R226" i="5"/>
  <c r="O226" i="5"/>
  <c r="N226" i="5"/>
  <c r="L226" i="5"/>
  <c r="H226" i="5"/>
  <c r="I226" i="5" s="1"/>
  <c r="F226" i="5"/>
  <c r="C226" i="5"/>
  <c r="AC225" i="5"/>
  <c r="AA225" i="5"/>
  <c r="W225" i="5"/>
  <c r="U225" i="5"/>
  <c r="R225" i="5"/>
  <c r="O225" i="5"/>
  <c r="N225" i="5"/>
  <c r="L225" i="5"/>
  <c r="I225" i="5"/>
  <c r="H225" i="5"/>
  <c r="F225" i="5"/>
  <c r="C225" i="5"/>
  <c r="AC224" i="5"/>
  <c r="AD224" i="5" s="1"/>
  <c r="AA224" i="5"/>
  <c r="W224" i="5"/>
  <c r="X224" i="5" s="1"/>
  <c r="U224" i="5"/>
  <c r="R224" i="5"/>
  <c r="O224" i="5"/>
  <c r="N224" i="5"/>
  <c r="L224" i="5"/>
  <c r="H224" i="5"/>
  <c r="I224" i="5" s="1"/>
  <c r="F224" i="5"/>
  <c r="C224" i="5"/>
  <c r="AC223" i="5"/>
  <c r="AA223" i="5"/>
  <c r="W223" i="5"/>
  <c r="U223" i="5"/>
  <c r="R223" i="5"/>
  <c r="N223" i="5"/>
  <c r="O223" i="5" s="1"/>
  <c r="L223" i="5"/>
  <c r="I223" i="5"/>
  <c r="H223" i="5"/>
  <c r="F223" i="5"/>
  <c r="C223" i="5"/>
  <c r="AC222" i="5"/>
  <c r="AA222" i="5"/>
  <c r="X222" i="5"/>
  <c r="W222" i="5"/>
  <c r="U222" i="5"/>
  <c r="R222" i="5"/>
  <c r="O222" i="5"/>
  <c r="N222" i="5"/>
  <c r="L222" i="5"/>
  <c r="H222" i="5"/>
  <c r="I222" i="5" s="1"/>
  <c r="F222" i="5"/>
  <c r="C222" i="5"/>
  <c r="AC221" i="5"/>
  <c r="AA221" i="5"/>
  <c r="W221" i="5"/>
  <c r="U221" i="5"/>
  <c r="R221" i="5"/>
  <c r="O221" i="5"/>
  <c r="N221" i="5"/>
  <c r="L221" i="5"/>
  <c r="I221" i="5"/>
  <c r="H221" i="5"/>
  <c r="F221" i="5"/>
  <c r="C221" i="5"/>
  <c r="AC220" i="5"/>
  <c r="AD220" i="5" s="1"/>
  <c r="AA220" i="5"/>
  <c r="W220" i="5"/>
  <c r="U220" i="5"/>
  <c r="R220" i="5"/>
  <c r="N220" i="5"/>
  <c r="O220" i="5" s="1"/>
  <c r="L220" i="5"/>
  <c r="H220" i="5"/>
  <c r="I220" i="5" s="1"/>
  <c r="F220" i="5"/>
  <c r="C220" i="5"/>
  <c r="AC219" i="5"/>
  <c r="AA219" i="5"/>
  <c r="W219" i="5"/>
  <c r="U219" i="5"/>
  <c r="R219" i="5"/>
  <c r="N219" i="5"/>
  <c r="O219" i="5" s="1"/>
  <c r="L219" i="5"/>
  <c r="H219" i="5"/>
  <c r="I219" i="5" s="1"/>
  <c r="F219" i="5"/>
  <c r="C219" i="5"/>
  <c r="AD218" i="5"/>
  <c r="AA218" i="5"/>
  <c r="Z218" i="5"/>
  <c r="T218" i="5"/>
  <c r="R218" i="5"/>
  <c r="Q218" i="5"/>
  <c r="AC218" i="5" s="1"/>
  <c r="K218" i="5"/>
  <c r="L218" i="5" s="1"/>
  <c r="F218" i="5"/>
  <c r="E218" i="5"/>
  <c r="C218" i="5"/>
  <c r="B218" i="5"/>
  <c r="AC217" i="5"/>
  <c r="AA217" i="5"/>
  <c r="W217" i="5"/>
  <c r="U217" i="5"/>
  <c r="R217" i="5"/>
  <c r="O217" i="5"/>
  <c r="N217" i="5"/>
  <c r="L217" i="5"/>
  <c r="H217" i="5"/>
  <c r="I217" i="5" s="1"/>
  <c r="F217" i="5"/>
  <c r="C217" i="5"/>
  <c r="AC216" i="5"/>
  <c r="AD216" i="5" s="1"/>
  <c r="AA216" i="5"/>
  <c r="W216" i="5"/>
  <c r="U216" i="5"/>
  <c r="R216" i="5"/>
  <c r="N216" i="5"/>
  <c r="O216" i="5" s="1"/>
  <c r="L216" i="5"/>
  <c r="H216" i="5"/>
  <c r="I216" i="5" s="1"/>
  <c r="F216" i="5"/>
  <c r="C216" i="5"/>
  <c r="AC215" i="5"/>
  <c r="AA215" i="5"/>
  <c r="W215" i="5"/>
  <c r="X215" i="5" s="1"/>
  <c r="U215" i="5"/>
  <c r="R215" i="5"/>
  <c r="N215" i="5"/>
  <c r="O215" i="5" s="1"/>
  <c r="L215" i="5"/>
  <c r="I215" i="5"/>
  <c r="H215" i="5"/>
  <c r="F215" i="5"/>
  <c r="C215" i="5"/>
  <c r="AC214" i="5"/>
  <c r="AA214" i="5"/>
  <c r="W214" i="5"/>
  <c r="U214" i="5"/>
  <c r="R214" i="5"/>
  <c r="O214" i="5"/>
  <c r="N214" i="5"/>
  <c r="L214" i="5"/>
  <c r="I214" i="5"/>
  <c r="H214" i="5"/>
  <c r="F214" i="5"/>
  <c r="C214" i="5"/>
  <c r="AD213" i="5"/>
  <c r="AC213" i="5"/>
  <c r="AA213" i="5"/>
  <c r="W213" i="5"/>
  <c r="U213" i="5"/>
  <c r="R213" i="5"/>
  <c r="N213" i="5"/>
  <c r="O213" i="5" s="1"/>
  <c r="L213" i="5"/>
  <c r="H213" i="5"/>
  <c r="I213" i="5" s="1"/>
  <c r="F213" i="5"/>
  <c r="C213" i="5"/>
  <c r="AC211" i="5"/>
  <c r="AA211" i="5"/>
  <c r="X211" i="5"/>
  <c r="W211" i="5"/>
  <c r="U211" i="5"/>
  <c r="R211" i="5"/>
  <c r="N211" i="5"/>
  <c r="O211" i="5" s="1"/>
  <c r="L211" i="5"/>
  <c r="I211" i="5"/>
  <c r="H211" i="5"/>
  <c r="F211" i="5"/>
  <c r="C211" i="5"/>
  <c r="AD209" i="5"/>
  <c r="AA209" i="5"/>
  <c r="Z209" i="5"/>
  <c r="W209" i="5"/>
  <c r="T209" i="5"/>
  <c r="U209" i="5" s="1"/>
  <c r="R209" i="5"/>
  <c r="Q209" i="5"/>
  <c r="AC209" i="5" s="1"/>
  <c r="N209" i="5"/>
  <c r="O209" i="5" s="1"/>
  <c r="L209" i="5"/>
  <c r="K209" i="5"/>
  <c r="E209" i="5"/>
  <c r="F209" i="5" s="1"/>
  <c r="B209" i="5"/>
  <c r="AD208" i="5"/>
  <c r="AC208" i="5"/>
  <c r="AA208" i="5"/>
  <c r="W208" i="5"/>
  <c r="U208" i="5"/>
  <c r="R208" i="5"/>
  <c r="N208" i="5"/>
  <c r="O208" i="5" s="1"/>
  <c r="L208" i="5"/>
  <c r="H208" i="5"/>
  <c r="I208" i="5" s="1"/>
  <c r="F208" i="5"/>
  <c r="C208" i="5"/>
  <c r="AC207" i="5"/>
  <c r="AD207" i="5" s="1"/>
  <c r="AA207" i="5"/>
  <c r="X207" i="5"/>
  <c r="W207" i="5"/>
  <c r="U207" i="5"/>
  <c r="R207" i="5"/>
  <c r="N207" i="5"/>
  <c r="O207" i="5" s="1"/>
  <c r="L207" i="5"/>
  <c r="I207" i="5"/>
  <c r="H207" i="5"/>
  <c r="F207" i="5"/>
  <c r="C207" i="5"/>
  <c r="AD206" i="5"/>
  <c r="AC206" i="5"/>
  <c r="AA206" i="5"/>
  <c r="W206" i="5"/>
  <c r="X206" i="5" s="1"/>
  <c r="U206" i="5"/>
  <c r="R206" i="5"/>
  <c r="N206" i="5"/>
  <c r="O206" i="5" s="1"/>
  <c r="L206" i="5"/>
  <c r="I206" i="5"/>
  <c r="H206" i="5"/>
  <c r="F206" i="5"/>
  <c r="C206" i="5"/>
  <c r="AC205" i="5"/>
  <c r="AA205" i="5"/>
  <c r="X205" i="5"/>
  <c r="W205" i="5"/>
  <c r="U205" i="5"/>
  <c r="R205" i="5"/>
  <c r="O205" i="5"/>
  <c r="N205" i="5"/>
  <c r="L205" i="5"/>
  <c r="H205" i="5"/>
  <c r="I205" i="5" s="1"/>
  <c r="F205" i="5"/>
  <c r="C205" i="5"/>
  <c r="AD204" i="5"/>
  <c r="AC204" i="5"/>
  <c r="AA204" i="5"/>
  <c r="W204" i="5"/>
  <c r="U204" i="5"/>
  <c r="R204" i="5"/>
  <c r="N204" i="5"/>
  <c r="O204" i="5" s="1"/>
  <c r="L204" i="5"/>
  <c r="I204" i="5"/>
  <c r="H204" i="5"/>
  <c r="F204" i="5"/>
  <c r="C204" i="5"/>
  <c r="AC203" i="5"/>
  <c r="AD203" i="5" s="1"/>
  <c r="AA203" i="5"/>
  <c r="X203" i="5"/>
  <c r="W203" i="5"/>
  <c r="U203" i="5"/>
  <c r="R203" i="5"/>
  <c r="O203" i="5"/>
  <c r="N203" i="5"/>
  <c r="L203" i="5"/>
  <c r="H203" i="5"/>
  <c r="I203" i="5" s="1"/>
  <c r="F203" i="5"/>
  <c r="C203" i="5"/>
  <c r="AC202" i="5"/>
  <c r="AA202" i="5"/>
  <c r="W202" i="5"/>
  <c r="X202" i="5" s="1"/>
  <c r="U202" i="5"/>
  <c r="R202" i="5"/>
  <c r="O202" i="5"/>
  <c r="N202" i="5"/>
  <c r="L202" i="5"/>
  <c r="H202" i="5"/>
  <c r="I202" i="5" s="1"/>
  <c r="F202" i="5"/>
  <c r="C202" i="5"/>
  <c r="AD201" i="5"/>
  <c r="AC201" i="5"/>
  <c r="AA201" i="5"/>
  <c r="W201" i="5"/>
  <c r="U201" i="5"/>
  <c r="R201" i="5"/>
  <c r="N201" i="5"/>
  <c r="O201" i="5" s="1"/>
  <c r="L201" i="5"/>
  <c r="H201" i="5"/>
  <c r="I201" i="5" s="1"/>
  <c r="F201" i="5"/>
  <c r="C201" i="5"/>
  <c r="Z197" i="5"/>
  <c r="AA197" i="5" s="1"/>
  <c r="U197" i="5"/>
  <c r="T197" i="5"/>
  <c r="Q197" i="5"/>
  <c r="N197" i="5"/>
  <c r="O197" i="5" s="1"/>
  <c r="L197" i="5"/>
  <c r="K197" i="5"/>
  <c r="E197" i="5"/>
  <c r="F197" i="5" s="1"/>
  <c r="B197" i="5"/>
  <c r="AD196" i="5"/>
  <c r="AC196" i="5"/>
  <c r="AA196" i="5"/>
  <c r="Z196" i="5"/>
  <c r="T196" i="5"/>
  <c r="U196" i="5" s="1"/>
  <c r="R196" i="5"/>
  <c r="Q196" i="5"/>
  <c r="W196" i="5" s="1"/>
  <c r="X196" i="5" s="1"/>
  <c r="K196" i="5"/>
  <c r="L196" i="5" s="1"/>
  <c r="H196" i="5"/>
  <c r="I196" i="5" s="1"/>
  <c r="F196" i="5"/>
  <c r="E196" i="5"/>
  <c r="C196" i="5"/>
  <c r="B196" i="5"/>
  <c r="AC195" i="5"/>
  <c r="AA195" i="5"/>
  <c r="X195" i="5"/>
  <c r="W195" i="5"/>
  <c r="U195" i="5"/>
  <c r="R195" i="5"/>
  <c r="O195" i="5"/>
  <c r="N195" i="5"/>
  <c r="L195" i="5"/>
  <c r="H195" i="5"/>
  <c r="I195" i="5" s="1"/>
  <c r="F195" i="5"/>
  <c r="C195" i="5"/>
  <c r="AD194" i="5"/>
  <c r="AC194" i="5"/>
  <c r="AA194" i="5"/>
  <c r="W194" i="5"/>
  <c r="U194" i="5"/>
  <c r="R194" i="5"/>
  <c r="O194" i="5"/>
  <c r="N194" i="5"/>
  <c r="L194" i="5"/>
  <c r="H194" i="5"/>
  <c r="I194" i="5" s="1"/>
  <c r="F194" i="5"/>
  <c r="C194" i="5"/>
  <c r="AD193" i="5"/>
  <c r="AC193" i="5"/>
  <c r="AA193" i="5"/>
  <c r="Z193" i="5"/>
  <c r="T193" i="5"/>
  <c r="U193" i="5" s="1"/>
  <c r="R193" i="5"/>
  <c r="Q193" i="5"/>
  <c r="W193" i="5" s="1"/>
  <c r="X193" i="5" s="1"/>
  <c r="K193" i="5"/>
  <c r="L193" i="5" s="1"/>
  <c r="H193" i="5"/>
  <c r="I193" i="5" s="1"/>
  <c r="F193" i="5"/>
  <c r="E193" i="5"/>
  <c r="C193" i="5"/>
  <c r="B193" i="5"/>
  <c r="AC192" i="5"/>
  <c r="AA192" i="5"/>
  <c r="X192" i="5"/>
  <c r="W192" i="5"/>
  <c r="U192" i="5"/>
  <c r="R192" i="5"/>
  <c r="O192" i="5"/>
  <c r="N192" i="5"/>
  <c r="L192" i="5"/>
  <c r="H192" i="5"/>
  <c r="I192" i="5" s="1"/>
  <c r="F192" i="5"/>
  <c r="C192" i="5"/>
  <c r="AD191" i="5"/>
  <c r="AC191" i="5"/>
  <c r="AA191" i="5"/>
  <c r="W191" i="5"/>
  <c r="U191" i="5"/>
  <c r="R191" i="5"/>
  <c r="O191" i="5"/>
  <c r="N191" i="5"/>
  <c r="L191" i="5"/>
  <c r="H191" i="5"/>
  <c r="I191" i="5" s="1"/>
  <c r="F191" i="5"/>
  <c r="C191" i="5"/>
  <c r="AC190" i="5"/>
  <c r="AD190" i="5" s="1"/>
  <c r="AA190" i="5"/>
  <c r="W190" i="5"/>
  <c r="U190" i="5"/>
  <c r="R190" i="5"/>
  <c r="O190" i="5"/>
  <c r="N190" i="5"/>
  <c r="L190" i="5"/>
  <c r="I190" i="5"/>
  <c r="H190" i="5"/>
  <c r="F190" i="5"/>
  <c r="C190" i="5"/>
  <c r="AC189" i="5"/>
  <c r="AA189" i="5"/>
  <c r="W189" i="5"/>
  <c r="X189" i="5" s="1"/>
  <c r="U189" i="5"/>
  <c r="R189" i="5"/>
  <c r="O189" i="5"/>
  <c r="N189" i="5"/>
  <c r="L189" i="5"/>
  <c r="I189" i="5"/>
  <c r="H189" i="5"/>
  <c r="F189" i="5"/>
  <c r="C189" i="5"/>
  <c r="AC188" i="5"/>
  <c r="AD188" i="5" s="1"/>
  <c r="AA188" i="5"/>
  <c r="W188" i="5"/>
  <c r="U188" i="5"/>
  <c r="R188" i="5"/>
  <c r="O188" i="5"/>
  <c r="N188" i="5"/>
  <c r="L188" i="5"/>
  <c r="H188" i="5"/>
  <c r="I188" i="5" s="1"/>
  <c r="F188" i="5"/>
  <c r="C188" i="5"/>
  <c r="AC187" i="5"/>
  <c r="AA187" i="5"/>
  <c r="X187" i="5"/>
  <c r="W187" i="5"/>
  <c r="U187" i="5"/>
  <c r="R187" i="5"/>
  <c r="N187" i="5"/>
  <c r="O187" i="5" s="1"/>
  <c r="L187" i="5"/>
  <c r="H187" i="5"/>
  <c r="I187" i="5" s="1"/>
  <c r="F187" i="5"/>
  <c r="C187" i="5"/>
  <c r="AD186" i="5"/>
  <c r="AC186" i="5"/>
  <c r="AA186" i="5"/>
  <c r="W186" i="5"/>
  <c r="U186" i="5"/>
  <c r="R186" i="5"/>
  <c r="N186" i="5"/>
  <c r="O186" i="5" s="1"/>
  <c r="L186" i="5"/>
  <c r="I186" i="5"/>
  <c r="H186" i="5"/>
  <c r="F186" i="5"/>
  <c r="C186" i="5"/>
  <c r="AC184" i="5"/>
  <c r="AD184" i="5" s="1"/>
  <c r="AA184" i="5"/>
  <c r="X184" i="5"/>
  <c r="W184" i="5"/>
  <c r="U184" i="5"/>
  <c r="R184" i="5"/>
  <c r="O184" i="5"/>
  <c r="N184" i="5"/>
  <c r="L184" i="5"/>
  <c r="H184" i="5"/>
  <c r="I184" i="5" s="1"/>
  <c r="F184" i="5"/>
  <c r="C184" i="5"/>
  <c r="AC183" i="5"/>
  <c r="AA183" i="5"/>
  <c r="W183" i="5"/>
  <c r="X183" i="5" s="1"/>
  <c r="U183" i="5"/>
  <c r="R183" i="5"/>
  <c r="O183" i="5"/>
  <c r="N183" i="5"/>
  <c r="L183" i="5"/>
  <c r="H183" i="5"/>
  <c r="I183" i="5" s="1"/>
  <c r="F183" i="5"/>
  <c r="C183" i="5"/>
  <c r="Z182" i="5"/>
  <c r="AA182" i="5" s="1"/>
  <c r="W182" i="5"/>
  <c r="X182" i="5" s="1"/>
  <c r="U182" i="5"/>
  <c r="T182" i="5"/>
  <c r="R182" i="5"/>
  <c r="Q182" i="5"/>
  <c r="K182" i="5"/>
  <c r="L182" i="5" s="1"/>
  <c r="H182" i="5"/>
  <c r="I182" i="5" s="1"/>
  <c r="F182" i="5"/>
  <c r="E182" i="5"/>
  <c r="B182" i="5"/>
  <c r="C182" i="5" s="1"/>
  <c r="AC181" i="5"/>
  <c r="AA181" i="5"/>
  <c r="X181" i="5"/>
  <c r="W181" i="5"/>
  <c r="U181" i="5"/>
  <c r="R181" i="5"/>
  <c r="O181" i="5"/>
  <c r="N181" i="5"/>
  <c r="L181" i="5"/>
  <c r="H181" i="5"/>
  <c r="I181" i="5" s="1"/>
  <c r="F181" i="5"/>
  <c r="C181" i="5"/>
  <c r="AC180" i="5"/>
  <c r="AA180" i="5"/>
  <c r="W180" i="5"/>
  <c r="U180" i="5"/>
  <c r="R180" i="5"/>
  <c r="O180" i="5"/>
  <c r="N180" i="5"/>
  <c r="L180" i="5"/>
  <c r="H180" i="5"/>
  <c r="I180" i="5" s="1"/>
  <c r="F180" i="5"/>
  <c r="C180" i="5"/>
  <c r="AD179" i="5"/>
  <c r="AC179" i="5"/>
  <c r="AA179" i="5"/>
  <c r="X179" i="5"/>
  <c r="W179" i="5"/>
  <c r="U179" i="5"/>
  <c r="R179" i="5"/>
  <c r="N179" i="5"/>
  <c r="O179" i="5" s="1"/>
  <c r="L179" i="5"/>
  <c r="H179" i="5"/>
  <c r="I179" i="5" s="1"/>
  <c r="F179" i="5"/>
  <c r="C179" i="5"/>
  <c r="AC178" i="5"/>
  <c r="AD178" i="5" s="1"/>
  <c r="AA178" i="5"/>
  <c r="W178" i="5"/>
  <c r="U178" i="5"/>
  <c r="R178" i="5"/>
  <c r="O178" i="5"/>
  <c r="N178" i="5"/>
  <c r="L178" i="5"/>
  <c r="I178" i="5"/>
  <c r="H178" i="5"/>
  <c r="F178" i="5"/>
  <c r="C178" i="5"/>
  <c r="AC177" i="5"/>
  <c r="AD177" i="5" s="1"/>
  <c r="AA177" i="5"/>
  <c r="W177" i="5"/>
  <c r="U177" i="5"/>
  <c r="R177" i="5"/>
  <c r="O177" i="5"/>
  <c r="N177" i="5"/>
  <c r="L177" i="5"/>
  <c r="I177" i="5"/>
  <c r="H177" i="5"/>
  <c r="F177" i="5"/>
  <c r="C177" i="5"/>
  <c r="AC175" i="5"/>
  <c r="AA175" i="5"/>
  <c r="X175" i="5"/>
  <c r="W175" i="5"/>
  <c r="U175" i="5"/>
  <c r="R175" i="5"/>
  <c r="O175" i="5"/>
  <c r="N175" i="5"/>
  <c r="L175" i="5"/>
  <c r="H175" i="5"/>
  <c r="I175" i="5" s="1"/>
  <c r="F175" i="5"/>
  <c r="C175" i="5"/>
  <c r="R172" i="5"/>
  <c r="B172" i="5"/>
  <c r="AA171" i="5"/>
  <c r="Z171" i="5"/>
  <c r="T171" i="5"/>
  <c r="U171" i="5" s="1"/>
  <c r="Q171" i="5"/>
  <c r="N171" i="5"/>
  <c r="O171" i="5" s="1"/>
  <c r="L171" i="5"/>
  <c r="K171" i="5"/>
  <c r="E171" i="5"/>
  <c r="F171" i="5" s="1"/>
  <c r="C171" i="5"/>
  <c r="B171" i="5"/>
  <c r="Z170" i="5"/>
  <c r="AA170" i="5" s="1"/>
  <c r="T170" i="5"/>
  <c r="R170" i="5"/>
  <c r="Q170" i="5"/>
  <c r="AC170" i="5" s="1"/>
  <c r="AD170" i="5" s="1"/>
  <c r="K170" i="5"/>
  <c r="L170" i="5" s="1"/>
  <c r="F170" i="5"/>
  <c r="E170" i="5"/>
  <c r="B170" i="5"/>
  <c r="AC169" i="5"/>
  <c r="AD169" i="5" s="1"/>
  <c r="AA169" i="5"/>
  <c r="W169" i="5"/>
  <c r="X169" i="5" s="1"/>
  <c r="U169" i="5"/>
  <c r="R169" i="5"/>
  <c r="O169" i="5"/>
  <c r="N169" i="5"/>
  <c r="L169" i="5"/>
  <c r="I169" i="5"/>
  <c r="H169" i="5"/>
  <c r="F169" i="5"/>
  <c r="C169" i="5"/>
  <c r="AC168" i="5"/>
  <c r="AD168" i="5" s="1"/>
  <c r="AA168" i="5"/>
  <c r="W168" i="5"/>
  <c r="X168" i="5" s="1"/>
  <c r="U168" i="5"/>
  <c r="R168" i="5"/>
  <c r="O168" i="5"/>
  <c r="N168" i="5"/>
  <c r="L168" i="5"/>
  <c r="H168" i="5"/>
  <c r="I168" i="5" s="1"/>
  <c r="F168" i="5"/>
  <c r="C168" i="5"/>
  <c r="AC167" i="5"/>
  <c r="AA167" i="5"/>
  <c r="W167" i="5"/>
  <c r="U167" i="5"/>
  <c r="R167" i="5"/>
  <c r="O167" i="5"/>
  <c r="N167" i="5"/>
  <c r="L167" i="5"/>
  <c r="H167" i="5"/>
  <c r="I167" i="5" s="1"/>
  <c r="F167" i="5"/>
  <c r="C167" i="5"/>
  <c r="AD166" i="5"/>
  <c r="AC166" i="5"/>
  <c r="AA166" i="5"/>
  <c r="Z166" i="5"/>
  <c r="T166" i="5"/>
  <c r="U166" i="5" s="1"/>
  <c r="Q166" i="5"/>
  <c r="K166" i="5"/>
  <c r="L166" i="5" s="1"/>
  <c r="H166" i="5"/>
  <c r="I166" i="5" s="1"/>
  <c r="F166" i="5"/>
  <c r="E166" i="5"/>
  <c r="C166" i="5"/>
  <c r="B166" i="5"/>
  <c r="AC165" i="5"/>
  <c r="AD165" i="5" s="1"/>
  <c r="AA165" i="5"/>
  <c r="X165" i="5"/>
  <c r="W165" i="5"/>
  <c r="U165" i="5"/>
  <c r="R165" i="5"/>
  <c r="O165" i="5"/>
  <c r="N165" i="5"/>
  <c r="L165" i="5"/>
  <c r="H165" i="5"/>
  <c r="I165" i="5" s="1"/>
  <c r="F165" i="5"/>
  <c r="C165" i="5"/>
  <c r="AC164" i="5"/>
  <c r="AA164" i="5"/>
  <c r="W164" i="5"/>
  <c r="U164" i="5"/>
  <c r="R164" i="5"/>
  <c r="O164" i="5"/>
  <c r="N164" i="5"/>
  <c r="L164" i="5"/>
  <c r="H164" i="5"/>
  <c r="I164" i="5" s="1"/>
  <c r="F164" i="5"/>
  <c r="C164" i="5"/>
  <c r="AD163" i="5"/>
  <c r="AC163" i="5"/>
  <c r="AA163" i="5"/>
  <c r="W163" i="5"/>
  <c r="U163" i="5"/>
  <c r="R163" i="5"/>
  <c r="N163" i="5"/>
  <c r="O163" i="5" s="1"/>
  <c r="L163" i="5"/>
  <c r="I163" i="5"/>
  <c r="H163" i="5"/>
  <c r="F163" i="5"/>
  <c r="C163" i="5"/>
  <c r="AC162" i="5"/>
  <c r="AA162" i="5"/>
  <c r="X162" i="5"/>
  <c r="W162" i="5"/>
  <c r="U162" i="5"/>
  <c r="R162" i="5"/>
  <c r="O162" i="5"/>
  <c r="N162" i="5"/>
  <c r="L162" i="5"/>
  <c r="H162" i="5"/>
  <c r="I162" i="5" s="1"/>
  <c r="F162" i="5"/>
  <c r="C162" i="5"/>
  <c r="AC161" i="5"/>
  <c r="AD161" i="5" s="1"/>
  <c r="AA161" i="5"/>
  <c r="W161" i="5"/>
  <c r="X161" i="5" s="1"/>
  <c r="U161" i="5"/>
  <c r="R161" i="5"/>
  <c r="O161" i="5"/>
  <c r="N161" i="5"/>
  <c r="L161" i="5"/>
  <c r="H161" i="5"/>
  <c r="I161" i="5" s="1"/>
  <c r="F161" i="5"/>
  <c r="C161" i="5"/>
  <c r="AC160" i="5"/>
  <c r="AA160" i="5"/>
  <c r="X160" i="5"/>
  <c r="W160" i="5"/>
  <c r="U160" i="5"/>
  <c r="R160" i="5"/>
  <c r="O160" i="5"/>
  <c r="N160" i="5"/>
  <c r="L160" i="5"/>
  <c r="H160" i="5"/>
  <c r="I160" i="5" s="1"/>
  <c r="F160" i="5"/>
  <c r="C160" i="5"/>
  <c r="AA158" i="5"/>
  <c r="Z158" i="5"/>
  <c r="T158" i="5"/>
  <c r="U158" i="5" s="1"/>
  <c r="Q158" i="5"/>
  <c r="K158" i="5"/>
  <c r="L158" i="5" s="1"/>
  <c r="E158" i="5"/>
  <c r="C158" i="5"/>
  <c r="B158" i="5"/>
  <c r="N158" i="5" s="1"/>
  <c r="O158" i="5" s="1"/>
  <c r="AC157" i="5"/>
  <c r="AD157" i="5" s="1"/>
  <c r="AA157" i="5"/>
  <c r="W157" i="5"/>
  <c r="X157" i="5" s="1"/>
  <c r="U157" i="5"/>
  <c r="R157" i="5"/>
  <c r="O157" i="5"/>
  <c r="N157" i="5"/>
  <c r="L157" i="5"/>
  <c r="H157" i="5"/>
  <c r="I157" i="5" s="1"/>
  <c r="F157" i="5"/>
  <c r="C157" i="5"/>
  <c r="AC156" i="5"/>
  <c r="AA156" i="5"/>
  <c r="X156" i="5"/>
  <c r="W156" i="5"/>
  <c r="U156" i="5"/>
  <c r="R156" i="5"/>
  <c r="O156" i="5"/>
  <c r="N156" i="5"/>
  <c r="L156" i="5"/>
  <c r="H156" i="5"/>
  <c r="I156" i="5" s="1"/>
  <c r="F156" i="5"/>
  <c r="C156" i="5"/>
  <c r="AC155" i="5"/>
  <c r="AA155" i="5"/>
  <c r="W155" i="5"/>
  <c r="U155" i="5"/>
  <c r="R155" i="5"/>
  <c r="O155" i="5"/>
  <c r="N155" i="5"/>
  <c r="L155" i="5"/>
  <c r="I155" i="5"/>
  <c r="H155" i="5"/>
  <c r="F155" i="5"/>
  <c r="C155" i="5"/>
  <c r="AC154" i="5"/>
  <c r="AD154" i="5" s="1"/>
  <c r="AA154" i="5"/>
  <c r="X154" i="5"/>
  <c r="W154" i="5"/>
  <c r="U154" i="5"/>
  <c r="R154" i="5"/>
  <c r="O154" i="5"/>
  <c r="N154" i="5"/>
  <c r="L154" i="5"/>
  <c r="I154" i="5"/>
  <c r="H154" i="5"/>
  <c r="F154" i="5"/>
  <c r="C154" i="5"/>
  <c r="AC153" i="5"/>
  <c r="AA153" i="5"/>
  <c r="W153" i="5"/>
  <c r="X153" i="5" s="1"/>
  <c r="U153" i="5"/>
  <c r="R153" i="5"/>
  <c r="O153" i="5"/>
  <c r="N153" i="5"/>
  <c r="L153" i="5"/>
  <c r="H153" i="5"/>
  <c r="I153" i="5" s="1"/>
  <c r="F153" i="5"/>
  <c r="C153" i="5"/>
  <c r="AD151" i="5"/>
  <c r="AC151" i="5"/>
  <c r="AA151" i="5"/>
  <c r="W151" i="5"/>
  <c r="U151" i="5"/>
  <c r="R151" i="5"/>
  <c r="N151" i="5"/>
  <c r="O151" i="5" s="1"/>
  <c r="L151" i="5"/>
  <c r="H151" i="5"/>
  <c r="I151" i="5" s="1"/>
  <c r="F151" i="5"/>
  <c r="C151" i="5"/>
  <c r="AC149" i="5"/>
  <c r="AD149" i="5" s="1"/>
  <c r="AA149" i="5"/>
  <c r="Z149" i="5"/>
  <c r="W149" i="5"/>
  <c r="X149" i="5" s="1"/>
  <c r="T149" i="5"/>
  <c r="U149" i="5" s="1"/>
  <c r="Q149" i="5"/>
  <c r="R149" i="5" s="1"/>
  <c r="K149" i="5"/>
  <c r="L149" i="5" s="1"/>
  <c r="E149" i="5"/>
  <c r="C149" i="5"/>
  <c r="B149" i="5"/>
  <c r="AC148" i="5"/>
  <c r="Z148" i="5"/>
  <c r="AA148" i="5" s="1"/>
  <c r="W148" i="5"/>
  <c r="X148" i="5" s="1"/>
  <c r="U148" i="5"/>
  <c r="T148" i="5"/>
  <c r="Q148" i="5"/>
  <c r="R148" i="5" s="1"/>
  <c r="L148" i="5"/>
  <c r="K148" i="5"/>
  <c r="E148" i="5"/>
  <c r="F148" i="5" s="1"/>
  <c r="B148" i="5"/>
  <c r="AD147" i="5"/>
  <c r="AC147" i="5"/>
  <c r="AA147" i="5"/>
  <c r="W147" i="5"/>
  <c r="U147" i="5"/>
  <c r="R147" i="5"/>
  <c r="N147" i="5"/>
  <c r="O147" i="5" s="1"/>
  <c r="L147" i="5"/>
  <c r="I147" i="5"/>
  <c r="H147" i="5"/>
  <c r="F147" i="5"/>
  <c r="C147" i="5"/>
  <c r="AC146" i="5"/>
  <c r="AD146" i="5" s="1"/>
  <c r="AA146" i="5"/>
  <c r="X146" i="5"/>
  <c r="W146" i="5"/>
  <c r="U146" i="5"/>
  <c r="R146" i="5"/>
  <c r="O146" i="5"/>
  <c r="N146" i="5"/>
  <c r="L146" i="5"/>
  <c r="H146" i="5"/>
  <c r="I146" i="5" s="1"/>
  <c r="F146" i="5"/>
  <c r="C146" i="5"/>
  <c r="AC145" i="5"/>
  <c r="AA145" i="5"/>
  <c r="W145" i="5"/>
  <c r="X145" i="5" s="1"/>
  <c r="U145" i="5"/>
  <c r="R145" i="5"/>
  <c r="O145" i="5"/>
  <c r="N145" i="5"/>
  <c r="L145" i="5"/>
  <c r="H145" i="5"/>
  <c r="I145" i="5" s="1"/>
  <c r="F145" i="5"/>
  <c r="C145" i="5"/>
  <c r="AD144" i="5"/>
  <c r="AC144" i="5"/>
  <c r="AA144" i="5"/>
  <c r="W144" i="5"/>
  <c r="U144" i="5"/>
  <c r="R144" i="5"/>
  <c r="O144" i="5"/>
  <c r="N144" i="5"/>
  <c r="L144" i="5"/>
  <c r="H144" i="5"/>
  <c r="I144" i="5" s="1"/>
  <c r="F144" i="5"/>
  <c r="C144" i="5"/>
  <c r="AC143" i="5"/>
  <c r="AA143" i="5"/>
  <c r="W143" i="5"/>
  <c r="U143" i="5"/>
  <c r="R143" i="5"/>
  <c r="O143" i="5"/>
  <c r="N143" i="5"/>
  <c r="L143" i="5"/>
  <c r="I143" i="5"/>
  <c r="H143" i="5"/>
  <c r="F143" i="5"/>
  <c r="C143" i="5"/>
  <c r="AA141" i="5"/>
  <c r="Z141" i="5"/>
  <c r="T141" i="5"/>
  <c r="U141" i="5" s="1"/>
  <c r="Q141" i="5"/>
  <c r="O141" i="5"/>
  <c r="N141" i="5"/>
  <c r="L141" i="5"/>
  <c r="K141" i="5"/>
  <c r="E141" i="5"/>
  <c r="F141" i="5" s="1"/>
  <c r="B141" i="5"/>
  <c r="AD140" i="5"/>
  <c r="AC140" i="5"/>
  <c r="AA140" i="5"/>
  <c r="W140" i="5"/>
  <c r="U140" i="5"/>
  <c r="R140" i="5"/>
  <c r="N140" i="5"/>
  <c r="O140" i="5" s="1"/>
  <c r="L140" i="5"/>
  <c r="H140" i="5"/>
  <c r="I140" i="5" s="1"/>
  <c r="F140" i="5"/>
  <c r="C140" i="5"/>
  <c r="AC139" i="5"/>
  <c r="AA139" i="5"/>
  <c r="W139" i="5"/>
  <c r="U139" i="5"/>
  <c r="R139" i="5"/>
  <c r="O139" i="5"/>
  <c r="N139" i="5"/>
  <c r="L139" i="5"/>
  <c r="I139" i="5"/>
  <c r="H139" i="5"/>
  <c r="F139" i="5"/>
  <c r="C139" i="5"/>
  <c r="AC138" i="5"/>
  <c r="AD138" i="5" s="1"/>
  <c r="AA138" i="5"/>
  <c r="W138" i="5"/>
  <c r="X138" i="5" s="1"/>
  <c r="U138" i="5"/>
  <c r="R138" i="5"/>
  <c r="O138" i="5"/>
  <c r="N138" i="5"/>
  <c r="L138" i="5"/>
  <c r="I138" i="5"/>
  <c r="H138" i="5"/>
  <c r="F138" i="5"/>
  <c r="C138" i="5"/>
  <c r="AC137" i="5"/>
  <c r="AD137" i="5" s="1"/>
  <c r="AA137" i="5"/>
  <c r="W137" i="5"/>
  <c r="X137" i="5" s="1"/>
  <c r="U137" i="5"/>
  <c r="R137" i="5"/>
  <c r="O137" i="5"/>
  <c r="N137" i="5"/>
  <c r="L137" i="5"/>
  <c r="H137" i="5"/>
  <c r="I137" i="5" s="1"/>
  <c r="F137" i="5"/>
  <c r="C137" i="5"/>
  <c r="AC136" i="5"/>
  <c r="AA136" i="5"/>
  <c r="W136" i="5"/>
  <c r="U136" i="5"/>
  <c r="R136" i="5"/>
  <c r="O136" i="5"/>
  <c r="N136" i="5"/>
  <c r="L136" i="5"/>
  <c r="H136" i="5"/>
  <c r="I136" i="5" s="1"/>
  <c r="F136" i="5"/>
  <c r="C136" i="5"/>
  <c r="AC135" i="5"/>
  <c r="AD135" i="5" s="1"/>
  <c r="AA135" i="5"/>
  <c r="W135" i="5"/>
  <c r="U135" i="5"/>
  <c r="R135" i="5"/>
  <c r="N135" i="5"/>
  <c r="O135" i="5" s="1"/>
  <c r="L135" i="5"/>
  <c r="I135" i="5"/>
  <c r="H135" i="5"/>
  <c r="F135" i="5"/>
  <c r="C135" i="5"/>
  <c r="AC134" i="5"/>
  <c r="AA134" i="5"/>
  <c r="W134" i="5"/>
  <c r="X134" i="5" s="1"/>
  <c r="U134" i="5"/>
  <c r="R134" i="5"/>
  <c r="O134" i="5"/>
  <c r="N134" i="5"/>
  <c r="L134" i="5"/>
  <c r="H134" i="5"/>
  <c r="I134" i="5" s="1"/>
  <c r="F134" i="5"/>
  <c r="C134" i="5"/>
  <c r="AC133" i="5"/>
  <c r="AD133" i="5" s="1"/>
  <c r="AA133" i="5"/>
  <c r="W133" i="5"/>
  <c r="X133" i="5" s="1"/>
  <c r="U133" i="5"/>
  <c r="R133" i="5"/>
  <c r="O133" i="5"/>
  <c r="N133" i="5"/>
  <c r="L133" i="5"/>
  <c r="H133" i="5"/>
  <c r="I133" i="5" s="1"/>
  <c r="F133" i="5"/>
  <c r="C133" i="5"/>
  <c r="AC132" i="5"/>
  <c r="AA132" i="5"/>
  <c r="X132" i="5"/>
  <c r="W132" i="5"/>
  <c r="U132" i="5"/>
  <c r="R132" i="5"/>
  <c r="O132" i="5"/>
  <c r="N132" i="5"/>
  <c r="L132" i="5"/>
  <c r="H132" i="5"/>
  <c r="I132" i="5" s="1"/>
  <c r="F132" i="5"/>
  <c r="C132" i="5"/>
  <c r="AC131" i="5"/>
  <c r="AA131" i="5"/>
  <c r="W131" i="5"/>
  <c r="U131" i="5"/>
  <c r="R131" i="5"/>
  <c r="O131" i="5"/>
  <c r="N131" i="5"/>
  <c r="L131" i="5"/>
  <c r="I131" i="5"/>
  <c r="H131" i="5"/>
  <c r="F131" i="5"/>
  <c r="C131" i="5"/>
  <c r="AC130" i="5"/>
  <c r="AD130" i="5" s="1"/>
  <c r="AA130" i="5"/>
  <c r="X130" i="5"/>
  <c r="W130" i="5"/>
  <c r="U130" i="5"/>
  <c r="R130" i="5"/>
  <c r="O130" i="5"/>
  <c r="N130" i="5"/>
  <c r="L130" i="5"/>
  <c r="I130" i="5"/>
  <c r="H130" i="5"/>
  <c r="F130" i="5"/>
  <c r="C130" i="5"/>
  <c r="AC129" i="5"/>
  <c r="AA129" i="5"/>
  <c r="X129" i="5"/>
  <c r="W129" i="5"/>
  <c r="U129" i="5"/>
  <c r="R129" i="5"/>
  <c r="O129" i="5"/>
  <c r="N129" i="5"/>
  <c r="L129" i="5"/>
  <c r="H129" i="5"/>
  <c r="I129" i="5" s="1"/>
  <c r="F129" i="5"/>
  <c r="C129" i="5"/>
  <c r="AD127" i="5"/>
  <c r="AC127" i="5"/>
  <c r="AA127" i="5"/>
  <c r="W127" i="5"/>
  <c r="U127" i="5"/>
  <c r="R127" i="5"/>
  <c r="O127" i="5"/>
  <c r="N127" i="5"/>
  <c r="L127" i="5"/>
  <c r="H127" i="5"/>
  <c r="I127" i="5" s="1"/>
  <c r="F127" i="5"/>
  <c r="C127" i="5"/>
  <c r="AC124" i="5"/>
  <c r="AD124" i="5" s="1"/>
  <c r="AA124" i="5"/>
  <c r="Z124" i="5"/>
  <c r="W124" i="5"/>
  <c r="X124" i="5" s="1"/>
  <c r="T124" i="5"/>
  <c r="U124" i="5" s="1"/>
  <c r="Q124" i="5"/>
  <c r="Q172" i="5" s="1"/>
  <c r="K124" i="5"/>
  <c r="H124" i="5"/>
  <c r="I124" i="5" s="1"/>
  <c r="F124" i="5"/>
  <c r="E124" i="5"/>
  <c r="E172" i="5" s="1"/>
  <c r="C124" i="5"/>
  <c r="B124" i="5"/>
  <c r="AC123" i="5"/>
  <c r="AA123" i="5"/>
  <c r="W123" i="5"/>
  <c r="X123" i="5" s="1"/>
  <c r="U123" i="5"/>
  <c r="R123" i="5"/>
  <c r="O123" i="5"/>
  <c r="N123" i="5"/>
  <c r="L123" i="5"/>
  <c r="H123" i="5"/>
  <c r="I123" i="5" s="1"/>
  <c r="F123" i="5"/>
  <c r="C123" i="5"/>
  <c r="Z122" i="5"/>
  <c r="AA122" i="5" s="1"/>
  <c r="T122" i="5"/>
  <c r="U122" i="5" s="1"/>
  <c r="R122" i="5"/>
  <c r="Q122" i="5"/>
  <c r="K122" i="5"/>
  <c r="E122" i="5"/>
  <c r="F122" i="5" s="1"/>
  <c r="B122" i="5"/>
  <c r="C122" i="5" s="1"/>
  <c r="AC121" i="5"/>
  <c r="AD121" i="5" s="1"/>
  <c r="AA121" i="5"/>
  <c r="X121" i="5"/>
  <c r="W121" i="5"/>
  <c r="U121" i="5"/>
  <c r="R121" i="5"/>
  <c r="O121" i="5"/>
  <c r="N121" i="5"/>
  <c r="L121" i="5"/>
  <c r="H121" i="5"/>
  <c r="I121" i="5" s="1"/>
  <c r="F121" i="5"/>
  <c r="C121" i="5"/>
  <c r="AC120" i="5"/>
  <c r="AA120" i="5"/>
  <c r="W120" i="5"/>
  <c r="X120" i="5" s="1"/>
  <c r="U120" i="5"/>
  <c r="R120" i="5"/>
  <c r="O120" i="5"/>
  <c r="N120" i="5"/>
  <c r="L120" i="5"/>
  <c r="H120" i="5"/>
  <c r="I120" i="5" s="1"/>
  <c r="F120" i="5"/>
  <c r="C120" i="5"/>
  <c r="AD119" i="5"/>
  <c r="AC119" i="5"/>
  <c r="AA119" i="5"/>
  <c r="W119" i="5"/>
  <c r="U119" i="5"/>
  <c r="R119" i="5"/>
  <c r="N119" i="5"/>
  <c r="O119" i="5" s="1"/>
  <c r="L119" i="5"/>
  <c r="H119" i="5"/>
  <c r="I119" i="5" s="1"/>
  <c r="F119" i="5"/>
  <c r="C119" i="5"/>
  <c r="Z118" i="5"/>
  <c r="AC118" i="5" s="1"/>
  <c r="AD118" i="5" s="1"/>
  <c r="T118" i="5"/>
  <c r="R118" i="5"/>
  <c r="Q118" i="5"/>
  <c r="K118" i="5"/>
  <c r="F118" i="5"/>
  <c r="E118" i="5"/>
  <c r="H118" i="5" s="1"/>
  <c r="I118" i="5" s="1"/>
  <c r="C118" i="5"/>
  <c r="B118" i="5"/>
  <c r="AC117" i="5"/>
  <c r="AA117" i="5"/>
  <c r="X117" i="5"/>
  <c r="W117" i="5"/>
  <c r="U117" i="5"/>
  <c r="R117" i="5"/>
  <c r="O117" i="5"/>
  <c r="N117" i="5"/>
  <c r="L117" i="5"/>
  <c r="H117" i="5"/>
  <c r="I117" i="5" s="1"/>
  <c r="F117" i="5"/>
  <c r="C117" i="5"/>
  <c r="AD116" i="5"/>
  <c r="AC116" i="5"/>
  <c r="AA116" i="5"/>
  <c r="W116" i="5"/>
  <c r="U116" i="5"/>
  <c r="R116" i="5"/>
  <c r="O116" i="5"/>
  <c r="N116" i="5"/>
  <c r="L116" i="5"/>
  <c r="H116" i="5"/>
  <c r="I116" i="5" s="1"/>
  <c r="F116" i="5"/>
  <c r="C116" i="5"/>
  <c r="AC115" i="5"/>
  <c r="AD115" i="5" s="1"/>
  <c r="AA115" i="5"/>
  <c r="X115" i="5"/>
  <c r="W115" i="5"/>
  <c r="U115" i="5"/>
  <c r="R115" i="5"/>
  <c r="O115" i="5"/>
  <c r="N115" i="5"/>
  <c r="L115" i="5"/>
  <c r="H115" i="5"/>
  <c r="I115" i="5" s="1"/>
  <c r="F115" i="5"/>
  <c r="C115" i="5"/>
  <c r="AC114" i="5"/>
  <c r="AA114" i="5"/>
  <c r="W114" i="5"/>
  <c r="X114" i="5" s="1"/>
  <c r="U114" i="5"/>
  <c r="R114" i="5"/>
  <c r="O114" i="5"/>
  <c r="N114" i="5"/>
  <c r="L114" i="5"/>
  <c r="I114" i="5"/>
  <c r="H114" i="5"/>
  <c r="F114" i="5"/>
  <c r="C114" i="5"/>
  <c r="AC113" i="5"/>
  <c r="AD113" i="5" s="1"/>
  <c r="AA113" i="5"/>
  <c r="W113" i="5"/>
  <c r="U113" i="5"/>
  <c r="R113" i="5"/>
  <c r="O113" i="5"/>
  <c r="N113" i="5"/>
  <c r="L113" i="5"/>
  <c r="H113" i="5"/>
  <c r="I113" i="5" s="1"/>
  <c r="F113" i="5"/>
  <c r="C113" i="5"/>
  <c r="AC112" i="5"/>
  <c r="AA112" i="5"/>
  <c r="X112" i="5"/>
  <c r="W112" i="5"/>
  <c r="U112" i="5"/>
  <c r="R112" i="5"/>
  <c r="N112" i="5"/>
  <c r="O112" i="5" s="1"/>
  <c r="L112" i="5"/>
  <c r="H112" i="5"/>
  <c r="I112" i="5" s="1"/>
  <c r="F112" i="5"/>
  <c r="C112" i="5"/>
  <c r="AD111" i="5"/>
  <c r="AC111" i="5"/>
  <c r="AA111" i="5"/>
  <c r="W111" i="5"/>
  <c r="U111" i="5"/>
  <c r="R111" i="5"/>
  <c r="O111" i="5"/>
  <c r="N111" i="5"/>
  <c r="L111" i="5"/>
  <c r="H111" i="5"/>
  <c r="I111" i="5" s="1"/>
  <c r="F111" i="5"/>
  <c r="C111" i="5"/>
  <c r="AC110" i="5"/>
  <c r="AD110" i="5" s="1"/>
  <c r="AA110" i="5"/>
  <c r="X110" i="5"/>
  <c r="W110" i="5"/>
  <c r="U110" i="5"/>
  <c r="R110" i="5"/>
  <c r="O110" i="5"/>
  <c r="N110" i="5"/>
  <c r="L110" i="5"/>
  <c r="I110" i="5"/>
  <c r="H110" i="5"/>
  <c r="F110" i="5"/>
  <c r="C110" i="5"/>
  <c r="AC109" i="5"/>
  <c r="AA109" i="5"/>
  <c r="X109" i="5"/>
  <c r="W109" i="5"/>
  <c r="U109" i="5"/>
  <c r="R109" i="5"/>
  <c r="O109" i="5"/>
  <c r="N109" i="5"/>
  <c r="L109" i="5"/>
  <c r="H109" i="5"/>
  <c r="I109" i="5" s="1"/>
  <c r="F109" i="5"/>
  <c r="C109" i="5"/>
  <c r="AD108" i="5"/>
  <c r="AC108" i="5"/>
  <c r="AA108" i="5"/>
  <c r="W108" i="5"/>
  <c r="U108" i="5"/>
  <c r="R108" i="5"/>
  <c r="O108" i="5"/>
  <c r="N108" i="5"/>
  <c r="L108" i="5"/>
  <c r="H108" i="5"/>
  <c r="I108" i="5" s="1"/>
  <c r="F108" i="5"/>
  <c r="C108" i="5"/>
  <c r="AC107" i="5"/>
  <c r="AD107" i="5" s="1"/>
  <c r="AA107" i="5"/>
  <c r="X107" i="5"/>
  <c r="W107" i="5"/>
  <c r="U107" i="5"/>
  <c r="R107" i="5"/>
  <c r="O107" i="5"/>
  <c r="N107" i="5"/>
  <c r="L107" i="5"/>
  <c r="H107" i="5"/>
  <c r="I107" i="5" s="1"/>
  <c r="F107" i="5"/>
  <c r="C107" i="5"/>
  <c r="AC106" i="5"/>
  <c r="AA106" i="5"/>
  <c r="W106" i="5"/>
  <c r="X106" i="5" s="1"/>
  <c r="U106" i="5"/>
  <c r="R106" i="5"/>
  <c r="O106" i="5"/>
  <c r="N106" i="5"/>
  <c r="L106" i="5"/>
  <c r="I106" i="5"/>
  <c r="H106" i="5"/>
  <c r="F106" i="5"/>
  <c r="C106" i="5"/>
  <c r="AC105" i="5"/>
  <c r="AD105" i="5" s="1"/>
  <c r="AA105" i="5"/>
  <c r="W105" i="5"/>
  <c r="U105" i="5"/>
  <c r="R105" i="5"/>
  <c r="O105" i="5"/>
  <c r="N105" i="5"/>
  <c r="L105" i="5"/>
  <c r="H105" i="5"/>
  <c r="I105" i="5" s="1"/>
  <c r="F105" i="5"/>
  <c r="C105" i="5"/>
  <c r="AC104" i="5"/>
  <c r="AA104" i="5"/>
  <c r="X104" i="5"/>
  <c r="W104" i="5"/>
  <c r="U104" i="5"/>
  <c r="R104" i="5"/>
  <c r="N104" i="5"/>
  <c r="O104" i="5" s="1"/>
  <c r="L104" i="5"/>
  <c r="H104" i="5"/>
  <c r="I104" i="5" s="1"/>
  <c r="F104" i="5"/>
  <c r="C104" i="5"/>
  <c r="AD103" i="5"/>
  <c r="AC103" i="5"/>
  <c r="AA103" i="5"/>
  <c r="W103" i="5"/>
  <c r="U103" i="5"/>
  <c r="R103" i="5"/>
  <c r="O103" i="5"/>
  <c r="N103" i="5"/>
  <c r="L103" i="5"/>
  <c r="H103" i="5"/>
  <c r="I103" i="5" s="1"/>
  <c r="F103" i="5"/>
  <c r="C103" i="5"/>
  <c r="AC102" i="5"/>
  <c r="AD102" i="5" s="1"/>
  <c r="AA102" i="5"/>
  <c r="X102" i="5"/>
  <c r="W102" i="5"/>
  <c r="U102" i="5"/>
  <c r="R102" i="5"/>
  <c r="O102" i="5"/>
  <c r="N102" i="5"/>
  <c r="L102" i="5"/>
  <c r="H102" i="5"/>
  <c r="I102" i="5" s="1"/>
  <c r="F102" i="5"/>
  <c r="C102" i="5"/>
  <c r="AC101" i="5"/>
  <c r="AA101" i="5"/>
  <c r="X101" i="5"/>
  <c r="W101" i="5"/>
  <c r="U101" i="5"/>
  <c r="R101" i="5"/>
  <c r="O101" i="5"/>
  <c r="N101" i="5"/>
  <c r="L101" i="5"/>
  <c r="H101" i="5"/>
  <c r="I101" i="5" s="1"/>
  <c r="F101" i="5"/>
  <c r="C101" i="5"/>
  <c r="AC100" i="5"/>
  <c r="AD100" i="5" s="1"/>
  <c r="AA100" i="5"/>
  <c r="W100" i="5"/>
  <c r="U100" i="5"/>
  <c r="R100" i="5"/>
  <c r="O100" i="5"/>
  <c r="N100" i="5"/>
  <c r="L100" i="5"/>
  <c r="H100" i="5"/>
  <c r="I100" i="5" s="1"/>
  <c r="F100" i="5"/>
  <c r="C100" i="5"/>
  <c r="AC99" i="5"/>
  <c r="AD99" i="5" s="1"/>
  <c r="AA99" i="5"/>
  <c r="X99" i="5"/>
  <c r="W99" i="5"/>
  <c r="U99" i="5"/>
  <c r="R99" i="5"/>
  <c r="O99" i="5"/>
  <c r="N99" i="5"/>
  <c r="L99" i="5"/>
  <c r="H99" i="5"/>
  <c r="I99" i="5" s="1"/>
  <c r="F99" i="5"/>
  <c r="C99" i="5"/>
  <c r="AC98" i="5"/>
  <c r="AA98" i="5"/>
  <c r="W98" i="5"/>
  <c r="X98" i="5" s="1"/>
  <c r="U98" i="5"/>
  <c r="R98" i="5"/>
  <c r="O98" i="5"/>
  <c r="N98" i="5"/>
  <c r="L98" i="5"/>
  <c r="I98" i="5"/>
  <c r="H98" i="5"/>
  <c r="F98" i="5"/>
  <c r="C98" i="5"/>
  <c r="AC97" i="5"/>
  <c r="AD97" i="5" s="1"/>
  <c r="AA97" i="5"/>
  <c r="W97" i="5"/>
  <c r="U97" i="5"/>
  <c r="R97" i="5"/>
  <c r="O97" i="5"/>
  <c r="N97" i="5"/>
  <c r="L97" i="5"/>
  <c r="H97" i="5"/>
  <c r="I97" i="5" s="1"/>
  <c r="F97" i="5"/>
  <c r="C97" i="5"/>
  <c r="AC96" i="5"/>
  <c r="AA96" i="5"/>
  <c r="X96" i="5"/>
  <c r="W96" i="5"/>
  <c r="U96" i="5"/>
  <c r="R96" i="5"/>
  <c r="N96" i="5"/>
  <c r="O96" i="5" s="1"/>
  <c r="L96" i="5"/>
  <c r="H96" i="5"/>
  <c r="I96" i="5" s="1"/>
  <c r="F96" i="5"/>
  <c r="C96" i="5"/>
  <c r="AD95" i="5"/>
  <c r="AC95" i="5"/>
  <c r="AA95" i="5"/>
  <c r="W95" i="5"/>
  <c r="U95" i="5"/>
  <c r="R95" i="5"/>
  <c r="N95" i="5"/>
  <c r="O95" i="5" s="1"/>
  <c r="L95" i="5"/>
  <c r="H95" i="5"/>
  <c r="I95" i="5" s="1"/>
  <c r="F95" i="5"/>
  <c r="C95" i="5"/>
  <c r="AC94" i="5"/>
  <c r="AD94" i="5" s="1"/>
  <c r="AA94" i="5"/>
  <c r="X94" i="5"/>
  <c r="W94" i="5"/>
  <c r="U94" i="5"/>
  <c r="R94" i="5"/>
  <c r="O94" i="5"/>
  <c r="N94" i="5"/>
  <c r="L94" i="5"/>
  <c r="I94" i="5"/>
  <c r="H94" i="5"/>
  <c r="F94" i="5"/>
  <c r="C94" i="5"/>
  <c r="AC92" i="5"/>
  <c r="AA92" i="5"/>
  <c r="X92" i="5"/>
  <c r="W92" i="5"/>
  <c r="U92" i="5"/>
  <c r="R92" i="5"/>
  <c r="O92" i="5"/>
  <c r="N92" i="5"/>
  <c r="L92" i="5"/>
  <c r="H92" i="5"/>
  <c r="I92" i="5" s="1"/>
  <c r="F92" i="5"/>
  <c r="C92" i="5"/>
  <c r="AD91" i="5"/>
  <c r="AC91" i="5"/>
  <c r="AA91" i="5"/>
  <c r="W91" i="5"/>
  <c r="U91" i="5"/>
  <c r="R91" i="5"/>
  <c r="O91" i="5"/>
  <c r="N91" i="5"/>
  <c r="L91" i="5"/>
  <c r="H91" i="5"/>
  <c r="I91" i="5" s="1"/>
  <c r="F91" i="5"/>
  <c r="C91" i="5"/>
  <c r="AC90" i="5"/>
  <c r="AD90" i="5" s="1"/>
  <c r="AA90" i="5"/>
  <c r="X90" i="5"/>
  <c r="W90" i="5"/>
  <c r="U90" i="5"/>
  <c r="R90" i="5"/>
  <c r="O90" i="5"/>
  <c r="N90" i="5"/>
  <c r="L90" i="5"/>
  <c r="H90" i="5"/>
  <c r="I90" i="5" s="1"/>
  <c r="F90" i="5"/>
  <c r="C90" i="5"/>
  <c r="AC89" i="5"/>
  <c r="AA89" i="5"/>
  <c r="W89" i="5"/>
  <c r="X89" i="5" s="1"/>
  <c r="U89" i="5"/>
  <c r="R89" i="5"/>
  <c r="O89" i="5"/>
  <c r="N89" i="5"/>
  <c r="L89" i="5"/>
  <c r="I89" i="5"/>
  <c r="H89" i="5"/>
  <c r="F89" i="5"/>
  <c r="C89" i="5"/>
  <c r="Z88" i="5"/>
  <c r="AA88" i="5" s="1"/>
  <c r="U88" i="5"/>
  <c r="T88" i="5"/>
  <c r="Q88" i="5"/>
  <c r="N88" i="5"/>
  <c r="O88" i="5" s="1"/>
  <c r="L88" i="5"/>
  <c r="K88" i="5"/>
  <c r="E88" i="5"/>
  <c r="F88" i="5" s="1"/>
  <c r="B88" i="5"/>
  <c r="C88" i="5" s="1"/>
  <c r="AC87" i="5"/>
  <c r="AD87" i="5" s="1"/>
  <c r="AA87" i="5"/>
  <c r="X87" i="5"/>
  <c r="W87" i="5"/>
  <c r="U87" i="5"/>
  <c r="R87" i="5"/>
  <c r="N87" i="5"/>
  <c r="O87" i="5" s="1"/>
  <c r="L87" i="5"/>
  <c r="I87" i="5"/>
  <c r="H87" i="5"/>
  <c r="F87" i="5"/>
  <c r="C87" i="5"/>
  <c r="AC86" i="5"/>
  <c r="AA86" i="5"/>
  <c r="X86" i="5"/>
  <c r="W86" i="5"/>
  <c r="U86" i="5"/>
  <c r="R86" i="5"/>
  <c r="O86" i="5"/>
  <c r="N86" i="5"/>
  <c r="L86" i="5"/>
  <c r="H86" i="5"/>
  <c r="I86" i="5" s="1"/>
  <c r="F86" i="5"/>
  <c r="C86" i="5"/>
  <c r="AC85" i="5"/>
  <c r="AD85" i="5" s="1"/>
  <c r="AA85" i="5"/>
  <c r="W85" i="5"/>
  <c r="X85" i="5" s="1"/>
  <c r="U85" i="5"/>
  <c r="R85" i="5"/>
  <c r="O85" i="5"/>
  <c r="N85" i="5"/>
  <c r="L85" i="5"/>
  <c r="H85" i="5"/>
  <c r="I85" i="5" s="1"/>
  <c r="F85" i="5"/>
  <c r="C85" i="5"/>
  <c r="AC84" i="5"/>
  <c r="AD84" i="5" s="1"/>
  <c r="AA84" i="5"/>
  <c r="X84" i="5"/>
  <c r="W84" i="5"/>
  <c r="U84" i="5"/>
  <c r="R84" i="5"/>
  <c r="O84" i="5"/>
  <c r="N84" i="5"/>
  <c r="L84" i="5"/>
  <c r="H84" i="5"/>
  <c r="I84" i="5" s="1"/>
  <c r="F84" i="5"/>
  <c r="C84" i="5"/>
  <c r="AC83" i="5"/>
  <c r="AA83" i="5"/>
  <c r="W83" i="5"/>
  <c r="U83" i="5"/>
  <c r="R83" i="5"/>
  <c r="O83" i="5"/>
  <c r="N83" i="5"/>
  <c r="L83" i="5"/>
  <c r="I83" i="5"/>
  <c r="H83" i="5"/>
  <c r="F83" i="5"/>
  <c r="C83" i="5"/>
  <c r="AC82" i="5"/>
  <c r="AD82" i="5" s="1"/>
  <c r="AA82" i="5"/>
  <c r="W82" i="5"/>
  <c r="U82" i="5"/>
  <c r="R82" i="5"/>
  <c r="O82" i="5"/>
  <c r="N82" i="5"/>
  <c r="L82" i="5"/>
  <c r="I82" i="5"/>
  <c r="H82" i="5"/>
  <c r="F82" i="5"/>
  <c r="C82" i="5"/>
  <c r="AC81" i="5"/>
  <c r="AA81" i="5"/>
  <c r="W81" i="5"/>
  <c r="X81" i="5" s="1"/>
  <c r="U81" i="5"/>
  <c r="R81" i="5"/>
  <c r="O81" i="5"/>
  <c r="N81" i="5"/>
  <c r="L81" i="5"/>
  <c r="H81" i="5"/>
  <c r="I81" i="5" s="1"/>
  <c r="F81" i="5"/>
  <c r="C81" i="5"/>
  <c r="AD80" i="5"/>
  <c r="AC80" i="5"/>
  <c r="AA80" i="5"/>
  <c r="W80" i="5"/>
  <c r="U80" i="5"/>
  <c r="R80" i="5"/>
  <c r="N80" i="5"/>
  <c r="O80" i="5" s="1"/>
  <c r="L80" i="5"/>
  <c r="H80" i="5"/>
  <c r="I80" i="5" s="1"/>
  <c r="F80" i="5"/>
  <c r="C80" i="5"/>
  <c r="AC79" i="5"/>
  <c r="AD79" i="5" s="1"/>
  <c r="AA79" i="5"/>
  <c r="X79" i="5"/>
  <c r="W79" i="5"/>
  <c r="U79" i="5"/>
  <c r="R79" i="5"/>
  <c r="N79" i="5"/>
  <c r="O79" i="5" s="1"/>
  <c r="L79" i="5"/>
  <c r="H79" i="5"/>
  <c r="I79" i="5" s="1"/>
  <c r="F79" i="5"/>
  <c r="C79" i="5"/>
  <c r="AC78" i="5"/>
  <c r="AA78" i="5"/>
  <c r="X78" i="5"/>
  <c r="W78" i="5"/>
  <c r="U78" i="5"/>
  <c r="R78" i="5"/>
  <c r="O78" i="5"/>
  <c r="N78" i="5"/>
  <c r="L78" i="5"/>
  <c r="H78" i="5"/>
  <c r="I78" i="5" s="1"/>
  <c r="F78" i="5"/>
  <c r="C78" i="5"/>
  <c r="AC77" i="5"/>
  <c r="AD77" i="5" s="1"/>
  <c r="AA77" i="5"/>
  <c r="W77" i="5"/>
  <c r="X77" i="5" s="1"/>
  <c r="U77" i="5"/>
  <c r="R77" i="5"/>
  <c r="O77" i="5"/>
  <c r="N77" i="5"/>
  <c r="L77" i="5"/>
  <c r="H77" i="5"/>
  <c r="I77" i="5" s="1"/>
  <c r="F77" i="5"/>
  <c r="C77" i="5"/>
  <c r="AC76" i="5"/>
  <c r="AD76" i="5" s="1"/>
  <c r="AA76" i="5"/>
  <c r="X76" i="5"/>
  <c r="W76" i="5"/>
  <c r="U76" i="5"/>
  <c r="R76" i="5"/>
  <c r="O76" i="5"/>
  <c r="N76" i="5"/>
  <c r="L76" i="5"/>
  <c r="H76" i="5"/>
  <c r="I76" i="5" s="1"/>
  <c r="F76" i="5"/>
  <c r="C76" i="5"/>
  <c r="AC75" i="5"/>
  <c r="AA75" i="5"/>
  <c r="W75" i="5"/>
  <c r="U75" i="5"/>
  <c r="R75" i="5"/>
  <c r="O75" i="5"/>
  <c r="N75" i="5"/>
  <c r="L75" i="5"/>
  <c r="I75" i="5"/>
  <c r="H75" i="5"/>
  <c r="F75" i="5"/>
  <c r="C75" i="5"/>
  <c r="AC73" i="5"/>
  <c r="AD73" i="5" s="1"/>
  <c r="AA73" i="5"/>
  <c r="Z73" i="5"/>
  <c r="T73" i="5"/>
  <c r="U73" i="5" s="1"/>
  <c r="Q73" i="5"/>
  <c r="N73" i="5"/>
  <c r="O73" i="5" s="1"/>
  <c r="L73" i="5"/>
  <c r="K73" i="5"/>
  <c r="E73" i="5"/>
  <c r="F73" i="5" s="1"/>
  <c r="B73" i="5"/>
  <c r="AD72" i="5"/>
  <c r="AC72" i="5"/>
  <c r="AA72" i="5"/>
  <c r="W72" i="5"/>
  <c r="U72" i="5"/>
  <c r="R72" i="5"/>
  <c r="O72" i="5"/>
  <c r="N72" i="5"/>
  <c r="L72" i="5"/>
  <c r="H72" i="5"/>
  <c r="I72" i="5" s="1"/>
  <c r="F72" i="5"/>
  <c r="C72" i="5"/>
  <c r="AC71" i="5"/>
  <c r="AA71" i="5"/>
  <c r="X71" i="5"/>
  <c r="W71" i="5"/>
  <c r="U71" i="5"/>
  <c r="R71" i="5"/>
  <c r="N71" i="5"/>
  <c r="O71" i="5" s="1"/>
  <c r="L71" i="5"/>
  <c r="H71" i="5"/>
  <c r="I71" i="5" s="1"/>
  <c r="F71" i="5"/>
  <c r="C71" i="5"/>
  <c r="AC70" i="5"/>
  <c r="AA70" i="5"/>
  <c r="W70" i="5"/>
  <c r="U70" i="5"/>
  <c r="R70" i="5"/>
  <c r="O70" i="5"/>
  <c r="N70" i="5"/>
  <c r="L70" i="5"/>
  <c r="H70" i="5"/>
  <c r="I70" i="5" s="1"/>
  <c r="F70" i="5"/>
  <c r="C70" i="5"/>
  <c r="AC69" i="5"/>
  <c r="AD69" i="5" s="1"/>
  <c r="AA69" i="5"/>
  <c r="X69" i="5"/>
  <c r="W69" i="5"/>
  <c r="U69" i="5"/>
  <c r="R69" i="5"/>
  <c r="O69" i="5"/>
  <c r="N69" i="5"/>
  <c r="L69" i="5"/>
  <c r="H69" i="5"/>
  <c r="I69" i="5" s="1"/>
  <c r="F69" i="5"/>
  <c r="C69" i="5"/>
  <c r="AC68" i="5"/>
  <c r="AA68" i="5"/>
  <c r="W68" i="5"/>
  <c r="X68" i="5" s="1"/>
  <c r="U68" i="5"/>
  <c r="R68" i="5"/>
  <c r="N68" i="5"/>
  <c r="O68" i="5" s="1"/>
  <c r="L68" i="5"/>
  <c r="I68" i="5"/>
  <c r="H68" i="5"/>
  <c r="F68" i="5"/>
  <c r="C68" i="5"/>
  <c r="AC67" i="5"/>
  <c r="AA67" i="5"/>
  <c r="W67" i="5"/>
  <c r="X67" i="5" s="1"/>
  <c r="U67" i="5"/>
  <c r="R67" i="5"/>
  <c r="O67" i="5"/>
  <c r="N67" i="5"/>
  <c r="L67" i="5"/>
  <c r="I67" i="5"/>
  <c r="H67" i="5"/>
  <c r="F67" i="5"/>
  <c r="C67" i="5"/>
  <c r="AD66" i="5"/>
  <c r="AC66" i="5"/>
  <c r="AA66" i="5"/>
  <c r="W66" i="5"/>
  <c r="X66" i="5" s="1"/>
  <c r="U66" i="5"/>
  <c r="R66" i="5"/>
  <c r="O66" i="5"/>
  <c r="N66" i="5"/>
  <c r="L66" i="5"/>
  <c r="I66" i="5"/>
  <c r="H66" i="5"/>
  <c r="F66" i="5"/>
  <c r="C66" i="5"/>
  <c r="AD65" i="5"/>
  <c r="AC65" i="5"/>
  <c r="AA65" i="5"/>
  <c r="X65" i="5"/>
  <c r="W65" i="5"/>
  <c r="U65" i="5"/>
  <c r="R65" i="5"/>
  <c r="N65" i="5"/>
  <c r="O65" i="5" s="1"/>
  <c r="L65" i="5"/>
  <c r="I65" i="5"/>
  <c r="H65" i="5"/>
  <c r="F65" i="5"/>
  <c r="C65" i="5"/>
  <c r="AC64" i="5"/>
  <c r="AA64" i="5"/>
  <c r="W64" i="5"/>
  <c r="X64" i="5" s="1"/>
  <c r="U64" i="5"/>
  <c r="R64" i="5"/>
  <c r="N64" i="5"/>
  <c r="O64" i="5" s="1"/>
  <c r="L64" i="5"/>
  <c r="H64" i="5"/>
  <c r="I64" i="5" s="1"/>
  <c r="F64" i="5"/>
  <c r="C64" i="5"/>
  <c r="AA62" i="5"/>
  <c r="Z62" i="5"/>
  <c r="U62" i="5"/>
  <c r="T62" i="5"/>
  <c r="W62" i="5" s="1"/>
  <c r="X62" i="5" s="1"/>
  <c r="R62" i="5"/>
  <c r="Q62" i="5"/>
  <c r="AC62" i="5" s="1"/>
  <c r="AD62" i="5" s="1"/>
  <c r="L62" i="5"/>
  <c r="K62" i="5"/>
  <c r="I62" i="5"/>
  <c r="H62" i="5"/>
  <c r="F62" i="5"/>
  <c r="E62" i="5"/>
  <c r="C62" i="5"/>
  <c r="B62" i="5"/>
  <c r="N62" i="5" s="1"/>
  <c r="O62" i="5" s="1"/>
  <c r="AA61" i="5"/>
  <c r="Z61" i="5"/>
  <c r="U61" i="5"/>
  <c r="T61" i="5"/>
  <c r="R61" i="5"/>
  <c r="Q61" i="5"/>
  <c r="L61" i="5"/>
  <c r="K61" i="5"/>
  <c r="E61" i="5"/>
  <c r="F61" i="5" s="1"/>
  <c r="B61" i="5"/>
  <c r="AC60" i="5"/>
  <c r="AA60" i="5"/>
  <c r="W60" i="5"/>
  <c r="X60" i="5" s="1"/>
  <c r="U60" i="5"/>
  <c r="R60" i="5"/>
  <c r="O60" i="5"/>
  <c r="N60" i="5"/>
  <c r="L60" i="5"/>
  <c r="I60" i="5"/>
  <c r="H60" i="5"/>
  <c r="F60" i="5"/>
  <c r="C60" i="5"/>
  <c r="AC59" i="5"/>
  <c r="AD59" i="5" s="1"/>
  <c r="AA59" i="5"/>
  <c r="W59" i="5"/>
  <c r="X59" i="5" s="1"/>
  <c r="U59" i="5"/>
  <c r="R59" i="5"/>
  <c r="O59" i="5"/>
  <c r="N59" i="5"/>
  <c r="L59" i="5"/>
  <c r="I59" i="5"/>
  <c r="H59" i="5"/>
  <c r="F59" i="5"/>
  <c r="C59" i="5"/>
  <c r="AC58" i="5"/>
  <c r="AD58" i="5" s="1"/>
  <c r="AA58" i="5"/>
  <c r="X58" i="5"/>
  <c r="W58" i="5"/>
  <c r="U58" i="5"/>
  <c r="R58" i="5"/>
  <c r="N58" i="5"/>
  <c r="O58" i="5" s="1"/>
  <c r="L58" i="5"/>
  <c r="I58" i="5"/>
  <c r="H58" i="5"/>
  <c r="F58" i="5"/>
  <c r="C58" i="5"/>
  <c r="AC57" i="5"/>
  <c r="AA57" i="5"/>
  <c r="W57" i="5"/>
  <c r="X57" i="5" s="1"/>
  <c r="U57" i="5"/>
  <c r="R57" i="5"/>
  <c r="N57" i="5"/>
  <c r="O57" i="5" s="1"/>
  <c r="L57" i="5"/>
  <c r="H57" i="5"/>
  <c r="I57" i="5" s="1"/>
  <c r="F57" i="5"/>
  <c r="C57" i="5"/>
  <c r="AC56" i="5"/>
  <c r="AA56" i="5"/>
  <c r="W56" i="5"/>
  <c r="X56" i="5" s="1"/>
  <c r="U56" i="5"/>
  <c r="R56" i="5"/>
  <c r="O56" i="5"/>
  <c r="N56" i="5"/>
  <c r="L56" i="5"/>
  <c r="I56" i="5"/>
  <c r="H56" i="5"/>
  <c r="F56" i="5"/>
  <c r="C56" i="5"/>
  <c r="AC55" i="5"/>
  <c r="AD55" i="5" s="1"/>
  <c r="AA55" i="5"/>
  <c r="W55" i="5"/>
  <c r="X55" i="5" s="1"/>
  <c r="U55" i="5"/>
  <c r="R55" i="5"/>
  <c r="N55" i="5"/>
  <c r="O55" i="5" s="1"/>
  <c r="L55" i="5"/>
  <c r="I55" i="5"/>
  <c r="H55" i="5"/>
  <c r="F55" i="5"/>
  <c r="C55" i="5"/>
  <c r="AC54" i="5"/>
  <c r="AD54" i="5" s="1"/>
  <c r="AA54" i="5"/>
  <c r="X54" i="5"/>
  <c r="W54" i="5"/>
  <c r="U54" i="5"/>
  <c r="R54" i="5"/>
  <c r="N54" i="5"/>
  <c r="O54" i="5" s="1"/>
  <c r="L54" i="5"/>
  <c r="I54" i="5"/>
  <c r="H54" i="5"/>
  <c r="F54" i="5"/>
  <c r="C54" i="5"/>
  <c r="AC53" i="5"/>
  <c r="AA53" i="5"/>
  <c r="X53" i="5"/>
  <c r="W53" i="5"/>
  <c r="U53" i="5"/>
  <c r="R53" i="5"/>
  <c r="N53" i="5"/>
  <c r="O53" i="5" s="1"/>
  <c r="L53" i="5"/>
  <c r="H53" i="5"/>
  <c r="I53" i="5" s="1"/>
  <c r="F53" i="5"/>
  <c r="C53" i="5"/>
  <c r="AC52" i="5"/>
  <c r="AA52" i="5"/>
  <c r="W52" i="5"/>
  <c r="X52" i="5" s="1"/>
  <c r="U52" i="5"/>
  <c r="R52" i="5"/>
  <c r="O52" i="5"/>
  <c r="N52" i="5"/>
  <c r="L52" i="5"/>
  <c r="I52" i="5"/>
  <c r="H52" i="5"/>
  <c r="F52" i="5"/>
  <c r="C52" i="5"/>
  <c r="AC51" i="5"/>
  <c r="AD51" i="5" s="1"/>
  <c r="AA51" i="5"/>
  <c r="W51" i="5"/>
  <c r="X51" i="5" s="1"/>
  <c r="U51" i="5"/>
  <c r="R51" i="5"/>
  <c r="O51" i="5"/>
  <c r="N51" i="5"/>
  <c r="L51" i="5"/>
  <c r="I51" i="5"/>
  <c r="H51" i="5"/>
  <c r="F51" i="5"/>
  <c r="C51" i="5"/>
  <c r="AD50" i="5"/>
  <c r="AC50" i="5"/>
  <c r="AA50" i="5"/>
  <c r="X50" i="5"/>
  <c r="W50" i="5"/>
  <c r="U50" i="5"/>
  <c r="R50" i="5"/>
  <c r="N50" i="5"/>
  <c r="O50" i="5" s="1"/>
  <c r="L50" i="5"/>
  <c r="I50" i="5"/>
  <c r="H50" i="5"/>
  <c r="F50" i="5"/>
  <c r="C50" i="5"/>
  <c r="AC49" i="5"/>
  <c r="AA49" i="5"/>
  <c r="W49" i="5"/>
  <c r="X49" i="5" s="1"/>
  <c r="U49" i="5"/>
  <c r="R49" i="5"/>
  <c r="N49" i="5"/>
  <c r="O49" i="5" s="1"/>
  <c r="L49" i="5"/>
  <c r="I49" i="5"/>
  <c r="H49" i="5"/>
  <c r="F49" i="5"/>
  <c r="C49" i="5"/>
  <c r="AC48" i="5"/>
  <c r="AA48" i="5"/>
  <c r="W48" i="5"/>
  <c r="X48" i="5" s="1"/>
  <c r="U48" i="5"/>
  <c r="R48" i="5"/>
  <c r="O48" i="5"/>
  <c r="N48" i="5"/>
  <c r="L48" i="5"/>
  <c r="I48" i="5"/>
  <c r="H48" i="5"/>
  <c r="F48" i="5"/>
  <c r="C48" i="5"/>
  <c r="AD47" i="5"/>
  <c r="AC47" i="5"/>
  <c r="AA47" i="5"/>
  <c r="W47" i="5"/>
  <c r="X47" i="5" s="1"/>
  <c r="U47" i="5"/>
  <c r="R47" i="5"/>
  <c r="O47" i="5"/>
  <c r="N47" i="5"/>
  <c r="L47" i="5"/>
  <c r="I47" i="5"/>
  <c r="H47" i="5"/>
  <c r="F47" i="5"/>
  <c r="C47" i="5"/>
  <c r="AD46" i="5"/>
  <c r="AC46" i="5"/>
  <c r="AA46" i="5"/>
  <c r="X46" i="5"/>
  <c r="W46" i="5"/>
  <c r="U46" i="5"/>
  <c r="R46" i="5"/>
  <c r="N46" i="5"/>
  <c r="O46" i="5" s="1"/>
  <c r="L46" i="5"/>
  <c r="I46" i="5"/>
  <c r="H46" i="5"/>
  <c r="F46" i="5"/>
  <c r="C46" i="5"/>
  <c r="AC44" i="5"/>
  <c r="AA44" i="5"/>
  <c r="X44" i="5"/>
  <c r="W44" i="5"/>
  <c r="U44" i="5"/>
  <c r="R44" i="5"/>
  <c r="N44" i="5"/>
  <c r="O44" i="5" s="1"/>
  <c r="L44" i="5"/>
  <c r="H44" i="5"/>
  <c r="I44" i="5" s="1"/>
  <c r="F44" i="5"/>
  <c r="C44" i="5"/>
  <c r="AC43" i="5"/>
  <c r="AA43" i="5"/>
  <c r="W43" i="5"/>
  <c r="X43" i="5" s="1"/>
  <c r="U43" i="5"/>
  <c r="R43" i="5"/>
  <c r="O43" i="5"/>
  <c r="N43" i="5"/>
  <c r="L43" i="5"/>
  <c r="I43" i="5"/>
  <c r="H43" i="5"/>
  <c r="F43" i="5"/>
  <c r="C43" i="5"/>
  <c r="AC42" i="5"/>
  <c r="AD42" i="5" s="1"/>
  <c r="AA42" i="5"/>
  <c r="W42" i="5"/>
  <c r="X42" i="5" s="1"/>
  <c r="U42" i="5"/>
  <c r="R42" i="5"/>
  <c r="O42" i="5"/>
  <c r="N42" i="5"/>
  <c r="L42" i="5"/>
  <c r="I42" i="5"/>
  <c r="H42" i="5"/>
  <c r="F42" i="5"/>
  <c r="C42" i="5"/>
  <c r="Z40" i="5"/>
  <c r="U40" i="5"/>
  <c r="T40" i="5"/>
  <c r="R40" i="5"/>
  <c r="Q40" i="5"/>
  <c r="W40" i="5" s="1"/>
  <c r="X40" i="5" s="1"/>
  <c r="N40" i="5"/>
  <c r="O40" i="5" s="1"/>
  <c r="L40" i="5"/>
  <c r="K40" i="5"/>
  <c r="E40" i="5"/>
  <c r="F40" i="5" s="1"/>
  <c r="C40" i="5"/>
  <c r="B40" i="5"/>
  <c r="AC39" i="5"/>
  <c r="AA39" i="5"/>
  <c r="W39" i="5"/>
  <c r="X39" i="5" s="1"/>
  <c r="U39" i="5"/>
  <c r="R39" i="5"/>
  <c r="O39" i="5"/>
  <c r="N39" i="5"/>
  <c r="L39" i="5"/>
  <c r="I39" i="5"/>
  <c r="H39" i="5"/>
  <c r="F39" i="5"/>
  <c r="C39" i="5"/>
  <c r="AC38" i="5"/>
  <c r="AD38" i="5" s="1"/>
  <c r="AA38" i="5"/>
  <c r="W38" i="5"/>
  <c r="X38" i="5" s="1"/>
  <c r="U38" i="5"/>
  <c r="R38" i="5"/>
  <c r="N38" i="5"/>
  <c r="O38" i="5" s="1"/>
  <c r="L38" i="5"/>
  <c r="I38" i="5"/>
  <c r="H38" i="5"/>
  <c r="F38" i="5"/>
  <c r="C38" i="5"/>
  <c r="AD37" i="5"/>
  <c r="AC37" i="5"/>
  <c r="AA37" i="5"/>
  <c r="X37" i="5"/>
  <c r="W37" i="5"/>
  <c r="U37" i="5"/>
  <c r="R37" i="5"/>
  <c r="N37" i="5"/>
  <c r="O37" i="5" s="1"/>
  <c r="L37" i="5"/>
  <c r="H37" i="5"/>
  <c r="I37" i="5" s="1"/>
  <c r="F37" i="5"/>
  <c r="C37" i="5"/>
  <c r="AC36" i="5"/>
  <c r="AA36" i="5"/>
  <c r="W36" i="5"/>
  <c r="X36" i="5" s="1"/>
  <c r="U36" i="5"/>
  <c r="R36" i="5"/>
  <c r="N36" i="5"/>
  <c r="O36" i="5" s="1"/>
  <c r="L36" i="5"/>
  <c r="I36" i="5"/>
  <c r="H36" i="5"/>
  <c r="F36" i="5"/>
  <c r="C36" i="5"/>
  <c r="AC35" i="5"/>
  <c r="AA35" i="5"/>
  <c r="W35" i="5"/>
  <c r="X35" i="5" s="1"/>
  <c r="U35" i="5"/>
  <c r="R35" i="5"/>
  <c r="O35" i="5"/>
  <c r="N35" i="5"/>
  <c r="L35" i="5"/>
  <c r="I35" i="5"/>
  <c r="H35" i="5"/>
  <c r="F35" i="5"/>
  <c r="C35" i="5"/>
  <c r="AD34" i="5"/>
  <c r="AC34" i="5"/>
  <c r="AA34" i="5"/>
  <c r="W34" i="5"/>
  <c r="X34" i="5" s="1"/>
  <c r="U34" i="5"/>
  <c r="R34" i="5"/>
  <c r="O34" i="5"/>
  <c r="N34" i="5"/>
  <c r="L34" i="5"/>
  <c r="I34" i="5"/>
  <c r="H34" i="5"/>
  <c r="F34" i="5"/>
  <c r="C34" i="5"/>
  <c r="AD33" i="5"/>
  <c r="AC33" i="5"/>
  <c r="AA33" i="5"/>
  <c r="X33" i="5"/>
  <c r="W33" i="5"/>
  <c r="U33" i="5"/>
  <c r="R33" i="5"/>
  <c r="N33" i="5"/>
  <c r="O33" i="5" s="1"/>
  <c r="L33" i="5"/>
  <c r="I33" i="5"/>
  <c r="H33" i="5"/>
  <c r="F33" i="5"/>
  <c r="C33" i="5"/>
  <c r="AC32" i="5"/>
  <c r="AA32" i="5"/>
  <c r="W32" i="5"/>
  <c r="X32" i="5" s="1"/>
  <c r="U32" i="5"/>
  <c r="R32" i="5"/>
  <c r="N32" i="5"/>
  <c r="O32" i="5" s="1"/>
  <c r="L32" i="5"/>
  <c r="H32" i="5"/>
  <c r="I32" i="5" s="1"/>
  <c r="F32" i="5"/>
  <c r="C32" i="5"/>
  <c r="AC31" i="5"/>
  <c r="AA31" i="5"/>
  <c r="W31" i="5"/>
  <c r="X31" i="5" s="1"/>
  <c r="U31" i="5"/>
  <c r="R31" i="5"/>
  <c r="O31" i="5"/>
  <c r="N31" i="5"/>
  <c r="L31" i="5"/>
  <c r="I31" i="5"/>
  <c r="H31" i="5"/>
  <c r="F31" i="5"/>
  <c r="C31" i="5"/>
  <c r="AC29" i="5"/>
  <c r="AD29" i="5" s="1"/>
  <c r="AA29" i="5"/>
  <c r="Z29" i="5"/>
  <c r="U29" i="5"/>
  <c r="T29" i="5"/>
  <c r="R29" i="5"/>
  <c r="Q29" i="5"/>
  <c r="L29" i="5"/>
  <c r="K29" i="5"/>
  <c r="E29" i="5"/>
  <c r="H29" i="5" s="1"/>
  <c r="I29" i="5" s="1"/>
  <c r="C29" i="5"/>
  <c r="B29" i="5"/>
  <c r="N29" i="5" s="1"/>
  <c r="O29" i="5" s="1"/>
  <c r="AC28" i="5"/>
  <c r="AA28" i="5"/>
  <c r="W28" i="5"/>
  <c r="X28" i="5" s="1"/>
  <c r="U28" i="5"/>
  <c r="R28" i="5"/>
  <c r="N28" i="5"/>
  <c r="O28" i="5" s="1"/>
  <c r="L28" i="5"/>
  <c r="H28" i="5"/>
  <c r="I28" i="5" s="1"/>
  <c r="F28" i="5"/>
  <c r="C28" i="5"/>
  <c r="AC27" i="5"/>
  <c r="AA27" i="5"/>
  <c r="W27" i="5"/>
  <c r="X27" i="5" s="1"/>
  <c r="U27" i="5"/>
  <c r="R27" i="5"/>
  <c r="O27" i="5"/>
  <c r="N27" i="5"/>
  <c r="L27" i="5"/>
  <c r="I27" i="5"/>
  <c r="H27" i="5"/>
  <c r="F27" i="5"/>
  <c r="C27" i="5"/>
  <c r="AC26" i="5"/>
  <c r="AD26" i="5" s="1"/>
  <c r="AA26" i="5"/>
  <c r="W26" i="5"/>
  <c r="X26" i="5" s="1"/>
  <c r="U26" i="5"/>
  <c r="R26" i="5"/>
  <c r="O26" i="5"/>
  <c r="N26" i="5"/>
  <c r="L26" i="5"/>
  <c r="I26" i="5"/>
  <c r="H26" i="5"/>
  <c r="F26" i="5"/>
  <c r="C26" i="5"/>
  <c r="AD25" i="5"/>
  <c r="AC25" i="5"/>
  <c r="AA25" i="5"/>
  <c r="X25" i="5"/>
  <c r="W25" i="5"/>
  <c r="U25" i="5"/>
  <c r="R25" i="5"/>
  <c r="N25" i="5"/>
  <c r="O25" i="5" s="1"/>
  <c r="L25" i="5"/>
  <c r="I25" i="5"/>
  <c r="H25" i="5"/>
  <c r="F25" i="5"/>
  <c r="C25" i="5"/>
  <c r="AC24" i="5"/>
  <c r="AA24" i="5"/>
  <c r="W24" i="5"/>
  <c r="X24" i="5" s="1"/>
  <c r="U24" i="5"/>
  <c r="R24" i="5"/>
  <c r="N24" i="5"/>
  <c r="O24" i="5" s="1"/>
  <c r="L24" i="5"/>
  <c r="H24" i="5"/>
  <c r="I24" i="5" s="1"/>
  <c r="F24" i="5"/>
  <c r="C24" i="5"/>
  <c r="AC23" i="5"/>
  <c r="AA23" i="5"/>
  <c r="W23" i="5"/>
  <c r="X23" i="5" s="1"/>
  <c r="U23" i="5"/>
  <c r="R23" i="5"/>
  <c r="O23" i="5"/>
  <c r="N23" i="5"/>
  <c r="L23" i="5"/>
  <c r="I23" i="5"/>
  <c r="H23" i="5"/>
  <c r="F23" i="5"/>
  <c r="C23" i="5"/>
  <c r="AC22" i="5"/>
  <c r="AD22" i="5" s="1"/>
  <c r="AA22" i="5"/>
  <c r="W22" i="5"/>
  <c r="X22" i="5" s="1"/>
  <c r="U22" i="5"/>
  <c r="R22" i="5"/>
  <c r="N22" i="5"/>
  <c r="O22" i="5" s="1"/>
  <c r="L22" i="5"/>
  <c r="I22" i="5"/>
  <c r="H22" i="5"/>
  <c r="F22" i="5"/>
  <c r="C22" i="5"/>
  <c r="AD21" i="5"/>
  <c r="AC21" i="5"/>
  <c r="AA21" i="5"/>
  <c r="X21" i="5"/>
  <c r="W21" i="5"/>
  <c r="U21" i="5"/>
  <c r="R21" i="5"/>
  <c r="N21" i="5"/>
  <c r="O21" i="5" s="1"/>
  <c r="L21" i="5"/>
  <c r="H21" i="5"/>
  <c r="I21" i="5" s="1"/>
  <c r="F21" i="5"/>
  <c r="C21" i="5"/>
  <c r="AC19" i="5"/>
  <c r="AA19" i="5"/>
  <c r="X19" i="5"/>
  <c r="W19" i="5"/>
  <c r="U19" i="5"/>
  <c r="R19" i="5"/>
  <c r="N19" i="5"/>
  <c r="O19" i="5" s="1"/>
  <c r="L19" i="5"/>
  <c r="H19" i="5"/>
  <c r="I19" i="5" s="1"/>
  <c r="F19" i="5"/>
  <c r="C19" i="5"/>
  <c r="AA18" i="5"/>
  <c r="Z18" i="5"/>
  <c r="T18" i="5"/>
  <c r="W18" i="5" s="1"/>
  <c r="X18" i="5" s="1"/>
  <c r="R18" i="5"/>
  <c r="Q18" i="5"/>
  <c r="AC18" i="5" s="1"/>
  <c r="AD18" i="5" s="1"/>
  <c r="K18" i="5"/>
  <c r="L18" i="5" s="1"/>
  <c r="H18" i="5"/>
  <c r="I18" i="5" s="1"/>
  <c r="F18" i="5"/>
  <c r="E18" i="5"/>
  <c r="C18" i="5"/>
  <c r="B18" i="5"/>
  <c r="AC17" i="5"/>
  <c r="AD17" i="5" s="1"/>
  <c r="AA17" i="5"/>
  <c r="X17" i="5"/>
  <c r="W17" i="5"/>
  <c r="U17" i="5"/>
  <c r="R17" i="5"/>
  <c r="N17" i="5"/>
  <c r="O17" i="5" s="1"/>
  <c r="L17" i="5"/>
  <c r="I17" i="5"/>
  <c r="H17" i="5"/>
  <c r="F17" i="5"/>
  <c r="C17" i="5"/>
  <c r="AC16" i="5"/>
  <c r="AA16" i="5"/>
  <c r="X16" i="5"/>
  <c r="W16" i="5"/>
  <c r="U16" i="5"/>
  <c r="R16" i="5"/>
  <c r="N16" i="5"/>
  <c r="O16" i="5" s="1"/>
  <c r="L16" i="5"/>
  <c r="I16" i="5"/>
  <c r="H16" i="5"/>
  <c r="F16" i="5"/>
  <c r="C16" i="5"/>
  <c r="AC15" i="5"/>
  <c r="AA15" i="5"/>
  <c r="W15" i="5"/>
  <c r="X15" i="5" s="1"/>
  <c r="U15" i="5"/>
  <c r="R15" i="5"/>
  <c r="O15" i="5"/>
  <c r="N15" i="5"/>
  <c r="L15" i="5"/>
  <c r="I15" i="5"/>
  <c r="H15" i="5"/>
  <c r="F15" i="5"/>
  <c r="C15" i="5"/>
  <c r="AD14" i="5"/>
  <c r="AC14" i="5"/>
  <c r="AA14" i="5"/>
  <c r="W14" i="5"/>
  <c r="X14" i="5" s="1"/>
  <c r="U14" i="5"/>
  <c r="R14" i="5"/>
  <c r="O14" i="5"/>
  <c r="N14" i="5"/>
  <c r="L14" i="5"/>
  <c r="I14" i="5"/>
  <c r="H14" i="5"/>
  <c r="F14" i="5"/>
  <c r="C14" i="5"/>
  <c r="AC13" i="5"/>
  <c r="AD13" i="5" s="1"/>
  <c r="AA13" i="5"/>
  <c r="X13" i="5"/>
  <c r="W13" i="5"/>
  <c r="U13" i="5"/>
  <c r="R13" i="5"/>
  <c r="N13" i="5"/>
  <c r="O13" i="5" s="1"/>
  <c r="L13" i="5"/>
  <c r="I13" i="5"/>
  <c r="H13" i="5"/>
  <c r="F13" i="5"/>
  <c r="C13" i="5"/>
  <c r="AC12" i="5"/>
  <c r="AA12" i="5"/>
  <c r="X12" i="5"/>
  <c r="W12" i="5"/>
  <c r="U12" i="5"/>
  <c r="R12" i="5"/>
  <c r="N12" i="5"/>
  <c r="O12" i="5" s="1"/>
  <c r="L12" i="5"/>
  <c r="I12" i="5"/>
  <c r="H12" i="5"/>
  <c r="F12" i="5"/>
  <c r="C12" i="5"/>
  <c r="AC11" i="5"/>
  <c r="AA11" i="5"/>
  <c r="W11" i="5"/>
  <c r="X11" i="5" s="1"/>
  <c r="U11" i="5"/>
  <c r="R11" i="5"/>
  <c r="O11" i="5"/>
  <c r="N11" i="5"/>
  <c r="L11" i="5"/>
  <c r="I11" i="5"/>
  <c r="H11" i="5"/>
  <c r="F11" i="5"/>
  <c r="C11" i="5"/>
  <c r="AD10" i="5"/>
  <c r="AC10" i="5"/>
  <c r="AA10" i="5"/>
  <c r="W10" i="5"/>
  <c r="X10" i="5" s="1"/>
  <c r="U10" i="5"/>
  <c r="R10" i="5"/>
  <c r="N10" i="5"/>
  <c r="O10" i="5" s="1"/>
  <c r="L10" i="5"/>
  <c r="I10" i="5"/>
  <c r="H10" i="5"/>
  <c r="F10" i="5"/>
  <c r="C10" i="5"/>
  <c r="AD8" i="5"/>
  <c r="AC8" i="5"/>
  <c r="AA8" i="5"/>
  <c r="X8" i="5"/>
  <c r="W8" i="5"/>
  <c r="U8" i="5"/>
  <c r="R8" i="5"/>
  <c r="N8" i="5"/>
  <c r="O8" i="5" s="1"/>
  <c r="L8" i="5"/>
  <c r="H8" i="5"/>
  <c r="I8" i="5" s="1"/>
  <c r="F8" i="5"/>
  <c r="C8" i="5"/>
  <c r="AC444" i="4"/>
  <c r="AD439" i="4" s="1"/>
  <c r="W444" i="4"/>
  <c r="N444" i="4"/>
  <c r="O280" i="4" s="1"/>
  <c r="H444" i="4"/>
  <c r="AA442" i="4"/>
  <c r="Z442" i="4"/>
  <c r="X442" i="4"/>
  <c r="W442" i="4"/>
  <c r="U442" i="4"/>
  <c r="T442" i="4"/>
  <c r="R442" i="4"/>
  <c r="Q442" i="4"/>
  <c r="AC442" i="4" s="1"/>
  <c r="AD442" i="4" s="1"/>
  <c r="L442" i="4"/>
  <c r="K442" i="4"/>
  <c r="F442" i="4"/>
  <c r="E442" i="4"/>
  <c r="B442" i="4"/>
  <c r="AA441" i="4"/>
  <c r="Z441" i="4"/>
  <c r="U441" i="4"/>
  <c r="T441" i="4"/>
  <c r="Q441" i="4"/>
  <c r="L441" i="4"/>
  <c r="K441" i="4"/>
  <c r="E441" i="4"/>
  <c r="H441" i="4" s="1"/>
  <c r="I441" i="4" s="1"/>
  <c r="C441" i="4"/>
  <c r="B441" i="4"/>
  <c r="N441" i="4" s="1"/>
  <c r="AD440" i="4"/>
  <c r="AC440" i="4"/>
  <c r="AA440" i="4"/>
  <c r="W440" i="4"/>
  <c r="X440" i="4" s="1"/>
  <c r="U440" i="4"/>
  <c r="R440" i="4"/>
  <c r="N440" i="4"/>
  <c r="L440" i="4"/>
  <c r="H440" i="4"/>
  <c r="F440" i="4"/>
  <c r="C440" i="4"/>
  <c r="AC439" i="4"/>
  <c r="AA439" i="4"/>
  <c r="W439" i="4"/>
  <c r="X439" i="4" s="1"/>
  <c r="U439" i="4"/>
  <c r="R439" i="4"/>
  <c r="N439" i="4"/>
  <c r="L439" i="4"/>
  <c r="H439" i="4"/>
  <c r="F439" i="4"/>
  <c r="C439" i="4"/>
  <c r="AD438" i="4"/>
  <c r="AC438" i="4"/>
  <c r="AA438" i="4"/>
  <c r="W438" i="4"/>
  <c r="X438" i="4" s="1"/>
  <c r="U438" i="4"/>
  <c r="R438" i="4"/>
  <c r="N438" i="4"/>
  <c r="L438" i="4"/>
  <c r="H438" i="4"/>
  <c r="F438" i="4"/>
  <c r="C438" i="4"/>
  <c r="AD437" i="4"/>
  <c r="AC437" i="4"/>
  <c r="AA437" i="4"/>
  <c r="X437" i="4"/>
  <c r="W437" i="4"/>
  <c r="U437" i="4"/>
  <c r="R437" i="4"/>
  <c r="N437" i="4"/>
  <c r="L437" i="4"/>
  <c r="H437" i="4"/>
  <c r="I437" i="4" s="1"/>
  <c r="F437" i="4"/>
  <c r="C437" i="4"/>
  <c r="AD436" i="4"/>
  <c r="AC436" i="4"/>
  <c r="AA436" i="4"/>
  <c r="X436" i="4"/>
  <c r="W436" i="4"/>
  <c r="U436" i="4"/>
  <c r="R436" i="4"/>
  <c r="N436" i="4"/>
  <c r="L436" i="4"/>
  <c r="H436" i="4"/>
  <c r="F436" i="4"/>
  <c r="C436" i="4"/>
  <c r="AC435" i="4"/>
  <c r="AA435" i="4"/>
  <c r="W435" i="4"/>
  <c r="X435" i="4" s="1"/>
  <c r="U435" i="4"/>
  <c r="R435" i="4"/>
  <c r="N435" i="4"/>
  <c r="L435" i="4"/>
  <c r="H435" i="4"/>
  <c r="F435" i="4"/>
  <c r="C435" i="4"/>
  <c r="AC434" i="4"/>
  <c r="AD434" i="4" s="1"/>
  <c r="AA434" i="4"/>
  <c r="W434" i="4"/>
  <c r="X434" i="4" s="1"/>
  <c r="U434" i="4"/>
  <c r="R434" i="4"/>
  <c r="N434" i="4"/>
  <c r="L434" i="4"/>
  <c r="H434" i="4"/>
  <c r="F434" i="4"/>
  <c r="C434" i="4"/>
  <c r="AD433" i="4"/>
  <c r="AC433" i="4"/>
  <c r="AA433" i="4"/>
  <c r="X433" i="4"/>
  <c r="W433" i="4"/>
  <c r="U433" i="4"/>
  <c r="R433" i="4"/>
  <c r="N433" i="4"/>
  <c r="L433" i="4"/>
  <c r="H433" i="4"/>
  <c r="I433" i="4" s="1"/>
  <c r="F433" i="4"/>
  <c r="C433" i="4"/>
  <c r="AD432" i="4"/>
  <c r="AC432" i="4"/>
  <c r="AA432" i="4"/>
  <c r="X432" i="4"/>
  <c r="W432" i="4"/>
  <c r="U432" i="4"/>
  <c r="R432" i="4"/>
  <c r="N432" i="4"/>
  <c r="L432" i="4"/>
  <c r="H432" i="4"/>
  <c r="I432" i="4" s="1"/>
  <c r="F432" i="4"/>
  <c r="C432" i="4"/>
  <c r="AA429" i="4"/>
  <c r="Z429" i="4"/>
  <c r="T429" i="4"/>
  <c r="R429" i="4"/>
  <c r="Q429" i="4"/>
  <c r="AC429" i="4" s="1"/>
  <c r="AD429" i="4" s="1"/>
  <c r="L429" i="4"/>
  <c r="K429" i="4"/>
  <c r="H429" i="4"/>
  <c r="I429" i="4" s="1"/>
  <c r="F429" i="4"/>
  <c r="E429" i="4"/>
  <c r="C429" i="4"/>
  <c r="B429" i="4"/>
  <c r="N429" i="4" s="1"/>
  <c r="Z428" i="4"/>
  <c r="AA428" i="4" s="1"/>
  <c r="U428" i="4"/>
  <c r="T428" i="4"/>
  <c r="Q428" i="4"/>
  <c r="L428" i="4"/>
  <c r="K428" i="4"/>
  <c r="E428" i="4"/>
  <c r="F428" i="4" s="1"/>
  <c r="C428" i="4"/>
  <c r="B428" i="4"/>
  <c r="AC427" i="4"/>
  <c r="AA427" i="4"/>
  <c r="W427" i="4"/>
  <c r="X427" i="4" s="1"/>
  <c r="U427" i="4"/>
  <c r="R427" i="4"/>
  <c r="N427" i="4"/>
  <c r="L427" i="4"/>
  <c r="H427" i="4"/>
  <c r="F427" i="4"/>
  <c r="C427" i="4"/>
  <c r="AD426" i="4"/>
  <c r="AC426" i="4"/>
  <c r="AA426" i="4"/>
  <c r="W426" i="4"/>
  <c r="X426" i="4" s="1"/>
  <c r="U426" i="4"/>
  <c r="R426" i="4"/>
  <c r="N426" i="4"/>
  <c r="L426" i="4"/>
  <c r="H426" i="4"/>
  <c r="F426" i="4"/>
  <c r="C426" i="4"/>
  <c r="AD425" i="4"/>
  <c r="AC425" i="4"/>
  <c r="AA425" i="4"/>
  <c r="X425" i="4"/>
  <c r="W425" i="4"/>
  <c r="U425" i="4"/>
  <c r="R425" i="4"/>
  <c r="N425" i="4"/>
  <c r="L425" i="4"/>
  <c r="I425" i="4"/>
  <c r="H425" i="4"/>
  <c r="F425" i="4"/>
  <c r="C425" i="4"/>
  <c r="AD424" i="4"/>
  <c r="AC424" i="4"/>
  <c r="AA424" i="4"/>
  <c r="X424" i="4"/>
  <c r="W424" i="4"/>
  <c r="U424" i="4"/>
  <c r="R424" i="4"/>
  <c r="N424" i="4"/>
  <c r="L424" i="4"/>
  <c r="H424" i="4"/>
  <c r="I424" i="4" s="1"/>
  <c r="F424" i="4"/>
  <c r="C424" i="4"/>
  <c r="AC423" i="4"/>
  <c r="AA423" i="4"/>
  <c r="W423" i="4"/>
  <c r="X423" i="4" s="1"/>
  <c r="U423" i="4"/>
  <c r="R423" i="4"/>
  <c r="N423" i="4"/>
  <c r="L423" i="4"/>
  <c r="H423" i="4"/>
  <c r="F423" i="4"/>
  <c r="C423" i="4"/>
  <c r="AC422" i="4"/>
  <c r="AD422" i="4" s="1"/>
  <c r="AA422" i="4"/>
  <c r="W422" i="4"/>
  <c r="X422" i="4" s="1"/>
  <c r="U422" i="4"/>
  <c r="R422" i="4"/>
  <c r="N422" i="4"/>
  <c r="L422" i="4"/>
  <c r="H422" i="4"/>
  <c r="F422" i="4"/>
  <c r="C422" i="4"/>
  <c r="AD421" i="4"/>
  <c r="AC421" i="4"/>
  <c r="AA421" i="4"/>
  <c r="X421" i="4"/>
  <c r="W421" i="4"/>
  <c r="U421" i="4"/>
  <c r="R421" i="4"/>
  <c r="N421" i="4"/>
  <c r="L421" i="4"/>
  <c r="H421" i="4"/>
  <c r="F421" i="4"/>
  <c r="C421" i="4"/>
  <c r="AD420" i="4"/>
  <c r="AC420" i="4"/>
  <c r="AA420" i="4"/>
  <c r="X420" i="4"/>
  <c r="W420" i="4"/>
  <c r="U420" i="4"/>
  <c r="R420" i="4"/>
  <c r="N420" i="4"/>
  <c r="L420" i="4"/>
  <c r="H420" i="4"/>
  <c r="I420" i="4" s="1"/>
  <c r="F420" i="4"/>
  <c r="C420" i="4"/>
  <c r="AC419" i="4"/>
  <c r="AA419" i="4"/>
  <c r="W419" i="4"/>
  <c r="X419" i="4" s="1"/>
  <c r="U419" i="4"/>
  <c r="R419" i="4"/>
  <c r="O419" i="4"/>
  <c r="N419" i="4"/>
  <c r="L419" i="4"/>
  <c r="H419" i="4"/>
  <c r="F419" i="4"/>
  <c r="C419" i="4"/>
  <c r="AD418" i="4"/>
  <c r="AC418" i="4"/>
  <c r="AA418" i="4"/>
  <c r="W418" i="4"/>
  <c r="X418" i="4" s="1"/>
  <c r="U418" i="4"/>
  <c r="R418" i="4"/>
  <c r="N418" i="4"/>
  <c r="L418" i="4"/>
  <c r="H418" i="4"/>
  <c r="F418" i="4"/>
  <c r="C418" i="4"/>
  <c r="AD417" i="4"/>
  <c r="AC417" i="4"/>
  <c r="AA417" i="4"/>
  <c r="X417" i="4"/>
  <c r="W417" i="4"/>
  <c r="U417" i="4"/>
  <c r="R417" i="4"/>
  <c r="N417" i="4"/>
  <c r="O417" i="4" s="1"/>
  <c r="L417" i="4"/>
  <c r="H417" i="4"/>
  <c r="I417" i="4" s="1"/>
  <c r="F417" i="4"/>
  <c r="C417" i="4"/>
  <c r="AD416" i="4"/>
  <c r="AC416" i="4"/>
  <c r="AA416" i="4"/>
  <c r="X416" i="4"/>
  <c r="W416" i="4"/>
  <c r="U416" i="4"/>
  <c r="R416" i="4"/>
  <c r="N416" i="4"/>
  <c r="L416" i="4"/>
  <c r="I416" i="4"/>
  <c r="H416" i="4"/>
  <c r="F416" i="4"/>
  <c r="C416" i="4"/>
  <c r="AC415" i="4"/>
  <c r="AA415" i="4"/>
  <c r="W415" i="4"/>
  <c r="X415" i="4" s="1"/>
  <c r="U415" i="4"/>
  <c r="R415" i="4"/>
  <c r="N415" i="4"/>
  <c r="L415" i="4"/>
  <c r="H415" i="4"/>
  <c r="F415" i="4"/>
  <c r="C415" i="4"/>
  <c r="AC414" i="4"/>
  <c r="AD414" i="4" s="1"/>
  <c r="AA414" i="4"/>
  <c r="W414" i="4"/>
  <c r="X414" i="4" s="1"/>
  <c r="U414" i="4"/>
  <c r="R414" i="4"/>
  <c r="N414" i="4"/>
  <c r="L414" i="4"/>
  <c r="H414" i="4"/>
  <c r="F414" i="4"/>
  <c r="C414" i="4"/>
  <c r="AC413" i="4"/>
  <c r="AD413" i="4" s="1"/>
  <c r="AA413" i="4"/>
  <c r="X413" i="4"/>
  <c r="W413" i="4"/>
  <c r="U413" i="4"/>
  <c r="R413" i="4"/>
  <c r="N413" i="4"/>
  <c r="L413" i="4"/>
  <c r="H413" i="4"/>
  <c r="F413" i="4"/>
  <c r="C413" i="4"/>
  <c r="AD412" i="4"/>
  <c r="AC412" i="4"/>
  <c r="AA412" i="4"/>
  <c r="W412" i="4"/>
  <c r="X412" i="4" s="1"/>
  <c r="U412" i="4"/>
  <c r="R412" i="4"/>
  <c r="N412" i="4"/>
  <c r="O412" i="4" s="1"/>
  <c r="L412" i="4"/>
  <c r="I412" i="4"/>
  <c r="H412" i="4"/>
  <c r="F412" i="4"/>
  <c r="C412" i="4"/>
  <c r="AC411" i="4"/>
  <c r="AA411" i="4"/>
  <c r="W411" i="4"/>
  <c r="X411" i="4" s="1"/>
  <c r="U411" i="4"/>
  <c r="R411" i="4"/>
  <c r="N411" i="4"/>
  <c r="L411" i="4"/>
  <c r="H411" i="4"/>
  <c r="F411" i="4"/>
  <c r="C411" i="4"/>
  <c r="AC410" i="4"/>
  <c r="AD410" i="4" s="1"/>
  <c r="AA410" i="4"/>
  <c r="W410" i="4"/>
  <c r="X410" i="4" s="1"/>
  <c r="U410" i="4"/>
  <c r="R410" i="4"/>
  <c r="N410" i="4"/>
  <c r="L410" i="4"/>
  <c r="H410" i="4"/>
  <c r="F410" i="4"/>
  <c r="C410" i="4"/>
  <c r="AD409" i="4"/>
  <c r="AC409" i="4"/>
  <c r="AA409" i="4"/>
  <c r="X409" i="4"/>
  <c r="W409" i="4"/>
  <c r="U409" i="4"/>
  <c r="R409" i="4"/>
  <c r="N409" i="4"/>
  <c r="L409" i="4"/>
  <c r="H409" i="4"/>
  <c r="I409" i="4" s="1"/>
  <c r="F409" i="4"/>
  <c r="C409" i="4"/>
  <c r="AD408" i="4"/>
  <c r="AC408" i="4"/>
  <c r="AA408" i="4"/>
  <c r="X408" i="4"/>
  <c r="W408" i="4"/>
  <c r="U408" i="4"/>
  <c r="R408" i="4"/>
  <c r="N408" i="4"/>
  <c r="L408" i="4"/>
  <c r="H408" i="4"/>
  <c r="F408" i="4"/>
  <c r="C408" i="4"/>
  <c r="AC407" i="4"/>
  <c r="AA407" i="4"/>
  <c r="W407" i="4"/>
  <c r="X407" i="4" s="1"/>
  <c r="U407" i="4"/>
  <c r="R407" i="4"/>
  <c r="N407" i="4"/>
  <c r="L407" i="4"/>
  <c r="H407" i="4"/>
  <c r="F407" i="4"/>
  <c r="C407" i="4"/>
  <c r="Z403" i="4"/>
  <c r="AA403" i="4" s="1"/>
  <c r="W403" i="4"/>
  <c r="X403" i="4" s="1"/>
  <c r="U403" i="4"/>
  <c r="T403" i="4"/>
  <c r="R403" i="4"/>
  <c r="Q403" i="4"/>
  <c r="K403" i="4"/>
  <c r="F403" i="4"/>
  <c r="E403" i="4"/>
  <c r="C403" i="4"/>
  <c r="B403" i="4"/>
  <c r="H403" i="4" s="1"/>
  <c r="AC402" i="4"/>
  <c r="AD402" i="4" s="1"/>
  <c r="AA402" i="4"/>
  <c r="W402" i="4"/>
  <c r="X402" i="4" s="1"/>
  <c r="U402" i="4"/>
  <c r="R402" i="4"/>
  <c r="N402" i="4"/>
  <c r="L402" i="4"/>
  <c r="H402" i="4"/>
  <c r="F402" i="4"/>
  <c r="C402" i="4"/>
  <c r="AD401" i="4"/>
  <c r="AC401" i="4"/>
  <c r="AA401" i="4"/>
  <c r="X401" i="4"/>
  <c r="W401" i="4"/>
  <c r="U401" i="4"/>
  <c r="R401" i="4"/>
  <c r="N401" i="4"/>
  <c r="L401" i="4"/>
  <c r="I401" i="4"/>
  <c r="H401" i="4"/>
  <c r="F401" i="4"/>
  <c r="C401" i="4"/>
  <c r="AD400" i="4"/>
  <c r="AC400" i="4"/>
  <c r="AA400" i="4"/>
  <c r="X400" i="4"/>
  <c r="W400" i="4"/>
  <c r="U400" i="4"/>
  <c r="R400" i="4"/>
  <c r="N400" i="4"/>
  <c r="L400" i="4"/>
  <c r="H400" i="4"/>
  <c r="I400" i="4" s="1"/>
  <c r="F400" i="4"/>
  <c r="C400" i="4"/>
  <c r="AC399" i="4"/>
  <c r="AA399" i="4"/>
  <c r="W399" i="4"/>
  <c r="X399" i="4" s="1"/>
  <c r="U399" i="4"/>
  <c r="R399" i="4"/>
  <c r="N399" i="4"/>
  <c r="L399" i="4"/>
  <c r="H399" i="4"/>
  <c r="F399" i="4"/>
  <c r="C399" i="4"/>
  <c r="AD398" i="4"/>
  <c r="AC398" i="4"/>
  <c r="AA398" i="4"/>
  <c r="W398" i="4"/>
  <c r="X398" i="4" s="1"/>
  <c r="U398" i="4"/>
  <c r="R398" i="4"/>
  <c r="N398" i="4"/>
  <c r="L398" i="4"/>
  <c r="H398" i="4"/>
  <c r="F398" i="4"/>
  <c r="C398" i="4"/>
  <c r="AC397" i="4"/>
  <c r="AD397" i="4" s="1"/>
  <c r="AA397" i="4"/>
  <c r="X397" i="4"/>
  <c r="W397" i="4"/>
  <c r="U397" i="4"/>
  <c r="R397" i="4"/>
  <c r="N397" i="4"/>
  <c r="L397" i="4"/>
  <c r="I397" i="4"/>
  <c r="H397" i="4"/>
  <c r="F397" i="4"/>
  <c r="C397" i="4"/>
  <c r="Z396" i="4"/>
  <c r="AA396" i="4" s="1"/>
  <c r="W396" i="4"/>
  <c r="X396" i="4" s="1"/>
  <c r="U396" i="4"/>
  <c r="T396" i="4"/>
  <c r="R396" i="4"/>
  <c r="Q396" i="4"/>
  <c r="N396" i="4"/>
  <c r="L396" i="4"/>
  <c r="K396" i="4"/>
  <c r="F396" i="4"/>
  <c r="E396" i="4"/>
  <c r="B396" i="4"/>
  <c r="H396" i="4" s="1"/>
  <c r="AC395" i="4"/>
  <c r="AD395" i="4" s="1"/>
  <c r="AA395" i="4"/>
  <c r="W395" i="4"/>
  <c r="X395" i="4" s="1"/>
  <c r="U395" i="4"/>
  <c r="R395" i="4"/>
  <c r="N395" i="4"/>
  <c r="L395" i="4"/>
  <c r="H395" i="4"/>
  <c r="F395" i="4"/>
  <c r="C395" i="4"/>
  <c r="AD394" i="4"/>
  <c r="AC394" i="4"/>
  <c r="AA394" i="4"/>
  <c r="X394" i="4"/>
  <c r="W394" i="4"/>
  <c r="U394" i="4"/>
  <c r="R394" i="4"/>
  <c r="N394" i="4"/>
  <c r="L394" i="4"/>
  <c r="H394" i="4"/>
  <c r="F394" i="4"/>
  <c r="C394" i="4"/>
  <c r="AA393" i="4"/>
  <c r="Z393" i="4"/>
  <c r="X393" i="4"/>
  <c r="W393" i="4"/>
  <c r="U393" i="4"/>
  <c r="T393" i="4"/>
  <c r="R393" i="4"/>
  <c r="Q393" i="4"/>
  <c r="N393" i="4"/>
  <c r="L393" i="4"/>
  <c r="K393" i="4"/>
  <c r="F393" i="4"/>
  <c r="E393" i="4"/>
  <c r="C393" i="4"/>
  <c r="B393" i="4"/>
  <c r="H393" i="4" s="1"/>
  <c r="AD392" i="4"/>
  <c r="AC392" i="4"/>
  <c r="AA392" i="4"/>
  <c r="W392" i="4"/>
  <c r="X392" i="4" s="1"/>
  <c r="U392" i="4"/>
  <c r="R392" i="4"/>
  <c r="N392" i="4"/>
  <c r="L392" i="4"/>
  <c r="H392" i="4"/>
  <c r="F392" i="4"/>
  <c r="C392" i="4"/>
  <c r="AD391" i="4"/>
  <c r="AC391" i="4"/>
  <c r="AA391" i="4"/>
  <c r="X391" i="4"/>
  <c r="W391" i="4"/>
  <c r="U391" i="4"/>
  <c r="R391" i="4"/>
  <c r="N391" i="4"/>
  <c r="O391" i="4" s="1"/>
  <c r="L391" i="4"/>
  <c r="H391" i="4"/>
  <c r="I391" i="4" s="1"/>
  <c r="F391" i="4"/>
  <c r="C391" i="4"/>
  <c r="AD390" i="4"/>
  <c r="AC390" i="4"/>
  <c r="AA390" i="4"/>
  <c r="X390" i="4"/>
  <c r="W390" i="4"/>
  <c r="U390" i="4"/>
  <c r="R390" i="4"/>
  <c r="N390" i="4"/>
  <c r="L390" i="4"/>
  <c r="I390" i="4"/>
  <c r="H390" i="4"/>
  <c r="F390" i="4"/>
  <c r="C390" i="4"/>
  <c r="AC389" i="4"/>
  <c r="AA389" i="4"/>
  <c r="W389" i="4"/>
  <c r="X389" i="4" s="1"/>
  <c r="U389" i="4"/>
  <c r="R389" i="4"/>
  <c r="N389" i="4"/>
  <c r="L389" i="4"/>
  <c r="H389" i="4"/>
  <c r="F389" i="4"/>
  <c r="C389" i="4"/>
  <c r="AC388" i="4"/>
  <c r="AD388" i="4" s="1"/>
  <c r="AA388" i="4"/>
  <c r="W388" i="4"/>
  <c r="X388" i="4" s="1"/>
  <c r="U388" i="4"/>
  <c r="R388" i="4"/>
  <c r="N388" i="4"/>
  <c r="L388" i="4"/>
  <c r="H388" i="4"/>
  <c r="F388" i="4"/>
  <c r="C388" i="4"/>
  <c r="AC386" i="4"/>
  <c r="AD386" i="4" s="1"/>
  <c r="AA386" i="4"/>
  <c r="X386" i="4"/>
  <c r="W386" i="4"/>
  <c r="U386" i="4"/>
  <c r="R386" i="4"/>
  <c r="N386" i="4"/>
  <c r="L386" i="4"/>
  <c r="H386" i="4"/>
  <c r="F386" i="4"/>
  <c r="C386" i="4"/>
  <c r="AD385" i="4"/>
  <c r="AC385" i="4"/>
  <c r="AA385" i="4"/>
  <c r="W385" i="4"/>
  <c r="X385" i="4" s="1"/>
  <c r="U385" i="4"/>
  <c r="R385" i="4"/>
  <c r="N385" i="4"/>
  <c r="L385" i="4"/>
  <c r="I385" i="4"/>
  <c r="H385" i="4"/>
  <c r="F385" i="4"/>
  <c r="C385" i="4"/>
  <c r="AC383" i="4"/>
  <c r="AA383" i="4"/>
  <c r="W383" i="4"/>
  <c r="X383" i="4" s="1"/>
  <c r="U383" i="4"/>
  <c r="R383" i="4"/>
  <c r="N383" i="4"/>
  <c r="L383" i="4"/>
  <c r="H383" i="4"/>
  <c r="F383" i="4"/>
  <c r="C383" i="4"/>
  <c r="AD382" i="4"/>
  <c r="AC382" i="4"/>
  <c r="AA382" i="4"/>
  <c r="W382" i="4"/>
  <c r="X382" i="4" s="1"/>
  <c r="U382" i="4"/>
  <c r="R382" i="4"/>
  <c r="N382" i="4"/>
  <c r="O382" i="4" s="1"/>
  <c r="L382" i="4"/>
  <c r="H382" i="4"/>
  <c r="F382" i="4"/>
  <c r="C382" i="4"/>
  <c r="AD381" i="4"/>
  <c r="AC381" i="4"/>
  <c r="AA381" i="4"/>
  <c r="X381" i="4"/>
  <c r="W381" i="4"/>
  <c r="U381" i="4"/>
  <c r="R381" i="4"/>
  <c r="N381" i="4"/>
  <c r="L381" i="4"/>
  <c r="H381" i="4"/>
  <c r="I381" i="4" s="1"/>
  <c r="F381" i="4"/>
  <c r="C381" i="4"/>
  <c r="AD380" i="4"/>
  <c r="AC380" i="4"/>
  <c r="AA380" i="4"/>
  <c r="X380" i="4"/>
  <c r="W380" i="4"/>
  <c r="U380" i="4"/>
  <c r="R380" i="4"/>
  <c r="N380" i="4"/>
  <c r="O380" i="4" s="1"/>
  <c r="L380" i="4"/>
  <c r="H380" i="4"/>
  <c r="F380" i="4"/>
  <c r="C380" i="4"/>
  <c r="AC379" i="4"/>
  <c r="AA379" i="4"/>
  <c r="W379" i="4"/>
  <c r="X379" i="4" s="1"/>
  <c r="U379" i="4"/>
  <c r="R379" i="4"/>
  <c r="N379" i="4"/>
  <c r="L379" i="4"/>
  <c r="H379" i="4"/>
  <c r="F379" i="4"/>
  <c r="C379" i="4"/>
  <c r="AD378" i="4"/>
  <c r="AC378" i="4"/>
  <c r="AA378" i="4"/>
  <c r="W378" i="4"/>
  <c r="X378" i="4" s="1"/>
  <c r="U378" i="4"/>
  <c r="R378" i="4"/>
  <c r="N378" i="4"/>
  <c r="L378" i="4"/>
  <c r="H378" i="4"/>
  <c r="F378" i="4"/>
  <c r="C378" i="4"/>
  <c r="AC377" i="4"/>
  <c r="AD377" i="4" s="1"/>
  <c r="AA377" i="4"/>
  <c r="X377" i="4"/>
  <c r="W377" i="4"/>
  <c r="U377" i="4"/>
  <c r="R377" i="4"/>
  <c r="N377" i="4"/>
  <c r="L377" i="4"/>
  <c r="I377" i="4"/>
  <c r="H377" i="4"/>
  <c r="F377" i="4"/>
  <c r="C377" i="4"/>
  <c r="AD376" i="4"/>
  <c r="AC376" i="4"/>
  <c r="AA376" i="4"/>
  <c r="W376" i="4"/>
  <c r="X376" i="4" s="1"/>
  <c r="U376" i="4"/>
  <c r="R376" i="4"/>
  <c r="N376" i="4"/>
  <c r="L376" i="4"/>
  <c r="H376" i="4"/>
  <c r="I376" i="4" s="1"/>
  <c r="F376" i="4"/>
  <c r="C376" i="4"/>
  <c r="AC375" i="4"/>
  <c r="AA375" i="4"/>
  <c r="W375" i="4"/>
  <c r="X375" i="4" s="1"/>
  <c r="U375" i="4"/>
  <c r="R375" i="4"/>
  <c r="N375" i="4"/>
  <c r="L375" i="4"/>
  <c r="H375" i="4"/>
  <c r="F375" i="4"/>
  <c r="C375" i="4"/>
  <c r="AD374" i="4"/>
  <c r="AC374" i="4"/>
  <c r="AA374" i="4"/>
  <c r="W374" i="4"/>
  <c r="X374" i="4" s="1"/>
  <c r="U374" i="4"/>
  <c r="R374" i="4"/>
  <c r="N374" i="4"/>
  <c r="O374" i="4" s="1"/>
  <c r="L374" i="4"/>
  <c r="H374" i="4"/>
  <c r="F374" i="4"/>
  <c r="C374" i="4"/>
  <c r="AD373" i="4"/>
  <c r="AC373" i="4"/>
  <c r="AA373" i="4"/>
  <c r="X373" i="4"/>
  <c r="W373" i="4"/>
  <c r="U373" i="4"/>
  <c r="R373" i="4"/>
  <c r="N373" i="4"/>
  <c r="L373" i="4"/>
  <c r="I373" i="4"/>
  <c r="H373" i="4"/>
  <c r="F373" i="4"/>
  <c r="C373" i="4"/>
  <c r="AD372" i="4"/>
  <c r="AC372" i="4"/>
  <c r="AA372" i="4"/>
  <c r="X372" i="4"/>
  <c r="W372" i="4"/>
  <c r="U372" i="4"/>
  <c r="R372" i="4"/>
  <c r="N372" i="4"/>
  <c r="L372" i="4"/>
  <c r="H372" i="4"/>
  <c r="F372" i="4"/>
  <c r="C372" i="4"/>
  <c r="AC371" i="4"/>
  <c r="AA371" i="4"/>
  <c r="W371" i="4"/>
  <c r="X371" i="4" s="1"/>
  <c r="U371" i="4"/>
  <c r="R371" i="4"/>
  <c r="N371" i="4"/>
  <c r="L371" i="4"/>
  <c r="H371" i="4"/>
  <c r="F371" i="4"/>
  <c r="C371" i="4"/>
  <c r="AC370" i="4"/>
  <c r="AD370" i="4" s="1"/>
  <c r="AA370" i="4"/>
  <c r="W370" i="4"/>
  <c r="X370" i="4" s="1"/>
  <c r="U370" i="4"/>
  <c r="R370" i="4"/>
  <c r="N370" i="4"/>
  <c r="L370" i="4"/>
  <c r="H370" i="4"/>
  <c r="F370" i="4"/>
  <c r="C370" i="4"/>
  <c r="AC369" i="4"/>
  <c r="AD369" i="4" s="1"/>
  <c r="AA369" i="4"/>
  <c r="X369" i="4"/>
  <c r="W369" i="4"/>
  <c r="U369" i="4"/>
  <c r="R369" i="4"/>
  <c r="N369" i="4"/>
  <c r="L369" i="4"/>
  <c r="I369" i="4"/>
  <c r="H369" i="4"/>
  <c r="F369" i="4"/>
  <c r="C369" i="4"/>
  <c r="AA368" i="4"/>
  <c r="Z368" i="4"/>
  <c r="X368" i="4"/>
  <c r="W368" i="4"/>
  <c r="U368" i="4"/>
  <c r="T368" i="4"/>
  <c r="R368" i="4"/>
  <c r="Q368" i="4"/>
  <c r="AC368" i="4" s="1"/>
  <c r="AD368" i="4" s="1"/>
  <c r="L368" i="4"/>
  <c r="K368" i="4"/>
  <c r="F368" i="4"/>
  <c r="E368" i="4"/>
  <c r="C368" i="4"/>
  <c r="B368" i="4"/>
  <c r="H368" i="4" s="1"/>
  <c r="AD367" i="4"/>
  <c r="AC367" i="4"/>
  <c r="AA367" i="4"/>
  <c r="W367" i="4"/>
  <c r="X367" i="4" s="1"/>
  <c r="U367" i="4"/>
  <c r="R367" i="4"/>
  <c r="N367" i="4"/>
  <c r="L367" i="4"/>
  <c r="H367" i="4"/>
  <c r="F367" i="4"/>
  <c r="C367" i="4"/>
  <c r="AC366" i="4"/>
  <c r="AD366" i="4" s="1"/>
  <c r="AA366" i="4"/>
  <c r="X366" i="4"/>
  <c r="W366" i="4"/>
  <c r="U366" i="4"/>
  <c r="R366" i="4"/>
  <c r="N366" i="4"/>
  <c r="L366" i="4"/>
  <c r="I366" i="4"/>
  <c r="H366" i="4"/>
  <c r="F366" i="4"/>
  <c r="C366" i="4"/>
  <c r="AD365" i="4"/>
  <c r="AC365" i="4"/>
  <c r="AA365" i="4"/>
  <c r="W365" i="4"/>
  <c r="X365" i="4" s="1"/>
  <c r="U365" i="4"/>
  <c r="R365" i="4"/>
  <c r="N365" i="4"/>
  <c r="L365" i="4"/>
  <c r="H365" i="4"/>
  <c r="I365" i="4" s="1"/>
  <c r="F365" i="4"/>
  <c r="C365" i="4"/>
  <c r="AC364" i="4"/>
  <c r="AA364" i="4"/>
  <c r="W364" i="4"/>
  <c r="X364" i="4" s="1"/>
  <c r="U364" i="4"/>
  <c r="R364" i="4"/>
  <c r="N364" i="4"/>
  <c r="L364" i="4"/>
  <c r="H364" i="4"/>
  <c r="F364" i="4"/>
  <c r="C364" i="4"/>
  <c r="AC363" i="4"/>
  <c r="AD363" i="4" s="1"/>
  <c r="AA363" i="4"/>
  <c r="W363" i="4"/>
  <c r="X363" i="4" s="1"/>
  <c r="U363" i="4"/>
  <c r="R363" i="4"/>
  <c r="N363" i="4"/>
  <c r="O363" i="4" s="1"/>
  <c r="L363" i="4"/>
  <c r="H363" i="4"/>
  <c r="F363" i="4"/>
  <c r="C363" i="4"/>
  <c r="AD362" i="4"/>
  <c r="AC362" i="4"/>
  <c r="AA362" i="4"/>
  <c r="X362" i="4"/>
  <c r="W362" i="4"/>
  <c r="U362" i="4"/>
  <c r="R362" i="4"/>
  <c r="N362" i="4"/>
  <c r="L362" i="4"/>
  <c r="H362" i="4"/>
  <c r="F362" i="4"/>
  <c r="C362" i="4"/>
  <c r="AD361" i="4"/>
  <c r="AC361" i="4"/>
  <c r="AA361" i="4"/>
  <c r="X361" i="4"/>
  <c r="W361" i="4"/>
  <c r="U361" i="4"/>
  <c r="R361" i="4"/>
  <c r="N361" i="4"/>
  <c r="L361" i="4"/>
  <c r="I361" i="4"/>
  <c r="H361" i="4"/>
  <c r="F361" i="4"/>
  <c r="C361" i="4"/>
  <c r="AC360" i="4"/>
  <c r="AA360" i="4"/>
  <c r="W360" i="4"/>
  <c r="X360" i="4" s="1"/>
  <c r="U360" i="4"/>
  <c r="R360" i="4"/>
  <c r="N360" i="4"/>
  <c r="L360" i="4"/>
  <c r="H360" i="4"/>
  <c r="F360" i="4"/>
  <c r="C360" i="4"/>
  <c r="AD358" i="4"/>
  <c r="AC358" i="4"/>
  <c r="AA358" i="4"/>
  <c r="Z358" i="4"/>
  <c r="U358" i="4"/>
  <c r="T358" i="4"/>
  <c r="R358" i="4"/>
  <c r="Q358" i="4"/>
  <c r="L358" i="4"/>
  <c r="K358" i="4"/>
  <c r="I358" i="4"/>
  <c r="H358" i="4"/>
  <c r="F358" i="4"/>
  <c r="E358" i="4"/>
  <c r="C358" i="4"/>
  <c r="B358" i="4"/>
  <c r="N358" i="4" s="1"/>
  <c r="AD357" i="4"/>
  <c r="AC357" i="4"/>
  <c r="AA357" i="4"/>
  <c r="X357" i="4"/>
  <c r="W357" i="4"/>
  <c r="U357" i="4"/>
  <c r="R357" i="4"/>
  <c r="N357" i="4"/>
  <c r="L357" i="4"/>
  <c r="I357" i="4"/>
  <c r="H357" i="4"/>
  <c r="F357" i="4"/>
  <c r="C357" i="4"/>
  <c r="AC356" i="4"/>
  <c r="AA356" i="4"/>
  <c r="W356" i="4"/>
  <c r="X356" i="4" s="1"/>
  <c r="U356" i="4"/>
  <c r="R356" i="4"/>
  <c r="N356" i="4"/>
  <c r="L356" i="4"/>
  <c r="H356" i="4"/>
  <c r="F356" i="4"/>
  <c r="C356" i="4"/>
  <c r="AC355" i="4"/>
  <c r="AD355" i="4" s="1"/>
  <c r="AA355" i="4"/>
  <c r="W355" i="4"/>
  <c r="X355" i="4" s="1"/>
  <c r="U355" i="4"/>
  <c r="R355" i="4"/>
  <c r="N355" i="4"/>
  <c r="L355" i="4"/>
  <c r="H355" i="4"/>
  <c r="F355" i="4"/>
  <c r="C355" i="4"/>
  <c r="AD354" i="4"/>
  <c r="AC354" i="4"/>
  <c r="AA354" i="4"/>
  <c r="X354" i="4"/>
  <c r="W354" i="4"/>
  <c r="U354" i="4"/>
  <c r="R354" i="4"/>
  <c r="N354" i="4"/>
  <c r="L354" i="4"/>
  <c r="H354" i="4"/>
  <c r="I354" i="4" s="1"/>
  <c r="F354" i="4"/>
  <c r="C354" i="4"/>
  <c r="AD353" i="4"/>
  <c r="AC353" i="4"/>
  <c r="AA353" i="4"/>
  <c r="X353" i="4"/>
  <c r="W353" i="4"/>
  <c r="U353" i="4"/>
  <c r="R353" i="4"/>
  <c r="N353" i="4"/>
  <c r="L353" i="4"/>
  <c r="H353" i="4"/>
  <c r="I353" i="4" s="1"/>
  <c r="F353" i="4"/>
  <c r="C353" i="4"/>
  <c r="AC352" i="4"/>
  <c r="AA352" i="4"/>
  <c r="W352" i="4"/>
  <c r="X352" i="4" s="1"/>
  <c r="U352" i="4"/>
  <c r="R352" i="4"/>
  <c r="O352" i="4"/>
  <c r="N352" i="4"/>
  <c r="L352" i="4"/>
  <c r="H352" i="4"/>
  <c r="F352" i="4"/>
  <c r="C352" i="4"/>
  <c r="AC351" i="4"/>
  <c r="AD351" i="4" s="1"/>
  <c r="AA351" i="4"/>
  <c r="W351" i="4"/>
  <c r="X351" i="4" s="1"/>
  <c r="U351" i="4"/>
  <c r="R351" i="4"/>
  <c r="N351" i="4"/>
  <c r="L351" i="4"/>
  <c r="H351" i="4"/>
  <c r="F351" i="4"/>
  <c r="C351" i="4"/>
  <c r="AC350" i="4"/>
  <c r="AD350" i="4" s="1"/>
  <c r="AA350" i="4"/>
  <c r="X350" i="4"/>
  <c r="W350" i="4"/>
  <c r="U350" i="4"/>
  <c r="R350" i="4"/>
  <c r="N350" i="4"/>
  <c r="L350" i="4"/>
  <c r="H350" i="4"/>
  <c r="F350" i="4"/>
  <c r="C350" i="4"/>
  <c r="AD349" i="4"/>
  <c r="AC349" i="4"/>
  <c r="AA349" i="4"/>
  <c r="W349" i="4"/>
  <c r="X349" i="4" s="1"/>
  <c r="U349" i="4"/>
  <c r="R349" i="4"/>
  <c r="N349" i="4"/>
  <c r="L349" i="4"/>
  <c r="I349" i="4"/>
  <c r="H349" i="4"/>
  <c r="F349" i="4"/>
  <c r="C349" i="4"/>
  <c r="AD347" i="4"/>
  <c r="AC347" i="4"/>
  <c r="AA347" i="4"/>
  <c r="W347" i="4"/>
  <c r="X347" i="4" s="1"/>
  <c r="U347" i="4"/>
  <c r="R347" i="4"/>
  <c r="N347" i="4"/>
  <c r="L347" i="4"/>
  <c r="H347" i="4"/>
  <c r="F347" i="4"/>
  <c r="C347" i="4"/>
  <c r="Z344" i="4"/>
  <c r="AA344" i="4" s="1"/>
  <c r="W344" i="4"/>
  <c r="X344" i="4" s="1"/>
  <c r="U344" i="4"/>
  <c r="T344" i="4"/>
  <c r="R344" i="4"/>
  <c r="Q344" i="4"/>
  <c r="K344" i="4"/>
  <c r="F344" i="4"/>
  <c r="E344" i="4"/>
  <c r="C344" i="4"/>
  <c r="B344" i="4"/>
  <c r="H344" i="4" s="1"/>
  <c r="AC343" i="4"/>
  <c r="AD343" i="4" s="1"/>
  <c r="AA343" i="4"/>
  <c r="Z343" i="4"/>
  <c r="T343" i="4"/>
  <c r="U343" i="4" s="1"/>
  <c r="R343" i="4"/>
  <c r="Q343" i="4"/>
  <c r="L343" i="4"/>
  <c r="K343" i="4"/>
  <c r="F343" i="4"/>
  <c r="E343" i="4"/>
  <c r="H343" i="4" s="1"/>
  <c r="I343" i="4" s="1"/>
  <c r="C343" i="4"/>
  <c r="B343" i="4"/>
  <c r="N343" i="4" s="1"/>
  <c r="Z342" i="4"/>
  <c r="AA342" i="4" s="1"/>
  <c r="W342" i="4"/>
  <c r="X342" i="4" s="1"/>
  <c r="U342" i="4"/>
  <c r="T342" i="4"/>
  <c r="R342" i="4"/>
  <c r="Q342" i="4"/>
  <c r="K342" i="4"/>
  <c r="F342" i="4"/>
  <c r="E342" i="4"/>
  <c r="C342" i="4"/>
  <c r="B342" i="4"/>
  <c r="H342" i="4" s="1"/>
  <c r="AC341" i="4"/>
  <c r="AD341" i="4" s="1"/>
  <c r="AA341" i="4"/>
  <c r="W341" i="4"/>
  <c r="X341" i="4" s="1"/>
  <c r="U341" i="4"/>
  <c r="R341" i="4"/>
  <c r="N341" i="4"/>
  <c r="L341" i="4"/>
  <c r="H341" i="4"/>
  <c r="F341" i="4"/>
  <c r="C341" i="4"/>
  <c r="AD340" i="4"/>
  <c r="AC340" i="4"/>
  <c r="AA340" i="4"/>
  <c r="X340" i="4"/>
  <c r="W340" i="4"/>
  <c r="U340" i="4"/>
  <c r="R340" i="4"/>
  <c r="N340" i="4"/>
  <c r="O340" i="4" s="1"/>
  <c r="L340" i="4"/>
  <c r="I340" i="4"/>
  <c r="H340" i="4"/>
  <c r="F340" i="4"/>
  <c r="C340" i="4"/>
  <c r="AD339" i="4"/>
  <c r="AC339" i="4"/>
  <c r="AA339" i="4"/>
  <c r="X339" i="4"/>
  <c r="W339" i="4"/>
  <c r="U339" i="4"/>
  <c r="R339" i="4"/>
  <c r="N339" i="4"/>
  <c r="L339" i="4"/>
  <c r="H339" i="4"/>
  <c r="I339" i="4" s="1"/>
  <c r="F339" i="4"/>
  <c r="C339" i="4"/>
  <c r="AD338" i="4"/>
  <c r="AC338" i="4"/>
  <c r="AA338" i="4"/>
  <c r="W338" i="4"/>
  <c r="X338" i="4" s="1"/>
  <c r="U338" i="4"/>
  <c r="R338" i="4"/>
  <c r="O338" i="4"/>
  <c r="N338" i="4"/>
  <c r="L338" i="4"/>
  <c r="H338" i="4"/>
  <c r="F338" i="4"/>
  <c r="C338" i="4"/>
  <c r="AC337" i="4"/>
  <c r="AD337" i="4" s="1"/>
  <c r="AA337" i="4"/>
  <c r="W337" i="4"/>
  <c r="X337" i="4" s="1"/>
  <c r="U337" i="4"/>
  <c r="R337" i="4"/>
  <c r="N337" i="4"/>
  <c r="L337" i="4"/>
  <c r="H337" i="4"/>
  <c r="F337" i="4"/>
  <c r="C337" i="4"/>
  <c r="AD335" i="4"/>
  <c r="AC335" i="4"/>
  <c r="AA335" i="4"/>
  <c r="X335" i="4"/>
  <c r="W335" i="4"/>
  <c r="U335" i="4"/>
  <c r="R335" i="4"/>
  <c r="N335" i="4"/>
  <c r="O335" i="4" s="1"/>
  <c r="L335" i="4"/>
  <c r="H335" i="4"/>
  <c r="F335" i="4"/>
  <c r="C335" i="4"/>
  <c r="AD334" i="4"/>
  <c r="AC334" i="4"/>
  <c r="AA334" i="4"/>
  <c r="X334" i="4"/>
  <c r="W334" i="4"/>
  <c r="U334" i="4"/>
  <c r="R334" i="4"/>
  <c r="N334" i="4"/>
  <c r="L334" i="4"/>
  <c r="I334" i="4"/>
  <c r="H334" i="4"/>
  <c r="F334" i="4"/>
  <c r="C334" i="4"/>
  <c r="AD333" i="4"/>
  <c r="AC333" i="4"/>
  <c r="AA333" i="4"/>
  <c r="W333" i="4"/>
  <c r="X333" i="4" s="1"/>
  <c r="U333" i="4"/>
  <c r="R333" i="4"/>
  <c r="O333" i="4"/>
  <c r="N333" i="4"/>
  <c r="L333" i="4"/>
  <c r="H333" i="4"/>
  <c r="F333" i="4"/>
  <c r="C333" i="4"/>
  <c r="AD332" i="4"/>
  <c r="AC332" i="4"/>
  <c r="AA332" i="4"/>
  <c r="W332" i="4"/>
  <c r="X332" i="4" s="1"/>
  <c r="U332" i="4"/>
  <c r="R332" i="4"/>
  <c r="N332" i="4"/>
  <c r="L332" i="4"/>
  <c r="H332" i="4"/>
  <c r="F332" i="4"/>
  <c r="C332" i="4"/>
  <c r="AC331" i="4"/>
  <c r="AD331" i="4" s="1"/>
  <c r="AA331" i="4"/>
  <c r="X331" i="4"/>
  <c r="W331" i="4"/>
  <c r="U331" i="4"/>
  <c r="R331" i="4"/>
  <c r="N331" i="4"/>
  <c r="L331" i="4"/>
  <c r="H331" i="4"/>
  <c r="F331" i="4"/>
  <c r="C331" i="4"/>
  <c r="AD330" i="4"/>
  <c r="AC330" i="4"/>
  <c r="AA330" i="4"/>
  <c r="W330" i="4"/>
  <c r="X330" i="4" s="1"/>
  <c r="U330" i="4"/>
  <c r="R330" i="4"/>
  <c r="N330" i="4"/>
  <c r="L330" i="4"/>
  <c r="I330" i="4"/>
  <c r="H330" i="4"/>
  <c r="F330" i="4"/>
  <c r="C330" i="4"/>
  <c r="AD329" i="4"/>
  <c r="AC329" i="4"/>
  <c r="AA329" i="4"/>
  <c r="W329" i="4"/>
  <c r="X329" i="4" s="1"/>
  <c r="U329" i="4"/>
  <c r="R329" i="4"/>
  <c r="N329" i="4"/>
  <c r="L329" i="4"/>
  <c r="H329" i="4"/>
  <c r="F329" i="4"/>
  <c r="C329" i="4"/>
  <c r="AD328" i="4"/>
  <c r="AC328" i="4"/>
  <c r="AA328" i="4"/>
  <c r="W328" i="4"/>
  <c r="X328" i="4" s="1"/>
  <c r="U328" i="4"/>
  <c r="R328" i="4"/>
  <c r="O328" i="4"/>
  <c r="N328" i="4"/>
  <c r="L328" i="4"/>
  <c r="H328" i="4"/>
  <c r="F328" i="4"/>
  <c r="C328" i="4"/>
  <c r="Z325" i="4"/>
  <c r="AC325" i="4" s="1"/>
  <c r="AD325" i="4" s="1"/>
  <c r="U325" i="4"/>
  <c r="T325" i="4"/>
  <c r="Q325" i="4"/>
  <c r="W325" i="4" s="1"/>
  <c r="X325" i="4" s="1"/>
  <c r="N325" i="4"/>
  <c r="L325" i="4"/>
  <c r="K325" i="4"/>
  <c r="F325" i="4"/>
  <c r="E325" i="4"/>
  <c r="B325" i="4"/>
  <c r="H325" i="4" s="1"/>
  <c r="AA324" i="4"/>
  <c r="Z324" i="4"/>
  <c r="W324" i="4"/>
  <c r="X324" i="4" s="1"/>
  <c r="U324" i="4"/>
  <c r="T324" i="4"/>
  <c r="R324" i="4"/>
  <c r="Q324" i="4"/>
  <c r="AC324" i="4" s="1"/>
  <c r="AD324" i="4" s="1"/>
  <c r="K324" i="4"/>
  <c r="L324" i="4" s="1"/>
  <c r="I324" i="4"/>
  <c r="H324" i="4"/>
  <c r="F324" i="4"/>
  <c r="E324" i="4"/>
  <c r="C324" i="4"/>
  <c r="B324" i="4"/>
  <c r="AC323" i="4"/>
  <c r="AD323" i="4" s="1"/>
  <c r="AA323" i="4"/>
  <c r="X323" i="4"/>
  <c r="W323" i="4"/>
  <c r="U323" i="4"/>
  <c r="R323" i="4"/>
  <c r="N323" i="4"/>
  <c r="L323" i="4"/>
  <c r="I323" i="4"/>
  <c r="H323" i="4"/>
  <c r="F323" i="4"/>
  <c r="C323" i="4"/>
  <c r="AD322" i="4"/>
  <c r="AC322" i="4"/>
  <c r="AA322" i="4"/>
  <c r="W322" i="4"/>
  <c r="X322" i="4" s="1"/>
  <c r="U322" i="4"/>
  <c r="R322" i="4"/>
  <c r="N322" i="4"/>
  <c r="L322" i="4"/>
  <c r="H322" i="4"/>
  <c r="I322" i="4" s="1"/>
  <c r="F322" i="4"/>
  <c r="C322" i="4"/>
  <c r="AD321" i="4"/>
  <c r="AC321" i="4"/>
  <c r="AA321" i="4"/>
  <c r="W321" i="4"/>
  <c r="X321" i="4" s="1"/>
  <c r="U321" i="4"/>
  <c r="R321" i="4"/>
  <c r="N321" i="4"/>
  <c r="L321" i="4"/>
  <c r="H321" i="4"/>
  <c r="F321" i="4"/>
  <c r="C321" i="4"/>
  <c r="AC320" i="4"/>
  <c r="AD320" i="4" s="1"/>
  <c r="AA320" i="4"/>
  <c r="W320" i="4"/>
  <c r="X320" i="4" s="1"/>
  <c r="U320" i="4"/>
  <c r="R320" i="4"/>
  <c r="O320" i="4"/>
  <c r="N320" i="4"/>
  <c r="L320" i="4"/>
  <c r="H320" i="4"/>
  <c r="F320" i="4"/>
  <c r="C320" i="4"/>
  <c r="AC319" i="4"/>
  <c r="AD319" i="4" s="1"/>
  <c r="AA319" i="4"/>
  <c r="X319" i="4"/>
  <c r="W319" i="4"/>
  <c r="U319" i="4"/>
  <c r="R319" i="4"/>
  <c r="N319" i="4"/>
  <c r="L319" i="4"/>
  <c r="H319" i="4"/>
  <c r="I319" i="4" s="1"/>
  <c r="F319" i="4"/>
  <c r="C319" i="4"/>
  <c r="AD318" i="4"/>
  <c r="AC318" i="4"/>
  <c r="AA318" i="4"/>
  <c r="W318" i="4"/>
  <c r="X318" i="4" s="1"/>
  <c r="U318" i="4"/>
  <c r="R318" i="4"/>
  <c r="N318" i="4"/>
  <c r="L318" i="4"/>
  <c r="H318" i="4"/>
  <c r="I318" i="4" s="1"/>
  <c r="F318" i="4"/>
  <c r="C318" i="4"/>
  <c r="AD317" i="4"/>
  <c r="AC317" i="4"/>
  <c r="AA317" i="4"/>
  <c r="W317" i="4"/>
  <c r="X317" i="4" s="1"/>
  <c r="U317" i="4"/>
  <c r="R317" i="4"/>
  <c r="N317" i="4"/>
  <c r="L317" i="4"/>
  <c r="H317" i="4"/>
  <c r="F317" i="4"/>
  <c r="C317" i="4"/>
  <c r="AC316" i="4"/>
  <c r="AD316" i="4" s="1"/>
  <c r="AA316" i="4"/>
  <c r="W316" i="4"/>
  <c r="X316" i="4" s="1"/>
  <c r="U316" i="4"/>
  <c r="R316" i="4"/>
  <c r="N316" i="4"/>
  <c r="L316" i="4"/>
  <c r="H316" i="4"/>
  <c r="F316" i="4"/>
  <c r="C316" i="4"/>
  <c r="AD315" i="4"/>
  <c r="AC315" i="4"/>
  <c r="AA315" i="4"/>
  <c r="X315" i="4"/>
  <c r="W315" i="4"/>
  <c r="U315" i="4"/>
  <c r="R315" i="4"/>
  <c r="N315" i="4"/>
  <c r="L315" i="4"/>
  <c r="H315" i="4"/>
  <c r="F315" i="4"/>
  <c r="C315" i="4"/>
  <c r="AD314" i="4"/>
  <c r="AC314" i="4"/>
  <c r="AA314" i="4"/>
  <c r="X314" i="4"/>
  <c r="W314" i="4"/>
  <c r="U314" i="4"/>
  <c r="R314" i="4"/>
  <c r="N314" i="4"/>
  <c r="L314" i="4"/>
  <c r="I314" i="4"/>
  <c r="H314" i="4"/>
  <c r="F314" i="4"/>
  <c r="C314" i="4"/>
  <c r="AD313" i="4"/>
  <c r="AC313" i="4"/>
  <c r="AA313" i="4"/>
  <c r="W313" i="4"/>
  <c r="X313" i="4" s="1"/>
  <c r="U313" i="4"/>
  <c r="R313" i="4"/>
  <c r="N313" i="4"/>
  <c r="L313" i="4"/>
  <c r="H313" i="4"/>
  <c r="F313" i="4"/>
  <c r="C313" i="4"/>
  <c r="AD312" i="4"/>
  <c r="AC312" i="4"/>
  <c r="AA312" i="4"/>
  <c r="W312" i="4"/>
  <c r="X312" i="4" s="1"/>
  <c r="U312" i="4"/>
  <c r="R312" i="4"/>
  <c r="N312" i="4"/>
  <c r="L312" i="4"/>
  <c r="H312" i="4"/>
  <c r="F312" i="4"/>
  <c r="C312" i="4"/>
  <c r="AC311" i="4"/>
  <c r="AD311" i="4" s="1"/>
  <c r="AA311" i="4"/>
  <c r="X311" i="4"/>
  <c r="W311" i="4"/>
  <c r="U311" i="4"/>
  <c r="R311" i="4"/>
  <c r="N311" i="4"/>
  <c r="L311" i="4"/>
  <c r="I311" i="4"/>
  <c r="H311" i="4"/>
  <c r="F311" i="4"/>
  <c r="C311" i="4"/>
  <c r="AD310" i="4"/>
  <c r="AC310" i="4"/>
  <c r="AA310" i="4"/>
  <c r="W310" i="4"/>
  <c r="X310" i="4" s="1"/>
  <c r="U310" i="4"/>
  <c r="R310" i="4"/>
  <c r="N310" i="4"/>
  <c r="L310" i="4"/>
  <c r="I310" i="4"/>
  <c r="H310" i="4"/>
  <c r="F310" i="4"/>
  <c r="C310" i="4"/>
  <c r="AD309" i="4"/>
  <c r="AC309" i="4"/>
  <c r="AA309" i="4"/>
  <c r="W309" i="4"/>
  <c r="X309" i="4" s="1"/>
  <c r="U309" i="4"/>
  <c r="R309" i="4"/>
  <c r="N309" i="4"/>
  <c r="L309" i="4"/>
  <c r="H309" i="4"/>
  <c r="F309" i="4"/>
  <c r="C309" i="4"/>
  <c r="AD308" i="4"/>
  <c r="AC308" i="4"/>
  <c r="AA308" i="4"/>
  <c r="W308" i="4"/>
  <c r="X308" i="4" s="1"/>
  <c r="U308" i="4"/>
  <c r="R308" i="4"/>
  <c r="N308" i="4"/>
  <c r="O308" i="4" s="1"/>
  <c r="L308" i="4"/>
  <c r="H308" i="4"/>
  <c r="F308" i="4"/>
  <c r="C308" i="4"/>
  <c r="AC307" i="4"/>
  <c r="AD307" i="4" s="1"/>
  <c r="AA307" i="4"/>
  <c r="X307" i="4"/>
  <c r="W307" i="4"/>
  <c r="U307" i="4"/>
  <c r="R307" i="4"/>
  <c r="N307" i="4"/>
  <c r="L307" i="4"/>
  <c r="H307" i="4"/>
  <c r="I307" i="4" s="1"/>
  <c r="F307" i="4"/>
  <c r="C307" i="4"/>
  <c r="AD306" i="4"/>
  <c r="AC306" i="4"/>
  <c r="AA306" i="4"/>
  <c r="W306" i="4"/>
  <c r="X306" i="4" s="1"/>
  <c r="U306" i="4"/>
  <c r="R306" i="4"/>
  <c r="N306" i="4"/>
  <c r="L306" i="4"/>
  <c r="H306" i="4"/>
  <c r="I306" i="4" s="1"/>
  <c r="F306" i="4"/>
  <c r="C306" i="4"/>
  <c r="AD305" i="4"/>
  <c r="AC305" i="4"/>
  <c r="AA305" i="4"/>
  <c r="W305" i="4"/>
  <c r="X305" i="4" s="1"/>
  <c r="U305" i="4"/>
  <c r="R305" i="4"/>
  <c r="N305" i="4"/>
  <c r="L305" i="4"/>
  <c r="H305" i="4"/>
  <c r="F305" i="4"/>
  <c r="C305" i="4"/>
  <c r="AC304" i="4"/>
  <c r="AD304" i="4" s="1"/>
  <c r="AA304" i="4"/>
  <c r="W304" i="4"/>
  <c r="X304" i="4" s="1"/>
  <c r="U304" i="4"/>
  <c r="R304" i="4"/>
  <c r="N304" i="4"/>
  <c r="L304" i="4"/>
  <c r="H304" i="4"/>
  <c r="F304" i="4"/>
  <c r="C304" i="4"/>
  <c r="AD303" i="4"/>
  <c r="AC303" i="4"/>
  <c r="AA303" i="4"/>
  <c r="X303" i="4"/>
  <c r="W303" i="4"/>
  <c r="U303" i="4"/>
  <c r="R303" i="4"/>
  <c r="N303" i="4"/>
  <c r="O303" i="4" s="1"/>
  <c r="L303" i="4"/>
  <c r="I303" i="4"/>
  <c r="H303" i="4"/>
  <c r="F303" i="4"/>
  <c r="C303" i="4"/>
  <c r="AD302" i="4"/>
  <c r="AC302" i="4"/>
  <c r="AA302" i="4"/>
  <c r="X302" i="4"/>
  <c r="W302" i="4"/>
  <c r="U302" i="4"/>
  <c r="R302" i="4"/>
  <c r="N302" i="4"/>
  <c r="L302" i="4"/>
  <c r="H302" i="4"/>
  <c r="I302" i="4" s="1"/>
  <c r="F302" i="4"/>
  <c r="C302" i="4"/>
  <c r="AD301" i="4"/>
  <c r="AC301" i="4"/>
  <c r="AA301" i="4"/>
  <c r="W301" i="4"/>
  <c r="X301" i="4" s="1"/>
  <c r="U301" i="4"/>
  <c r="R301" i="4"/>
  <c r="O301" i="4"/>
  <c r="N301" i="4"/>
  <c r="L301" i="4"/>
  <c r="H301" i="4"/>
  <c r="F301" i="4"/>
  <c r="C301" i="4"/>
  <c r="AC300" i="4"/>
  <c r="AD300" i="4" s="1"/>
  <c r="AA300" i="4"/>
  <c r="W300" i="4"/>
  <c r="X300" i="4" s="1"/>
  <c r="U300" i="4"/>
  <c r="R300" i="4"/>
  <c r="N300" i="4"/>
  <c r="L300" i="4"/>
  <c r="H300" i="4"/>
  <c r="F300" i="4"/>
  <c r="C300" i="4"/>
  <c r="AD299" i="4"/>
  <c r="AC299" i="4"/>
  <c r="AA299" i="4"/>
  <c r="X299" i="4"/>
  <c r="W299" i="4"/>
  <c r="U299" i="4"/>
  <c r="R299" i="4"/>
  <c r="N299" i="4"/>
  <c r="O299" i="4" s="1"/>
  <c r="L299" i="4"/>
  <c r="H299" i="4"/>
  <c r="F299" i="4"/>
  <c r="C299" i="4"/>
  <c r="AD298" i="4"/>
  <c r="AC298" i="4"/>
  <c r="AA298" i="4"/>
  <c r="X298" i="4"/>
  <c r="W298" i="4"/>
  <c r="U298" i="4"/>
  <c r="R298" i="4"/>
  <c r="N298" i="4"/>
  <c r="L298" i="4"/>
  <c r="I298" i="4"/>
  <c r="H298" i="4"/>
  <c r="F298" i="4"/>
  <c r="C298" i="4"/>
  <c r="AD297" i="4"/>
  <c r="AC297" i="4"/>
  <c r="AA297" i="4"/>
  <c r="W297" i="4"/>
  <c r="X297" i="4" s="1"/>
  <c r="U297" i="4"/>
  <c r="R297" i="4"/>
  <c r="O297" i="4"/>
  <c r="N297" i="4"/>
  <c r="L297" i="4"/>
  <c r="H297" i="4"/>
  <c r="F297" i="4"/>
  <c r="C297" i="4"/>
  <c r="AA295" i="4"/>
  <c r="Z295" i="4"/>
  <c r="T295" i="4"/>
  <c r="U295" i="4" s="1"/>
  <c r="Q295" i="4"/>
  <c r="L295" i="4"/>
  <c r="K295" i="4"/>
  <c r="E295" i="4"/>
  <c r="C295" i="4"/>
  <c r="B295" i="4"/>
  <c r="N295" i="4" s="1"/>
  <c r="AD294" i="4"/>
  <c r="AC294" i="4"/>
  <c r="AA294" i="4"/>
  <c r="X294" i="4"/>
  <c r="W294" i="4"/>
  <c r="U294" i="4"/>
  <c r="R294" i="4"/>
  <c r="N294" i="4"/>
  <c r="L294" i="4"/>
  <c r="I294" i="4"/>
  <c r="H294" i="4"/>
  <c r="F294" i="4"/>
  <c r="C294" i="4"/>
  <c r="AD293" i="4"/>
  <c r="AC293" i="4"/>
  <c r="AA293" i="4"/>
  <c r="W293" i="4"/>
  <c r="X293" i="4" s="1"/>
  <c r="U293" i="4"/>
  <c r="R293" i="4"/>
  <c r="N293" i="4"/>
  <c r="L293" i="4"/>
  <c r="H293" i="4"/>
  <c r="F293" i="4"/>
  <c r="C293" i="4"/>
  <c r="AC292" i="4"/>
  <c r="AD292" i="4" s="1"/>
  <c r="AA292" i="4"/>
  <c r="W292" i="4"/>
  <c r="X292" i="4" s="1"/>
  <c r="U292" i="4"/>
  <c r="R292" i="4"/>
  <c r="N292" i="4"/>
  <c r="L292" i="4"/>
  <c r="H292" i="4"/>
  <c r="F292" i="4"/>
  <c r="C292" i="4"/>
  <c r="AD291" i="4"/>
  <c r="AC291" i="4"/>
  <c r="AA291" i="4"/>
  <c r="X291" i="4"/>
  <c r="W291" i="4"/>
  <c r="U291" i="4"/>
  <c r="R291" i="4"/>
  <c r="N291" i="4"/>
  <c r="L291" i="4"/>
  <c r="H291" i="4"/>
  <c r="I291" i="4" s="1"/>
  <c r="F291" i="4"/>
  <c r="C291" i="4"/>
  <c r="AD290" i="4"/>
  <c r="AC290" i="4"/>
  <c r="AA290" i="4"/>
  <c r="X290" i="4"/>
  <c r="W290" i="4"/>
  <c r="U290" i="4"/>
  <c r="R290" i="4"/>
  <c r="N290" i="4"/>
  <c r="L290" i="4"/>
  <c r="H290" i="4"/>
  <c r="F290" i="4"/>
  <c r="C290" i="4"/>
  <c r="AD289" i="4"/>
  <c r="AC289" i="4"/>
  <c r="AA289" i="4"/>
  <c r="W289" i="4"/>
  <c r="X289" i="4" s="1"/>
  <c r="U289" i="4"/>
  <c r="R289" i="4"/>
  <c r="N289" i="4"/>
  <c r="L289" i="4"/>
  <c r="H289" i="4"/>
  <c r="F289" i="4"/>
  <c r="C289" i="4"/>
  <c r="AD288" i="4"/>
  <c r="AC288" i="4"/>
  <c r="AA288" i="4"/>
  <c r="W288" i="4"/>
  <c r="X288" i="4" s="1"/>
  <c r="U288" i="4"/>
  <c r="R288" i="4"/>
  <c r="N288" i="4"/>
  <c r="O288" i="4" s="1"/>
  <c r="L288" i="4"/>
  <c r="H288" i="4"/>
  <c r="F288" i="4"/>
  <c r="C288" i="4"/>
  <c r="AD287" i="4"/>
  <c r="AC287" i="4"/>
  <c r="AA287" i="4"/>
  <c r="X287" i="4"/>
  <c r="W287" i="4"/>
  <c r="U287" i="4"/>
  <c r="R287" i="4"/>
  <c r="N287" i="4"/>
  <c r="L287" i="4"/>
  <c r="H287" i="4"/>
  <c r="I287" i="4" s="1"/>
  <c r="F287" i="4"/>
  <c r="C287" i="4"/>
  <c r="AD286" i="4"/>
  <c r="AC286" i="4"/>
  <c r="AA286" i="4"/>
  <c r="X286" i="4"/>
  <c r="W286" i="4"/>
  <c r="U286" i="4"/>
  <c r="R286" i="4"/>
  <c r="N286" i="4"/>
  <c r="L286" i="4"/>
  <c r="I286" i="4"/>
  <c r="H286" i="4"/>
  <c r="F286" i="4"/>
  <c r="C286" i="4"/>
  <c r="AA284" i="4"/>
  <c r="Z284" i="4"/>
  <c r="X284" i="4"/>
  <c r="W284" i="4"/>
  <c r="U284" i="4"/>
  <c r="T284" i="4"/>
  <c r="R284" i="4"/>
  <c r="Q284" i="4"/>
  <c r="AC284" i="4" s="1"/>
  <c r="AD284" i="4" s="1"/>
  <c r="L284" i="4"/>
  <c r="K284" i="4"/>
  <c r="H284" i="4"/>
  <c r="F284" i="4"/>
  <c r="E284" i="4"/>
  <c r="C284" i="4"/>
  <c r="B284" i="4"/>
  <c r="AC283" i="4"/>
  <c r="AD283" i="4" s="1"/>
  <c r="AA283" i="4"/>
  <c r="X283" i="4"/>
  <c r="W283" i="4"/>
  <c r="U283" i="4"/>
  <c r="R283" i="4"/>
  <c r="N283" i="4"/>
  <c r="L283" i="4"/>
  <c r="I283" i="4"/>
  <c r="H283" i="4"/>
  <c r="F283" i="4"/>
  <c r="C283" i="4"/>
  <c r="AD282" i="4"/>
  <c r="AC282" i="4"/>
  <c r="AA282" i="4"/>
  <c r="W282" i="4"/>
  <c r="X282" i="4" s="1"/>
  <c r="U282" i="4"/>
  <c r="R282" i="4"/>
  <c r="N282" i="4"/>
  <c r="L282" i="4"/>
  <c r="H282" i="4"/>
  <c r="I282" i="4" s="1"/>
  <c r="F282" i="4"/>
  <c r="C282" i="4"/>
  <c r="AD281" i="4"/>
  <c r="AC281" i="4"/>
  <c r="AA281" i="4"/>
  <c r="W281" i="4"/>
  <c r="X281" i="4" s="1"/>
  <c r="U281" i="4"/>
  <c r="R281" i="4"/>
  <c r="N281" i="4"/>
  <c r="L281" i="4"/>
  <c r="H281" i="4"/>
  <c r="F281" i="4"/>
  <c r="C281" i="4"/>
  <c r="AC280" i="4"/>
  <c r="AD280" i="4" s="1"/>
  <c r="AA280" i="4"/>
  <c r="W280" i="4"/>
  <c r="X280" i="4" s="1"/>
  <c r="U280" i="4"/>
  <c r="R280" i="4"/>
  <c r="N280" i="4"/>
  <c r="L280" i="4"/>
  <c r="H280" i="4"/>
  <c r="F280" i="4"/>
  <c r="C280" i="4"/>
  <c r="AD279" i="4"/>
  <c r="AC279" i="4"/>
  <c r="AA279" i="4"/>
  <c r="X279" i="4"/>
  <c r="W279" i="4"/>
  <c r="U279" i="4"/>
  <c r="R279" i="4"/>
  <c r="N279" i="4"/>
  <c r="L279" i="4"/>
  <c r="H279" i="4"/>
  <c r="I279" i="4" s="1"/>
  <c r="F279" i="4"/>
  <c r="C279" i="4"/>
  <c r="AD278" i="4"/>
  <c r="AC278" i="4"/>
  <c r="AA278" i="4"/>
  <c r="X278" i="4"/>
  <c r="W278" i="4"/>
  <c r="U278" i="4"/>
  <c r="R278" i="4"/>
  <c r="N278" i="4"/>
  <c r="L278" i="4"/>
  <c r="I278" i="4"/>
  <c r="H278" i="4"/>
  <c r="F278" i="4"/>
  <c r="C278" i="4"/>
  <c r="AD277" i="4"/>
  <c r="AC277" i="4"/>
  <c r="AA277" i="4"/>
  <c r="W277" i="4"/>
  <c r="X277" i="4" s="1"/>
  <c r="U277" i="4"/>
  <c r="R277" i="4"/>
  <c r="N277" i="4"/>
  <c r="L277" i="4"/>
  <c r="H277" i="4"/>
  <c r="F277" i="4"/>
  <c r="C277" i="4"/>
  <c r="AC276" i="4"/>
  <c r="AD276" i="4" s="1"/>
  <c r="AA276" i="4"/>
  <c r="W276" i="4"/>
  <c r="X276" i="4" s="1"/>
  <c r="U276" i="4"/>
  <c r="R276" i="4"/>
  <c r="O276" i="4"/>
  <c r="N276" i="4"/>
  <c r="L276" i="4"/>
  <c r="H276" i="4"/>
  <c r="F276" i="4"/>
  <c r="C276" i="4"/>
  <c r="AD275" i="4"/>
  <c r="AC275" i="4"/>
  <c r="AA275" i="4"/>
  <c r="X275" i="4"/>
  <c r="W275" i="4"/>
  <c r="U275" i="4"/>
  <c r="R275" i="4"/>
  <c r="N275" i="4"/>
  <c r="L275" i="4"/>
  <c r="H275" i="4"/>
  <c r="I275" i="4" s="1"/>
  <c r="F275" i="4"/>
  <c r="C275" i="4"/>
  <c r="AA273" i="4"/>
  <c r="Z273" i="4"/>
  <c r="W273" i="4"/>
  <c r="X273" i="4" s="1"/>
  <c r="U273" i="4"/>
  <c r="T273" i="4"/>
  <c r="R273" i="4"/>
  <c r="Q273" i="4"/>
  <c r="AC273" i="4" s="1"/>
  <c r="AD273" i="4" s="1"/>
  <c r="K273" i="4"/>
  <c r="L273" i="4" s="1"/>
  <c r="F273" i="4"/>
  <c r="E273" i="4"/>
  <c r="B273" i="4"/>
  <c r="AD272" i="4"/>
  <c r="AC272" i="4"/>
  <c r="AA272" i="4"/>
  <c r="W272" i="4"/>
  <c r="X272" i="4" s="1"/>
  <c r="U272" i="4"/>
  <c r="R272" i="4"/>
  <c r="N272" i="4"/>
  <c r="O272" i="4" s="1"/>
  <c r="L272" i="4"/>
  <c r="H272" i="4"/>
  <c r="F272" i="4"/>
  <c r="C272" i="4"/>
  <c r="AC271" i="4"/>
  <c r="AD271" i="4" s="1"/>
  <c r="AA271" i="4"/>
  <c r="X271" i="4"/>
  <c r="W271" i="4"/>
  <c r="U271" i="4"/>
  <c r="R271" i="4"/>
  <c r="N271" i="4"/>
  <c r="L271" i="4"/>
  <c r="I271" i="4"/>
  <c r="H271" i="4"/>
  <c r="F271" i="4"/>
  <c r="C271" i="4"/>
  <c r="AD270" i="4"/>
  <c r="AC270" i="4"/>
  <c r="AA270" i="4"/>
  <c r="W270" i="4"/>
  <c r="X270" i="4" s="1"/>
  <c r="U270" i="4"/>
  <c r="R270" i="4"/>
  <c r="N270" i="4"/>
  <c r="L270" i="4"/>
  <c r="H270" i="4"/>
  <c r="I270" i="4" s="1"/>
  <c r="F270" i="4"/>
  <c r="C270" i="4"/>
  <c r="AD269" i="4"/>
  <c r="AC269" i="4"/>
  <c r="AA269" i="4"/>
  <c r="W269" i="4"/>
  <c r="X269" i="4" s="1"/>
  <c r="U269" i="4"/>
  <c r="R269" i="4"/>
  <c r="N269" i="4"/>
  <c r="L269" i="4"/>
  <c r="H269" i="4"/>
  <c r="F269" i="4"/>
  <c r="C269" i="4"/>
  <c r="AC267" i="4"/>
  <c r="AD267" i="4" s="1"/>
  <c r="AA267" i="4"/>
  <c r="Z267" i="4"/>
  <c r="U267" i="4"/>
  <c r="T267" i="4"/>
  <c r="R267" i="4"/>
  <c r="Q267" i="4"/>
  <c r="L267" i="4"/>
  <c r="K267" i="4"/>
  <c r="E267" i="4"/>
  <c r="C267" i="4"/>
  <c r="B267" i="4"/>
  <c r="N267" i="4" s="1"/>
  <c r="AD266" i="4"/>
  <c r="AC266" i="4"/>
  <c r="AA266" i="4"/>
  <c r="X266" i="4"/>
  <c r="W266" i="4"/>
  <c r="U266" i="4"/>
  <c r="R266" i="4"/>
  <c r="N266" i="4"/>
  <c r="L266" i="4"/>
  <c r="I266" i="4"/>
  <c r="H266" i="4"/>
  <c r="F266" i="4"/>
  <c r="C266" i="4"/>
  <c r="AD265" i="4"/>
  <c r="AC265" i="4"/>
  <c r="AA265" i="4"/>
  <c r="W265" i="4"/>
  <c r="X265" i="4" s="1"/>
  <c r="U265" i="4"/>
  <c r="R265" i="4"/>
  <c r="N265" i="4"/>
  <c r="L265" i="4"/>
  <c r="H265" i="4"/>
  <c r="F265" i="4"/>
  <c r="C265" i="4"/>
  <c r="AA263" i="4"/>
  <c r="Z263" i="4"/>
  <c r="U263" i="4"/>
  <c r="T263" i="4"/>
  <c r="R263" i="4"/>
  <c r="Q263" i="4"/>
  <c r="AC263" i="4" s="1"/>
  <c r="AD263" i="4" s="1"/>
  <c r="L263" i="4"/>
  <c r="K263" i="4"/>
  <c r="F263" i="4"/>
  <c r="E263" i="4"/>
  <c r="H263" i="4" s="1"/>
  <c r="I263" i="4" s="1"/>
  <c r="C263" i="4"/>
  <c r="B263" i="4"/>
  <c r="N263" i="4" s="1"/>
  <c r="AA262" i="4"/>
  <c r="Z262" i="4"/>
  <c r="X262" i="4"/>
  <c r="W262" i="4"/>
  <c r="U262" i="4"/>
  <c r="T262" i="4"/>
  <c r="R262" i="4"/>
  <c r="Q262" i="4"/>
  <c r="AC262" i="4" s="1"/>
  <c r="AD262" i="4" s="1"/>
  <c r="K262" i="4"/>
  <c r="L262" i="4" s="1"/>
  <c r="F262" i="4"/>
  <c r="E262" i="4"/>
  <c r="C262" i="4"/>
  <c r="B262" i="4"/>
  <c r="H262" i="4" s="1"/>
  <c r="AD261" i="4"/>
  <c r="AC261" i="4"/>
  <c r="AA261" i="4"/>
  <c r="W261" i="4"/>
  <c r="X261" i="4" s="1"/>
  <c r="U261" i="4"/>
  <c r="R261" i="4"/>
  <c r="N261" i="4"/>
  <c r="L261" i="4"/>
  <c r="H261" i="4"/>
  <c r="F261" i="4"/>
  <c r="C261" i="4"/>
  <c r="AD260" i="4"/>
  <c r="AC260" i="4"/>
  <c r="AA260" i="4"/>
  <c r="X260" i="4"/>
  <c r="W260" i="4"/>
  <c r="U260" i="4"/>
  <c r="R260" i="4"/>
  <c r="N260" i="4"/>
  <c r="L260" i="4"/>
  <c r="I260" i="4"/>
  <c r="H260" i="4"/>
  <c r="F260" i="4"/>
  <c r="C260" i="4"/>
  <c r="AD259" i="4"/>
  <c r="AC259" i="4"/>
  <c r="AA259" i="4"/>
  <c r="X259" i="4"/>
  <c r="W259" i="4"/>
  <c r="U259" i="4"/>
  <c r="R259" i="4"/>
  <c r="N259" i="4"/>
  <c r="L259" i="4"/>
  <c r="I259" i="4"/>
  <c r="H259" i="4"/>
  <c r="F259" i="4"/>
  <c r="C259" i="4"/>
  <c r="AD258" i="4"/>
  <c r="AC258" i="4"/>
  <c r="AA258" i="4"/>
  <c r="W258" i="4"/>
  <c r="X258" i="4" s="1"/>
  <c r="U258" i="4"/>
  <c r="R258" i="4"/>
  <c r="O258" i="4"/>
  <c r="N258" i="4"/>
  <c r="L258" i="4"/>
  <c r="H258" i="4"/>
  <c r="F258" i="4"/>
  <c r="C258" i="4"/>
  <c r="AD257" i="4"/>
  <c r="AC257" i="4"/>
  <c r="AA257" i="4"/>
  <c r="W257" i="4"/>
  <c r="X257" i="4" s="1"/>
  <c r="U257" i="4"/>
  <c r="R257" i="4"/>
  <c r="N257" i="4"/>
  <c r="L257" i="4"/>
  <c r="H257" i="4"/>
  <c r="F257" i="4"/>
  <c r="C257" i="4"/>
  <c r="AD256" i="4"/>
  <c r="AC256" i="4"/>
  <c r="AA256" i="4"/>
  <c r="X256" i="4"/>
  <c r="W256" i="4"/>
  <c r="U256" i="4"/>
  <c r="R256" i="4"/>
  <c r="N256" i="4"/>
  <c r="O256" i="4" s="1"/>
  <c r="L256" i="4"/>
  <c r="H256" i="4"/>
  <c r="I256" i="4" s="1"/>
  <c r="F256" i="4"/>
  <c r="C256" i="4"/>
  <c r="AD255" i="4"/>
  <c r="AC255" i="4"/>
  <c r="AA255" i="4"/>
  <c r="X255" i="4"/>
  <c r="W255" i="4"/>
  <c r="U255" i="4"/>
  <c r="R255" i="4"/>
  <c r="N255" i="4"/>
  <c r="L255" i="4"/>
  <c r="H255" i="4"/>
  <c r="I255" i="4" s="1"/>
  <c r="F255" i="4"/>
  <c r="C255" i="4"/>
  <c r="AD254" i="4"/>
  <c r="AC254" i="4"/>
  <c r="AA254" i="4"/>
  <c r="W254" i="4"/>
  <c r="X254" i="4" s="1"/>
  <c r="U254" i="4"/>
  <c r="R254" i="4"/>
  <c r="N254" i="4"/>
  <c r="L254" i="4"/>
  <c r="H254" i="4"/>
  <c r="F254" i="4"/>
  <c r="C254" i="4"/>
  <c r="AD253" i="4"/>
  <c r="AC253" i="4"/>
  <c r="AA253" i="4"/>
  <c r="W253" i="4"/>
  <c r="X253" i="4" s="1"/>
  <c r="U253" i="4"/>
  <c r="R253" i="4"/>
  <c r="N253" i="4"/>
  <c r="L253" i="4"/>
  <c r="H253" i="4"/>
  <c r="F253" i="4"/>
  <c r="C253" i="4"/>
  <c r="AD252" i="4"/>
  <c r="AC252" i="4"/>
  <c r="AA252" i="4"/>
  <c r="X252" i="4"/>
  <c r="W252" i="4"/>
  <c r="U252" i="4"/>
  <c r="R252" i="4"/>
  <c r="N252" i="4"/>
  <c r="L252" i="4"/>
  <c r="H252" i="4"/>
  <c r="I252" i="4" s="1"/>
  <c r="F252" i="4"/>
  <c r="C252" i="4"/>
  <c r="AD251" i="4"/>
  <c r="AC251" i="4"/>
  <c r="AA251" i="4"/>
  <c r="X251" i="4"/>
  <c r="W251" i="4"/>
  <c r="U251" i="4"/>
  <c r="R251" i="4"/>
  <c r="N251" i="4"/>
  <c r="L251" i="4"/>
  <c r="H251" i="4"/>
  <c r="F251" i="4"/>
  <c r="C251" i="4"/>
  <c r="AD250" i="4"/>
  <c r="AC250" i="4"/>
  <c r="AA250" i="4"/>
  <c r="W250" i="4"/>
  <c r="X250" i="4" s="1"/>
  <c r="U250" i="4"/>
  <c r="R250" i="4"/>
  <c r="N250" i="4"/>
  <c r="L250" i="4"/>
  <c r="H250" i="4"/>
  <c r="F250" i="4"/>
  <c r="C250" i="4"/>
  <c r="AD249" i="4"/>
  <c r="AC249" i="4"/>
  <c r="AA249" i="4"/>
  <c r="W249" i="4"/>
  <c r="X249" i="4" s="1"/>
  <c r="U249" i="4"/>
  <c r="R249" i="4"/>
  <c r="N249" i="4"/>
  <c r="L249" i="4"/>
  <c r="H249" i="4"/>
  <c r="F249" i="4"/>
  <c r="C249" i="4"/>
  <c r="AC248" i="4"/>
  <c r="AD248" i="4" s="1"/>
  <c r="AA248" i="4"/>
  <c r="X248" i="4"/>
  <c r="W248" i="4"/>
  <c r="U248" i="4"/>
  <c r="R248" i="4"/>
  <c r="N248" i="4"/>
  <c r="L248" i="4"/>
  <c r="I248" i="4"/>
  <c r="H248" i="4"/>
  <c r="F248" i="4"/>
  <c r="C248" i="4"/>
  <c r="AD247" i="4"/>
  <c r="AC247" i="4"/>
  <c r="AA247" i="4"/>
  <c r="W247" i="4"/>
  <c r="X247" i="4" s="1"/>
  <c r="U247" i="4"/>
  <c r="R247" i="4"/>
  <c r="N247" i="4"/>
  <c r="L247" i="4"/>
  <c r="I247" i="4"/>
  <c r="H247" i="4"/>
  <c r="F247" i="4"/>
  <c r="C247" i="4"/>
  <c r="AD246" i="4"/>
  <c r="AC246" i="4"/>
  <c r="AA246" i="4"/>
  <c r="W246" i="4"/>
  <c r="X246" i="4" s="1"/>
  <c r="U246" i="4"/>
  <c r="R246" i="4"/>
  <c r="N246" i="4"/>
  <c r="L246" i="4"/>
  <c r="H246" i="4"/>
  <c r="F246" i="4"/>
  <c r="C246" i="4"/>
  <c r="AD245" i="4"/>
  <c r="AC245" i="4"/>
  <c r="AA245" i="4"/>
  <c r="W245" i="4"/>
  <c r="X245" i="4" s="1"/>
  <c r="U245" i="4"/>
  <c r="R245" i="4"/>
  <c r="N245" i="4"/>
  <c r="L245" i="4"/>
  <c r="H245" i="4"/>
  <c r="F245" i="4"/>
  <c r="C245" i="4"/>
  <c r="AD244" i="4"/>
  <c r="AC244" i="4"/>
  <c r="AA244" i="4"/>
  <c r="X244" i="4"/>
  <c r="W244" i="4"/>
  <c r="U244" i="4"/>
  <c r="R244" i="4"/>
  <c r="N244" i="4"/>
  <c r="L244" i="4"/>
  <c r="I244" i="4"/>
  <c r="H244" i="4"/>
  <c r="F244" i="4"/>
  <c r="C244" i="4"/>
  <c r="AD243" i="4"/>
  <c r="AC243" i="4"/>
  <c r="AA243" i="4"/>
  <c r="X243" i="4"/>
  <c r="W243" i="4"/>
  <c r="U243" i="4"/>
  <c r="R243" i="4"/>
  <c r="N243" i="4"/>
  <c r="L243" i="4"/>
  <c r="H243" i="4"/>
  <c r="I243" i="4" s="1"/>
  <c r="F243" i="4"/>
  <c r="C243" i="4"/>
  <c r="AD242" i="4"/>
  <c r="AC242" i="4"/>
  <c r="AA242" i="4"/>
  <c r="W242" i="4"/>
  <c r="X242" i="4" s="1"/>
  <c r="U242" i="4"/>
  <c r="R242" i="4"/>
  <c r="N242" i="4"/>
  <c r="L242" i="4"/>
  <c r="H242" i="4"/>
  <c r="F242" i="4"/>
  <c r="C242" i="4"/>
  <c r="AC241" i="4"/>
  <c r="AD241" i="4" s="1"/>
  <c r="AA241" i="4"/>
  <c r="W241" i="4"/>
  <c r="X241" i="4" s="1"/>
  <c r="U241" i="4"/>
  <c r="R241" i="4"/>
  <c r="N241" i="4"/>
  <c r="L241" i="4"/>
  <c r="H241" i="4"/>
  <c r="F241" i="4"/>
  <c r="C241" i="4"/>
  <c r="AD240" i="4"/>
  <c r="AC240" i="4"/>
  <c r="AA240" i="4"/>
  <c r="X240" i="4"/>
  <c r="W240" i="4"/>
  <c r="U240" i="4"/>
  <c r="R240" i="4"/>
  <c r="N240" i="4"/>
  <c r="L240" i="4"/>
  <c r="H240" i="4"/>
  <c r="I240" i="4" s="1"/>
  <c r="F240" i="4"/>
  <c r="C240" i="4"/>
  <c r="AD238" i="4"/>
  <c r="AC238" i="4"/>
  <c r="AA238" i="4"/>
  <c r="X238" i="4"/>
  <c r="W238" i="4"/>
  <c r="U238" i="4"/>
  <c r="R238" i="4"/>
  <c r="N238" i="4"/>
  <c r="L238" i="4"/>
  <c r="H238" i="4"/>
  <c r="I238" i="4" s="1"/>
  <c r="F238" i="4"/>
  <c r="C238" i="4"/>
  <c r="AA236" i="4"/>
  <c r="Z236" i="4"/>
  <c r="T236" i="4"/>
  <c r="R236" i="4"/>
  <c r="Q236" i="4"/>
  <c r="AC236" i="4" s="1"/>
  <c r="AD236" i="4" s="1"/>
  <c r="L236" i="4"/>
  <c r="K236" i="4"/>
  <c r="H236" i="4"/>
  <c r="I236" i="4" s="1"/>
  <c r="F236" i="4"/>
  <c r="E236" i="4"/>
  <c r="C236" i="4"/>
  <c r="B236" i="4"/>
  <c r="N236" i="4" s="1"/>
  <c r="AD235" i="4"/>
  <c r="AC235" i="4"/>
  <c r="AA235" i="4"/>
  <c r="X235" i="4"/>
  <c r="W235" i="4"/>
  <c r="U235" i="4"/>
  <c r="R235" i="4"/>
  <c r="N235" i="4"/>
  <c r="L235" i="4"/>
  <c r="H235" i="4"/>
  <c r="I235" i="4" s="1"/>
  <c r="F235" i="4"/>
  <c r="C235" i="4"/>
  <c r="AD234" i="4"/>
  <c r="AC234" i="4"/>
  <c r="AA234" i="4"/>
  <c r="X234" i="4"/>
  <c r="W234" i="4"/>
  <c r="U234" i="4"/>
  <c r="R234" i="4"/>
  <c r="N234" i="4"/>
  <c r="L234" i="4"/>
  <c r="H234" i="4"/>
  <c r="F234" i="4"/>
  <c r="C234" i="4"/>
  <c r="AD233" i="4"/>
  <c r="AC233" i="4"/>
  <c r="AA233" i="4"/>
  <c r="W233" i="4"/>
  <c r="X233" i="4" s="1"/>
  <c r="U233" i="4"/>
  <c r="R233" i="4"/>
  <c r="N233" i="4"/>
  <c r="L233" i="4"/>
  <c r="I233" i="4"/>
  <c r="H233" i="4"/>
  <c r="F233" i="4"/>
  <c r="C233" i="4"/>
  <c r="AC232" i="4"/>
  <c r="AD232" i="4" s="1"/>
  <c r="AA232" i="4"/>
  <c r="W232" i="4"/>
  <c r="X232" i="4" s="1"/>
  <c r="U232" i="4"/>
  <c r="R232" i="4"/>
  <c r="N232" i="4"/>
  <c r="L232" i="4"/>
  <c r="H232" i="4"/>
  <c r="F232" i="4"/>
  <c r="C232" i="4"/>
  <c r="AD231" i="4"/>
  <c r="AC231" i="4"/>
  <c r="AA231" i="4"/>
  <c r="X231" i="4"/>
  <c r="W231" i="4"/>
  <c r="U231" i="4"/>
  <c r="R231" i="4"/>
  <c r="N231" i="4"/>
  <c r="L231" i="4"/>
  <c r="H231" i="4"/>
  <c r="I231" i="4" s="1"/>
  <c r="F231" i="4"/>
  <c r="C231" i="4"/>
  <c r="AD230" i="4"/>
  <c r="AC230" i="4"/>
  <c r="AA230" i="4"/>
  <c r="X230" i="4"/>
  <c r="W230" i="4"/>
  <c r="U230" i="4"/>
  <c r="R230" i="4"/>
  <c r="N230" i="4"/>
  <c r="L230" i="4"/>
  <c r="H230" i="4"/>
  <c r="I230" i="4" s="1"/>
  <c r="F230" i="4"/>
  <c r="C230" i="4"/>
  <c r="AD229" i="4"/>
  <c r="AC229" i="4"/>
  <c r="AA229" i="4"/>
  <c r="W229" i="4"/>
  <c r="X229" i="4" s="1"/>
  <c r="U229" i="4"/>
  <c r="R229" i="4"/>
  <c r="N229" i="4"/>
  <c r="L229" i="4"/>
  <c r="H229" i="4"/>
  <c r="F229" i="4"/>
  <c r="C229" i="4"/>
  <c r="AA227" i="4"/>
  <c r="Z227" i="4"/>
  <c r="T227" i="4"/>
  <c r="U227" i="4" s="1"/>
  <c r="Q227" i="4"/>
  <c r="L227" i="4"/>
  <c r="K227" i="4"/>
  <c r="E227" i="4"/>
  <c r="C227" i="4"/>
  <c r="B227" i="4"/>
  <c r="N227" i="4" s="1"/>
  <c r="AD226" i="4"/>
  <c r="AC226" i="4"/>
  <c r="AA226" i="4"/>
  <c r="X226" i="4"/>
  <c r="W226" i="4"/>
  <c r="U226" i="4"/>
  <c r="R226" i="4"/>
  <c r="N226" i="4"/>
  <c r="L226" i="4"/>
  <c r="I226" i="4"/>
  <c r="H226" i="4"/>
  <c r="F226" i="4"/>
  <c r="C226" i="4"/>
  <c r="AD225" i="4"/>
  <c r="AC225" i="4"/>
  <c r="AA225" i="4"/>
  <c r="W225" i="4"/>
  <c r="X225" i="4" s="1"/>
  <c r="U225" i="4"/>
  <c r="R225" i="4"/>
  <c r="N225" i="4"/>
  <c r="L225" i="4"/>
  <c r="H225" i="4"/>
  <c r="F225" i="4"/>
  <c r="C225" i="4"/>
  <c r="AD224" i="4"/>
  <c r="AC224" i="4"/>
  <c r="AA224" i="4"/>
  <c r="W224" i="4"/>
  <c r="X224" i="4" s="1"/>
  <c r="U224" i="4"/>
  <c r="R224" i="4"/>
  <c r="N224" i="4"/>
  <c r="L224" i="4"/>
  <c r="H224" i="4"/>
  <c r="F224" i="4"/>
  <c r="C224" i="4"/>
  <c r="AC223" i="4"/>
  <c r="AD223" i="4" s="1"/>
  <c r="AA223" i="4"/>
  <c r="X223" i="4"/>
  <c r="W223" i="4"/>
  <c r="U223" i="4"/>
  <c r="R223" i="4"/>
  <c r="N223" i="4"/>
  <c r="L223" i="4"/>
  <c r="I223" i="4"/>
  <c r="H223" i="4"/>
  <c r="F223" i="4"/>
  <c r="C223" i="4"/>
  <c r="AD222" i="4"/>
  <c r="AC222" i="4"/>
  <c r="AA222" i="4"/>
  <c r="W222" i="4"/>
  <c r="X222" i="4" s="1"/>
  <c r="U222" i="4"/>
  <c r="R222" i="4"/>
  <c r="N222" i="4"/>
  <c r="L222" i="4"/>
  <c r="H222" i="4"/>
  <c r="I222" i="4" s="1"/>
  <c r="F222" i="4"/>
  <c r="C222" i="4"/>
  <c r="AD221" i="4"/>
  <c r="AC221" i="4"/>
  <c r="AA221" i="4"/>
  <c r="W221" i="4"/>
  <c r="X221" i="4" s="1"/>
  <c r="U221" i="4"/>
  <c r="R221" i="4"/>
  <c r="N221" i="4"/>
  <c r="L221" i="4"/>
  <c r="I221" i="4"/>
  <c r="H221" i="4"/>
  <c r="F221" i="4"/>
  <c r="C221" i="4"/>
  <c r="AD220" i="4"/>
  <c r="AC220" i="4"/>
  <c r="AA220" i="4"/>
  <c r="W220" i="4"/>
  <c r="X220" i="4" s="1"/>
  <c r="U220" i="4"/>
  <c r="R220" i="4"/>
  <c r="N220" i="4"/>
  <c r="L220" i="4"/>
  <c r="H220" i="4"/>
  <c r="F220" i="4"/>
  <c r="C220" i="4"/>
  <c r="AD219" i="4"/>
  <c r="AC219" i="4"/>
  <c r="AA219" i="4"/>
  <c r="X219" i="4"/>
  <c r="W219" i="4"/>
  <c r="U219" i="4"/>
  <c r="R219" i="4"/>
  <c r="N219" i="4"/>
  <c r="O219" i="4" s="1"/>
  <c r="L219" i="4"/>
  <c r="I219" i="4"/>
  <c r="H219" i="4"/>
  <c r="F219" i="4"/>
  <c r="C219" i="4"/>
  <c r="AA218" i="4"/>
  <c r="Z218" i="4"/>
  <c r="X218" i="4"/>
  <c r="W218" i="4"/>
  <c r="U218" i="4"/>
  <c r="T218" i="4"/>
  <c r="R218" i="4"/>
  <c r="Q218" i="4"/>
  <c r="L218" i="4"/>
  <c r="K218" i="4"/>
  <c r="N218" i="4" s="1"/>
  <c r="F218" i="4"/>
  <c r="E218" i="4"/>
  <c r="C218" i="4"/>
  <c r="B218" i="4"/>
  <c r="H218" i="4" s="1"/>
  <c r="AD217" i="4"/>
  <c r="AC217" i="4"/>
  <c r="AA217" i="4"/>
  <c r="W217" i="4"/>
  <c r="X217" i="4" s="1"/>
  <c r="U217" i="4"/>
  <c r="R217" i="4"/>
  <c r="N217" i="4"/>
  <c r="L217" i="4"/>
  <c r="H217" i="4"/>
  <c r="F217" i="4"/>
  <c r="C217" i="4"/>
  <c r="AD216" i="4"/>
  <c r="AC216" i="4"/>
  <c r="AA216" i="4"/>
  <c r="X216" i="4"/>
  <c r="W216" i="4"/>
  <c r="U216" i="4"/>
  <c r="R216" i="4"/>
  <c r="N216" i="4"/>
  <c r="L216" i="4"/>
  <c r="H216" i="4"/>
  <c r="I216" i="4" s="1"/>
  <c r="F216" i="4"/>
  <c r="C216" i="4"/>
  <c r="AD215" i="4"/>
  <c r="AC215" i="4"/>
  <c r="AA215" i="4"/>
  <c r="X215" i="4"/>
  <c r="W215" i="4"/>
  <c r="U215" i="4"/>
  <c r="R215" i="4"/>
  <c r="N215" i="4"/>
  <c r="L215" i="4"/>
  <c r="H215" i="4"/>
  <c r="I215" i="4" s="1"/>
  <c r="F215" i="4"/>
  <c r="C215" i="4"/>
  <c r="AD214" i="4"/>
  <c r="AC214" i="4"/>
  <c r="AA214" i="4"/>
  <c r="W214" i="4"/>
  <c r="X214" i="4" s="1"/>
  <c r="U214" i="4"/>
  <c r="R214" i="4"/>
  <c r="N214" i="4"/>
  <c r="L214" i="4"/>
  <c r="H214" i="4"/>
  <c r="F214" i="4"/>
  <c r="C214" i="4"/>
  <c r="AD213" i="4"/>
  <c r="AC213" i="4"/>
  <c r="AA213" i="4"/>
  <c r="W213" i="4"/>
  <c r="X213" i="4" s="1"/>
  <c r="U213" i="4"/>
  <c r="R213" i="4"/>
  <c r="N213" i="4"/>
  <c r="L213" i="4"/>
  <c r="H213" i="4"/>
  <c r="F213" i="4"/>
  <c r="C213" i="4"/>
  <c r="AC211" i="4"/>
  <c r="AD211" i="4" s="1"/>
  <c r="AA211" i="4"/>
  <c r="X211" i="4"/>
  <c r="W211" i="4"/>
  <c r="U211" i="4"/>
  <c r="R211" i="4"/>
  <c r="N211" i="4"/>
  <c r="O211" i="4" s="1"/>
  <c r="L211" i="4"/>
  <c r="H211" i="4"/>
  <c r="I211" i="4" s="1"/>
  <c r="F211" i="4"/>
  <c r="C211" i="4"/>
  <c r="Z209" i="4"/>
  <c r="AA209" i="4" s="1"/>
  <c r="W209" i="4"/>
  <c r="X209" i="4" s="1"/>
  <c r="U209" i="4"/>
  <c r="T209" i="4"/>
  <c r="R209" i="4"/>
  <c r="Q209" i="4"/>
  <c r="N209" i="4"/>
  <c r="K209" i="4"/>
  <c r="L209" i="4" s="1"/>
  <c r="F209" i="4"/>
  <c r="E209" i="4"/>
  <c r="C209" i="4"/>
  <c r="B209" i="4"/>
  <c r="H209" i="4" s="1"/>
  <c r="AC208" i="4"/>
  <c r="AD208" i="4" s="1"/>
  <c r="AA208" i="4"/>
  <c r="W208" i="4"/>
  <c r="X208" i="4" s="1"/>
  <c r="U208" i="4"/>
  <c r="R208" i="4"/>
  <c r="N208" i="4"/>
  <c r="L208" i="4"/>
  <c r="H208" i="4"/>
  <c r="F208" i="4"/>
  <c r="C208" i="4"/>
  <c r="AC207" i="4"/>
  <c r="AD207" i="4" s="1"/>
  <c r="AA207" i="4"/>
  <c r="X207" i="4"/>
  <c r="W207" i="4"/>
  <c r="U207" i="4"/>
  <c r="R207" i="4"/>
  <c r="N207" i="4"/>
  <c r="L207" i="4"/>
  <c r="I207" i="4"/>
  <c r="H207" i="4"/>
  <c r="F207" i="4"/>
  <c r="C207" i="4"/>
  <c r="AD206" i="4"/>
  <c r="AC206" i="4"/>
  <c r="AA206" i="4"/>
  <c r="W206" i="4"/>
  <c r="X206" i="4" s="1"/>
  <c r="U206" i="4"/>
  <c r="R206" i="4"/>
  <c r="N206" i="4"/>
  <c r="L206" i="4"/>
  <c r="H206" i="4"/>
  <c r="I206" i="4" s="1"/>
  <c r="F206" i="4"/>
  <c r="C206" i="4"/>
  <c r="AD205" i="4"/>
  <c r="AC205" i="4"/>
  <c r="AA205" i="4"/>
  <c r="W205" i="4"/>
  <c r="X205" i="4" s="1"/>
  <c r="U205" i="4"/>
  <c r="R205" i="4"/>
  <c r="N205" i="4"/>
  <c r="L205" i="4"/>
  <c r="H205" i="4"/>
  <c r="F205" i="4"/>
  <c r="C205" i="4"/>
  <c r="AD204" i="4"/>
  <c r="AC204" i="4"/>
  <c r="AA204" i="4"/>
  <c r="W204" i="4"/>
  <c r="X204" i="4" s="1"/>
  <c r="U204" i="4"/>
  <c r="R204" i="4"/>
  <c r="N204" i="4"/>
  <c r="L204" i="4"/>
  <c r="H204" i="4"/>
  <c r="F204" i="4"/>
  <c r="C204" i="4"/>
  <c r="AD203" i="4"/>
  <c r="AC203" i="4"/>
  <c r="AA203" i="4"/>
  <c r="X203" i="4"/>
  <c r="W203" i="4"/>
  <c r="U203" i="4"/>
  <c r="R203" i="4"/>
  <c r="N203" i="4"/>
  <c r="L203" i="4"/>
  <c r="H203" i="4"/>
  <c r="I203" i="4" s="1"/>
  <c r="F203" i="4"/>
  <c r="C203" i="4"/>
  <c r="AD202" i="4"/>
  <c r="AC202" i="4"/>
  <c r="AA202" i="4"/>
  <c r="X202" i="4"/>
  <c r="W202" i="4"/>
  <c r="U202" i="4"/>
  <c r="R202" i="4"/>
  <c r="N202" i="4"/>
  <c r="O202" i="4" s="1"/>
  <c r="L202" i="4"/>
  <c r="I202" i="4"/>
  <c r="H202" i="4"/>
  <c r="F202" i="4"/>
  <c r="C202" i="4"/>
  <c r="AD201" i="4"/>
  <c r="AC201" i="4"/>
  <c r="AA201" i="4"/>
  <c r="W201" i="4"/>
  <c r="X201" i="4" s="1"/>
  <c r="U201" i="4"/>
  <c r="R201" i="4"/>
  <c r="N201" i="4"/>
  <c r="L201" i="4"/>
  <c r="H201" i="4"/>
  <c r="F201" i="4"/>
  <c r="C201" i="4"/>
  <c r="U198" i="4"/>
  <c r="E198" i="4"/>
  <c r="AA197" i="4"/>
  <c r="Z197" i="4"/>
  <c r="X197" i="4"/>
  <c r="W197" i="4"/>
  <c r="U197" i="4"/>
  <c r="T197" i="4"/>
  <c r="R197" i="4"/>
  <c r="Q197" i="4"/>
  <c r="N197" i="4"/>
  <c r="L197" i="4"/>
  <c r="K197" i="4"/>
  <c r="F197" i="4"/>
  <c r="E197" i="4"/>
  <c r="C197" i="4"/>
  <c r="B197" i="4"/>
  <c r="H197" i="4" s="1"/>
  <c r="AD196" i="4"/>
  <c r="AC196" i="4"/>
  <c r="AA196" i="4"/>
  <c r="Z196" i="4"/>
  <c r="T196" i="4"/>
  <c r="U196" i="4" s="1"/>
  <c r="Q196" i="4"/>
  <c r="L196" i="4"/>
  <c r="K196" i="4"/>
  <c r="E196" i="4"/>
  <c r="C196" i="4"/>
  <c r="B196" i="4"/>
  <c r="N196" i="4" s="1"/>
  <c r="AD195" i="4"/>
  <c r="AC195" i="4"/>
  <c r="AA195" i="4"/>
  <c r="X195" i="4"/>
  <c r="W195" i="4"/>
  <c r="U195" i="4"/>
  <c r="R195" i="4"/>
  <c r="N195" i="4"/>
  <c r="L195" i="4"/>
  <c r="I195" i="4"/>
  <c r="H195" i="4"/>
  <c r="F195" i="4"/>
  <c r="C195" i="4"/>
  <c r="AD194" i="4"/>
  <c r="AC194" i="4"/>
  <c r="AA194" i="4"/>
  <c r="W194" i="4"/>
  <c r="X194" i="4" s="1"/>
  <c r="U194" i="4"/>
  <c r="R194" i="4"/>
  <c r="N194" i="4"/>
  <c r="L194" i="4"/>
  <c r="H194" i="4"/>
  <c r="F194" i="4"/>
  <c r="C194" i="4"/>
  <c r="AA193" i="4"/>
  <c r="Z193" i="4"/>
  <c r="T193" i="4"/>
  <c r="U193" i="4" s="1"/>
  <c r="R193" i="4"/>
  <c r="Q193" i="4"/>
  <c r="L193" i="4"/>
  <c r="K193" i="4"/>
  <c r="E193" i="4"/>
  <c r="C193" i="4"/>
  <c r="B193" i="4"/>
  <c r="N193" i="4" s="1"/>
  <c r="O193" i="4" s="1"/>
  <c r="AD192" i="4"/>
  <c r="AC192" i="4"/>
  <c r="AA192" i="4"/>
  <c r="W192" i="4"/>
  <c r="X192" i="4" s="1"/>
  <c r="U192" i="4"/>
  <c r="R192" i="4"/>
  <c r="N192" i="4"/>
  <c r="O192" i="4" s="1"/>
  <c r="L192" i="4"/>
  <c r="H192" i="4"/>
  <c r="I192" i="4" s="1"/>
  <c r="F192" i="4"/>
  <c r="C192" i="4"/>
  <c r="AD191" i="4"/>
  <c r="AC191" i="4"/>
  <c r="AA191" i="4"/>
  <c r="W191" i="4"/>
  <c r="X191" i="4" s="1"/>
  <c r="U191" i="4"/>
  <c r="R191" i="4"/>
  <c r="N191" i="4"/>
  <c r="L191" i="4"/>
  <c r="I191" i="4"/>
  <c r="H191" i="4"/>
  <c r="F191" i="4"/>
  <c r="C191" i="4"/>
  <c r="AD190" i="4"/>
  <c r="AC190" i="4"/>
  <c r="AA190" i="4"/>
  <c r="W190" i="4"/>
  <c r="X190" i="4" s="1"/>
  <c r="U190" i="4"/>
  <c r="R190" i="4"/>
  <c r="N190" i="4"/>
  <c r="L190" i="4"/>
  <c r="H190" i="4"/>
  <c r="F190" i="4"/>
  <c r="C190" i="4"/>
  <c r="AC189" i="4"/>
  <c r="AD189" i="4" s="1"/>
  <c r="AA189" i="4"/>
  <c r="X189" i="4"/>
  <c r="W189" i="4"/>
  <c r="U189" i="4"/>
  <c r="R189" i="4"/>
  <c r="N189" i="4"/>
  <c r="L189" i="4"/>
  <c r="I189" i="4"/>
  <c r="H189" i="4"/>
  <c r="F189" i="4"/>
  <c r="C189" i="4"/>
  <c r="AD188" i="4"/>
  <c r="AC188" i="4"/>
  <c r="AA188" i="4"/>
  <c r="W188" i="4"/>
  <c r="X188" i="4" s="1"/>
  <c r="U188" i="4"/>
  <c r="R188" i="4"/>
  <c r="N188" i="4"/>
  <c r="L188" i="4"/>
  <c r="I188" i="4"/>
  <c r="H188" i="4"/>
  <c r="F188" i="4"/>
  <c r="C188" i="4"/>
  <c r="AD187" i="4"/>
  <c r="AC187" i="4"/>
  <c r="AA187" i="4"/>
  <c r="W187" i="4"/>
  <c r="X187" i="4" s="1"/>
  <c r="U187" i="4"/>
  <c r="R187" i="4"/>
  <c r="N187" i="4"/>
  <c r="L187" i="4"/>
  <c r="H187" i="4"/>
  <c r="F187" i="4"/>
  <c r="C187" i="4"/>
  <c r="AD186" i="4"/>
  <c r="AC186" i="4"/>
  <c r="AA186" i="4"/>
  <c r="W186" i="4"/>
  <c r="X186" i="4" s="1"/>
  <c r="U186" i="4"/>
  <c r="R186" i="4"/>
  <c r="N186" i="4"/>
  <c r="L186" i="4"/>
  <c r="H186" i="4"/>
  <c r="F186" i="4"/>
  <c r="C186" i="4"/>
  <c r="AC184" i="4"/>
  <c r="AD184" i="4" s="1"/>
  <c r="AA184" i="4"/>
  <c r="X184" i="4"/>
  <c r="W184" i="4"/>
  <c r="U184" i="4"/>
  <c r="R184" i="4"/>
  <c r="N184" i="4"/>
  <c r="L184" i="4"/>
  <c r="I184" i="4"/>
  <c r="H184" i="4"/>
  <c r="F184" i="4"/>
  <c r="C184" i="4"/>
  <c r="AD183" i="4"/>
  <c r="AC183" i="4"/>
  <c r="AA183" i="4"/>
  <c r="W183" i="4"/>
  <c r="X183" i="4" s="1"/>
  <c r="U183" i="4"/>
  <c r="R183" i="4"/>
  <c r="N183" i="4"/>
  <c r="L183" i="4"/>
  <c r="I183" i="4"/>
  <c r="H183" i="4"/>
  <c r="F183" i="4"/>
  <c r="C183" i="4"/>
  <c r="AA182" i="4"/>
  <c r="Z182" i="4"/>
  <c r="W182" i="4"/>
  <c r="X182" i="4" s="1"/>
  <c r="U182" i="4"/>
  <c r="T182" i="4"/>
  <c r="R182" i="4"/>
  <c r="Q182" i="4"/>
  <c r="AC182" i="4" s="1"/>
  <c r="AD182" i="4" s="1"/>
  <c r="L182" i="4"/>
  <c r="K182" i="4"/>
  <c r="H182" i="4"/>
  <c r="I182" i="4" s="1"/>
  <c r="F182" i="4"/>
  <c r="E182" i="4"/>
  <c r="C182" i="4"/>
  <c r="B182" i="4"/>
  <c r="AD181" i="4"/>
  <c r="AC181" i="4"/>
  <c r="AA181" i="4"/>
  <c r="X181" i="4"/>
  <c r="W181" i="4"/>
  <c r="U181" i="4"/>
  <c r="R181" i="4"/>
  <c r="N181" i="4"/>
  <c r="L181" i="4"/>
  <c r="H181" i="4"/>
  <c r="I181" i="4" s="1"/>
  <c r="F181" i="4"/>
  <c r="C181" i="4"/>
  <c r="AD180" i="4"/>
  <c r="AC180" i="4"/>
  <c r="AA180" i="4"/>
  <c r="X180" i="4"/>
  <c r="W180" i="4"/>
  <c r="U180" i="4"/>
  <c r="R180" i="4"/>
  <c r="N180" i="4"/>
  <c r="L180" i="4"/>
  <c r="I180" i="4"/>
  <c r="H180" i="4"/>
  <c r="F180" i="4"/>
  <c r="C180" i="4"/>
  <c r="AD179" i="4"/>
  <c r="AC179" i="4"/>
  <c r="AA179" i="4"/>
  <c r="W179" i="4"/>
  <c r="X179" i="4" s="1"/>
  <c r="U179" i="4"/>
  <c r="R179" i="4"/>
  <c r="N179" i="4"/>
  <c r="L179" i="4"/>
  <c r="H179" i="4"/>
  <c r="F179" i="4"/>
  <c r="C179" i="4"/>
  <c r="AD178" i="4"/>
  <c r="AC178" i="4"/>
  <c r="AA178" i="4"/>
  <c r="X178" i="4"/>
  <c r="W178" i="4"/>
  <c r="U178" i="4"/>
  <c r="R178" i="4"/>
  <c r="N178" i="4"/>
  <c r="L178" i="4"/>
  <c r="H178" i="4"/>
  <c r="I178" i="4" s="1"/>
  <c r="F178" i="4"/>
  <c r="C178" i="4"/>
  <c r="AD177" i="4"/>
  <c r="AC177" i="4"/>
  <c r="AA177" i="4"/>
  <c r="X177" i="4"/>
  <c r="W177" i="4"/>
  <c r="U177" i="4"/>
  <c r="R177" i="4"/>
  <c r="N177" i="4"/>
  <c r="L177" i="4"/>
  <c r="I177" i="4"/>
  <c r="H177" i="4"/>
  <c r="F177" i="4"/>
  <c r="C177" i="4"/>
  <c r="AD175" i="4"/>
  <c r="AC175" i="4"/>
  <c r="AA175" i="4"/>
  <c r="W175" i="4"/>
  <c r="X175" i="4" s="1"/>
  <c r="U175" i="4"/>
  <c r="R175" i="4"/>
  <c r="N175" i="4"/>
  <c r="L175" i="4"/>
  <c r="I175" i="4"/>
  <c r="H175" i="4"/>
  <c r="F175" i="4"/>
  <c r="C175" i="4"/>
  <c r="U172" i="4"/>
  <c r="T172" i="4"/>
  <c r="T198" i="4" s="1"/>
  <c r="T345" i="4" s="1"/>
  <c r="E172" i="4"/>
  <c r="F172" i="4" s="1"/>
  <c r="AA171" i="4"/>
  <c r="Z171" i="4"/>
  <c r="X171" i="4"/>
  <c r="W171" i="4"/>
  <c r="U171" i="4"/>
  <c r="T171" i="4"/>
  <c r="R171" i="4"/>
  <c r="Q171" i="4"/>
  <c r="L171" i="4"/>
  <c r="K171" i="4"/>
  <c r="N171" i="4" s="1"/>
  <c r="O171" i="4" s="1"/>
  <c r="F171" i="4"/>
  <c r="E171" i="4"/>
  <c r="C171" i="4"/>
  <c r="B171" i="4"/>
  <c r="H171" i="4" s="1"/>
  <c r="I171" i="4" s="1"/>
  <c r="AA170" i="4"/>
  <c r="Z170" i="4"/>
  <c r="T170" i="4"/>
  <c r="U170" i="4" s="1"/>
  <c r="Q170" i="4"/>
  <c r="L170" i="4"/>
  <c r="K170" i="4"/>
  <c r="E170" i="4"/>
  <c r="F170" i="4" s="1"/>
  <c r="C170" i="4"/>
  <c r="B170" i="4"/>
  <c r="N170" i="4" s="1"/>
  <c r="AD169" i="4"/>
  <c r="AC169" i="4"/>
  <c r="AA169" i="4"/>
  <c r="X169" i="4"/>
  <c r="W169" i="4"/>
  <c r="U169" i="4"/>
  <c r="R169" i="4"/>
  <c r="N169" i="4"/>
  <c r="L169" i="4"/>
  <c r="H169" i="4"/>
  <c r="I169" i="4" s="1"/>
  <c r="F169" i="4"/>
  <c r="C169" i="4"/>
  <c r="AD168" i="4"/>
  <c r="AC168" i="4"/>
  <c r="AA168" i="4"/>
  <c r="W168" i="4"/>
  <c r="X168" i="4" s="1"/>
  <c r="U168" i="4"/>
  <c r="R168" i="4"/>
  <c r="N168" i="4"/>
  <c r="L168" i="4"/>
  <c r="I168" i="4"/>
  <c r="H168" i="4"/>
  <c r="F168" i="4"/>
  <c r="C168" i="4"/>
  <c r="AD167" i="4"/>
  <c r="AC167" i="4"/>
  <c r="AA167" i="4"/>
  <c r="W167" i="4"/>
  <c r="X167" i="4" s="1"/>
  <c r="U167" i="4"/>
  <c r="R167" i="4"/>
  <c r="N167" i="4"/>
  <c r="L167" i="4"/>
  <c r="H167" i="4"/>
  <c r="F167" i="4"/>
  <c r="C167" i="4"/>
  <c r="AA166" i="4"/>
  <c r="Z166" i="4"/>
  <c r="AC166" i="4" s="1"/>
  <c r="AD166" i="4" s="1"/>
  <c r="U166" i="4"/>
  <c r="T166" i="4"/>
  <c r="Q166" i="4"/>
  <c r="W166" i="4" s="1"/>
  <c r="X166" i="4" s="1"/>
  <c r="N166" i="4"/>
  <c r="L166" i="4"/>
  <c r="K166" i="4"/>
  <c r="I166" i="4"/>
  <c r="F166" i="4"/>
  <c r="E166" i="4"/>
  <c r="C166" i="4"/>
  <c r="B166" i="4"/>
  <c r="H166" i="4" s="1"/>
  <c r="AD165" i="4"/>
  <c r="AC165" i="4"/>
  <c r="AA165" i="4"/>
  <c r="W165" i="4"/>
  <c r="X165" i="4" s="1"/>
  <c r="U165" i="4"/>
  <c r="R165" i="4"/>
  <c r="N165" i="4"/>
  <c r="L165" i="4"/>
  <c r="I165" i="4"/>
  <c r="H165" i="4"/>
  <c r="F165" i="4"/>
  <c r="C165" i="4"/>
  <c r="AC164" i="4"/>
  <c r="AD164" i="4" s="1"/>
  <c r="AA164" i="4"/>
  <c r="W164" i="4"/>
  <c r="X164" i="4" s="1"/>
  <c r="U164" i="4"/>
  <c r="R164" i="4"/>
  <c r="N164" i="4"/>
  <c r="L164" i="4"/>
  <c r="H164" i="4"/>
  <c r="F164" i="4"/>
  <c r="C164" i="4"/>
  <c r="AC163" i="4"/>
  <c r="AD163" i="4" s="1"/>
  <c r="AA163" i="4"/>
  <c r="X163" i="4"/>
  <c r="W163" i="4"/>
  <c r="U163" i="4"/>
  <c r="R163" i="4"/>
  <c r="N163" i="4"/>
  <c r="L163" i="4"/>
  <c r="I163" i="4"/>
  <c r="H163" i="4"/>
  <c r="F163" i="4"/>
  <c r="C163" i="4"/>
  <c r="AD162" i="4"/>
  <c r="AC162" i="4"/>
  <c r="AA162" i="4"/>
  <c r="W162" i="4"/>
  <c r="X162" i="4" s="1"/>
  <c r="U162" i="4"/>
  <c r="R162" i="4"/>
  <c r="N162" i="4"/>
  <c r="L162" i="4"/>
  <c r="H162" i="4"/>
  <c r="I162" i="4" s="1"/>
  <c r="F162" i="4"/>
  <c r="C162" i="4"/>
  <c r="AD161" i="4"/>
  <c r="AC161" i="4"/>
  <c r="AA161" i="4"/>
  <c r="W161" i="4"/>
  <c r="X161" i="4" s="1"/>
  <c r="U161" i="4"/>
  <c r="R161" i="4"/>
  <c r="N161" i="4"/>
  <c r="L161" i="4"/>
  <c r="I161" i="4"/>
  <c r="H161" i="4"/>
  <c r="F161" i="4"/>
  <c r="C161" i="4"/>
  <c r="AD160" i="4"/>
  <c r="AC160" i="4"/>
  <c r="AA160" i="4"/>
  <c r="W160" i="4"/>
  <c r="X160" i="4" s="1"/>
  <c r="U160" i="4"/>
  <c r="R160" i="4"/>
  <c r="N160" i="4"/>
  <c r="L160" i="4"/>
  <c r="H160" i="4"/>
  <c r="F160" i="4"/>
  <c r="C160" i="4"/>
  <c r="AA158" i="4"/>
  <c r="Z158" i="4"/>
  <c r="U158" i="4"/>
  <c r="T158" i="4"/>
  <c r="Q158" i="4"/>
  <c r="L158" i="4"/>
  <c r="K158" i="4"/>
  <c r="F158" i="4"/>
  <c r="E158" i="4"/>
  <c r="C158" i="4"/>
  <c r="B158" i="4"/>
  <c r="AD157" i="4"/>
  <c r="AC157" i="4"/>
  <c r="AA157" i="4"/>
  <c r="W157" i="4"/>
  <c r="X157" i="4" s="1"/>
  <c r="U157" i="4"/>
  <c r="R157" i="4"/>
  <c r="N157" i="4"/>
  <c r="L157" i="4"/>
  <c r="I157" i="4"/>
  <c r="H157" i="4"/>
  <c r="F157" i="4"/>
  <c r="C157" i="4"/>
  <c r="AC156" i="4"/>
  <c r="AD156" i="4" s="1"/>
  <c r="AA156" i="4"/>
  <c r="W156" i="4"/>
  <c r="X156" i="4" s="1"/>
  <c r="U156" i="4"/>
  <c r="R156" i="4"/>
  <c r="O156" i="4"/>
  <c r="N156" i="4"/>
  <c r="L156" i="4"/>
  <c r="H156" i="4"/>
  <c r="F156" i="4"/>
  <c r="C156" i="4"/>
  <c r="AD155" i="4"/>
  <c r="AC155" i="4"/>
  <c r="AA155" i="4"/>
  <c r="X155" i="4"/>
  <c r="W155" i="4"/>
  <c r="U155" i="4"/>
  <c r="R155" i="4"/>
  <c r="N155" i="4"/>
  <c r="L155" i="4"/>
  <c r="H155" i="4"/>
  <c r="I155" i="4" s="1"/>
  <c r="F155" i="4"/>
  <c r="C155" i="4"/>
  <c r="AD154" i="4"/>
  <c r="AC154" i="4"/>
  <c r="AA154" i="4"/>
  <c r="X154" i="4"/>
  <c r="W154" i="4"/>
  <c r="U154" i="4"/>
  <c r="R154" i="4"/>
  <c r="N154" i="4"/>
  <c r="L154" i="4"/>
  <c r="I154" i="4"/>
  <c r="H154" i="4"/>
  <c r="F154" i="4"/>
  <c r="C154" i="4"/>
  <c r="AD153" i="4"/>
  <c r="AC153" i="4"/>
  <c r="AA153" i="4"/>
  <c r="W153" i="4"/>
  <c r="X153" i="4" s="1"/>
  <c r="U153" i="4"/>
  <c r="R153" i="4"/>
  <c r="N153" i="4"/>
  <c r="L153" i="4"/>
  <c r="I153" i="4"/>
  <c r="H153" i="4"/>
  <c r="F153" i="4"/>
  <c r="C153" i="4"/>
  <c r="AC151" i="4"/>
  <c r="AD151" i="4" s="1"/>
  <c r="AA151" i="4"/>
  <c r="W151" i="4"/>
  <c r="X151" i="4" s="1"/>
  <c r="U151" i="4"/>
  <c r="R151" i="4"/>
  <c r="O151" i="4"/>
  <c r="N151" i="4"/>
  <c r="L151" i="4"/>
  <c r="H151" i="4"/>
  <c r="F151" i="4"/>
  <c r="C151" i="4"/>
  <c r="AC149" i="4"/>
  <c r="AD149" i="4" s="1"/>
  <c r="AA149" i="4"/>
  <c r="Z149" i="4"/>
  <c r="U149" i="4"/>
  <c r="T149" i="4"/>
  <c r="Q149" i="4"/>
  <c r="O149" i="4"/>
  <c r="N149" i="4"/>
  <c r="L149" i="4"/>
  <c r="K149" i="4"/>
  <c r="F149" i="4"/>
  <c r="E149" i="4"/>
  <c r="C149" i="4"/>
  <c r="B149" i="4"/>
  <c r="H149" i="4" s="1"/>
  <c r="I149" i="4" s="1"/>
  <c r="AA148" i="4"/>
  <c r="Z148" i="4"/>
  <c r="U148" i="4"/>
  <c r="T148" i="4"/>
  <c r="W148" i="4" s="1"/>
  <c r="X148" i="4" s="1"/>
  <c r="R148" i="4"/>
  <c r="Q148" i="4"/>
  <c r="AC148" i="4" s="1"/>
  <c r="AD148" i="4" s="1"/>
  <c r="L148" i="4"/>
  <c r="K148" i="4"/>
  <c r="H148" i="4"/>
  <c r="I148" i="4" s="1"/>
  <c r="F148" i="4"/>
  <c r="E148" i="4"/>
  <c r="C148" i="4"/>
  <c r="B148" i="4"/>
  <c r="N148" i="4" s="1"/>
  <c r="AD147" i="4"/>
  <c r="AC147" i="4"/>
  <c r="AA147" i="4"/>
  <c r="X147" i="4"/>
  <c r="W147" i="4"/>
  <c r="U147" i="4"/>
  <c r="R147" i="4"/>
  <c r="N147" i="4"/>
  <c r="L147" i="4"/>
  <c r="I147" i="4"/>
  <c r="H147" i="4"/>
  <c r="F147" i="4"/>
  <c r="C147" i="4"/>
  <c r="AD146" i="4"/>
  <c r="AC146" i="4"/>
  <c r="AA146" i="4"/>
  <c r="X146" i="4"/>
  <c r="W146" i="4"/>
  <c r="U146" i="4"/>
  <c r="R146" i="4"/>
  <c r="N146" i="4"/>
  <c r="L146" i="4"/>
  <c r="I146" i="4"/>
  <c r="H146" i="4"/>
  <c r="F146" i="4"/>
  <c r="C146" i="4"/>
  <c r="AD145" i="4"/>
  <c r="AC145" i="4"/>
  <c r="AA145" i="4"/>
  <c r="W145" i="4"/>
  <c r="X145" i="4" s="1"/>
  <c r="U145" i="4"/>
  <c r="R145" i="4"/>
  <c r="N145" i="4"/>
  <c r="L145" i="4"/>
  <c r="I145" i="4"/>
  <c r="H145" i="4"/>
  <c r="F145" i="4"/>
  <c r="C145" i="4"/>
  <c r="AC144" i="4"/>
  <c r="AD144" i="4" s="1"/>
  <c r="AA144" i="4"/>
  <c r="W144" i="4"/>
  <c r="X144" i="4" s="1"/>
  <c r="U144" i="4"/>
  <c r="R144" i="4"/>
  <c r="O144" i="4"/>
  <c r="N144" i="4"/>
  <c r="L144" i="4"/>
  <c r="H144" i="4"/>
  <c r="F144" i="4"/>
  <c r="C144" i="4"/>
  <c r="AD143" i="4"/>
  <c r="AC143" i="4"/>
  <c r="AA143" i="4"/>
  <c r="X143" i="4"/>
  <c r="W143" i="4"/>
  <c r="U143" i="4"/>
  <c r="R143" i="4"/>
  <c r="N143" i="4"/>
  <c r="L143" i="4"/>
  <c r="H143" i="4"/>
  <c r="I143" i="4" s="1"/>
  <c r="F143" i="4"/>
  <c r="C143" i="4"/>
  <c r="AA141" i="4"/>
  <c r="Z141" i="4"/>
  <c r="X141" i="4"/>
  <c r="W141" i="4"/>
  <c r="U141" i="4"/>
  <c r="T141" i="4"/>
  <c r="R141" i="4"/>
  <c r="Q141" i="4"/>
  <c r="AC141" i="4" s="1"/>
  <c r="AD141" i="4" s="1"/>
  <c r="L141" i="4"/>
  <c r="K141" i="4"/>
  <c r="F141" i="4"/>
  <c r="E141" i="4"/>
  <c r="C141" i="4"/>
  <c r="B141" i="4"/>
  <c r="AD140" i="4"/>
  <c r="AC140" i="4"/>
  <c r="AA140" i="4"/>
  <c r="W140" i="4"/>
  <c r="X140" i="4" s="1"/>
  <c r="U140" i="4"/>
  <c r="R140" i="4"/>
  <c r="O140" i="4"/>
  <c r="N140" i="4"/>
  <c r="L140" i="4"/>
  <c r="H140" i="4"/>
  <c r="F140" i="4"/>
  <c r="C140" i="4"/>
  <c r="AD139" i="4"/>
  <c r="AC139" i="4"/>
  <c r="AA139" i="4"/>
  <c r="X139" i="4"/>
  <c r="W139" i="4"/>
  <c r="U139" i="4"/>
  <c r="R139" i="4"/>
  <c r="N139" i="4"/>
  <c r="L139" i="4"/>
  <c r="H139" i="4"/>
  <c r="I139" i="4" s="1"/>
  <c r="F139" i="4"/>
  <c r="C139" i="4"/>
  <c r="AD138" i="4"/>
  <c r="AC138" i="4"/>
  <c r="AA138" i="4"/>
  <c r="X138" i="4"/>
  <c r="W138" i="4"/>
  <c r="U138" i="4"/>
  <c r="R138" i="4"/>
  <c r="N138" i="4"/>
  <c r="L138" i="4"/>
  <c r="I138" i="4"/>
  <c r="H138" i="4"/>
  <c r="F138" i="4"/>
  <c r="C138" i="4"/>
  <c r="AD137" i="4"/>
  <c r="AC137" i="4"/>
  <c r="AA137" i="4"/>
  <c r="W137" i="4"/>
  <c r="X137" i="4" s="1"/>
  <c r="U137" i="4"/>
  <c r="R137" i="4"/>
  <c r="N137" i="4"/>
  <c r="L137" i="4"/>
  <c r="I137" i="4"/>
  <c r="H137" i="4"/>
  <c r="F137" i="4"/>
  <c r="C137" i="4"/>
  <c r="AC136" i="4"/>
  <c r="AD136" i="4" s="1"/>
  <c r="AA136" i="4"/>
  <c r="W136" i="4"/>
  <c r="X136" i="4" s="1"/>
  <c r="U136" i="4"/>
  <c r="R136" i="4"/>
  <c r="N136" i="4"/>
  <c r="L136" i="4"/>
  <c r="H136" i="4"/>
  <c r="F136" i="4"/>
  <c r="C136" i="4"/>
  <c r="AD135" i="4"/>
  <c r="AC135" i="4"/>
  <c r="AA135" i="4"/>
  <c r="X135" i="4"/>
  <c r="W135" i="4"/>
  <c r="U135" i="4"/>
  <c r="R135" i="4"/>
  <c r="N135" i="4"/>
  <c r="L135" i="4"/>
  <c r="I135" i="4"/>
  <c r="H135" i="4"/>
  <c r="F135" i="4"/>
  <c r="C135" i="4"/>
  <c r="AD134" i="4"/>
  <c r="AC134" i="4"/>
  <c r="AA134" i="4"/>
  <c r="X134" i="4"/>
  <c r="W134" i="4"/>
  <c r="U134" i="4"/>
  <c r="R134" i="4"/>
  <c r="N134" i="4"/>
  <c r="L134" i="4"/>
  <c r="H134" i="4"/>
  <c r="I134" i="4" s="1"/>
  <c r="F134" i="4"/>
  <c r="C134" i="4"/>
  <c r="AD133" i="4"/>
  <c r="AC133" i="4"/>
  <c r="AA133" i="4"/>
  <c r="W133" i="4"/>
  <c r="X133" i="4" s="1"/>
  <c r="U133" i="4"/>
  <c r="R133" i="4"/>
  <c r="N133" i="4"/>
  <c r="L133" i="4"/>
  <c r="I133" i="4"/>
  <c r="H133" i="4"/>
  <c r="F133" i="4"/>
  <c r="C133" i="4"/>
  <c r="AD132" i="4"/>
  <c r="AC132" i="4"/>
  <c r="AA132" i="4"/>
  <c r="W132" i="4"/>
  <c r="X132" i="4" s="1"/>
  <c r="U132" i="4"/>
  <c r="R132" i="4"/>
  <c r="N132" i="4"/>
  <c r="L132" i="4"/>
  <c r="H132" i="4"/>
  <c r="F132" i="4"/>
  <c r="C132" i="4"/>
  <c r="AD131" i="4"/>
  <c r="AC131" i="4"/>
  <c r="AA131" i="4"/>
  <c r="X131" i="4"/>
  <c r="W131" i="4"/>
  <c r="U131" i="4"/>
  <c r="R131" i="4"/>
  <c r="N131" i="4"/>
  <c r="L131" i="4"/>
  <c r="H131" i="4"/>
  <c r="I131" i="4" s="1"/>
  <c r="F131" i="4"/>
  <c r="C131" i="4"/>
  <c r="AD130" i="4"/>
  <c r="AC130" i="4"/>
  <c r="AA130" i="4"/>
  <c r="X130" i="4"/>
  <c r="W130" i="4"/>
  <c r="U130" i="4"/>
  <c r="R130" i="4"/>
  <c r="N130" i="4"/>
  <c r="L130" i="4"/>
  <c r="I130" i="4"/>
  <c r="H130" i="4"/>
  <c r="F130" i="4"/>
  <c r="C130" i="4"/>
  <c r="AD129" i="4"/>
  <c r="AC129" i="4"/>
  <c r="AA129" i="4"/>
  <c r="W129" i="4"/>
  <c r="X129" i="4" s="1"/>
  <c r="U129" i="4"/>
  <c r="R129" i="4"/>
  <c r="N129" i="4"/>
  <c r="L129" i="4"/>
  <c r="I129" i="4"/>
  <c r="H129" i="4"/>
  <c r="F129" i="4"/>
  <c r="C129" i="4"/>
  <c r="AC127" i="4"/>
  <c r="AD127" i="4" s="1"/>
  <c r="AA127" i="4"/>
  <c r="W127" i="4"/>
  <c r="X127" i="4" s="1"/>
  <c r="U127" i="4"/>
  <c r="R127" i="4"/>
  <c r="N127" i="4"/>
  <c r="L127" i="4"/>
  <c r="H127" i="4"/>
  <c r="F127" i="4"/>
  <c r="C127" i="4"/>
  <c r="AA124" i="4"/>
  <c r="Z124" i="4"/>
  <c r="U124" i="4"/>
  <c r="T124" i="4"/>
  <c r="Q124" i="4"/>
  <c r="Q172" i="4" s="1"/>
  <c r="L124" i="4"/>
  <c r="K124" i="4"/>
  <c r="F124" i="4"/>
  <c r="E124" i="4"/>
  <c r="B124" i="4"/>
  <c r="AD123" i="4"/>
  <c r="AC123" i="4"/>
  <c r="AA123" i="4"/>
  <c r="W123" i="4"/>
  <c r="X123" i="4" s="1"/>
  <c r="U123" i="4"/>
  <c r="R123" i="4"/>
  <c r="N123" i="4"/>
  <c r="L123" i="4"/>
  <c r="I123" i="4"/>
  <c r="H123" i="4"/>
  <c r="F123" i="4"/>
  <c r="C123" i="4"/>
  <c r="AC122" i="4"/>
  <c r="AD122" i="4" s="1"/>
  <c r="Z122" i="4"/>
  <c r="AA122" i="4" s="1"/>
  <c r="X122" i="4"/>
  <c r="U122" i="4"/>
  <c r="T122" i="4"/>
  <c r="Q122" i="4"/>
  <c r="W122" i="4" s="1"/>
  <c r="L122" i="4"/>
  <c r="K122" i="4"/>
  <c r="I122" i="4"/>
  <c r="H122" i="4"/>
  <c r="F122" i="4"/>
  <c r="E122" i="4"/>
  <c r="B122" i="4"/>
  <c r="N122" i="4" s="1"/>
  <c r="AD121" i="4"/>
  <c r="AC121" i="4"/>
  <c r="AA121" i="4"/>
  <c r="X121" i="4"/>
  <c r="W121" i="4"/>
  <c r="U121" i="4"/>
  <c r="R121" i="4"/>
  <c r="N121" i="4"/>
  <c r="L121" i="4"/>
  <c r="H121" i="4"/>
  <c r="I121" i="4" s="1"/>
  <c r="F121" i="4"/>
  <c r="C121" i="4"/>
  <c r="AC120" i="4"/>
  <c r="AD120" i="4" s="1"/>
  <c r="AA120" i="4"/>
  <c r="W120" i="4"/>
  <c r="X120" i="4" s="1"/>
  <c r="U120" i="4"/>
  <c r="R120" i="4"/>
  <c r="N120" i="4"/>
  <c r="L120" i="4"/>
  <c r="I120" i="4"/>
  <c r="H120" i="4"/>
  <c r="F120" i="4"/>
  <c r="C120" i="4"/>
  <c r="AC119" i="4"/>
  <c r="AD119" i="4" s="1"/>
  <c r="AA119" i="4"/>
  <c r="W119" i="4"/>
  <c r="X119" i="4" s="1"/>
  <c r="U119" i="4"/>
  <c r="R119" i="4"/>
  <c r="N119" i="4"/>
  <c r="L119" i="4"/>
  <c r="H119" i="4"/>
  <c r="I119" i="4" s="1"/>
  <c r="F119" i="4"/>
  <c r="C119" i="4"/>
  <c r="Z118" i="4"/>
  <c r="AA118" i="4" s="1"/>
  <c r="U118" i="4"/>
  <c r="T118" i="4"/>
  <c r="R118" i="4"/>
  <c r="Q118" i="4"/>
  <c r="K118" i="4"/>
  <c r="L118" i="4" s="1"/>
  <c r="E118" i="4"/>
  <c r="F118" i="4" s="1"/>
  <c r="C118" i="4"/>
  <c r="B118" i="4"/>
  <c r="AC117" i="4"/>
  <c r="AD117" i="4" s="1"/>
  <c r="AA117" i="4"/>
  <c r="W117" i="4"/>
  <c r="X117" i="4" s="1"/>
  <c r="U117" i="4"/>
  <c r="R117" i="4"/>
  <c r="N117" i="4"/>
  <c r="L117" i="4"/>
  <c r="I117" i="4"/>
  <c r="H117" i="4"/>
  <c r="F117" i="4"/>
  <c r="C117" i="4"/>
  <c r="AC116" i="4"/>
  <c r="AD116" i="4" s="1"/>
  <c r="AA116" i="4"/>
  <c r="W116" i="4"/>
  <c r="X116" i="4" s="1"/>
  <c r="U116" i="4"/>
  <c r="R116" i="4"/>
  <c r="N116" i="4"/>
  <c r="L116" i="4"/>
  <c r="H116" i="4"/>
  <c r="I116" i="4" s="1"/>
  <c r="F116" i="4"/>
  <c r="C116" i="4"/>
  <c r="AD115" i="4"/>
  <c r="AC115" i="4"/>
  <c r="AA115" i="4"/>
  <c r="X115" i="4"/>
  <c r="W115" i="4"/>
  <c r="U115" i="4"/>
  <c r="R115" i="4"/>
  <c r="N115" i="4"/>
  <c r="L115" i="4"/>
  <c r="I115" i="4"/>
  <c r="H115" i="4"/>
  <c r="F115" i="4"/>
  <c r="C115" i="4"/>
  <c r="AD114" i="4"/>
  <c r="AC114" i="4"/>
  <c r="AA114" i="4"/>
  <c r="X114" i="4"/>
  <c r="W114" i="4"/>
  <c r="U114" i="4"/>
  <c r="R114" i="4"/>
  <c r="N114" i="4"/>
  <c r="L114" i="4"/>
  <c r="I114" i="4"/>
  <c r="H114" i="4"/>
  <c r="F114" i="4"/>
  <c r="C114" i="4"/>
  <c r="AC113" i="4"/>
  <c r="AD113" i="4" s="1"/>
  <c r="AA113" i="4"/>
  <c r="W113" i="4"/>
  <c r="X113" i="4" s="1"/>
  <c r="U113" i="4"/>
  <c r="R113" i="4"/>
  <c r="N113" i="4"/>
  <c r="L113" i="4"/>
  <c r="I113" i="4"/>
  <c r="H113" i="4"/>
  <c r="F113" i="4"/>
  <c r="C113" i="4"/>
  <c r="AD112" i="4"/>
  <c r="AC112" i="4"/>
  <c r="AA112" i="4"/>
  <c r="W112" i="4"/>
  <c r="X112" i="4" s="1"/>
  <c r="U112" i="4"/>
  <c r="R112" i="4"/>
  <c r="N112" i="4"/>
  <c r="L112" i="4"/>
  <c r="H112" i="4"/>
  <c r="I112" i="4" s="1"/>
  <c r="F112" i="4"/>
  <c r="C112" i="4"/>
  <c r="AC111" i="4"/>
  <c r="AD111" i="4" s="1"/>
  <c r="AA111" i="4"/>
  <c r="X111" i="4"/>
  <c r="W111" i="4"/>
  <c r="U111" i="4"/>
  <c r="R111" i="4"/>
  <c r="N111" i="4"/>
  <c r="L111" i="4"/>
  <c r="I111" i="4"/>
  <c r="H111" i="4"/>
  <c r="F111" i="4"/>
  <c r="C111" i="4"/>
  <c r="AD110" i="4"/>
  <c r="AC110" i="4"/>
  <c r="AA110" i="4"/>
  <c r="W110" i="4"/>
  <c r="X110" i="4" s="1"/>
  <c r="U110" i="4"/>
  <c r="R110" i="4"/>
  <c r="N110" i="4"/>
  <c r="L110" i="4"/>
  <c r="I110" i="4"/>
  <c r="H110" i="4"/>
  <c r="F110" i="4"/>
  <c r="C110" i="4"/>
  <c r="AC109" i="4"/>
  <c r="AD109" i="4" s="1"/>
  <c r="AA109" i="4"/>
  <c r="W109" i="4"/>
  <c r="X109" i="4" s="1"/>
  <c r="U109" i="4"/>
  <c r="R109" i="4"/>
  <c r="N109" i="4"/>
  <c r="L109" i="4"/>
  <c r="I109" i="4"/>
  <c r="H109" i="4"/>
  <c r="F109" i="4"/>
  <c r="C109" i="4"/>
  <c r="AD108" i="4"/>
  <c r="AC108" i="4"/>
  <c r="AA108" i="4"/>
  <c r="W108" i="4"/>
  <c r="X108" i="4" s="1"/>
  <c r="U108" i="4"/>
  <c r="R108" i="4"/>
  <c r="O108" i="4"/>
  <c r="N108" i="4"/>
  <c r="L108" i="4"/>
  <c r="H108" i="4"/>
  <c r="I108" i="4" s="1"/>
  <c r="F108" i="4"/>
  <c r="C108" i="4"/>
  <c r="AC107" i="4"/>
  <c r="AD107" i="4" s="1"/>
  <c r="AA107" i="4"/>
  <c r="X107" i="4"/>
  <c r="W107" i="4"/>
  <c r="U107" i="4"/>
  <c r="R107" i="4"/>
  <c r="N107" i="4"/>
  <c r="L107" i="4"/>
  <c r="I107" i="4"/>
  <c r="H107" i="4"/>
  <c r="F107" i="4"/>
  <c r="C107" i="4"/>
  <c r="AD106" i="4"/>
  <c r="AC106" i="4"/>
  <c r="AA106" i="4"/>
  <c r="W106" i="4"/>
  <c r="X106" i="4" s="1"/>
  <c r="U106" i="4"/>
  <c r="R106" i="4"/>
  <c r="N106" i="4"/>
  <c r="O106" i="4" s="1"/>
  <c r="L106" i="4"/>
  <c r="H106" i="4"/>
  <c r="I106" i="4" s="1"/>
  <c r="F106" i="4"/>
  <c r="C106" i="4"/>
  <c r="AC105" i="4"/>
  <c r="AD105" i="4" s="1"/>
  <c r="AA105" i="4"/>
  <c r="W105" i="4"/>
  <c r="X105" i="4" s="1"/>
  <c r="U105" i="4"/>
  <c r="R105" i="4"/>
  <c r="N105" i="4"/>
  <c r="L105" i="4"/>
  <c r="I105" i="4"/>
  <c r="H105" i="4"/>
  <c r="F105" i="4"/>
  <c r="C105" i="4"/>
  <c r="AC104" i="4"/>
  <c r="AD104" i="4" s="1"/>
  <c r="AA104" i="4"/>
  <c r="W104" i="4"/>
  <c r="X104" i="4" s="1"/>
  <c r="U104" i="4"/>
  <c r="R104" i="4"/>
  <c r="N104" i="4"/>
  <c r="L104" i="4"/>
  <c r="H104" i="4"/>
  <c r="I104" i="4" s="1"/>
  <c r="F104" i="4"/>
  <c r="C104" i="4"/>
  <c r="AC103" i="4"/>
  <c r="AD103" i="4" s="1"/>
  <c r="AA103" i="4"/>
  <c r="X103" i="4"/>
  <c r="W103" i="4"/>
  <c r="U103" i="4"/>
  <c r="R103" i="4"/>
  <c r="N103" i="4"/>
  <c r="L103" i="4"/>
  <c r="I103" i="4"/>
  <c r="H103" i="4"/>
  <c r="F103" i="4"/>
  <c r="C103" i="4"/>
  <c r="AD102" i="4"/>
  <c r="AC102" i="4"/>
  <c r="AA102" i="4"/>
  <c r="W102" i="4"/>
  <c r="X102" i="4" s="1"/>
  <c r="U102" i="4"/>
  <c r="R102" i="4"/>
  <c r="N102" i="4"/>
  <c r="L102" i="4"/>
  <c r="H102" i="4"/>
  <c r="I102" i="4" s="1"/>
  <c r="F102" i="4"/>
  <c r="C102" i="4"/>
  <c r="AC101" i="4"/>
  <c r="AD101" i="4" s="1"/>
  <c r="AA101" i="4"/>
  <c r="W101" i="4"/>
  <c r="X101" i="4" s="1"/>
  <c r="U101" i="4"/>
  <c r="R101" i="4"/>
  <c r="O101" i="4"/>
  <c r="N101" i="4"/>
  <c r="L101" i="4"/>
  <c r="I101" i="4"/>
  <c r="H101" i="4"/>
  <c r="F101" i="4"/>
  <c r="C101" i="4"/>
  <c r="AC100" i="4"/>
  <c r="AD100" i="4" s="1"/>
  <c r="AA100" i="4"/>
  <c r="W100" i="4"/>
  <c r="X100" i="4" s="1"/>
  <c r="U100" i="4"/>
  <c r="R100" i="4"/>
  <c r="N100" i="4"/>
  <c r="L100" i="4"/>
  <c r="H100" i="4"/>
  <c r="F100" i="4"/>
  <c r="C100" i="4"/>
  <c r="AD99" i="4"/>
  <c r="AC99" i="4"/>
  <c r="AA99" i="4"/>
  <c r="X99" i="4"/>
  <c r="W99" i="4"/>
  <c r="U99" i="4"/>
  <c r="R99" i="4"/>
  <c r="N99" i="4"/>
  <c r="O99" i="4" s="1"/>
  <c r="L99" i="4"/>
  <c r="I99" i="4"/>
  <c r="H99" i="4"/>
  <c r="F99" i="4"/>
  <c r="C99" i="4"/>
  <c r="AD98" i="4"/>
  <c r="AC98" i="4"/>
  <c r="AA98" i="4"/>
  <c r="X98" i="4"/>
  <c r="W98" i="4"/>
  <c r="U98" i="4"/>
  <c r="R98" i="4"/>
  <c r="N98" i="4"/>
  <c r="L98" i="4"/>
  <c r="H98" i="4"/>
  <c r="I98" i="4" s="1"/>
  <c r="F98" i="4"/>
  <c r="C98" i="4"/>
  <c r="AD97" i="4"/>
  <c r="AC97" i="4"/>
  <c r="AA97" i="4"/>
  <c r="W97" i="4"/>
  <c r="X97" i="4" s="1"/>
  <c r="U97" i="4"/>
  <c r="R97" i="4"/>
  <c r="N97" i="4"/>
  <c r="L97" i="4"/>
  <c r="I97" i="4"/>
  <c r="H97" i="4"/>
  <c r="F97" i="4"/>
  <c r="C97" i="4"/>
  <c r="AD96" i="4"/>
  <c r="AC96" i="4"/>
  <c r="AA96" i="4"/>
  <c r="W96" i="4"/>
  <c r="X96" i="4" s="1"/>
  <c r="U96" i="4"/>
  <c r="R96" i="4"/>
  <c r="O96" i="4"/>
  <c r="N96" i="4"/>
  <c r="L96" i="4"/>
  <c r="H96" i="4"/>
  <c r="F96" i="4"/>
  <c r="C96" i="4"/>
  <c r="AD95" i="4"/>
  <c r="AC95" i="4"/>
  <c r="AA95" i="4"/>
  <c r="X95" i="4"/>
  <c r="W95" i="4"/>
  <c r="U95" i="4"/>
  <c r="R95" i="4"/>
  <c r="N95" i="4"/>
  <c r="L95" i="4"/>
  <c r="H95" i="4"/>
  <c r="I95" i="4" s="1"/>
  <c r="F95" i="4"/>
  <c r="C95" i="4"/>
  <c r="AD94" i="4"/>
  <c r="AC94" i="4"/>
  <c r="AA94" i="4"/>
  <c r="X94" i="4"/>
  <c r="W94" i="4"/>
  <c r="U94" i="4"/>
  <c r="R94" i="4"/>
  <c r="N94" i="4"/>
  <c r="L94" i="4"/>
  <c r="I94" i="4"/>
  <c r="H94" i="4"/>
  <c r="F94" i="4"/>
  <c r="C94" i="4"/>
  <c r="AD92" i="4"/>
  <c r="AC92" i="4"/>
  <c r="AA92" i="4"/>
  <c r="W92" i="4"/>
  <c r="X92" i="4" s="1"/>
  <c r="U92" i="4"/>
  <c r="R92" i="4"/>
  <c r="N92" i="4"/>
  <c r="L92" i="4"/>
  <c r="I92" i="4"/>
  <c r="H92" i="4"/>
  <c r="F92" i="4"/>
  <c r="C92" i="4"/>
  <c r="AC91" i="4"/>
  <c r="AD91" i="4" s="1"/>
  <c r="AA91" i="4"/>
  <c r="W91" i="4"/>
  <c r="X91" i="4" s="1"/>
  <c r="U91" i="4"/>
  <c r="R91" i="4"/>
  <c r="O91" i="4"/>
  <c r="N91" i="4"/>
  <c r="L91" i="4"/>
  <c r="H91" i="4"/>
  <c r="F91" i="4"/>
  <c r="C91" i="4"/>
  <c r="AC90" i="4"/>
  <c r="AD90" i="4" s="1"/>
  <c r="AA90" i="4"/>
  <c r="X90" i="4"/>
  <c r="W90" i="4"/>
  <c r="U90" i="4"/>
  <c r="R90" i="4"/>
  <c r="N90" i="4"/>
  <c r="L90" i="4"/>
  <c r="I90" i="4"/>
  <c r="H90" i="4"/>
  <c r="F90" i="4"/>
  <c r="C90" i="4"/>
  <c r="AD89" i="4"/>
  <c r="AC89" i="4"/>
  <c r="AA89" i="4"/>
  <c r="W89" i="4"/>
  <c r="X89" i="4" s="1"/>
  <c r="U89" i="4"/>
  <c r="R89" i="4"/>
  <c r="N89" i="4"/>
  <c r="L89" i="4"/>
  <c r="H89" i="4"/>
  <c r="I89" i="4" s="1"/>
  <c r="F89" i="4"/>
  <c r="C89" i="4"/>
  <c r="AA88" i="4"/>
  <c r="Z88" i="4"/>
  <c r="T88" i="4"/>
  <c r="Q88" i="4"/>
  <c r="AC88" i="4" s="1"/>
  <c r="AD88" i="4" s="1"/>
  <c r="L88" i="4"/>
  <c r="K88" i="4"/>
  <c r="H88" i="4"/>
  <c r="I88" i="4" s="1"/>
  <c r="E88" i="4"/>
  <c r="F88" i="4" s="1"/>
  <c r="C88" i="4"/>
  <c r="B88" i="4"/>
  <c r="N88" i="4" s="1"/>
  <c r="AD87" i="4"/>
  <c r="AC87" i="4"/>
  <c r="AA87" i="4"/>
  <c r="X87" i="4"/>
  <c r="W87" i="4"/>
  <c r="U87" i="4"/>
  <c r="R87" i="4"/>
  <c r="N87" i="4"/>
  <c r="L87" i="4"/>
  <c r="I87" i="4"/>
  <c r="H87" i="4"/>
  <c r="F87" i="4"/>
  <c r="C87" i="4"/>
  <c r="AD86" i="4"/>
  <c r="AC86" i="4"/>
  <c r="AA86" i="4"/>
  <c r="X86" i="4"/>
  <c r="W86" i="4"/>
  <c r="U86" i="4"/>
  <c r="R86" i="4"/>
  <c r="N86" i="4"/>
  <c r="L86" i="4"/>
  <c r="I86" i="4"/>
  <c r="H86" i="4"/>
  <c r="F86" i="4"/>
  <c r="C86" i="4"/>
  <c r="AC85" i="4"/>
  <c r="AD85" i="4" s="1"/>
  <c r="AA85" i="4"/>
  <c r="W85" i="4"/>
  <c r="X85" i="4" s="1"/>
  <c r="U85" i="4"/>
  <c r="R85" i="4"/>
  <c r="N85" i="4"/>
  <c r="L85" i="4"/>
  <c r="I85" i="4"/>
  <c r="H85" i="4"/>
  <c r="F85" i="4"/>
  <c r="C85" i="4"/>
  <c r="AD84" i="4"/>
  <c r="AC84" i="4"/>
  <c r="AA84" i="4"/>
  <c r="W84" i="4"/>
  <c r="X84" i="4" s="1"/>
  <c r="U84" i="4"/>
  <c r="R84" i="4"/>
  <c r="N84" i="4"/>
  <c r="L84" i="4"/>
  <c r="H84" i="4"/>
  <c r="I84" i="4" s="1"/>
  <c r="F84" i="4"/>
  <c r="C84" i="4"/>
  <c r="AD83" i="4"/>
  <c r="AC83" i="4"/>
  <c r="AA83" i="4"/>
  <c r="X83" i="4"/>
  <c r="W83" i="4"/>
  <c r="U83" i="4"/>
  <c r="R83" i="4"/>
  <c r="N83" i="4"/>
  <c r="L83" i="4"/>
  <c r="H83" i="4"/>
  <c r="I83" i="4" s="1"/>
  <c r="F83" i="4"/>
  <c r="C83" i="4"/>
  <c r="AD82" i="4"/>
  <c r="AC82" i="4"/>
  <c r="AA82" i="4"/>
  <c r="X82" i="4"/>
  <c r="W82" i="4"/>
  <c r="U82" i="4"/>
  <c r="R82" i="4"/>
  <c r="N82" i="4"/>
  <c r="L82" i="4"/>
  <c r="I82" i="4"/>
  <c r="H82" i="4"/>
  <c r="F82" i="4"/>
  <c r="C82" i="4"/>
  <c r="AC81" i="4"/>
  <c r="AD81" i="4" s="1"/>
  <c r="AA81" i="4"/>
  <c r="W81" i="4"/>
  <c r="X81" i="4" s="1"/>
  <c r="U81" i="4"/>
  <c r="R81" i="4"/>
  <c r="N81" i="4"/>
  <c r="L81" i="4"/>
  <c r="I81" i="4"/>
  <c r="H81" i="4"/>
  <c r="F81" i="4"/>
  <c r="C81" i="4"/>
  <c r="AD80" i="4"/>
  <c r="AC80" i="4"/>
  <c r="AA80" i="4"/>
  <c r="W80" i="4"/>
  <c r="X80" i="4" s="1"/>
  <c r="U80" i="4"/>
  <c r="R80" i="4"/>
  <c r="N80" i="4"/>
  <c r="O80" i="4" s="1"/>
  <c r="L80" i="4"/>
  <c r="H80" i="4"/>
  <c r="I80" i="4" s="1"/>
  <c r="F80" i="4"/>
  <c r="C80" i="4"/>
  <c r="AD79" i="4"/>
  <c r="AC79" i="4"/>
  <c r="AA79" i="4"/>
  <c r="X79" i="4"/>
  <c r="W79" i="4"/>
  <c r="U79" i="4"/>
  <c r="R79" i="4"/>
  <c r="N79" i="4"/>
  <c r="L79" i="4"/>
  <c r="H79" i="4"/>
  <c r="I79" i="4" s="1"/>
  <c r="F79" i="4"/>
  <c r="C79" i="4"/>
  <c r="AD78" i="4"/>
  <c r="AC78" i="4"/>
  <c r="AA78" i="4"/>
  <c r="X78" i="4"/>
  <c r="W78" i="4"/>
  <c r="U78" i="4"/>
  <c r="R78" i="4"/>
  <c r="N78" i="4"/>
  <c r="O78" i="4" s="1"/>
  <c r="L78" i="4"/>
  <c r="I78" i="4"/>
  <c r="H78" i="4"/>
  <c r="F78" i="4"/>
  <c r="C78" i="4"/>
  <c r="AD77" i="4"/>
  <c r="AC77" i="4"/>
  <c r="AA77" i="4"/>
  <c r="W77" i="4"/>
  <c r="X77" i="4" s="1"/>
  <c r="U77" i="4"/>
  <c r="R77" i="4"/>
  <c r="N77" i="4"/>
  <c r="L77" i="4"/>
  <c r="I77" i="4"/>
  <c r="H77" i="4"/>
  <c r="F77" i="4"/>
  <c r="C77" i="4"/>
  <c r="AC76" i="4"/>
  <c r="AD76" i="4" s="1"/>
  <c r="AA76" i="4"/>
  <c r="W76" i="4"/>
  <c r="X76" i="4" s="1"/>
  <c r="U76" i="4"/>
  <c r="R76" i="4"/>
  <c r="N76" i="4"/>
  <c r="L76" i="4"/>
  <c r="H76" i="4"/>
  <c r="F76" i="4"/>
  <c r="C76" i="4"/>
  <c r="AC75" i="4"/>
  <c r="AD75" i="4" s="1"/>
  <c r="AA75" i="4"/>
  <c r="X75" i="4"/>
  <c r="W75" i="4"/>
  <c r="U75" i="4"/>
  <c r="R75" i="4"/>
  <c r="N75" i="4"/>
  <c r="L75" i="4"/>
  <c r="I75" i="4"/>
  <c r="H75" i="4"/>
  <c r="F75" i="4"/>
  <c r="C75" i="4"/>
  <c r="Z73" i="4"/>
  <c r="AA73" i="4" s="1"/>
  <c r="X73" i="4"/>
  <c r="W73" i="4"/>
  <c r="T73" i="4"/>
  <c r="U73" i="4" s="1"/>
  <c r="R73" i="4"/>
  <c r="Q73" i="4"/>
  <c r="K73" i="4"/>
  <c r="N73" i="4" s="1"/>
  <c r="O73" i="4" s="1"/>
  <c r="F73" i="4"/>
  <c r="E73" i="4"/>
  <c r="C73" i="4"/>
  <c r="B73" i="4"/>
  <c r="H73" i="4" s="1"/>
  <c r="I73" i="4" s="1"/>
  <c r="AD72" i="4"/>
  <c r="AC72" i="4"/>
  <c r="AA72" i="4"/>
  <c r="W72" i="4"/>
  <c r="X72" i="4" s="1"/>
  <c r="U72" i="4"/>
  <c r="R72" i="4"/>
  <c r="N72" i="4"/>
  <c r="L72" i="4"/>
  <c r="H72" i="4"/>
  <c r="I72" i="4" s="1"/>
  <c r="F72" i="4"/>
  <c r="C72" i="4"/>
  <c r="AC71" i="4"/>
  <c r="AD71" i="4" s="1"/>
  <c r="AA71" i="4"/>
  <c r="X71" i="4"/>
  <c r="W71" i="4"/>
  <c r="U71" i="4"/>
  <c r="R71" i="4"/>
  <c r="N71" i="4"/>
  <c r="L71" i="4"/>
  <c r="I71" i="4"/>
  <c r="H71" i="4"/>
  <c r="F71" i="4"/>
  <c r="C71" i="4"/>
  <c r="AD70" i="4"/>
  <c r="AC70" i="4"/>
  <c r="AA70" i="4"/>
  <c r="W70" i="4"/>
  <c r="X70" i="4" s="1"/>
  <c r="U70" i="4"/>
  <c r="R70" i="4"/>
  <c r="N70" i="4"/>
  <c r="L70" i="4"/>
  <c r="H70" i="4"/>
  <c r="I70" i="4" s="1"/>
  <c r="F70" i="4"/>
  <c r="C70" i="4"/>
  <c r="AC69" i="4"/>
  <c r="AD69" i="4" s="1"/>
  <c r="AA69" i="4"/>
  <c r="W69" i="4"/>
  <c r="X69" i="4" s="1"/>
  <c r="U69" i="4"/>
  <c r="R69" i="4"/>
  <c r="O69" i="4"/>
  <c r="N69" i="4"/>
  <c r="L69" i="4"/>
  <c r="I69" i="4"/>
  <c r="H69" i="4"/>
  <c r="F69" i="4"/>
  <c r="C69" i="4"/>
  <c r="AC68" i="4"/>
  <c r="AD68" i="4" s="1"/>
  <c r="AA68" i="4"/>
  <c r="W68" i="4"/>
  <c r="X68" i="4" s="1"/>
  <c r="U68" i="4"/>
  <c r="R68" i="4"/>
  <c r="N68" i="4"/>
  <c r="L68" i="4"/>
  <c r="H68" i="4"/>
  <c r="I68" i="4" s="1"/>
  <c r="F68" i="4"/>
  <c r="C68" i="4"/>
  <c r="AD67" i="4"/>
  <c r="AC67" i="4"/>
  <c r="AA67" i="4"/>
  <c r="X67" i="4"/>
  <c r="W67" i="4"/>
  <c r="U67" i="4"/>
  <c r="R67" i="4"/>
  <c r="N67" i="4"/>
  <c r="O67" i="4" s="1"/>
  <c r="L67" i="4"/>
  <c r="H67" i="4"/>
  <c r="I67" i="4" s="1"/>
  <c r="F67" i="4"/>
  <c r="C67" i="4"/>
  <c r="AD66" i="4"/>
  <c r="AC66" i="4"/>
  <c r="AA66" i="4"/>
  <c r="X66" i="4"/>
  <c r="W66" i="4"/>
  <c r="U66" i="4"/>
  <c r="R66" i="4"/>
  <c r="N66" i="4"/>
  <c r="L66" i="4"/>
  <c r="H66" i="4"/>
  <c r="I66" i="4" s="1"/>
  <c r="F66" i="4"/>
  <c r="C66" i="4"/>
  <c r="AC65" i="4"/>
  <c r="AD65" i="4" s="1"/>
  <c r="AA65" i="4"/>
  <c r="W65" i="4"/>
  <c r="X65" i="4" s="1"/>
  <c r="U65" i="4"/>
  <c r="R65" i="4"/>
  <c r="N65" i="4"/>
  <c r="L65" i="4"/>
  <c r="I65" i="4"/>
  <c r="H65" i="4"/>
  <c r="F65" i="4"/>
  <c r="C65" i="4"/>
  <c r="AC64" i="4"/>
  <c r="AD64" i="4" s="1"/>
  <c r="AA64" i="4"/>
  <c r="W64" i="4"/>
  <c r="X64" i="4" s="1"/>
  <c r="U64" i="4"/>
  <c r="R64" i="4"/>
  <c r="N64" i="4"/>
  <c r="O64" i="4" s="1"/>
  <c r="L64" i="4"/>
  <c r="H64" i="4"/>
  <c r="I64" i="4" s="1"/>
  <c r="F64" i="4"/>
  <c r="C64" i="4"/>
  <c r="AA62" i="4"/>
  <c r="Z62" i="4"/>
  <c r="AC62" i="4" s="1"/>
  <c r="AD62" i="4" s="1"/>
  <c r="U62" i="4"/>
  <c r="T62" i="4"/>
  <c r="R62" i="4"/>
  <c r="Q62" i="4"/>
  <c r="W62" i="4" s="1"/>
  <c r="X62" i="4" s="1"/>
  <c r="N62" i="4"/>
  <c r="K62" i="4"/>
  <c r="L62" i="4" s="1"/>
  <c r="F62" i="4"/>
  <c r="E62" i="4"/>
  <c r="C62" i="4"/>
  <c r="B62" i="4"/>
  <c r="AA61" i="4"/>
  <c r="Z61" i="4"/>
  <c r="X61" i="4"/>
  <c r="W61" i="4"/>
  <c r="U61" i="4"/>
  <c r="T61" i="4"/>
  <c r="Q61" i="4"/>
  <c r="AC61" i="4" s="1"/>
  <c r="AD61" i="4" s="1"/>
  <c r="L61" i="4"/>
  <c r="K61" i="4"/>
  <c r="I61" i="4"/>
  <c r="H61" i="4"/>
  <c r="E61" i="4"/>
  <c r="F61" i="4" s="1"/>
  <c r="C61" i="4"/>
  <c r="B61" i="4"/>
  <c r="N61" i="4" s="1"/>
  <c r="AC60" i="4"/>
  <c r="AD60" i="4" s="1"/>
  <c r="AA60" i="4"/>
  <c r="X60" i="4"/>
  <c r="W60" i="4"/>
  <c r="U60" i="4"/>
  <c r="R60" i="4"/>
  <c r="N60" i="4"/>
  <c r="L60" i="4"/>
  <c r="I60" i="4"/>
  <c r="H60" i="4"/>
  <c r="F60" i="4"/>
  <c r="C60" i="4"/>
  <c r="AD59" i="4"/>
  <c r="AC59" i="4"/>
  <c r="AA59" i="4"/>
  <c r="W59" i="4"/>
  <c r="X59" i="4" s="1"/>
  <c r="U59" i="4"/>
  <c r="R59" i="4"/>
  <c r="N59" i="4"/>
  <c r="O59" i="4" s="1"/>
  <c r="L59" i="4"/>
  <c r="I59" i="4"/>
  <c r="H59" i="4"/>
  <c r="F59" i="4"/>
  <c r="C59" i="4"/>
  <c r="AC58" i="4"/>
  <c r="AD58" i="4" s="1"/>
  <c r="AA58" i="4"/>
  <c r="W58" i="4"/>
  <c r="X58" i="4" s="1"/>
  <c r="U58" i="4"/>
  <c r="R58" i="4"/>
  <c r="N58" i="4"/>
  <c r="L58" i="4"/>
  <c r="I58" i="4"/>
  <c r="H58" i="4"/>
  <c r="F58" i="4"/>
  <c r="C58" i="4"/>
  <c r="AD57" i="4"/>
  <c r="AC57" i="4"/>
  <c r="AA57" i="4"/>
  <c r="W57" i="4"/>
  <c r="X57" i="4" s="1"/>
  <c r="U57" i="4"/>
  <c r="R57" i="4"/>
  <c r="N57" i="4"/>
  <c r="O57" i="4" s="1"/>
  <c r="L57" i="4"/>
  <c r="H57" i="4"/>
  <c r="I57" i="4" s="1"/>
  <c r="F57" i="4"/>
  <c r="C57" i="4"/>
  <c r="AC56" i="4"/>
  <c r="AD56" i="4" s="1"/>
  <c r="AA56" i="4"/>
  <c r="X56" i="4"/>
  <c r="W56" i="4"/>
  <c r="U56" i="4"/>
  <c r="R56" i="4"/>
  <c r="N56" i="4"/>
  <c r="L56" i="4"/>
  <c r="H56" i="4"/>
  <c r="I56" i="4" s="1"/>
  <c r="F56" i="4"/>
  <c r="C56" i="4"/>
  <c r="AD55" i="4"/>
  <c r="AC55" i="4"/>
  <c r="AA55" i="4"/>
  <c r="W55" i="4"/>
  <c r="X55" i="4" s="1"/>
  <c r="U55" i="4"/>
  <c r="R55" i="4"/>
  <c r="N55" i="4"/>
  <c r="L55" i="4"/>
  <c r="H55" i="4"/>
  <c r="I55" i="4" s="1"/>
  <c r="F55" i="4"/>
  <c r="C55" i="4"/>
  <c r="AC54" i="4"/>
  <c r="AD54" i="4" s="1"/>
  <c r="AA54" i="4"/>
  <c r="W54" i="4"/>
  <c r="X54" i="4" s="1"/>
  <c r="U54" i="4"/>
  <c r="R54" i="4"/>
  <c r="N54" i="4"/>
  <c r="L54" i="4"/>
  <c r="I54" i="4"/>
  <c r="H54" i="4"/>
  <c r="F54" i="4"/>
  <c r="C54" i="4"/>
  <c r="AC53" i="4"/>
  <c r="AD53" i="4" s="1"/>
  <c r="AA53" i="4"/>
  <c r="W53" i="4"/>
  <c r="X53" i="4" s="1"/>
  <c r="U53" i="4"/>
  <c r="R53" i="4"/>
  <c r="N53" i="4"/>
  <c r="L53" i="4"/>
  <c r="H53" i="4"/>
  <c r="I53" i="4" s="1"/>
  <c r="F53" i="4"/>
  <c r="C53" i="4"/>
  <c r="AC52" i="4"/>
  <c r="AD52" i="4" s="1"/>
  <c r="AA52" i="4"/>
  <c r="X52" i="4"/>
  <c r="W52" i="4"/>
  <c r="U52" i="4"/>
  <c r="R52" i="4"/>
  <c r="N52" i="4"/>
  <c r="O52" i="4" s="1"/>
  <c r="L52" i="4"/>
  <c r="I52" i="4"/>
  <c r="H52" i="4"/>
  <c r="F52" i="4"/>
  <c r="C52" i="4"/>
  <c r="AD51" i="4"/>
  <c r="AC51" i="4"/>
  <c r="AA51" i="4"/>
  <c r="W51" i="4"/>
  <c r="X51" i="4" s="1"/>
  <c r="U51" i="4"/>
  <c r="R51" i="4"/>
  <c r="N51" i="4"/>
  <c r="L51" i="4"/>
  <c r="H51" i="4"/>
  <c r="I51" i="4" s="1"/>
  <c r="F51" i="4"/>
  <c r="C51" i="4"/>
  <c r="AC50" i="4"/>
  <c r="AD50" i="4" s="1"/>
  <c r="AA50" i="4"/>
  <c r="W50" i="4"/>
  <c r="X50" i="4" s="1"/>
  <c r="U50" i="4"/>
  <c r="R50" i="4"/>
  <c r="N50" i="4"/>
  <c r="L50" i="4"/>
  <c r="I50" i="4"/>
  <c r="H50" i="4"/>
  <c r="F50" i="4"/>
  <c r="C50" i="4"/>
  <c r="AC49" i="4"/>
  <c r="AD49" i="4" s="1"/>
  <c r="AA49" i="4"/>
  <c r="W49" i="4"/>
  <c r="X49" i="4" s="1"/>
  <c r="U49" i="4"/>
  <c r="R49" i="4"/>
  <c r="N49" i="4"/>
  <c r="L49" i="4"/>
  <c r="H49" i="4"/>
  <c r="I49" i="4" s="1"/>
  <c r="F49" i="4"/>
  <c r="C49" i="4"/>
  <c r="AD48" i="4"/>
  <c r="AC48" i="4"/>
  <c r="AA48" i="4"/>
  <c r="X48" i="4"/>
  <c r="W48" i="4"/>
  <c r="U48" i="4"/>
  <c r="R48" i="4"/>
  <c r="N48" i="4"/>
  <c r="L48" i="4"/>
  <c r="I48" i="4"/>
  <c r="H48" i="4"/>
  <c r="F48" i="4"/>
  <c r="C48" i="4"/>
  <c r="AD47" i="4"/>
  <c r="AC47" i="4"/>
  <c r="AA47" i="4"/>
  <c r="X47" i="4"/>
  <c r="W47" i="4"/>
  <c r="U47" i="4"/>
  <c r="R47" i="4"/>
  <c r="N47" i="4"/>
  <c r="L47" i="4"/>
  <c r="H47" i="4"/>
  <c r="I47" i="4" s="1"/>
  <c r="F47" i="4"/>
  <c r="C47" i="4"/>
  <c r="AC46" i="4"/>
  <c r="AD46" i="4" s="1"/>
  <c r="AA46" i="4"/>
  <c r="W46" i="4"/>
  <c r="X46" i="4" s="1"/>
  <c r="U46" i="4"/>
  <c r="R46" i="4"/>
  <c r="O46" i="4"/>
  <c r="N46" i="4"/>
  <c r="L46" i="4"/>
  <c r="I46" i="4"/>
  <c r="H46" i="4"/>
  <c r="F46" i="4"/>
  <c r="C46" i="4"/>
  <c r="AC44" i="4"/>
  <c r="AD44" i="4" s="1"/>
  <c r="AA44" i="4"/>
  <c r="W44" i="4"/>
  <c r="X44" i="4" s="1"/>
  <c r="U44" i="4"/>
  <c r="R44" i="4"/>
  <c r="N44" i="4"/>
  <c r="L44" i="4"/>
  <c r="H44" i="4"/>
  <c r="I44" i="4" s="1"/>
  <c r="F44" i="4"/>
  <c r="C44" i="4"/>
  <c r="AC43" i="4"/>
  <c r="AD43" i="4" s="1"/>
  <c r="AA43" i="4"/>
  <c r="X43" i="4"/>
  <c r="W43" i="4"/>
  <c r="U43" i="4"/>
  <c r="R43" i="4"/>
  <c r="N43" i="4"/>
  <c r="L43" i="4"/>
  <c r="I43" i="4"/>
  <c r="H43" i="4"/>
  <c r="F43" i="4"/>
  <c r="C43" i="4"/>
  <c r="AD42" i="4"/>
  <c r="AC42" i="4"/>
  <c r="AA42" i="4"/>
  <c r="W42" i="4"/>
  <c r="X42" i="4" s="1"/>
  <c r="U42" i="4"/>
  <c r="R42" i="4"/>
  <c r="N42" i="4"/>
  <c r="L42" i="4"/>
  <c r="I42" i="4"/>
  <c r="H42" i="4"/>
  <c r="F42" i="4"/>
  <c r="C42" i="4"/>
  <c r="AA40" i="4"/>
  <c r="Z40" i="4"/>
  <c r="X40" i="4"/>
  <c r="W40" i="4"/>
  <c r="U40" i="4"/>
  <c r="T40" i="4"/>
  <c r="Q40" i="4"/>
  <c r="AC40" i="4" s="1"/>
  <c r="AD40" i="4" s="1"/>
  <c r="K40" i="4"/>
  <c r="L40" i="4" s="1"/>
  <c r="H40" i="4"/>
  <c r="I40" i="4" s="1"/>
  <c r="E40" i="4"/>
  <c r="F40" i="4" s="1"/>
  <c r="C40" i="4"/>
  <c r="B40" i="4"/>
  <c r="AD39" i="4"/>
  <c r="AC39" i="4"/>
  <c r="AA39" i="4"/>
  <c r="X39" i="4"/>
  <c r="W39" i="4"/>
  <c r="U39" i="4"/>
  <c r="R39" i="4"/>
  <c r="N39" i="4"/>
  <c r="L39" i="4"/>
  <c r="H39" i="4"/>
  <c r="I39" i="4" s="1"/>
  <c r="F39" i="4"/>
  <c r="C39" i="4"/>
  <c r="AD38" i="4"/>
  <c r="AC38" i="4"/>
  <c r="AA38" i="4"/>
  <c r="X38" i="4"/>
  <c r="W38" i="4"/>
  <c r="U38" i="4"/>
  <c r="R38" i="4"/>
  <c r="N38" i="4"/>
  <c r="L38" i="4"/>
  <c r="I38" i="4"/>
  <c r="H38" i="4"/>
  <c r="F38" i="4"/>
  <c r="C38" i="4"/>
  <c r="AC37" i="4"/>
  <c r="AD37" i="4" s="1"/>
  <c r="AA37" i="4"/>
  <c r="W37" i="4"/>
  <c r="X37" i="4" s="1"/>
  <c r="U37" i="4"/>
  <c r="R37" i="4"/>
  <c r="N37" i="4"/>
  <c r="L37" i="4"/>
  <c r="I37" i="4"/>
  <c r="H37" i="4"/>
  <c r="F37" i="4"/>
  <c r="C37" i="4"/>
  <c r="AD36" i="4"/>
  <c r="AC36" i="4"/>
  <c r="AA36" i="4"/>
  <c r="W36" i="4"/>
  <c r="X36" i="4" s="1"/>
  <c r="U36" i="4"/>
  <c r="R36" i="4"/>
  <c r="O36" i="4"/>
  <c r="N36" i="4"/>
  <c r="L36" i="4"/>
  <c r="H36" i="4"/>
  <c r="I36" i="4" s="1"/>
  <c r="F36" i="4"/>
  <c r="C36" i="4"/>
  <c r="AC35" i="4"/>
  <c r="AD35" i="4" s="1"/>
  <c r="AA35" i="4"/>
  <c r="X35" i="4"/>
  <c r="W35" i="4"/>
  <c r="U35" i="4"/>
  <c r="R35" i="4"/>
  <c r="N35" i="4"/>
  <c r="L35" i="4"/>
  <c r="I35" i="4"/>
  <c r="H35" i="4"/>
  <c r="F35" i="4"/>
  <c r="C35" i="4"/>
  <c r="AD34" i="4"/>
  <c r="AC34" i="4"/>
  <c r="AA34" i="4"/>
  <c r="W34" i="4"/>
  <c r="X34" i="4" s="1"/>
  <c r="U34" i="4"/>
  <c r="R34" i="4"/>
  <c r="N34" i="4"/>
  <c r="L34" i="4"/>
  <c r="I34" i="4"/>
  <c r="H34" i="4"/>
  <c r="F34" i="4"/>
  <c r="C34" i="4"/>
  <c r="AC33" i="4"/>
  <c r="AD33" i="4" s="1"/>
  <c r="AA33" i="4"/>
  <c r="W33" i="4"/>
  <c r="X33" i="4" s="1"/>
  <c r="U33" i="4"/>
  <c r="R33" i="4"/>
  <c r="N33" i="4"/>
  <c r="L33" i="4"/>
  <c r="I33" i="4"/>
  <c r="H33" i="4"/>
  <c r="F33" i="4"/>
  <c r="C33" i="4"/>
  <c r="AD32" i="4"/>
  <c r="AC32" i="4"/>
  <c r="AA32" i="4"/>
  <c r="W32" i="4"/>
  <c r="X32" i="4" s="1"/>
  <c r="U32" i="4"/>
  <c r="R32" i="4"/>
  <c r="N32" i="4"/>
  <c r="L32" i="4"/>
  <c r="H32" i="4"/>
  <c r="I32" i="4" s="1"/>
  <c r="F32" i="4"/>
  <c r="C32" i="4"/>
  <c r="AC31" i="4"/>
  <c r="AD31" i="4" s="1"/>
  <c r="AA31" i="4"/>
  <c r="X31" i="4"/>
  <c r="W31" i="4"/>
  <c r="U31" i="4"/>
  <c r="R31" i="4"/>
  <c r="N31" i="4"/>
  <c r="L31" i="4"/>
  <c r="I31" i="4"/>
  <c r="H31" i="4"/>
  <c r="F31" i="4"/>
  <c r="C31" i="4"/>
  <c r="AA29" i="4"/>
  <c r="Z29" i="4"/>
  <c r="X29" i="4"/>
  <c r="W29" i="4"/>
  <c r="T29" i="4"/>
  <c r="U29" i="4" s="1"/>
  <c r="R29" i="4"/>
  <c r="Q29" i="4"/>
  <c r="N29" i="4"/>
  <c r="L29" i="4"/>
  <c r="K29" i="4"/>
  <c r="F29" i="4"/>
  <c r="E29" i="4"/>
  <c r="B29" i="4"/>
  <c r="H29" i="4" s="1"/>
  <c r="I29" i="4" s="1"/>
  <c r="AC28" i="4"/>
  <c r="AD28" i="4" s="1"/>
  <c r="AA28" i="4"/>
  <c r="W28" i="4"/>
  <c r="X28" i="4" s="1"/>
  <c r="U28" i="4"/>
  <c r="R28" i="4"/>
  <c r="N28" i="4"/>
  <c r="L28" i="4"/>
  <c r="H28" i="4"/>
  <c r="I28" i="4" s="1"/>
  <c r="F28" i="4"/>
  <c r="C28" i="4"/>
  <c r="AD27" i="4"/>
  <c r="AC27" i="4"/>
  <c r="AA27" i="4"/>
  <c r="X27" i="4"/>
  <c r="W27" i="4"/>
  <c r="U27" i="4"/>
  <c r="R27" i="4"/>
  <c r="N27" i="4"/>
  <c r="L27" i="4"/>
  <c r="I27" i="4"/>
  <c r="H27" i="4"/>
  <c r="F27" i="4"/>
  <c r="C27" i="4"/>
  <c r="AD26" i="4"/>
  <c r="AC26" i="4"/>
  <c r="AA26" i="4"/>
  <c r="X26" i="4"/>
  <c r="W26" i="4"/>
  <c r="U26" i="4"/>
  <c r="R26" i="4"/>
  <c r="N26" i="4"/>
  <c r="L26" i="4"/>
  <c r="I26" i="4"/>
  <c r="H26" i="4"/>
  <c r="F26" i="4"/>
  <c r="C26" i="4"/>
  <c r="AD25" i="4"/>
  <c r="AC25" i="4"/>
  <c r="AA25" i="4"/>
  <c r="W25" i="4"/>
  <c r="X25" i="4" s="1"/>
  <c r="U25" i="4"/>
  <c r="R25" i="4"/>
  <c r="N25" i="4"/>
  <c r="L25" i="4"/>
  <c r="I25" i="4"/>
  <c r="H25" i="4"/>
  <c r="F25" i="4"/>
  <c r="C25" i="4"/>
  <c r="AD24" i="4"/>
  <c r="AC24" i="4"/>
  <c r="AA24" i="4"/>
  <c r="W24" i="4"/>
  <c r="X24" i="4" s="1"/>
  <c r="U24" i="4"/>
  <c r="R24" i="4"/>
  <c r="N24" i="4"/>
  <c r="O24" i="4" s="1"/>
  <c r="L24" i="4"/>
  <c r="H24" i="4"/>
  <c r="F24" i="4"/>
  <c r="C24" i="4"/>
  <c r="AD23" i="4"/>
  <c r="AC23" i="4"/>
  <c r="AA23" i="4"/>
  <c r="X23" i="4"/>
  <c r="W23" i="4"/>
  <c r="U23" i="4"/>
  <c r="R23" i="4"/>
  <c r="N23" i="4"/>
  <c r="L23" i="4"/>
  <c r="H23" i="4"/>
  <c r="I23" i="4" s="1"/>
  <c r="F23" i="4"/>
  <c r="C23" i="4"/>
  <c r="AD22" i="4"/>
  <c r="AC22" i="4"/>
  <c r="AA22" i="4"/>
  <c r="X22" i="4"/>
  <c r="W22" i="4"/>
  <c r="U22" i="4"/>
  <c r="R22" i="4"/>
  <c r="N22" i="4"/>
  <c r="O22" i="4" s="1"/>
  <c r="L22" i="4"/>
  <c r="I22" i="4"/>
  <c r="H22" i="4"/>
  <c r="F22" i="4"/>
  <c r="C22" i="4"/>
  <c r="AC21" i="4"/>
  <c r="AD21" i="4" s="1"/>
  <c r="AA21" i="4"/>
  <c r="W21" i="4"/>
  <c r="X21" i="4" s="1"/>
  <c r="U21" i="4"/>
  <c r="R21" i="4"/>
  <c r="N21" i="4"/>
  <c r="L21" i="4"/>
  <c r="I21" i="4"/>
  <c r="H21" i="4"/>
  <c r="F21" i="4"/>
  <c r="C21" i="4"/>
  <c r="AD19" i="4"/>
  <c r="AC19" i="4"/>
  <c r="AA19" i="4"/>
  <c r="W19" i="4"/>
  <c r="X19" i="4" s="1"/>
  <c r="U19" i="4"/>
  <c r="R19" i="4"/>
  <c r="N19" i="4"/>
  <c r="O19" i="4" s="1"/>
  <c r="L19" i="4"/>
  <c r="H19" i="4"/>
  <c r="F19" i="4"/>
  <c r="C19" i="4"/>
  <c r="Z18" i="4"/>
  <c r="AC18" i="4" s="1"/>
  <c r="AD18" i="4" s="1"/>
  <c r="U18" i="4"/>
  <c r="T18" i="4"/>
  <c r="R18" i="4"/>
  <c r="Q18" i="4"/>
  <c r="W18" i="4" s="1"/>
  <c r="X18" i="4" s="1"/>
  <c r="N18" i="4"/>
  <c r="K18" i="4"/>
  <c r="L18" i="4" s="1"/>
  <c r="I18" i="4"/>
  <c r="F18" i="4"/>
  <c r="E18" i="4"/>
  <c r="C18" i="4"/>
  <c r="B18" i="4"/>
  <c r="H18" i="4" s="1"/>
  <c r="AC17" i="4"/>
  <c r="AD17" i="4" s="1"/>
  <c r="AA17" i="4"/>
  <c r="W17" i="4"/>
  <c r="X17" i="4" s="1"/>
  <c r="U17" i="4"/>
  <c r="R17" i="4"/>
  <c r="N17" i="4"/>
  <c r="L17" i="4"/>
  <c r="I17" i="4"/>
  <c r="H17" i="4"/>
  <c r="F17" i="4"/>
  <c r="C17" i="4"/>
  <c r="AD16" i="4"/>
  <c r="AC16" i="4"/>
  <c r="AA16" i="4"/>
  <c r="W16" i="4"/>
  <c r="X16" i="4" s="1"/>
  <c r="U16" i="4"/>
  <c r="R16" i="4"/>
  <c r="N16" i="4"/>
  <c r="O16" i="4" s="1"/>
  <c r="L16" i="4"/>
  <c r="H16" i="4"/>
  <c r="F16" i="4"/>
  <c r="C16" i="4"/>
  <c r="AC15" i="4"/>
  <c r="AD15" i="4" s="1"/>
  <c r="AA15" i="4"/>
  <c r="X15" i="4"/>
  <c r="W15" i="4"/>
  <c r="U15" i="4"/>
  <c r="R15" i="4"/>
  <c r="N15" i="4"/>
  <c r="L15" i="4"/>
  <c r="I15" i="4"/>
  <c r="H15" i="4"/>
  <c r="F15" i="4"/>
  <c r="C15" i="4"/>
  <c r="AD14" i="4"/>
  <c r="AC14" i="4"/>
  <c r="AA14" i="4"/>
  <c r="W14" i="4"/>
  <c r="X14" i="4" s="1"/>
  <c r="U14" i="4"/>
  <c r="R14" i="4"/>
  <c r="N14" i="4"/>
  <c r="L14" i="4"/>
  <c r="I14" i="4"/>
  <c r="H14" i="4"/>
  <c r="F14" i="4"/>
  <c r="C14" i="4"/>
  <c r="AD13" i="4"/>
  <c r="AC13" i="4"/>
  <c r="AA13" i="4"/>
  <c r="W13" i="4"/>
  <c r="X13" i="4" s="1"/>
  <c r="U13" i="4"/>
  <c r="R13" i="4"/>
  <c r="N13" i="4"/>
  <c r="L13" i="4"/>
  <c r="I13" i="4"/>
  <c r="H13" i="4"/>
  <c r="F13" i="4"/>
  <c r="C13" i="4"/>
  <c r="AC12" i="4"/>
  <c r="AD12" i="4" s="1"/>
  <c r="AA12" i="4"/>
  <c r="W12" i="4"/>
  <c r="X12" i="4" s="1"/>
  <c r="U12" i="4"/>
  <c r="R12" i="4"/>
  <c r="N12" i="4"/>
  <c r="L12" i="4"/>
  <c r="H12" i="4"/>
  <c r="I12" i="4" s="1"/>
  <c r="F12" i="4"/>
  <c r="C12" i="4"/>
  <c r="AD11" i="4"/>
  <c r="AC11" i="4"/>
  <c r="AA11" i="4"/>
  <c r="X11" i="4"/>
  <c r="W11" i="4"/>
  <c r="U11" i="4"/>
  <c r="R11" i="4"/>
  <c r="N11" i="4"/>
  <c r="L11" i="4"/>
  <c r="I11" i="4"/>
  <c r="H11" i="4"/>
  <c r="F11" i="4"/>
  <c r="C11" i="4"/>
  <c r="AD10" i="4"/>
  <c r="AC10" i="4"/>
  <c r="AA10" i="4"/>
  <c r="X10" i="4"/>
  <c r="W10" i="4"/>
  <c r="U10" i="4"/>
  <c r="R10" i="4"/>
  <c r="N10" i="4"/>
  <c r="L10" i="4"/>
  <c r="I10" i="4"/>
  <c r="H10" i="4"/>
  <c r="F10" i="4"/>
  <c r="C10" i="4"/>
  <c r="AC8" i="4"/>
  <c r="AD8" i="4" s="1"/>
  <c r="AA8" i="4"/>
  <c r="W8" i="4"/>
  <c r="X8" i="4" s="1"/>
  <c r="U8" i="4"/>
  <c r="R8" i="4"/>
  <c r="N8" i="4"/>
  <c r="L8" i="4"/>
  <c r="I8" i="4"/>
  <c r="H8" i="4"/>
  <c r="F8" i="4"/>
  <c r="C8" i="4"/>
  <c r="AC444" i="3"/>
  <c r="W444" i="3"/>
  <c r="N444" i="3"/>
  <c r="H444" i="3"/>
  <c r="AD442" i="3"/>
  <c r="AC442" i="3"/>
  <c r="Z442" i="3"/>
  <c r="AA442" i="3" s="1"/>
  <c r="U442" i="3"/>
  <c r="T442" i="3"/>
  <c r="R442" i="3"/>
  <c r="Q442" i="3"/>
  <c r="W442" i="3" s="1"/>
  <c r="X442" i="3" s="1"/>
  <c r="L442" i="3"/>
  <c r="K442" i="3"/>
  <c r="F442" i="3"/>
  <c r="E442" i="3"/>
  <c r="H442" i="3" s="1"/>
  <c r="I442" i="3" s="1"/>
  <c r="B442" i="3"/>
  <c r="N442" i="3" s="1"/>
  <c r="O442" i="3" s="1"/>
  <c r="AA441" i="3"/>
  <c r="Z441" i="3"/>
  <c r="W441" i="3"/>
  <c r="T441" i="3"/>
  <c r="U441" i="3" s="1"/>
  <c r="R441" i="3"/>
  <c r="Q441" i="3"/>
  <c r="AC441" i="3" s="1"/>
  <c r="AD441" i="3" s="1"/>
  <c r="N441" i="3"/>
  <c r="O441" i="3" s="1"/>
  <c r="L441" i="3"/>
  <c r="K441" i="3"/>
  <c r="F441" i="3"/>
  <c r="E441" i="3"/>
  <c r="B441" i="3"/>
  <c r="AD440" i="3"/>
  <c r="AC440" i="3"/>
  <c r="AA440" i="3"/>
  <c r="W440" i="3"/>
  <c r="U440" i="3"/>
  <c r="R440" i="3"/>
  <c r="N440" i="3"/>
  <c r="O440" i="3" s="1"/>
  <c r="L440" i="3"/>
  <c r="H440" i="3"/>
  <c r="I440" i="3" s="1"/>
  <c r="F440" i="3"/>
  <c r="C440" i="3"/>
  <c r="AC439" i="3"/>
  <c r="AD439" i="3" s="1"/>
  <c r="AA439" i="3"/>
  <c r="X439" i="3"/>
  <c r="W439" i="3"/>
  <c r="U439" i="3"/>
  <c r="R439" i="3"/>
  <c r="N439" i="3"/>
  <c r="O439" i="3" s="1"/>
  <c r="L439" i="3"/>
  <c r="I439" i="3"/>
  <c r="H439" i="3"/>
  <c r="F439" i="3"/>
  <c r="C439" i="3"/>
  <c r="AD438" i="3"/>
  <c r="AC438" i="3"/>
  <c r="AA438" i="3"/>
  <c r="W438" i="3"/>
  <c r="X438" i="3" s="1"/>
  <c r="U438" i="3"/>
  <c r="R438" i="3"/>
  <c r="N438" i="3"/>
  <c r="O438" i="3" s="1"/>
  <c r="L438" i="3"/>
  <c r="I438" i="3"/>
  <c r="H438" i="3"/>
  <c r="F438" i="3"/>
  <c r="C438" i="3"/>
  <c r="AC437" i="3"/>
  <c r="AA437" i="3"/>
  <c r="W437" i="3"/>
  <c r="X437" i="3" s="1"/>
  <c r="U437" i="3"/>
  <c r="R437" i="3"/>
  <c r="O437" i="3"/>
  <c r="N437" i="3"/>
  <c r="L437" i="3"/>
  <c r="I437" i="3"/>
  <c r="H437" i="3"/>
  <c r="F437" i="3"/>
  <c r="C437" i="3"/>
  <c r="AD436" i="3"/>
  <c r="AC436" i="3"/>
  <c r="AA436" i="3"/>
  <c r="W436" i="3"/>
  <c r="U436" i="3"/>
  <c r="R436" i="3"/>
  <c r="N436" i="3"/>
  <c r="O436" i="3" s="1"/>
  <c r="L436" i="3"/>
  <c r="H436" i="3"/>
  <c r="I436" i="3" s="1"/>
  <c r="F436" i="3"/>
  <c r="C436" i="3"/>
  <c r="AC435" i="3"/>
  <c r="AD435" i="3" s="1"/>
  <c r="AA435" i="3"/>
  <c r="X435" i="3"/>
  <c r="W435" i="3"/>
  <c r="U435" i="3"/>
  <c r="R435" i="3"/>
  <c r="N435" i="3"/>
  <c r="O435" i="3" s="1"/>
  <c r="L435" i="3"/>
  <c r="I435" i="3"/>
  <c r="H435" i="3"/>
  <c r="F435" i="3"/>
  <c r="C435" i="3"/>
  <c r="AC434" i="3"/>
  <c r="AA434" i="3"/>
  <c r="W434" i="3"/>
  <c r="X434" i="3" s="1"/>
  <c r="U434" i="3"/>
  <c r="R434" i="3"/>
  <c r="N434" i="3"/>
  <c r="O434" i="3" s="1"/>
  <c r="L434" i="3"/>
  <c r="H434" i="3"/>
  <c r="I434" i="3" s="1"/>
  <c r="F434" i="3"/>
  <c r="C434" i="3"/>
  <c r="AC433" i="3"/>
  <c r="AD433" i="3" s="1"/>
  <c r="AA433" i="3"/>
  <c r="W433" i="3"/>
  <c r="X433" i="3" s="1"/>
  <c r="U433" i="3"/>
  <c r="R433" i="3"/>
  <c r="O433" i="3"/>
  <c r="N433" i="3"/>
  <c r="L433" i="3"/>
  <c r="I433" i="3"/>
  <c r="H433" i="3"/>
  <c r="F433" i="3"/>
  <c r="C433" i="3"/>
  <c r="AC432" i="3"/>
  <c r="AA432" i="3"/>
  <c r="W432" i="3"/>
  <c r="X432" i="3" s="1"/>
  <c r="U432" i="3"/>
  <c r="R432" i="3"/>
  <c r="O432" i="3"/>
  <c r="N432" i="3"/>
  <c r="L432" i="3"/>
  <c r="H432" i="3"/>
  <c r="I432" i="3" s="1"/>
  <c r="F432" i="3"/>
  <c r="C432" i="3"/>
  <c r="AC429" i="3"/>
  <c r="AD429" i="3" s="1"/>
  <c r="AA429" i="3"/>
  <c r="Z429" i="3"/>
  <c r="U429" i="3"/>
  <c r="T429" i="3"/>
  <c r="Q429" i="3"/>
  <c r="K429" i="3"/>
  <c r="L429" i="3" s="1"/>
  <c r="E429" i="3"/>
  <c r="F429" i="3" s="1"/>
  <c r="B429" i="3"/>
  <c r="AA428" i="3"/>
  <c r="Z428" i="3"/>
  <c r="T428" i="3"/>
  <c r="U428" i="3" s="1"/>
  <c r="Q428" i="3"/>
  <c r="AC428" i="3" s="1"/>
  <c r="K428" i="3"/>
  <c r="L428" i="3" s="1"/>
  <c r="I428" i="3"/>
  <c r="H428" i="3"/>
  <c r="E428" i="3"/>
  <c r="F428" i="3" s="1"/>
  <c r="C428" i="3"/>
  <c r="B428" i="3"/>
  <c r="AD427" i="3"/>
  <c r="AC427" i="3"/>
  <c r="AA427" i="3"/>
  <c r="X427" i="3"/>
  <c r="W427" i="3"/>
  <c r="U427" i="3"/>
  <c r="R427" i="3"/>
  <c r="N427" i="3"/>
  <c r="O427" i="3" s="1"/>
  <c r="L427" i="3"/>
  <c r="H427" i="3"/>
  <c r="I427" i="3" s="1"/>
  <c r="F427" i="3"/>
  <c r="C427" i="3"/>
  <c r="AC426" i="3"/>
  <c r="AA426" i="3"/>
  <c r="W426" i="3"/>
  <c r="X426" i="3" s="1"/>
  <c r="U426" i="3"/>
  <c r="R426" i="3"/>
  <c r="N426" i="3"/>
  <c r="O426" i="3" s="1"/>
  <c r="L426" i="3"/>
  <c r="I426" i="3"/>
  <c r="H426" i="3"/>
  <c r="F426" i="3"/>
  <c r="C426" i="3"/>
  <c r="AC425" i="3"/>
  <c r="AD425" i="3" s="1"/>
  <c r="AA425" i="3"/>
  <c r="W425" i="3"/>
  <c r="U425" i="3"/>
  <c r="R425" i="3"/>
  <c r="O425" i="3"/>
  <c r="N425" i="3"/>
  <c r="L425" i="3"/>
  <c r="I425" i="3"/>
  <c r="H425" i="3"/>
  <c r="F425" i="3"/>
  <c r="C425" i="3"/>
  <c r="AC424" i="3"/>
  <c r="AA424" i="3"/>
  <c r="W424" i="3"/>
  <c r="X424" i="3" s="1"/>
  <c r="U424" i="3"/>
  <c r="R424" i="3"/>
  <c r="O424" i="3"/>
  <c r="N424" i="3"/>
  <c r="L424" i="3"/>
  <c r="H424" i="3"/>
  <c r="I424" i="3" s="1"/>
  <c r="F424" i="3"/>
  <c r="C424" i="3"/>
  <c r="AD423" i="3"/>
  <c r="AC423" i="3"/>
  <c r="AA423" i="3"/>
  <c r="W423" i="3"/>
  <c r="U423" i="3"/>
  <c r="R423" i="3"/>
  <c r="N423" i="3"/>
  <c r="O423" i="3" s="1"/>
  <c r="L423" i="3"/>
  <c r="I423" i="3"/>
  <c r="H423" i="3"/>
  <c r="F423" i="3"/>
  <c r="C423" i="3"/>
  <c r="AC422" i="3"/>
  <c r="AA422" i="3"/>
  <c r="W422" i="3"/>
  <c r="X422" i="3" s="1"/>
  <c r="U422" i="3"/>
  <c r="R422" i="3"/>
  <c r="N422" i="3"/>
  <c r="O422" i="3" s="1"/>
  <c r="L422" i="3"/>
  <c r="H422" i="3"/>
  <c r="I422" i="3" s="1"/>
  <c r="F422" i="3"/>
  <c r="C422" i="3"/>
  <c r="AC421" i="3"/>
  <c r="AA421" i="3"/>
  <c r="W421" i="3"/>
  <c r="U421" i="3"/>
  <c r="R421" i="3"/>
  <c r="O421" i="3"/>
  <c r="N421" i="3"/>
  <c r="L421" i="3"/>
  <c r="I421" i="3"/>
  <c r="H421" i="3"/>
  <c r="F421" i="3"/>
  <c r="C421" i="3"/>
  <c r="AC420" i="3"/>
  <c r="AD420" i="3" s="1"/>
  <c r="AA420" i="3"/>
  <c r="W420" i="3"/>
  <c r="X420" i="3" s="1"/>
  <c r="U420" i="3"/>
  <c r="R420" i="3"/>
  <c r="O420" i="3"/>
  <c r="N420" i="3"/>
  <c r="L420" i="3"/>
  <c r="H420" i="3"/>
  <c r="I420" i="3" s="1"/>
  <c r="F420" i="3"/>
  <c r="C420" i="3"/>
  <c r="AC419" i="3"/>
  <c r="AA419" i="3"/>
  <c r="W419" i="3"/>
  <c r="U419" i="3"/>
  <c r="R419" i="3"/>
  <c r="N419" i="3"/>
  <c r="O419" i="3" s="1"/>
  <c r="L419" i="3"/>
  <c r="H419" i="3"/>
  <c r="I419" i="3" s="1"/>
  <c r="F419" i="3"/>
  <c r="C419" i="3"/>
  <c r="AD418" i="3"/>
  <c r="AC418" i="3"/>
  <c r="AA418" i="3"/>
  <c r="W418" i="3"/>
  <c r="U418" i="3"/>
  <c r="R418" i="3"/>
  <c r="N418" i="3"/>
  <c r="O418" i="3" s="1"/>
  <c r="L418" i="3"/>
  <c r="I418" i="3"/>
  <c r="H418" i="3"/>
  <c r="F418" i="3"/>
  <c r="C418" i="3"/>
  <c r="AC417" i="3"/>
  <c r="AA417" i="3"/>
  <c r="W417" i="3"/>
  <c r="X417" i="3" s="1"/>
  <c r="U417" i="3"/>
  <c r="R417" i="3"/>
  <c r="O417" i="3"/>
  <c r="N417" i="3"/>
  <c r="L417" i="3"/>
  <c r="I417" i="3"/>
  <c r="H417" i="3"/>
  <c r="F417" i="3"/>
  <c r="C417" i="3"/>
  <c r="AD416" i="3"/>
  <c r="AC416" i="3"/>
  <c r="AA416" i="3"/>
  <c r="W416" i="3"/>
  <c r="U416" i="3"/>
  <c r="R416" i="3"/>
  <c r="O416" i="3"/>
  <c r="N416" i="3"/>
  <c r="L416" i="3"/>
  <c r="H416" i="3"/>
  <c r="I416" i="3" s="1"/>
  <c r="F416" i="3"/>
  <c r="C416" i="3"/>
  <c r="AC415" i="3"/>
  <c r="AA415" i="3"/>
  <c r="X415" i="3"/>
  <c r="W415" i="3"/>
  <c r="U415" i="3"/>
  <c r="R415" i="3"/>
  <c r="N415" i="3"/>
  <c r="O415" i="3" s="1"/>
  <c r="L415" i="3"/>
  <c r="H415" i="3"/>
  <c r="I415" i="3" s="1"/>
  <c r="F415" i="3"/>
  <c r="C415" i="3"/>
  <c r="AD414" i="3"/>
  <c r="AC414" i="3"/>
  <c r="AA414" i="3"/>
  <c r="W414" i="3"/>
  <c r="U414" i="3"/>
  <c r="R414" i="3"/>
  <c r="N414" i="3"/>
  <c r="O414" i="3" s="1"/>
  <c r="L414" i="3"/>
  <c r="I414" i="3"/>
  <c r="H414" i="3"/>
  <c r="F414" i="3"/>
  <c r="C414" i="3"/>
  <c r="AC413" i="3"/>
  <c r="AD413" i="3" s="1"/>
  <c r="AA413" i="3"/>
  <c r="W413" i="3"/>
  <c r="X413" i="3" s="1"/>
  <c r="U413" i="3"/>
  <c r="R413" i="3"/>
  <c r="O413" i="3"/>
  <c r="N413" i="3"/>
  <c r="L413" i="3"/>
  <c r="I413" i="3"/>
  <c r="H413" i="3"/>
  <c r="F413" i="3"/>
  <c r="C413" i="3"/>
  <c r="AC412" i="3"/>
  <c r="AA412" i="3"/>
  <c r="W412" i="3"/>
  <c r="U412" i="3"/>
  <c r="R412" i="3"/>
  <c r="N412" i="3"/>
  <c r="O412" i="3" s="1"/>
  <c r="L412" i="3"/>
  <c r="H412" i="3"/>
  <c r="I412" i="3" s="1"/>
  <c r="F412" i="3"/>
  <c r="C412" i="3"/>
  <c r="AC411" i="3"/>
  <c r="AD411" i="3" s="1"/>
  <c r="AA411" i="3"/>
  <c r="X411" i="3"/>
  <c r="W411" i="3"/>
  <c r="U411" i="3"/>
  <c r="R411" i="3"/>
  <c r="N411" i="3"/>
  <c r="O411" i="3" s="1"/>
  <c r="L411" i="3"/>
  <c r="I411" i="3"/>
  <c r="H411" i="3"/>
  <c r="F411" i="3"/>
  <c r="C411" i="3"/>
  <c r="AC410" i="3"/>
  <c r="AA410" i="3"/>
  <c r="X410" i="3"/>
  <c r="W410" i="3"/>
  <c r="U410" i="3"/>
  <c r="R410" i="3"/>
  <c r="N410" i="3"/>
  <c r="O410" i="3" s="1"/>
  <c r="L410" i="3"/>
  <c r="I410" i="3"/>
  <c r="H410" i="3"/>
  <c r="F410" i="3"/>
  <c r="C410" i="3"/>
  <c r="AC409" i="3"/>
  <c r="AD409" i="3" s="1"/>
  <c r="AA409" i="3"/>
  <c r="W409" i="3"/>
  <c r="U409" i="3"/>
  <c r="R409" i="3"/>
  <c r="O409" i="3"/>
  <c r="N409" i="3"/>
  <c r="L409" i="3"/>
  <c r="I409" i="3"/>
  <c r="H409" i="3"/>
  <c r="F409" i="3"/>
  <c r="C409" i="3"/>
  <c r="AC408" i="3"/>
  <c r="AA408" i="3"/>
  <c r="W408" i="3"/>
  <c r="X408" i="3" s="1"/>
  <c r="U408" i="3"/>
  <c r="R408" i="3"/>
  <c r="O408" i="3"/>
  <c r="N408" i="3"/>
  <c r="L408" i="3"/>
  <c r="H408" i="3"/>
  <c r="I408" i="3" s="1"/>
  <c r="F408" i="3"/>
  <c r="C408" i="3"/>
  <c r="AC407" i="3"/>
  <c r="AD407" i="3" s="1"/>
  <c r="AA407" i="3"/>
  <c r="W407" i="3"/>
  <c r="U407" i="3"/>
  <c r="R407" i="3"/>
  <c r="N407" i="3"/>
  <c r="O407" i="3" s="1"/>
  <c r="L407" i="3"/>
  <c r="I407" i="3"/>
  <c r="H407" i="3"/>
  <c r="F407" i="3"/>
  <c r="C407" i="3"/>
  <c r="Z403" i="3"/>
  <c r="AA403" i="3" s="1"/>
  <c r="T403" i="3"/>
  <c r="U403" i="3" s="1"/>
  <c r="R403" i="3"/>
  <c r="Q403" i="3"/>
  <c r="L403" i="3"/>
  <c r="K403" i="3"/>
  <c r="F403" i="3"/>
  <c r="E403" i="3"/>
  <c r="H403" i="3" s="1"/>
  <c r="I403" i="3" s="1"/>
  <c r="B403" i="3"/>
  <c r="N403" i="3" s="1"/>
  <c r="O403" i="3" s="1"/>
  <c r="AD402" i="3"/>
  <c r="AC402" i="3"/>
  <c r="AA402" i="3"/>
  <c r="W402" i="3"/>
  <c r="U402" i="3"/>
  <c r="R402" i="3"/>
  <c r="N402" i="3"/>
  <c r="O402" i="3" s="1"/>
  <c r="L402" i="3"/>
  <c r="I402" i="3"/>
  <c r="H402" i="3"/>
  <c r="F402" i="3"/>
  <c r="C402" i="3"/>
  <c r="AC401" i="3"/>
  <c r="AD401" i="3" s="1"/>
  <c r="AA401" i="3"/>
  <c r="W401" i="3"/>
  <c r="X401" i="3" s="1"/>
  <c r="U401" i="3"/>
  <c r="R401" i="3"/>
  <c r="O401" i="3"/>
  <c r="N401" i="3"/>
  <c r="L401" i="3"/>
  <c r="I401" i="3"/>
  <c r="H401" i="3"/>
  <c r="F401" i="3"/>
  <c r="C401" i="3"/>
  <c r="AC400" i="3"/>
  <c r="AA400" i="3"/>
  <c r="W400" i="3"/>
  <c r="U400" i="3"/>
  <c r="R400" i="3"/>
  <c r="O400" i="3"/>
  <c r="N400" i="3"/>
  <c r="L400" i="3"/>
  <c r="H400" i="3"/>
  <c r="I400" i="3" s="1"/>
  <c r="F400" i="3"/>
  <c r="C400" i="3"/>
  <c r="AD399" i="3"/>
  <c r="AC399" i="3"/>
  <c r="AA399" i="3"/>
  <c r="X399" i="3"/>
  <c r="W399" i="3"/>
  <c r="U399" i="3"/>
  <c r="R399" i="3"/>
  <c r="N399" i="3"/>
  <c r="O399" i="3" s="1"/>
  <c r="L399" i="3"/>
  <c r="H399" i="3"/>
  <c r="I399" i="3" s="1"/>
  <c r="F399" i="3"/>
  <c r="C399" i="3"/>
  <c r="AC398" i="3"/>
  <c r="AA398" i="3"/>
  <c r="W398" i="3"/>
  <c r="X398" i="3" s="1"/>
  <c r="U398" i="3"/>
  <c r="R398" i="3"/>
  <c r="N398" i="3"/>
  <c r="O398" i="3" s="1"/>
  <c r="L398" i="3"/>
  <c r="I398" i="3"/>
  <c r="H398" i="3"/>
  <c r="F398" i="3"/>
  <c r="C398" i="3"/>
  <c r="AC397" i="3"/>
  <c r="AD397" i="3" s="1"/>
  <c r="AA397" i="3"/>
  <c r="W397" i="3"/>
  <c r="U397" i="3"/>
  <c r="R397" i="3"/>
  <c r="O397" i="3"/>
  <c r="N397" i="3"/>
  <c r="L397" i="3"/>
  <c r="I397" i="3"/>
  <c r="H397" i="3"/>
  <c r="F397" i="3"/>
  <c r="C397" i="3"/>
  <c r="AC396" i="3"/>
  <c r="Z396" i="3"/>
  <c r="AA396" i="3" s="1"/>
  <c r="U396" i="3"/>
  <c r="T396" i="3"/>
  <c r="R396" i="3"/>
  <c r="Q396" i="3"/>
  <c r="L396" i="3"/>
  <c r="K396" i="3"/>
  <c r="F396" i="3"/>
  <c r="E396" i="3"/>
  <c r="H396" i="3" s="1"/>
  <c r="I396" i="3" s="1"/>
  <c r="B396" i="3"/>
  <c r="N396" i="3" s="1"/>
  <c r="O396" i="3" s="1"/>
  <c r="AC395" i="3"/>
  <c r="AA395" i="3"/>
  <c r="X395" i="3"/>
  <c r="W395" i="3"/>
  <c r="U395" i="3"/>
  <c r="R395" i="3"/>
  <c r="N395" i="3"/>
  <c r="O395" i="3" s="1"/>
  <c r="L395" i="3"/>
  <c r="I395" i="3"/>
  <c r="H395" i="3"/>
  <c r="F395" i="3"/>
  <c r="C395" i="3"/>
  <c r="AC394" i="3"/>
  <c r="AD394" i="3" s="1"/>
  <c r="AA394" i="3"/>
  <c r="W394" i="3"/>
  <c r="U394" i="3"/>
  <c r="R394" i="3"/>
  <c r="O394" i="3"/>
  <c r="N394" i="3"/>
  <c r="L394" i="3"/>
  <c r="I394" i="3"/>
  <c r="H394" i="3"/>
  <c r="F394" i="3"/>
  <c r="C394" i="3"/>
  <c r="AC393" i="3"/>
  <c r="Z393" i="3"/>
  <c r="AA393" i="3" s="1"/>
  <c r="U393" i="3"/>
  <c r="T393" i="3"/>
  <c r="R393" i="3"/>
  <c r="Q393" i="3"/>
  <c r="L393" i="3"/>
  <c r="K393" i="3"/>
  <c r="H393" i="3"/>
  <c r="I393" i="3" s="1"/>
  <c r="F393" i="3"/>
  <c r="E393" i="3"/>
  <c r="B393" i="3"/>
  <c r="N393" i="3" s="1"/>
  <c r="O393" i="3" s="1"/>
  <c r="AC392" i="3"/>
  <c r="AA392" i="3"/>
  <c r="W392" i="3"/>
  <c r="X392" i="3" s="1"/>
  <c r="U392" i="3"/>
  <c r="R392" i="3"/>
  <c r="N392" i="3"/>
  <c r="O392" i="3" s="1"/>
  <c r="L392" i="3"/>
  <c r="I392" i="3"/>
  <c r="H392" i="3"/>
  <c r="F392" i="3"/>
  <c r="C392" i="3"/>
  <c r="AC391" i="3"/>
  <c r="AD391" i="3" s="1"/>
  <c r="AA391" i="3"/>
  <c r="W391" i="3"/>
  <c r="U391" i="3"/>
  <c r="R391" i="3"/>
  <c r="O391" i="3"/>
  <c r="N391" i="3"/>
  <c r="L391" i="3"/>
  <c r="I391" i="3"/>
  <c r="H391" i="3"/>
  <c r="F391" i="3"/>
  <c r="C391" i="3"/>
  <c r="AC390" i="3"/>
  <c r="AA390" i="3"/>
  <c r="W390" i="3"/>
  <c r="X390" i="3" s="1"/>
  <c r="U390" i="3"/>
  <c r="R390" i="3"/>
  <c r="O390" i="3"/>
  <c r="N390" i="3"/>
  <c r="L390" i="3"/>
  <c r="H390" i="3"/>
  <c r="I390" i="3" s="1"/>
  <c r="F390" i="3"/>
  <c r="C390" i="3"/>
  <c r="AC389" i="3"/>
  <c r="AD389" i="3" s="1"/>
  <c r="AA389" i="3"/>
  <c r="W389" i="3"/>
  <c r="U389" i="3"/>
  <c r="R389" i="3"/>
  <c r="N389" i="3"/>
  <c r="O389" i="3" s="1"/>
  <c r="L389" i="3"/>
  <c r="I389" i="3"/>
  <c r="H389" i="3"/>
  <c r="F389" i="3"/>
  <c r="C389" i="3"/>
  <c r="AC388" i="3"/>
  <c r="AA388" i="3"/>
  <c r="X388" i="3"/>
  <c r="W388" i="3"/>
  <c r="U388" i="3"/>
  <c r="R388" i="3"/>
  <c r="N388" i="3"/>
  <c r="O388" i="3" s="1"/>
  <c r="L388" i="3"/>
  <c r="I388" i="3"/>
  <c r="H388" i="3"/>
  <c r="F388" i="3"/>
  <c r="C388" i="3"/>
  <c r="AC386" i="3"/>
  <c r="AA386" i="3"/>
  <c r="W386" i="3"/>
  <c r="U386" i="3"/>
  <c r="R386" i="3"/>
  <c r="O386" i="3"/>
  <c r="N386" i="3"/>
  <c r="L386" i="3"/>
  <c r="I386" i="3"/>
  <c r="H386" i="3"/>
  <c r="F386" i="3"/>
  <c r="C386" i="3"/>
  <c r="AD385" i="3"/>
  <c r="AC385" i="3"/>
  <c r="AA385" i="3"/>
  <c r="W385" i="3"/>
  <c r="X385" i="3" s="1"/>
  <c r="U385" i="3"/>
  <c r="R385" i="3"/>
  <c r="O385" i="3"/>
  <c r="N385" i="3"/>
  <c r="L385" i="3"/>
  <c r="H385" i="3"/>
  <c r="I385" i="3" s="1"/>
  <c r="F385" i="3"/>
  <c r="C385" i="3"/>
  <c r="AC383" i="3"/>
  <c r="AA383" i="3"/>
  <c r="W383" i="3"/>
  <c r="U383" i="3"/>
  <c r="R383" i="3"/>
  <c r="N383" i="3"/>
  <c r="O383" i="3" s="1"/>
  <c r="L383" i="3"/>
  <c r="H383" i="3"/>
  <c r="I383" i="3" s="1"/>
  <c r="F383" i="3"/>
  <c r="C383" i="3"/>
  <c r="AD382" i="3"/>
  <c r="AC382" i="3"/>
  <c r="AA382" i="3"/>
  <c r="W382" i="3"/>
  <c r="U382" i="3"/>
  <c r="R382" i="3"/>
  <c r="N382" i="3"/>
  <c r="O382" i="3" s="1"/>
  <c r="L382" i="3"/>
  <c r="I382" i="3"/>
  <c r="H382" i="3"/>
  <c r="F382" i="3"/>
  <c r="C382" i="3"/>
  <c r="AC381" i="3"/>
  <c r="AA381" i="3"/>
  <c r="W381" i="3"/>
  <c r="X381" i="3" s="1"/>
  <c r="U381" i="3"/>
  <c r="R381" i="3"/>
  <c r="O381" i="3"/>
  <c r="N381" i="3"/>
  <c r="L381" i="3"/>
  <c r="I381" i="3"/>
  <c r="H381" i="3"/>
  <c r="F381" i="3"/>
  <c r="C381" i="3"/>
  <c r="AD380" i="3"/>
  <c r="AC380" i="3"/>
  <c r="AA380" i="3"/>
  <c r="W380" i="3"/>
  <c r="U380" i="3"/>
  <c r="R380" i="3"/>
  <c r="O380" i="3"/>
  <c r="N380" i="3"/>
  <c r="L380" i="3"/>
  <c r="H380" i="3"/>
  <c r="I380" i="3" s="1"/>
  <c r="F380" i="3"/>
  <c r="C380" i="3"/>
  <c r="AC379" i="3"/>
  <c r="AA379" i="3"/>
  <c r="X379" i="3"/>
  <c r="W379" i="3"/>
  <c r="U379" i="3"/>
  <c r="R379" i="3"/>
  <c r="N379" i="3"/>
  <c r="O379" i="3" s="1"/>
  <c r="L379" i="3"/>
  <c r="H379" i="3"/>
  <c r="I379" i="3" s="1"/>
  <c r="F379" i="3"/>
  <c r="C379" i="3"/>
  <c r="AD378" i="3"/>
  <c r="AC378" i="3"/>
  <c r="AA378" i="3"/>
  <c r="W378" i="3"/>
  <c r="U378" i="3"/>
  <c r="R378" i="3"/>
  <c r="N378" i="3"/>
  <c r="O378" i="3" s="1"/>
  <c r="L378" i="3"/>
  <c r="I378" i="3"/>
  <c r="H378" i="3"/>
  <c r="F378" i="3"/>
  <c r="C378" i="3"/>
  <c r="AC377" i="3"/>
  <c r="AD377" i="3" s="1"/>
  <c r="AA377" i="3"/>
  <c r="W377" i="3"/>
  <c r="X377" i="3" s="1"/>
  <c r="U377" i="3"/>
  <c r="R377" i="3"/>
  <c r="O377" i="3"/>
  <c r="N377" i="3"/>
  <c r="L377" i="3"/>
  <c r="I377" i="3"/>
  <c r="H377" i="3"/>
  <c r="F377" i="3"/>
  <c r="C377" i="3"/>
  <c r="AC376" i="3"/>
  <c r="AA376" i="3"/>
  <c r="W376" i="3"/>
  <c r="U376" i="3"/>
  <c r="R376" i="3"/>
  <c r="O376" i="3"/>
  <c r="N376" i="3"/>
  <c r="L376" i="3"/>
  <c r="H376" i="3"/>
  <c r="I376" i="3" s="1"/>
  <c r="F376" i="3"/>
  <c r="C376" i="3"/>
  <c r="AD375" i="3"/>
  <c r="AC375" i="3"/>
  <c r="AA375" i="3"/>
  <c r="X375" i="3"/>
  <c r="W375" i="3"/>
  <c r="U375" i="3"/>
  <c r="R375" i="3"/>
  <c r="N375" i="3"/>
  <c r="O375" i="3" s="1"/>
  <c r="L375" i="3"/>
  <c r="H375" i="3"/>
  <c r="I375" i="3" s="1"/>
  <c r="F375" i="3"/>
  <c r="C375" i="3"/>
  <c r="AC374" i="3"/>
  <c r="AA374" i="3"/>
  <c r="W374" i="3"/>
  <c r="X374" i="3" s="1"/>
  <c r="U374" i="3"/>
  <c r="R374" i="3"/>
  <c r="N374" i="3"/>
  <c r="O374" i="3" s="1"/>
  <c r="L374" i="3"/>
  <c r="I374" i="3"/>
  <c r="H374" i="3"/>
  <c r="F374" i="3"/>
  <c r="C374" i="3"/>
  <c r="AC373" i="3"/>
  <c r="AD373" i="3" s="1"/>
  <c r="AA373" i="3"/>
  <c r="W373" i="3"/>
  <c r="U373" i="3"/>
  <c r="R373" i="3"/>
  <c r="O373" i="3"/>
  <c r="N373" i="3"/>
  <c r="L373" i="3"/>
  <c r="I373" i="3"/>
  <c r="H373" i="3"/>
  <c r="F373" i="3"/>
  <c r="C373" i="3"/>
  <c r="AC372" i="3"/>
  <c r="AA372" i="3"/>
  <c r="W372" i="3"/>
  <c r="X372" i="3" s="1"/>
  <c r="U372" i="3"/>
  <c r="R372" i="3"/>
  <c r="O372" i="3"/>
  <c r="N372" i="3"/>
  <c r="L372" i="3"/>
  <c r="H372" i="3"/>
  <c r="I372" i="3" s="1"/>
  <c r="F372" i="3"/>
  <c r="C372" i="3"/>
  <c r="AD371" i="3"/>
  <c r="AC371" i="3"/>
  <c r="AA371" i="3"/>
  <c r="W371" i="3"/>
  <c r="U371" i="3"/>
  <c r="R371" i="3"/>
  <c r="N371" i="3"/>
  <c r="O371" i="3" s="1"/>
  <c r="L371" i="3"/>
  <c r="I371" i="3"/>
  <c r="H371" i="3"/>
  <c r="F371" i="3"/>
  <c r="C371" i="3"/>
  <c r="AC370" i="3"/>
  <c r="AA370" i="3"/>
  <c r="X370" i="3"/>
  <c r="W370" i="3"/>
  <c r="U370" i="3"/>
  <c r="R370" i="3"/>
  <c r="N370" i="3"/>
  <c r="O370" i="3" s="1"/>
  <c r="L370" i="3"/>
  <c r="I370" i="3"/>
  <c r="H370" i="3"/>
  <c r="F370" i="3"/>
  <c r="C370" i="3"/>
  <c r="AC369" i="3"/>
  <c r="AA369" i="3"/>
  <c r="W369" i="3"/>
  <c r="U369" i="3"/>
  <c r="R369" i="3"/>
  <c r="O369" i="3"/>
  <c r="N369" i="3"/>
  <c r="L369" i="3"/>
  <c r="I369" i="3"/>
  <c r="H369" i="3"/>
  <c r="F369" i="3"/>
  <c r="C369" i="3"/>
  <c r="AD368" i="3"/>
  <c r="AC368" i="3"/>
  <c r="Z368" i="3"/>
  <c r="AA368" i="3" s="1"/>
  <c r="X368" i="3"/>
  <c r="U368" i="3"/>
  <c r="T368" i="3"/>
  <c r="R368" i="3"/>
  <c r="Q368" i="3"/>
  <c r="W368" i="3" s="1"/>
  <c r="L368" i="3"/>
  <c r="K368" i="3"/>
  <c r="I368" i="3"/>
  <c r="H368" i="3"/>
  <c r="F368" i="3"/>
  <c r="E368" i="3"/>
  <c r="B368" i="3"/>
  <c r="N368" i="3" s="1"/>
  <c r="O368" i="3" s="1"/>
  <c r="AC367" i="3"/>
  <c r="AA367" i="3"/>
  <c r="X367" i="3"/>
  <c r="W367" i="3"/>
  <c r="U367" i="3"/>
  <c r="R367" i="3"/>
  <c r="N367" i="3"/>
  <c r="O367" i="3" s="1"/>
  <c r="L367" i="3"/>
  <c r="H367" i="3"/>
  <c r="I367" i="3" s="1"/>
  <c r="F367" i="3"/>
  <c r="C367" i="3"/>
  <c r="AC366" i="3"/>
  <c r="AA366" i="3"/>
  <c r="W366" i="3"/>
  <c r="U366" i="3"/>
  <c r="R366" i="3"/>
  <c r="O366" i="3"/>
  <c r="N366" i="3"/>
  <c r="L366" i="3"/>
  <c r="I366" i="3"/>
  <c r="H366" i="3"/>
  <c r="F366" i="3"/>
  <c r="C366" i="3"/>
  <c r="AC365" i="3"/>
  <c r="AD365" i="3" s="1"/>
  <c r="AA365" i="3"/>
  <c r="W365" i="3"/>
  <c r="X365" i="3" s="1"/>
  <c r="U365" i="3"/>
  <c r="R365" i="3"/>
  <c r="O365" i="3"/>
  <c r="N365" i="3"/>
  <c r="L365" i="3"/>
  <c r="H365" i="3"/>
  <c r="I365" i="3" s="1"/>
  <c r="F365" i="3"/>
  <c r="C365" i="3"/>
  <c r="AC364" i="3"/>
  <c r="AA364" i="3"/>
  <c r="W364" i="3"/>
  <c r="U364" i="3"/>
  <c r="R364" i="3"/>
  <c r="N364" i="3"/>
  <c r="O364" i="3" s="1"/>
  <c r="L364" i="3"/>
  <c r="H364" i="3"/>
  <c r="I364" i="3" s="1"/>
  <c r="F364" i="3"/>
  <c r="C364" i="3"/>
  <c r="AD363" i="3"/>
  <c r="AC363" i="3"/>
  <c r="AA363" i="3"/>
  <c r="W363" i="3"/>
  <c r="U363" i="3"/>
  <c r="R363" i="3"/>
  <c r="N363" i="3"/>
  <c r="O363" i="3" s="1"/>
  <c r="L363" i="3"/>
  <c r="H363" i="3"/>
  <c r="I363" i="3" s="1"/>
  <c r="F363" i="3"/>
  <c r="C363" i="3"/>
  <c r="AC362" i="3"/>
  <c r="AA362" i="3"/>
  <c r="W362" i="3"/>
  <c r="X362" i="3" s="1"/>
  <c r="U362" i="3"/>
  <c r="R362" i="3"/>
  <c r="O362" i="3"/>
  <c r="N362" i="3"/>
  <c r="L362" i="3"/>
  <c r="I362" i="3"/>
  <c r="H362" i="3"/>
  <c r="F362" i="3"/>
  <c r="C362" i="3"/>
  <c r="AC361" i="3"/>
  <c r="AD361" i="3" s="1"/>
  <c r="AA361" i="3"/>
  <c r="W361" i="3"/>
  <c r="U361" i="3"/>
  <c r="R361" i="3"/>
  <c r="N361" i="3"/>
  <c r="O361" i="3" s="1"/>
  <c r="L361" i="3"/>
  <c r="H361" i="3"/>
  <c r="I361" i="3" s="1"/>
  <c r="F361" i="3"/>
  <c r="C361" i="3"/>
  <c r="AC360" i="3"/>
  <c r="AA360" i="3"/>
  <c r="X360" i="3"/>
  <c r="W360" i="3"/>
  <c r="U360" i="3"/>
  <c r="R360" i="3"/>
  <c r="N360" i="3"/>
  <c r="O360" i="3" s="1"/>
  <c r="L360" i="3"/>
  <c r="H360" i="3"/>
  <c r="I360" i="3" s="1"/>
  <c r="F360" i="3"/>
  <c r="C360" i="3"/>
  <c r="AD358" i="3"/>
  <c r="AA358" i="3"/>
  <c r="Z358" i="3"/>
  <c r="W358" i="3"/>
  <c r="T358" i="3"/>
  <c r="U358" i="3" s="1"/>
  <c r="R358" i="3"/>
  <c r="Q358" i="3"/>
  <c r="AC358" i="3" s="1"/>
  <c r="K358" i="3"/>
  <c r="L358" i="3" s="1"/>
  <c r="F358" i="3"/>
  <c r="E358" i="3"/>
  <c r="B358" i="3"/>
  <c r="AD357" i="3"/>
  <c r="AC357" i="3"/>
  <c r="AA357" i="3"/>
  <c r="W357" i="3"/>
  <c r="U357" i="3"/>
  <c r="R357" i="3"/>
  <c r="N357" i="3"/>
  <c r="O357" i="3" s="1"/>
  <c r="L357" i="3"/>
  <c r="H357" i="3"/>
  <c r="I357" i="3" s="1"/>
  <c r="F357" i="3"/>
  <c r="C357" i="3"/>
  <c r="AC356" i="3"/>
  <c r="AD356" i="3" s="1"/>
  <c r="AA356" i="3"/>
  <c r="X356" i="3"/>
  <c r="W356" i="3"/>
  <c r="U356" i="3"/>
  <c r="R356" i="3"/>
  <c r="N356" i="3"/>
  <c r="O356" i="3" s="1"/>
  <c r="L356" i="3"/>
  <c r="H356" i="3"/>
  <c r="I356" i="3" s="1"/>
  <c r="F356" i="3"/>
  <c r="C356" i="3"/>
  <c r="AC355" i="3"/>
  <c r="AA355" i="3"/>
  <c r="W355" i="3"/>
  <c r="X355" i="3" s="1"/>
  <c r="U355" i="3"/>
  <c r="R355" i="3"/>
  <c r="N355" i="3"/>
  <c r="O355" i="3" s="1"/>
  <c r="L355" i="3"/>
  <c r="H355" i="3"/>
  <c r="I355" i="3" s="1"/>
  <c r="F355" i="3"/>
  <c r="C355" i="3"/>
  <c r="AC354" i="3"/>
  <c r="AD354" i="3" s="1"/>
  <c r="AA354" i="3"/>
  <c r="W354" i="3"/>
  <c r="X354" i="3" s="1"/>
  <c r="U354" i="3"/>
  <c r="R354" i="3"/>
  <c r="O354" i="3"/>
  <c r="N354" i="3"/>
  <c r="L354" i="3"/>
  <c r="I354" i="3"/>
  <c r="H354" i="3"/>
  <c r="F354" i="3"/>
  <c r="C354" i="3"/>
  <c r="AC353" i="3"/>
  <c r="AD353" i="3" s="1"/>
  <c r="AA353" i="3"/>
  <c r="W353" i="3"/>
  <c r="X353" i="3" s="1"/>
  <c r="U353" i="3"/>
  <c r="R353" i="3"/>
  <c r="O353" i="3"/>
  <c r="N353" i="3"/>
  <c r="L353" i="3"/>
  <c r="H353" i="3"/>
  <c r="I353" i="3" s="1"/>
  <c r="F353" i="3"/>
  <c r="C353" i="3"/>
  <c r="AD352" i="3"/>
  <c r="AC352" i="3"/>
  <c r="AA352" i="3"/>
  <c r="W352" i="3"/>
  <c r="U352" i="3"/>
  <c r="R352" i="3"/>
  <c r="N352" i="3"/>
  <c r="O352" i="3" s="1"/>
  <c r="L352" i="3"/>
  <c r="I352" i="3"/>
  <c r="H352" i="3"/>
  <c r="F352" i="3"/>
  <c r="C352" i="3"/>
  <c r="AC351" i="3"/>
  <c r="AA351" i="3"/>
  <c r="W351" i="3"/>
  <c r="X351" i="3" s="1"/>
  <c r="U351" i="3"/>
  <c r="R351" i="3"/>
  <c r="N351" i="3"/>
  <c r="O351" i="3" s="1"/>
  <c r="L351" i="3"/>
  <c r="H351" i="3"/>
  <c r="I351" i="3" s="1"/>
  <c r="F351" i="3"/>
  <c r="C351" i="3"/>
  <c r="AC350" i="3"/>
  <c r="AD350" i="3" s="1"/>
  <c r="AA350" i="3"/>
  <c r="W350" i="3"/>
  <c r="U350" i="3"/>
  <c r="R350" i="3"/>
  <c r="O350" i="3"/>
  <c r="N350" i="3"/>
  <c r="L350" i="3"/>
  <c r="I350" i="3"/>
  <c r="H350" i="3"/>
  <c r="F350" i="3"/>
  <c r="C350" i="3"/>
  <c r="AC349" i="3"/>
  <c r="AD349" i="3" s="1"/>
  <c r="AA349" i="3"/>
  <c r="W349" i="3"/>
  <c r="X349" i="3" s="1"/>
  <c r="U349" i="3"/>
  <c r="R349" i="3"/>
  <c r="N349" i="3"/>
  <c r="O349" i="3" s="1"/>
  <c r="L349" i="3"/>
  <c r="H349" i="3"/>
  <c r="I349" i="3" s="1"/>
  <c r="F349" i="3"/>
  <c r="C349" i="3"/>
  <c r="AD347" i="3"/>
  <c r="AC347" i="3"/>
  <c r="AA347" i="3"/>
  <c r="W347" i="3"/>
  <c r="U347" i="3"/>
  <c r="R347" i="3"/>
  <c r="N347" i="3"/>
  <c r="O347" i="3" s="1"/>
  <c r="L347" i="3"/>
  <c r="I347" i="3"/>
  <c r="H347" i="3"/>
  <c r="F347" i="3"/>
  <c r="C347" i="3"/>
  <c r="AC344" i="3"/>
  <c r="AD344" i="3" s="1"/>
  <c r="Z344" i="3"/>
  <c r="AA344" i="3" s="1"/>
  <c r="T344" i="3"/>
  <c r="U344" i="3" s="1"/>
  <c r="R344" i="3"/>
  <c r="Q344" i="3"/>
  <c r="L344" i="3"/>
  <c r="K344" i="3"/>
  <c r="E344" i="3"/>
  <c r="B344" i="3"/>
  <c r="N344" i="3" s="1"/>
  <c r="O344" i="3" s="1"/>
  <c r="Z343" i="3"/>
  <c r="AA343" i="3" s="1"/>
  <c r="W343" i="3"/>
  <c r="X343" i="3" s="1"/>
  <c r="T343" i="3"/>
  <c r="U343" i="3" s="1"/>
  <c r="R343" i="3"/>
  <c r="Q343" i="3"/>
  <c r="AC343" i="3" s="1"/>
  <c r="AD343" i="3" s="1"/>
  <c r="L343" i="3"/>
  <c r="K343" i="3"/>
  <c r="F343" i="3"/>
  <c r="E343" i="3"/>
  <c r="C343" i="3"/>
  <c r="B343" i="3"/>
  <c r="Z342" i="3"/>
  <c r="AA342" i="3" s="1"/>
  <c r="U342" i="3"/>
  <c r="T342" i="3"/>
  <c r="Q342" i="3"/>
  <c r="L342" i="3"/>
  <c r="K342" i="3"/>
  <c r="F342" i="3"/>
  <c r="E342" i="3"/>
  <c r="H342" i="3" s="1"/>
  <c r="I342" i="3" s="1"/>
  <c r="B342" i="3"/>
  <c r="N342" i="3" s="1"/>
  <c r="O342" i="3" s="1"/>
  <c r="AD341" i="3"/>
  <c r="AC341" i="3"/>
  <c r="AA341" i="3"/>
  <c r="W341" i="3"/>
  <c r="U341" i="3"/>
  <c r="R341" i="3"/>
  <c r="N341" i="3"/>
  <c r="O341" i="3" s="1"/>
  <c r="L341" i="3"/>
  <c r="I341" i="3"/>
  <c r="H341" i="3"/>
  <c r="F341" i="3"/>
  <c r="C341" i="3"/>
  <c r="AC340" i="3"/>
  <c r="AD340" i="3" s="1"/>
  <c r="AA340" i="3"/>
  <c r="W340" i="3"/>
  <c r="X340" i="3" s="1"/>
  <c r="U340" i="3"/>
  <c r="R340" i="3"/>
  <c r="O340" i="3"/>
  <c r="N340" i="3"/>
  <c r="L340" i="3"/>
  <c r="I340" i="3"/>
  <c r="H340" i="3"/>
  <c r="F340" i="3"/>
  <c r="C340" i="3"/>
  <c r="AC339" i="3"/>
  <c r="AA339" i="3"/>
  <c r="W339" i="3"/>
  <c r="U339" i="3"/>
  <c r="R339" i="3"/>
  <c r="O339" i="3"/>
  <c r="N339" i="3"/>
  <c r="L339" i="3"/>
  <c r="H339" i="3"/>
  <c r="I339" i="3" s="1"/>
  <c r="F339" i="3"/>
  <c r="C339" i="3"/>
  <c r="AC338" i="3"/>
  <c r="AD338" i="3" s="1"/>
  <c r="AA338" i="3"/>
  <c r="X338" i="3"/>
  <c r="W338" i="3"/>
  <c r="U338" i="3"/>
  <c r="R338" i="3"/>
  <c r="N338" i="3"/>
  <c r="O338" i="3" s="1"/>
  <c r="L338" i="3"/>
  <c r="I338" i="3"/>
  <c r="H338" i="3"/>
  <c r="F338" i="3"/>
  <c r="C338" i="3"/>
  <c r="AC337" i="3"/>
  <c r="AA337" i="3"/>
  <c r="W337" i="3"/>
  <c r="X337" i="3" s="1"/>
  <c r="U337" i="3"/>
  <c r="R337" i="3"/>
  <c r="N337" i="3"/>
  <c r="O337" i="3" s="1"/>
  <c r="L337" i="3"/>
  <c r="I337" i="3"/>
  <c r="H337" i="3"/>
  <c r="F337" i="3"/>
  <c r="C337" i="3"/>
  <c r="AC335" i="3"/>
  <c r="AD335" i="3" s="1"/>
  <c r="AA335" i="3"/>
  <c r="W335" i="3"/>
  <c r="U335" i="3"/>
  <c r="R335" i="3"/>
  <c r="O335" i="3"/>
  <c r="N335" i="3"/>
  <c r="L335" i="3"/>
  <c r="I335" i="3"/>
  <c r="H335" i="3"/>
  <c r="F335" i="3"/>
  <c r="C335" i="3"/>
  <c r="AC334" i="3"/>
  <c r="AA334" i="3"/>
  <c r="W334" i="3"/>
  <c r="X334" i="3" s="1"/>
  <c r="U334" i="3"/>
  <c r="R334" i="3"/>
  <c r="O334" i="3"/>
  <c r="N334" i="3"/>
  <c r="L334" i="3"/>
  <c r="H334" i="3"/>
  <c r="I334" i="3" s="1"/>
  <c r="F334" i="3"/>
  <c r="C334" i="3"/>
  <c r="AC333" i="3"/>
  <c r="AD333" i="3" s="1"/>
  <c r="AA333" i="3"/>
  <c r="W333" i="3"/>
  <c r="U333" i="3"/>
  <c r="R333" i="3"/>
  <c r="N333" i="3"/>
  <c r="O333" i="3" s="1"/>
  <c r="L333" i="3"/>
  <c r="I333" i="3"/>
  <c r="H333" i="3"/>
  <c r="F333" i="3"/>
  <c r="C333" i="3"/>
  <c r="AC332" i="3"/>
  <c r="AA332" i="3"/>
  <c r="W332" i="3"/>
  <c r="X332" i="3" s="1"/>
  <c r="U332" i="3"/>
  <c r="R332" i="3"/>
  <c r="N332" i="3"/>
  <c r="O332" i="3" s="1"/>
  <c r="L332" i="3"/>
  <c r="I332" i="3"/>
  <c r="H332" i="3"/>
  <c r="F332" i="3"/>
  <c r="C332" i="3"/>
  <c r="AC331" i="3"/>
  <c r="AA331" i="3"/>
  <c r="W331" i="3"/>
  <c r="U331" i="3"/>
  <c r="R331" i="3"/>
  <c r="O331" i="3"/>
  <c r="N331" i="3"/>
  <c r="L331" i="3"/>
  <c r="I331" i="3"/>
  <c r="H331" i="3"/>
  <c r="F331" i="3"/>
  <c r="C331" i="3"/>
  <c r="AD330" i="3"/>
  <c r="AC330" i="3"/>
  <c r="AA330" i="3"/>
  <c r="W330" i="3"/>
  <c r="X330" i="3" s="1"/>
  <c r="U330" i="3"/>
  <c r="R330" i="3"/>
  <c r="O330" i="3"/>
  <c r="N330" i="3"/>
  <c r="L330" i="3"/>
  <c r="H330" i="3"/>
  <c r="I330" i="3" s="1"/>
  <c r="F330" i="3"/>
  <c r="C330" i="3"/>
  <c r="AC329" i="3"/>
  <c r="AA329" i="3"/>
  <c r="W329" i="3"/>
  <c r="U329" i="3"/>
  <c r="R329" i="3"/>
  <c r="N329" i="3"/>
  <c r="O329" i="3" s="1"/>
  <c r="L329" i="3"/>
  <c r="H329" i="3"/>
  <c r="I329" i="3" s="1"/>
  <c r="F329" i="3"/>
  <c r="C329" i="3"/>
  <c r="AD328" i="3"/>
  <c r="AC328" i="3"/>
  <c r="AA328" i="3"/>
  <c r="W328" i="3"/>
  <c r="U328" i="3"/>
  <c r="R328" i="3"/>
  <c r="N328" i="3"/>
  <c r="O328" i="3" s="1"/>
  <c r="L328" i="3"/>
  <c r="I328" i="3"/>
  <c r="H328" i="3"/>
  <c r="F328" i="3"/>
  <c r="C328" i="3"/>
  <c r="AA325" i="3"/>
  <c r="Z325" i="3"/>
  <c r="W325" i="3"/>
  <c r="X325" i="3" s="1"/>
  <c r="U325" i="3"/>
  <c r="T325" i="3"/>
  <c r="Q325" i="3"/>
  <c r="AC325" i="3" s="1"/>
  <c r="L325" i="3"/>
  <c r="K325" i="3"/>
  <c r="H325" i="3"/>
  <c r="I325" i="3" s="1"/>
  <c r="E325" i="3"/>
  <c r="F325" i="3" s="1"/>
  <c r="C325" i="3"/>
  <c r="B325" i="3"/>
  <c r="N325" i="3" s="1"/>
  <c r="O325" i="3" s="1"/>
  <c r="Z324" i="3"/>
  <c r="U324" i="3"/>
  <c r="T324" i="3"/>
  <c r="R324" i="3"/>
  <c r="Q324" i="3"/>
  <c r="W324" i="3" s="1"/>
  <c r="N324" i="3"/>
  <c r="O324" i="3" s="1"/>
  <c r="K324" i="3"/>
  <c r="L324" i="3" s="1"/>
  <c r="F324" i="3"/>
  <c r="E324" i="3"/>
  <c r="C324" i="3"/>
  <c r="B324" i="3"/>
  <c r="AC323" i="3"/>
  <c r="AA323" i="3"/>
  <c r="W323" i="3"/>
  <c r="U323" i="3"/>
  <c r="R323" i="3"/>
  <c r="O323" i="3"/>
  <c r="N323" i="3"/>
  <c r="L323" i="3"/>
  <c r="I323" i="3"/>
  <c r="H323" i="3"/>
  <c r="F323" i="3"/>
  <c r="C323" i="3"/>
  <c r="AD322" i="3"/>
  <c r="AC322" i="3"/>
  <c r="AA322" i="3"/>
  <c r="W322" i="3"/>
  <c r="U322" i="3"/>
  <c r="R322" i="3"/>
  <c r="N322" i="3"/>
  <c r="O322" i="3" s="1"/>
  <c r="L322" i="3"/>
  <c r="H322" i="3"/>
  <c r="I322" i="3" s="1"/>
  <c r="F322" i="3"/>
  <c r="C322" i="3"/>
  <c r="AC321" i="3"/>
  <c r="AD321" i="3" s="1"/>
  <c r="AA321" i="3"/>
  <c r="X321" i="3"/>
  <c r="W321" i="3"/>
  <c r="U321" i="3"/>
  <c r="R321" i="3"/>
  <c r="N321" i="3"/>
  <c r="O321" i="3" s="1"/>
  <c r="L321" i="3"/>
  <c r="I321" i="3"/>
  <c r="H321" i="3"/>
  <c r="F321" i="3"/>
  <c r="C321" i="3"/>
  <c r="AD320" i="3"/>
  <c r="AC320" i="3"/>
  <c r="AA320" i="3"/>
  <c r="W320" i="3"/>
  <c r="X320" i="3" s="1"/>
  <c r="U320" i="3"/>
  <c r="R320" i="3"/>
  <c r="N320" i="3"/>
  <c r="O320" i="3" s="1"/>
  <c r="L320" i="3"/>
  <c r="I320" i="3"/>
  <c r="H320" i="3"/>
  <c r="F320" i="3"/>
  <c r="C320" i="3"/>
  <c r="AC319" i="3"/>
  <c r="AA319" i="3"/>
  <c r="W319" i="3"/>
  <c r="X319" i="3" s="1"/>
  <c r="U319" i="3"/>
  <c r="R319" i="3"/>
  <c r="O319" i="3"/>
  <c r="N319" i="3"/>
  <c r="L319" i="3"/>
  <c r="I319" i="3"/>
  <c r="H319" i="3"/>
  <c r="F319" i="3"/>
  <c r="C319" i="3"/>
  <c r="AD318" i="3"/>
  <c r="AC318" i="3"/>
  <c r="AA318" i="3"/>
  <c r="W318" i="3"/>
  <c r="U318" i="3"/>
  <c r="R318" i="3"/>
  <c r="O318" i="3"/>
  <c r="N318" i="3"/>
  <c r="L318" i="3"/>
  <c r="H318" i="3"/>
  <c r="I318" i="3" s="1"/>
  <c r="F318" i="3"/>
  <c r="C318" i="3"/>
  <c r="AC317" i="3"/>
  <c r="AD317" i="3" s="1"/>
  <c r="AA317" i="3"/>
  <c r="X317" i="3"/>
  <c r="W317" i="3"/>
  <c r="U317" i="3"/>
  <c r="R317" i="3"/>
  <c r="N317" i="3"/>
  <c r="O317" i="3" s="1"/>
  <c r="L317" i="3"/>
  <c r="H317" i="3"/>
  <c r="I317" i="3" s="1"/>
  <c r="F317" i="3"/>
  <c r="C317" i="3"/>
  <c r="AC316" i="3"/>
  <c r="AA316" i="3"/>
  <c r="W316" i="3"/>
  <c r="X316" i="3" s="1"/>
  <c r="U316" i="3"/>
  <c r="R316" i="3"/>
  <c r="N316" i="3"/>
  <c r="O316" i="3" s="1"/>
  <c r="L316" i="3"/>
  <c r="H316" i="3"/>
  <c r="I316" i="3" s="1"/>
  <c r="F316" i="3"/>
  <c r="C316" i="3"/>
  <c r="AC315" i="3"/>
  <c r="AD315" i="3" s="1"/>
  <c r="AA315" i="3"/>
  <c r="W315" i="3"/>
  <c r="X315" i="3" s="1"/>
  <c r="U315" i="3"/>
  <c r="R315" i="3"/>
  <c r="O315" i="3"/>
  <c r="N315" i="3"/>
  <c r="L315" i="3"/>
  <c r="I315" i="3"/>
  <c r="H315" i="3"/>
  <c r="F315" i="3"/>
  <c r="C315" i="3"/>
  <c r="AC314" i="3"/>
  <c r="AD314" i="3" s="1"/>
  <c r="AA314" i="3"/>
  <c r="W314" i="3"/>
  <c r="X314" i="3" s="1"/>
  <c r="U314" i="3"/>
  <c r="R314" i="3"/>
  <c r="O314" i="3"/>
  <c r="N314" i="3"/>
  <c r="L314" i="3"/>
  <c r="H314" i="3"/>
  <c r="I314" i="3" s="1"/>
  <c r="F314" i="3"/>
  <c r="C314" i="3"/>
  <c r="AD313" i="3"/>
  <c r="AC313" i="3"/>
  <c r="AA313" i="3"/>
  <c r="W313" i="3"/>
  <c r="U313" i="3"/>
  <c r="R313" i="3"/>
  <c r="N313" i="3"/>
  <c r="O313" i="3" s="1"/>
  <c r="L313" i="3"/>
  <c r="I313" i="3"/>
  <c r="H313" i="3"/>
  <c r="F313" i="3"/>
  <c r="C313" i="3"/>
  <c r="AC312" i="3"/>
  <c r="AA312" i="3"/>
  <c r="X312" i="3"/>
  <c r="W312" i="3"/>
  <c r="U312" i="3"/>
  <c r="R312" i="3"/>
  <c r="N312" i="3"/>
  <c r="O312" i="3" s="1"/>
  <c r="L312" i="3"/>
  <c r="H312" i="3"/>
  <c r="I312" i="3" s="1"/>
  <c r="F312" i="3"/>
  <c r="C312" i="3"/>
  <c r="AC311" i="3"/>
  <c r="AD311" i="3" s="1"/>
  <c r="AA311" i="3"/>
  <c r="W311" i="3"/>
  <c r="U311" i="3"/>
  <c r="R311" i="3"/>
  <c r="O311" i="3"/>
  <c r="N311" i="3"/>
  <c r="L311" i="3"/>
  <c r="I311" i="3"/>
  <c r="H311" i="3"/>
  <c r="F311" i="3"/>
  <c r="C311" i="3"/>
  <c r="AC310" i="3"/>
  <c r="AD310" i="3" s="1"/>
  <c r="AA310" i="3"/>
  <c r="W310" i="3"/>
  <c r="X310" i="3" s="1"/>
  <c r="U310" i="3"/>
  <c r="R310" i="3"/>
  <c r="N310" i="3"/>
  <c r="O310" i="3" s="1"/>
  <c r="L310" i="3"/>
  <c r="H310" i="3"/>
  <c r="I310" i="3" s="1"/>
  <c r="F310" i="3"/>
  <c r="C310" i="3"/>
  <c r="AD309" i="3"/>
  <c r="AC309" i="3"/>
  <c r="AA309" i="3"/>
  <c r="W309" i="3"/>
  <c r="U309" i="3"/>
  <c r="R309" i="3"/>
  <c r="N309" i="3"/>
  <c r="O309" i="3" s="1"/>
  <c r="L309" i="3"/>
  <c r="I309" i="3"/>
  <c r="H309" i="3"/>
  <c r="F309" i="3"/>
  <c r="C309" i="3"/>
  <c r="AD308" i="3"/>
  <c r="AC308" i="3"/>
  <c r="AA308" i="3"/>
  <c r="X308" i="3"/>
  <c r="W308" i="3"/>
  <c r="U308" i="3"/>
  <c r="R308" i="3"/>
  <c r="N308" i="3"/>
  <c r="O308" i="3" s="1"/>
  <c r="L308" i="3"/>
  <c r="H308" i="3"/>
  <c r="I308" i="3" s="1"/>
  <c r="F308" i="3"/>
  <c r="C308" i="3"/>
  <c r="AC307" i="3"/>
  <c r="AA307" i="3"/>
  <c r="W307" i="3"/>
  <c r="U307" i="3"/>
  <c r="R307" i="3"/>
  <c r="O307" i="3"/>
  <c r="N307" i="3"/>
  <c r="L307" i="3"/>
  <c r="I307" i="3"/>
  <c r="H307" i="3"/>
  <c r="F307" i="3"/>
  <c r="C307" i="3"/>
  <c r="AC306" i="3"/>
  <c r="AD306" i="3" s="1"/>
  <c r="AA306" i="3"/>
  <c r="W306" i="3"/>
  <c r="U306" i="3"/>
  <c r="R306" i="3"/>
  <c r="N306" i="3"/>
  <c r="O306" i="3" s="1"/>
  <c r="L306" i="3"/>
  <c r="H306" i="3"/>
  <c r="I306" i="3" s="1"/>
  <c r="F306" i="3"/>
  <c r="C306" i="3"/>
  <c r="AC305" i="3"/>
  <c r="AD305" i="3" s="1"/>
  <c r="AA305" i="3"/>
  <c r="X305" i="3"/>
  <c r="W305" i="3"/>
  <c r="U305" i="3"/>
  <c r="R305" i="3"/>
  <c r="N305" i="3"/>
  <c r="O305" i="3" s="1"/>
  <c r="L305" i="3"/>
  <c r="I305" i="3"/>
  <c r="H305" i="3"/>
  <c r="F305" i="3"/>
  <c r="C305" i="3"/>
  <c r="AD304" i="3"/>
  <c r="AC304" i="3"/>
  <c r="AA304" i="3"/>
  <c r="W304" i="3"/>
  <c r="X304" i="3" s="1"/>
  <c r="U304" i="3"/>
  <c r="R304" i="3"/>
  <c r="N304" i="3"/>
  <c r="O304" i="3" s="1"/>
  <c r="L304" i="3"/>
  <c r="I304" i="3"/>
  <c r="H304" i="3"/>
  <c r="F304" i="3"/>
  <c r="C304" i="3"/>
  <c r="AC303" i="3"/>
  <c r="AA303" i="3"/>
  <c r="W303" i="3"/>
  <c r="X303" i="3" s="1"/>
  <c r="U303" i="3"/>
  <c r="R303" i="3"/>
  <c r="O303" i="3"/>
  <c r="N303" i="3"/>
  <c r="L303" i="3"/>
  <c r="I303" i="3"/>
  <c r="H303" i="3"/>
  <c r="F303" i="3"/>
  <c r="C303" i="3"/>
  <c r="AD302" i="3"/>
  <c r="AC302" i="3"/>
  <c r="AA302" i="3"/>
  <c r="W302" i="3"/>
  <c r="U302" i="3"/>
  <c r="R302" i="3"/>
  <c r="N302" i="3"/>
  <c r="O302" i="3" s="1"/>
  <c r="L302" i="3"/>
  <c r="H302" i="3"/>
  <c r="I302" i="3" s="1"/>
  <c r="F302" i="3"/>
  <c r="C302" i="3"/>
  <c r="AC301" i="3"/>
  <c r="AD301" i="3" s="1"/>
  <c r="AA301" i="3"/>
  <c r="X301" i="3"/>
  <c r="W301" i="3"/>
  <c r="U301" i="3"/>
  <c r="R301" i="3"/>
  <c r="N301" i="3"/>
  <c r="O301" i="3" s="1"/>
  <c r="L301" i="3"/>
  <c r="I301" i="3"/>
  <c r="H301" i="3"/>
  <c r="F301" i="3"/>
  <c r="C301" i="3"/>
  <c r="AC300" i="3"/>
  <c r="AA300" i="3"/>
  <c r="W300" i="3"/>
  <c r="X300" i="3" s="1"/>
  <c r="U300" i="3"/>
  <c r="R300" i="3"/>
  <c r="N300" i="3"/>
  <c r="O300" i="3" s="1"/>
  <c r="L300" i="3"/>
  <c r="H300" i="3"/>
  <c r="I300" i="3" s="1"/>
  <c r="F300" i="3"/>
  <c r="C300" i="3"/>
  <c r="AC299" i="3"/>
  <c r="AD299" i="3" s="1"/>
  <c r="AA299" i="3"/>
  <c r="W299" i="3"/>
  <c r="X299" i="3" s="1"/>
  <c r="U299" i="3"/>
  <c r="R299" i="3"/>
  <c r="O299" i="3"/>
  <c r="N299" i="3"/>
  <c r="L299" i="3"/>
  <c r="I299" i="3"/>
  <c r="H299" i="3"/>
  <c r="F299" i="3"/>
  <c r="C299" i="3"/>
  <c r="AC298" i="3"/>
  <c r="AD298" i="3" s="1"/>
  <c r="AA298" i="3"/>
  <c r="W298" i="3"/>
  <c r="X298" i="3" s="1"/>
  <c r="U298" i="3"/>
  <c r="R298" i="3"/>
  <c r="O298" i="3"/>
  <c r="N298" i="3"/>
  <c r="L298" i="3"/>
  <c r="H298" i="3"/>
  <c r="I298" i="3" s="1"/>
  <c r="F298" i="3"/>
  <c r="C298" i="3"/>
  <c r="AD297" i="3"/>
  <c r="AC297" i="3"/>
  <c r="AA297" i="3"/>
  <c r="W297" i="3"/>
  <c r="U297" i="3"/>
  <c r="R297" i="3"/>
  <c r="N297" i="3"/>
  <c r="O297" i="3" s="1"/>
  <c r="L297" i="3"/>
  <c r="I297" i="3"/>
  <c r="H297" i="3"/>
  <c r="F297" i="3"/>
  <c r="C297" i="3"/>
  <c r="Z295" i="3"/>
  <c r="AA295" i="3" s="1"/>
  <c r="W295" i="3"/>
  <c r="X295" i="3" s="1"/>
  <c r="T295" i="3"/>
  <c r="U295" i="3" s="1"/>
  <c r="R295" i="3"/>
  <c r="Q295" i="3"/>
  <c r="K295" i="3"/>
  <c r="N295" i="3" s="1"/>
  <c r="O295" i="3" s="1"/>
  <c r="F295" i="3"/>
  <c r="E295" i="3"/>
  <c r="C295" i="3"/>
  <c r="B295" i="3"/>
  <c r="H295" i="3" s="1"/>
  <c r="I295" i="3" s="1"/>
  <c r="AC294" i="3"/>
  <c r="AA294" i="3"/>
  <c r="W294" i="3"/>
  <c r="X294" i="3" s="1"/>
  <c r="U294" i="3"/>
  <c r="R294" i="3"/>
  <c r="O294" i="3"/>
  <c r="N294" i="3"/>
  <c r="L294" i="3"/>
  <c r="H294" i="3"/>
  <c r="I294" i="3" s="1"/>
  <c r="F294" i="3"/>
  <c r="C294" i="3"/>
  <c r="AD293" i="3"/>
  <c r="AC293" i="3"/>
  <c r="AA293" i="3"/>
  <c r="W293" i="3"/>
  <c r="U293" i="3"/>
  <c r="R293" i="3"/>
  <c r="N293" i="3"/>
  <c r="O293" i="3" s="1"/>
  <c r="L293" i="3"/>
  <c r="I293" i="3"/>
  <c r="H293" i="3"/>
  <c r="F293" i="3"/>
  <c r="C293" i="3"/>
  <c r="AC292" i="3"/>
  <c r="AA292" i="3"/>
  <c r="X292" i="3"/>
  <c r="W292" i="3"/>
  <c r="U292" i="3"/>
  <c r="R292" i="3"/>
  <c r="N292" i="3"/>
  <c r="O292" i="3" s="1"/>
  <c r="L292" i="3"/>
  <c r="H292" i="3"/>
  <c r="I292" i="3" s="1"/>
  <c r="F292" i="3"/>
  <c r="C292" i="3"/>
  <c r="AC291" i="3"/>
  <c r="AA291" i="3"/>
  <c r="W291" i="3"/>
  <c r="U291" i="3"/>
  <c r="R291" i="3"/>
  <c r="O291" i="3"/>
  <c r="N291" i="3"/>
  <c r="L291" i="3"/>
  <c r="I291" i="3"/>
  <c r="H291" i="3"/>
  <c r="F291" i="3"/>
  <c r="C291" i="3"/>
  <c r="AC290" i="3"/>
  <c r="AD290" i="3" s="1"/>
  <c r="AA290" i="3"/>
  <c r="W290" i="3"/>
  <c r="X290" i="3" s="1"/>
  <c r="U290" i="3"/>
  <c r="R290" i="3"/>
  <c r="O290" i="3"/>
  <c r="N290" i="3"/>
  <c r="L290" i="3"/>
  <c r="H290" i="3"/>
  <c r="I290" i="3" s="1"/>
  <c r="F290" i="3"/>
  <c r="C290" i="3"/>
  <c r="AC289" i="3"/>
  <c r="AA289" i="3"/>
  <c r="W289" i="3"/>
  <c r="U289" i="3"/>
  <c r="R289" i="3"/>
  <c r="N289" i="3"/>
  <c r="O289" i="3" s="1"/>
  <c r="L289" i="3"/>
  <c r="H289" i="3"/>
  <c r="I289" i="3" s="1"/>
  <c r="F289" i="3"/>
  <c r="C289" i="3"/>
  <c r="AD288" i="3"/>
  <c r="AC288" i="3"/>
  <c r="AA288" i="3"/>
  <c r="W288" i="3"/>
  <c r="U288" i="3"/>
  <c r="R288" i="3"/>
  <c r="N288" i="3"/>
  <c r="O288" i="3" s="1"/>
  <c r="L288" i="3"/>
  <c r="H288" i="3"/>
  <c r="I288" i="3" s="1"/>
  <c r="F288" i="3"/>
  <c r="C288" i="3"/>
  <c r="AC287" i="3"/>
  <c r="AA287" i="3"/>
  <c r="W287" i="3"/>
  <c r="X287" i="3" s="1"/>
  <c r="U287" i="3"/>
  <c r="R287" i="3"/>
  <c r="O287" i="3"/>
  <c r="N287" i="3"/>
  <c r="L287" i="3"/>
  <c r="I287" i="3"/>
  <c r="H287" i="3"/>
  <c r="F287" i="3"/>
  <c r="C287" i="3"/>
  <c r="AC286" i="3"/>
  <c r="AD286" i="3" s="1"/>
  <c r="AA286" i="3"/>
  <c r="W286" i="3"/>
  <c r="U286" i="3"/>
  <c r="R286" i="3"/>
  <c r="O286" i="3"/>
  <c r="N286" i="3"/>
  <c r="L286" i="3"/>
  <c r="H286" i="3"/>
  <c r="I286" i="3" s="1"/>
  <c r="F286" i="3"/>
  <c r="C286" i="3"/>
  <c r="Z284" i="3"/>
  <c r="AC284" i="3" s="1"/>
  <c r="AD284" i="3" s="1"/>
  <c r="U284" i="3"/>
  <c r="T284" i="3"/>
  <c r="R284" i="3"/>
  <c r="Q284" i="3"/>
  <c r="W284" i="3" s="1"/>
  <c r="O284" i="3"/>
  <c r="N284" i="3"/>
  <c r="K284" i="3"/>
  <c r="L284" i="3" s="1"/>
  <c r="F284" i="3"/>
  <c r="E284" i="3"/>
  <c r="C284" i="3"/>
  <c r="B284" i="3"/>
  <c r="AC283" i="3"/>
  <c r="AA283" i="3"/>
  <c r="W283" i="3"/>
  <c r="X283" i="3" s="1"/>
  <c r="U283" i="3"/>
  <c r="R283" i="3"/>
  <c r="O283" i="3"/>
  <c r="N283" i="3"/>
  <c r="L283" i="3"/>
  <c r="I283" i="3"/>
  <c r="H283" i="3"/>
  <c r="F283" i="3"/>
  <c r="C283" i="3"/>
  <c r="AD282" i="3"/>
  <c r="AC282" i="3"/>
  <c r="AA282" i="3"/>
  <c r="W282" i="3"/>
  <c r="U282" i="3"/>
  <c r="R282" i="3"/>
  <c r="N282" i="3"/>
  <c r="O282" i="3" s="1"/>
  <c r="L282" i="3"/>
  <c r="H282" i="3"/>
  <c r="I282" i="3" s="1"/>
  <c r="F282" i="3"/>
  <c r="C282" i="3"/>
  <c r="AC281" i="3"/>
  <c r="AA281" i="3"/>
  <c r="X281" i="3"/>
  <c r="W281" i="3"/>
  <c r="U281" i="3"/>
  <c r="R281" i="3"/>
  <c r="N281" i="3"/>
  <c r="O281" i="3" s="1"/>
  <c r="L281" i="3"/>
  <c r="H281" i="3"/>
  <c r="I281" i="3" s="1"/>
  <c r="F281" i="3"/>
  <c r="C281" i="3"/>
  <c r="AD280" i="3"/>
  <c r="AC280" i="3"/>
  <c r="AA280" i="3"/>
  <c r="W280" i="3"/>
  <c r="U280" i="3"/>
  <c r="R280" i="3"/>
  <c r="N280" i="3"/>
  <c r="O280" i="3" s="1"/>
  <c r="L280" i="3"/>
  <c r="I280" i="3"/>
  <c r="H280" i="3"/>
  <c r="F280" i="3"/>
  <c r="C280" i="3"/>
  <c r="AC279" i="3"/>
  <c r="AD279" i="3" s="1"/>
  <c r="AA279" i="3"/>
  <c r="W279" i="3"/>
  <c r="X279" i="3" s="1"/>
  <c r="U279" i="3"/>
  <c r="R279" i="3"/>
  <c r="O279" i="3"/>
  <c r="N279" i="3"/>
  <c r="L279" i="3"/>
  <c r="I279" i="3"/>
  <c r="H279" i="3"/>
  <c r="F279" i="3"/>
  <c r="C279" i="3"/>
  <c r="AC278" i="3"/>
  <c r="AA278" i="3"/>
  <c r="W278" i="3"/>
  <c r="U278" i="3"/>
  <c r="R278" i="3"/>
  <c r="N278" i="3"/>
  <c r="O278" i="3" s="1"/>
  <c r="L278" i="3"/>
  <c r="H278" i="3"/>
  <c r="I278" i="3" s="1"/>
  <c r="F278" i="3"/>
  <c r="C278" i="3"/>
  <c r="AC277" i="3"/>
  <c r="AD277" i="3" s="1"/>
  <c r="AA277" i="3"/>
  <c r="X277" i="3"/>
  <c r="W277" i="3"/>
  <c r="U277" i="3"/>
  <c r="R277" i="3"/>
  <c r="N277" i="3"/>
  <c r="O277" i="3" s="1"/>
  <c r="L277" i="3"/>
  <c r="I277" i="3"/>
  <c r="H277" i="3"/>
  <c r="F277" i="3"/>
  <c r="C277" i="3"/>
  <c r="AC276" i="3"/>
  <c r="AA276" i="3"/>
  <c r="X276" i="3"/>
  <c r="W276" i="3"/>
  <c r="U276" i="3"/>
  <c r="R276" i="3"/>
  <c r="N276" i="3"/>
  <c r="O276" i="3" s="1"/>
  <c r="L276" i="3"/>
  <c r="I276" i="3"/>
  <c r="H276" i="3"/>
  <c r="F276" i="3"/>
  <c r="C276" i="3"/>
  <c r="AC275" i="3"/>
  <c r="AD275" i="3" s="1"/>
  <c r="AA275" i="3"/>
  <c r="W275" i="3"/>
  <c r="U275" i="3"/>
  <c r="R275" i="3"/>
  <c r="O275" i="3"/>
  <c r="N275" i="3"/>
  <c r="L275" i="3"/>
  <c r="I275" i="3"/>
  <c r="H275" i="3"/>
  <c r="F275" i="3"/>
  <c r="C275" i="3"/>
  <c r="AC273" i="3"/>
  <c r="Z273" i="3"/>
  <c r="AA273" i="3" s="1"/>
  <c r="T273" i="3"/>
  <c r="U273" i="3" s="1"/>
  <c r="R273" i="3"/>
  <c r="Q273" i="3"/>
  <c r="L273" i="3"/>
  <c r="K273" i="3"/>
  <c r="E273" i="3"/>
  <c r="F273" i="3" s="1"/>
  <c r="B273" i="3"/>
  <c r="N273" i="3" s="1"/>
  <c r="O273" i="3" s="1"/>
  <c r="AC272" i="3"/>
  <c r="AA272" i="3"/>
  <c r="W272" i="3"/>
  <c r="X272" i="3" s="1"/>
  <c r="U272" i="3"/>
  <c r="R272" i="3"/>
  <c r="N272" i="3"/>
  <c r="O272" i="3" s="1"/>
  <c r="L272" i="3"/>
  <c r="I272" i="3"/>
  <c r="H272" i="3"/>
  <c r="F272" i="3"/>
  <c r="C272" i="3"/>
  <c r="AC271" i="3"/>
  <c r="AD271" i="3" s="1"/>
  <c r="AA271" i="3"/>
  <c r="W271" i="3"/>
  <c r="U271" i="3"/>
  <c r="R271" i="3"/>
  <c r="O271" i="3"/>
  <c r="N271" i="3"/>
  <c r="L271" i="3"/>
  <c r="I271" i="3"/>
  <c r="H271" i="3"/>
  <c r="F271" i="3"/>
  <c r="C271" i="3"/>
  <c r="AC270" i="3"/>
  <c r="AA270" i="3"/>
  <c r="W270" i="3"/>
  <c r="X270" i="3" s="1"/>
  <c r="U270" i="3"/>
  <c r="R270" i="3"/>
  <c r="O270" i="3"/>
  <c r="N270" i="3"/>
  <c r="L270" i="3"/>
  <c r="H270" i="3"/>
  <c r="I270" i="3" s="1"/>
  <c r="F270" i="3"/>
  <c r="C270" i="3"/>
  <c r="AD269" i="3"/>
  <c r="AC269" i="3"/>
  <c r="AA269" i="3"/>
  <c r="W269" i="3"/>
  <c r="U269" i="3"/>
  <c r="R269" i="3"/>
  <c r="N269" i="3"/>
  <c r="O269" i="3" s="1"/>
  <c r="L269" i="3"/>
  <c r="I269" i="3"/>
  <c r="H269" i="3"/>
  <c r="F269" i="3"/>
  <c r="C269" i="3"/>
  <c r="Z267" i="3"/>
  <c r="AA267" i="3" s="1"/>
  <c r="X267" i="3"/>
  <c r="W267" i="3"/>
  <c r="T267" i="3"/>
  <c r="U267" i="3" s="1"/>
  <c r="R267" i="3"/>
  <c r="Q267" i="3"/>
  <c r="K267" i="3"/>
  <c r="F267" i="3"/>
  <c r="E267" i="3"/>
  <c r="B267" i="3"/>
  <c r="H267" i="3" s="1"/>
  <c r="I267" i="3" s="1"/>
  <c r="AC266" i="3"/>
  <c r="AD266" i="3" s="1"/>
  <c r="AA266" i="3"/>
  <c r="W266" i="3"/>
  <c r="X266" i="3" s="1"/>
  <c r="U266" i="3"/>
  <c r="R266" i="3"/>
  <c r="N266" i="3"/>
  <c r="O266" i="3" s="1"/>
  <c r="L266" i="3"/>
  <c r="H266" i="3"/>
  <c r="I266" i="3" s="1"/>
  <c r="F266" i="3"/>
  <c r="C266" i="3"/>
  <c r="AD265" i="3"/>
  <c r="AC265" i="3"/>
  <c r="AA265" i="3"/>
  <c r="W265" i="3"/>
  <c r="U265" i="3"/>
  <c r="R265" i="3"/>
  <c r="N265" i="3"/>
  <c r="O265" i="3" s="1"/>
  <c r="L265" i="3"/>
  <c r="I265" i="3"/>
  <c r="H265" i="3"/>
  <c r="F265" i="3"/>
  <c r="C265" i="3"/>
  <c r="AA263" i="3"/>
  <c r="Z263" i="3"/>
  <c r="X263" i="3"/>
  <c r="W263" i="3"/>
  <c r="T263" i="3"/>
  <c r="U263" i="3" s="1"/>
  <c r="R263" i="3"/>
  <c r="Q263" i="3"/>
  <c r="N263" i="3"/>
  <c r="O263" i="3" s="1"/>
  <c r="L263" i="3"/>
  <c r="K263" i="3"/>
  <c r="F263" i="3"/>
  <c r="E263" i="3"/>
  <c r="C263" i="3"/>
  <c r="B263" i="3"/>
  <c r="H263" i="3" s="1"/>
  <c r="I263" i="3" s="1"/>
  <c r="AC262" i="3"/>
  <c r="AD262" i="3" s="1"/>
  <c r="Z262" i="3"/>
  <c r="AA262" i="3" s="1"/>
  <c r="X262" i="3"/>
  <c r="U262" i="3"/>
  <c r="T262" i="3"/>
  <c r="R262" i="3"/>
  <c r="Q262" i="3"/>
  <c r="W262" i="3" s="1"/>
  <c r="L262" i="3"/>
  <c r="K262" i="3"/>
  <c r="I262" i="3"/>
  <c r="H262" i="3"/>
  <c r="F262" i="3"/>
  <c r="E262" i="3"/>
  <c r="B262" i="3"/>
  <c r="N262" i="3" s="1"/>
  <c r="O262" i="3" s="1"/>
  <c r="AC261" i="3"/>
  <c r="AA261" i="3"/>
  <c r="X261" i="3"/>
  <c r="W261" i="3"/>
  <c r="U261" i="3"/>
  <c r="R261" i="3"/>
  <c r="N261" i="3"/>
  <c r="O261" i="3" s="1"/>
  <c r="L261" i="3"/>
  <c r="H261" i="3"/>
  <c r="I261" i="3" s="1"/>
  <c r="F261" i="3"/>
  <c r="C261" i="3"/>
  <c r="AC260" i="3"/>
  <c r="AA260" i="3"/>
  <c r="W260" i="3"/>
  <c r="U260" i="3"/>
  <c r="R260" i="3"/>
  <c r="O260" i="3"/>
  <c r="N260" i="3"/>
  <c r="L260" i="3"/>
  <c r="I260" i="3"/>
  <c r="H260" i="3"/>
  <c r="F260" i="3"/>
  <c r="C260" i="3"/>
  <c r="AC259" i="3"/>
  <c r="AD259" i="3" s="1"/>
  <c r="AA259" i="3"/>
  <c r="W259" i="3"/>
  <c r="X259" i="3" s="1"/>
  <c r="U259" i="3"/>
  <c r="R259" i="3"/>
  <c r="O259" i="3"/>
  <c r="N259" i="3"/>
  <c r="L259" i="3"/>
  <c r="H259" i="3"/>
  <c r="I259" i="3" s="1"/>
  <c r="F259" i="3"/>
  <c r="C259" i="3"/>
  <c r="AC258" i="3"/>
  <c r="AA258" i="3"/>
  <c r="W258" i="3"/>
  <c r="U258" i="3"/>
  <c r="R258" i="3"/>
  <c r="N258" i="3"/>
  <c r="O258" i="3" s="1"/>
  <c r="L258" i="3"/>
  <c r="H258" i="3"/>
  <c r="I258" i="3" s="1"/>
  <c r="F258" i="3"/>
  <c r="C258" i="3"/>
  <c r="AD257" i="3"/>
  <c r="AC257" i="3"/>
  <c r="AA257" i="3"/>
  <c r="W257" i="3"/>
  <c r="U257" i="3"/>
  <c r="R257" i="3"/>
  <c r="N257" i="3"/>
  <c r="O257" i="3" s="1"/>
  <c r="L257" i="3"/>
  <c r="H257" i="3"/>
  <c r="I257" i="3" s="1"/>
  <c r="F257" i="3"/>
  <c r="C257" i="3"/>
  <c r="AC256" i="3"/>
  <c r="AA256" i="3"/>
  <c r="W256" i="3"/>
  <c r="X256" i="3" s="1"/>
  <c r="U256" i="3"/>
  <c r="R256" i="3"/>
  <c r="O256" i="3"/>
  <c r="N256" i="3"/>
  <c r="L256" i="3"/>
  <c r="I256" i="3"/>
  <c r="H256" i="3"/>
  <c r="F256" i="3"/>
  <c r="C256" i="3"/>
  <c r="AC255" i="3"/>
  <c r="AD255" i="3" s="1"/>
  <c r="AA255" i="3"/>
  <c r="W255" i="3"/>
  <c r="U255" i="3"/>
  <c r="R255" i="3"/>
  <c r="N255" i="3"/>
  <c r="O255" i="3" s="1"/>
  <c r="L255" i="3"/>
  <c r="H255" i="3"/>
  <c r="I255" i="3" s="1"/>
  <c r="F255" i="3"/>
  <c r="C255" i="3"/>
  <c r="AC254" i="3"/>
  <c r="AA254" i="3"/>
  <c r="X254" i="3"/>
  <c r="W254" i="3"/>
  <c r="U254" i="3"/>
  <c r="R254" i="3"/>
  <c r="N254" i="3"/>
  <c r="O254" i="3" s="1"/>
  <c r="L254" i="3"/>
  <c r="H254" i="3"/>
  <c r="I254" i="3" s="1"/>
  <c r="F254" i="3"/>
  <c r="C254" i="3"/>
  <c r="AD253" i="3"/>
  <c r="AC253" i="3"/>
  <c r="AA253" i="3"/>
  <c r="W253" i="3"/>
  <c r="U253" i="3"/>
  <c r="R253" i="3"/>
  <c r="N253" i="3"/>
  <c r="O253" i="3" s="1"/>
  <c r="L253" i="3"/>
  <c r="I253" i="3"/>
  <c r="H253" i="3"/>
  <c r="F253" i="3"/>
  <c r="C253" i="3"/>
  <c r="AC252" i="3"/>
  <c r="AD252" i="3" s="1"/>
  <c r="AA252" i="3"/>
  <c r="W252" i="3"/>
  <c r="X252" i="3" s="1"/>
  <c r="U252" i="3"/>
  <c r="R252" i="3"/>
  <c r="O252" i="3"/>
  <c r="N252" i="3"/>
  <c r="L252" i="3"/>
  <c r="I252" i="3"/>
  <c r="H252" i="3"/>
  <c r="F252" i="3"/>
  <c r="C252" i="3"/>
  <c r="AC251" i="3"/>
  <c r="AA251" i="3"/>
  <c r="W251" i="3"/>
  <c r="U251" i="3"/>
  <c r="R251" i="3"/>
  <c r="O251" i="3"/>
  <c r="N251" i="3"/>
  <c r="L251" i="3"/>
  <c r="H251" i="3"/>
  <c r="I251" i="3" s="1"/>
  <c r="F251" i="3"/>
  <c r="C251" i="3"/>
  <c r="AD250" i="3"/>
  <c r="AC250" i="3"/>
  <c r="AA250" i="3"/>
  <c r="X250" i="3"/>
  <c r="W250" i="3"/>
  <c r="U250" i="3"/>
  <c r="R250" i="3"/>
  <c r="N250" i="3"/>
  <c r="O250" i="3" s="1"/>
  <c r="L250" i="3"/>
  <c r="H250" i="3"/>
  <c r="I250" i="3" s="1"/>
  <c r="F250" i="3"/>
  <c r="C250" i="3"/>
  <c r="AC249" i="3"/>
  <c r="AA249" i="3"/>
  <c r="W249" i="3"/>
  <c r="X249" i="3" s="1"/>
  <c r="U249" i="3"/>
  <c r="R249" i="3"/>
  <c r="N249" i="3"/>
  <c r="O249" i="3" s="1"/>
  <c r="L249" i="3"/>
  <c r="I249" i="3"/>
  <c r="H249" i="3"/>
  <c r="F249" i="3"/>
  <c r="C249" i="3"/>
  <c r="AC248" i="3"/>
  <c r="AD248" i="3" s="1"/>
  <c r="AA248" i="3"/>
  <c r="W248" i="3"/>
  <c r="U248" i="3"/>
  <c r="R248" i="3"/>
  <c r="O248" i="3"/>
  <c r="N248" i="3"/>
  <c r="L248" i="3"/>
  <c r="I248" i="3"/>
  <c r="H248" i="3"/>
  <c r="F248" i="3"/>
  <c r="C248" i="3"/>
  <c r="AC247" i="3"/>
  <c r="AA247" i="3"/>
  <c r="W247" i="3"/>
  <c r="X247" i="3" s="1"/>
  <c r="U247" i="3"/>
  <c r="R247" i="3"/>
  <c r="O247" i="3"/>
  <c r="N247" i="3"/>
  <c r="L247" i="3"/>
  <c r="H247" i="3"/>
  <c r="I247" i="3" s="1"/>
  <c r="F247" i="3"/>
  <c r="C247" i="3"/>
  <c r="AD246" i="3"/>
  <c r="AC246" i="3"/>
  <c r="AA246" i="3"/>
  <c r="W246" i="3"/>
  <c r="U246" i="3"/>
  <c r="R246" i="3"/>
  <c r="N246" i="3"/>
  <c r="O246" i="3" s="1"/>
  <c r="L246" i="3"/>
  <c r="I246" i="3"/>
  <c r="H246" i="3"/>
  <c r="F246" i="3"/>
  <c r="C246" i="3"/>
  <c r="AC245" i="3"/>
  <c r="AD245" i="3" s="1"/>
  <c r="AA245" i="3"/>
  <c r="W245" i="3"/>
  <c r="X245" i="3" s="1"/>
  <c r="U245" i="3"/>
  <c r="R245" i="3"/>
  <c r="O245" i="3"/>
  <c r="N245" i="3"/>
  <c r="L245" i="3"/>
  <c r="I245" i="3"/>
  <c r="H245" i="3"/>
  <c r="F245" i="3"/>
  <c r="C245" i="3"/>
  <c r="AC244" i="3"/>
  <c r="AA244" i="3"/>
  <c r="W244" i="3"/>
  <c r="X244" i="3" s="1"/>
  <c r="U244" i="3"/>
  <c r="R244" i="3"/>
  <c r="O244" i="3"/>
  <c r="N244" i="3"/>
  <c r="L244" i="3"/>
  <c r="I244" i="3"/>
  <c r="H244" i="3"/>
  <c r="F244" i="3"/>
  <c r="C244" i="3"/>
  <c r="AD243" i="3"/>
  <c r="AC243" i="3"/>
  <c r="AA243" i="3"/>
  <c r="W243" i="3"/>
  <c r="X243" i="3" s="1"/>
  <c r="U243" i="3"/>
  <c r="R243" i="3"/>
  <c r="O243" i="3"/>
  <c r="N243" i="3"/>
  <c r="L243" i="3"/>
  <c r="H243" i="3"/>
  <c r="I243" i="3" s="1"/>
  <c r="F243" i="3"/>
  <c r="C243" i="3"/>
  <c r="AC242" i="3"/>
  <c r="AD242" i="3" s="1"/>
  <c r="AA242" i="3"/>
  <c r="X242" i="3"/>
  <c r="W242" i="3"/>
  <c r="U242" i="3"/>
  <c r="R242" i="3"/>
  <c r="O242" i="3"/>
  <c r="N242" i="3"/>
  <c r="L242" i="3"/>
  <c r="I242" i="3"/>
  <c r="H242" i="3"/>
  <c r="F242" i="3"/>
  <c r="C242" i="3"/>
  <c r="AC241" i="3"/>
  <c r="AD241" i="3" s="1"/>
  <c r="AA241" i="3"/>
  <c r="W241" i="3"/>
  <c r="X241" i="3" s="1"/>
  <c r="U241" i="3"/>
  <c r="R241" i="3"/>
  <c r="O241" i="3"/>
  <c r="N241" i="3"/>
  <c r="L241" i="3"/>
  <c r="H241" i="3"/>
  <c r="I241" i="3" s="1"/>
  <c r="F241" i="3"/>
  <c r="C241" i="3"/>
  <c r="AC240" i="3"/>
  <c r="AD240" i="3" s="1"/>
  <c r="AA240" i="3"/>
  <c r="W240" i="3"/>
  <c r="X240" i="3" s="1"/>
  <c r="U240" i="3"/>
  <c r="R240" i="3"/>
  <c r="O240" i="3"/>
  <c r="N240" i="3"/>
  <c r="L240" i="3"/>
  <c r="I240" i="3"/>
  <c r="H240" i="3"/>
  <c r="F240" i="3"/>
  <c r="C240" i="3"/>
  <c r="AC238" i="3"/>
  <c r="AD238" i="3" s="1"/>
  <c r="AA238" i="3"/>
  <c r="X238" i="3"/>
  <c r="W238" i="3"/>
  <c r="U238" i="3"/>
  <c r="R238" i="3"/>
  <c r="N238" i="3"/>
  <c r="O238" i="3" s="1"/>
  <c r="L238" i="3"/>
  <c r="H238" i="3"/>
  <c r="I238" i="3" s="1"/>
  <c r="F238" i="3"/>
  <c r="C238" i="3"/>
  <c r="Z236" i="3"/>
  <c r="T236" i="3"/>
  <c r="U236" i="3" s="1"/>
  <c r="R236" i="3"/>
  <c r="Q236" i="3"/>
  <c r="K236" i="3"/>
  <c r="L236" i="3" s="1"/>
  <c r="I236" i="3"/>
  <c r="H236" i="3"/>
  <c r="F236" i="3"/>
  <c r="E236" i="3"/>
  <c r="B236" i="3"/>
  <c r="C236" i="3" s="1"/>
  <c r="AC235" i="3"/>
  <c r="AA235" i="3"/>
  <c r="W235" i="3"/>
  <c r="X235" i="3" s="1"/>
  <c r="U235" i="3"/>
  <c r="R235" i="3"/>
  <c r="O235" i="3"/>
  <c r="N235" i="3"/>
  <c r="L235" i="3"/>
  <c r="H235" i="3"/>
  <c r="I235" i="3" s="1"/>
  <c r="F235" i="3"/>
  <c r="C235" i="3"/>
  <c r="AC234" i="3"/>
  <c r="AA234" i="3"/>
  <c r="W234" i="3"/>
  <c r="X234" i="3" s="1"/>
  <c r="U234" i="3"/>
  <c r="R234" i="3"/>
  <c r="O234" i="3"/>
  <c r="N234" i="3"/>
  <c r="L234" i="3"/>
  <c r="H234" i="3"/>
  <c r="I234" i="3" s="1"/>
  <c r="F234" i="3"/>
  <c r="C234" i="3"/>
  <c r="AC233" i="3"/>
  <c r="AD233" i="3" s="1"/>
  <c r="AA233" i="3"/>
  <c r="W233" i="3"/>
  <c r="U233" i="3"/>
  <c r="R233" i="3"/>
  <c r="N233" i="3"/>
  <c r="O233" i="3" s="1"/>
  <c r="L233" i="3"/>
  <c r="I233" i="3"/>
  <c r="H233" i="3"/>
  <c r="F233" i="3"/>
  <c r="C233" i="3"/>
  <c r="AC232" i="3"/>
  <c r="AD232" i="3" s="1"/>
  <c r="AA232" i="3"/>
  <c r="X232" i="3"/>
  <c r="W232" i="3"/>
  <c r="U232" i="3"/>
  <c r="R232" i="3"/>
  <c r="O232" i="3"/>
  <c r="N232" i="3"/>
  <c r="L232" i="3"/>
  <c r="H232" i="3"/>
  <c r="I232" i="3" s="1"/>
  <c r="F232" i="3"/>
  <c r="C232" i="3"/>
  <c r="AC231" i="3"/>
  <c r="AA231" i="3"/>
  <c r="W231" i="3"/>
  <c r="X231" i="3" s="1"/>
  <c r="U231" i="3"/>
  <c r="R231" i="3"/>
  <c r="O231" i="3"/>
  <c r="N231" i="3"/>
  <c r="L231" i="3"/>
  <c r="I231" i="3"/>
  <c r="H231" i="3"/>
  <c r="F231" i="3"/>
  <c r="C231" i="3"/>
  <c r="AC230" i="3"/>
  <c r="AD230" i="3" s="1"/>
  <c r="AA230" i="3"/>
  <c r="W230" i="3"/>
  <c r="X230" i="3" s="1"/>
  <c r="U230" i="3"/>
  <c r="R230" i="3"/>
  <c r="O230" i="3"/>
  <c r="N230" i="3"/>
  <c r="L230" i="3"/>
  <c r="H230" i="3"/>
  <c r="I230" i="3" s="1"/>
  <c r="F230" i="3"/>
  <c r="C230" i="3"/>
  <c r="AC229" i="3"/>
  <c r="AD229" i="3" s="1"/>
  <c r="AA229" i="3"/>
  <c r="X229" i="3"/>
  <c r="W229" i="3"/>
  <c r="U229" i="3"/>
  <c r="R229" i="3"/>
  <c r="O229" i="3"/>
  <c r="N229" i="3"/>
  <c r="L229" i="3"/>
  <c r="H229" i="3"/>
  <c r="I229" i="3" s="1"/>
  <c r="F229" i="3"/>
  <c r="C229" i="3"/>
  <c r="Z227" i="3"/>
  <c r="W227" i="3"/>
  <c r="X227" i="3" s="1"/>
  <c r="T227" i="3"/>
  <c r="U227" i="3" s="1"/>
  <c r="R227" i="3"/>
  <c r="Q227" i="3"/>
  <c r="L227" i="3"/>
  <c r="K227" i="3"/>
  <c r="H227" i="3"/>
  <c r="I227" i="3" s="1"/>
  <c r="F227" i="3"/>
  <c r="E227" i="3"/>
  <c r="B227" i="3"/>
  <c r="C227" i="3" s="1"/>
  <c r="AC226" i="3"/>
  <c r="AD226" i="3" s="1"/>
  <c r="AA226" i="3"/>
  <c r="X226" i="3"/>
  <c r="W226" i="3"/>
  <c r="U226" i="3"/>
  <c r="R226" i="3"/>
  <c r="O226" i="3"/>
  <c r="N226" i="3"/>
  <c r="L226" i="3"/>
  <c r="H226" i="3"/>
  <c r="I226" i="3" s="1"/>
  <c r="F226" i="3"/>
  <c r="C226" i="3"/>
  <c r="AC225" i="3"/>
  <c r="AA225" i="3"/>
  <c r="W225" i="3"/>
  <c r="U225" i="3"/>
  <c r="R225" i="3"/>
  <c r="O225" i="3"/>
  <c r="N225" i="3"/>
  <c r="L225" i="3"/>
  <c r="I225" i="3"/>
  <c r="H225" i="3"/>
  <c r="F225" i="3"/>
  <c r="C225" i="3"/>
  <c r="AD224" i="3"/>
  <c r="AC224" i="3"/>
  <c r="AA224" i="3"/>
  <c r="W224" i="3"/>
  <c r="X224" i="3" s="1"/>
  <c r="U224" i="3"/>
  <c r="R224" i="3"/>
  <c r="O224" i="3"/>
  <c r="N224" i="3"/>
  <c r="L224" i="3"/>
  <c r="I224" i="3"/>
  <c r="H224" i="3"/>
  <c r="F224" i="3"/>
  <c r="C224" i="3"/>
  <c r="AC223" i="3"/>
  <c r="AD223" i="3" s="1"/>
  <c r="AA223" i="3"/>
  <c r="W223" i="3"/>
  <c r="X223" i="3" s="1"/>
  <c r="U223" i="3"/>
  <c r="R223" i="3"/>
  <c r="O223" i="3"/>
  <c r="N223" i="3"/>
  <c r="L223" i="3"/>
  <c r="I223" i="3"/>
  <c r="H223" i="3"/>
  <c r="F223" i="3"/>
  <c r="C223" i="3"/>
  <c r="AC222" i="3"/>
  <c r="AD222" i="3" s="1"/>
  <c r="AA222" i="3"/>
  <c r="X222" i="3"/>
  <c r="W222" i="3"/>
  <c r="U222" i="3"/>
  <c r="R222" i="3"/>
  <c r="O222" i="3"/>
  <c r="N222" i="3"/>
  <c r="L222" i="3"/>
  <c r="H222" i="3"/>
  <c r="I222" i="3" s="1"/>
  <c r="F222" i="3"/>
  <c r="C222" i="3"/>
  <c r="AD221" i="3"/>
  <c r="AC221" i="3"/>
  <c r="AA221" i="3"/>
  <c r="W221" i="3"/>
  <c r="U221" i="3"/>
  <c r="R221" i="3"/>
  <c r="O221" i="3"/>
  <c r="N221" i="3"/>
  <c r="L221" i="3"/>
  <c r="I221" i="3"/>
  <c r="H221" i="3"/>
  <c r="F221" i="3"/>
  <c r="C221" i="3"/>
  <c r="AC220" i="3"/>
  <c r="AD220" i="3" s="1"/>
  <c r="AA220" i="3"/>
  <c r="X220" i="3"/>
  <c r="W220" i="3"/>
  <c r="U220" i="3"/>
  <c r="R220" i="3"/>
  <c r="N220" i="3"/>
  <c r="O220" i="3" s="1"/>
  <c r="L220" i="3"/>
  <c r="I220" i="3"/>
  <c r="H220" i="3"/>
  <c r="F220" i="3"/>
  <c r="C220" i="3"/>
  <c r="AC219" i="3"/>
  <c r="AA219" i="3"/>
  <c r="X219" i="3"/>
  <c r="W219" i="3"/>
  <c r="U219" i="3"/>
  <c r="R219" i="3"/>
  <c r="O219" i="3"/>
  <c r="N219" i="3"/>
  <c r="L219" i="3"/>
  <c r="H219" i="3"/>
  <c r="I219" i="3" s="1"/>
  <c r="F219" i="3"/>
  <c r="C219" i="3"/>
  <c r="Z218" i="3"/>
  <c r="AA218" i="3" s="1"/>
  <c r="T218" i="3"/>
  <c r="U218" i="3" s="1"/>
  <c r="R218" i="3"/>
  <c r="Q218" i="3"/>
  <c r="K218" i="3"/>
  <c r="L218" i="3" s="1"/>
  <c r="F218" i="3"/>
  <c r="E218" i="3"/>
  <c r="B218" i="3"/>
  <c r="AC217" i="3"/>
  <c r="AA217" i="3"/>
  <c r="W217" i="3"/>
  <c r="X217" i="3" s="1"/>
  <c r="U217" i="3"/>
  <c r="R217" i="3"/>
  <c r="O217" i="3"/>
  <c r="N217" i="3"/>
  <c r="L217" i="3"/>
  <c r="I217" i="3"/>
  <c r="H217" i="3"/>
  <c r="F217" i="3"/>
  <c r="C217" i="3"/>
  <c r="AC216" i="3"/>
  <c r="AD216" i="3" s="1"/>
  <c r="AA216" i="3"/>
  <c r="W216" i="3"/>
  <c r="U216" i="3"/>
  <c r="R216" i="3"/>
  <c r="O216" i="3"/>
  <c r="N216" i="3"/>
  <c r="L216" i="3"/>
  <c r="I216" i="3"/>
  <c r="H216" i="3"/>
  <c r="F216" i="3"/>
  <c r="C216" i="3"/>
  <c r="AC215" i="3"/>
  <c r="AD215" i="3" s="1"/>
  <c r="AA215" i="3"/>
  <c r="X215" i="3"/>
  <c r="W215" i="3"/>
  <c r="U215" i="3"/>
  <c r="R215" i="3"/>
  <c r="O215" i="3"/>
  <c r="N215" i="3"/>
  <c r="L215" i="3"/>
  <c r="H215" i="3"/>
  <c r="I215" i="3" s="1"/>
  <c r="F215" i="3"/>
  <c r="C215" i="3"/>
  <c r="AC214" i="3"/>
  <c r="AA214" i="3"/>
  <c r="W214" i="3"/>
  <c r="U214" i="3"/>
  <c r="R214" i="3"/>
  <c r="O214" i="3"/>
  <c r="N214" i="3"/>
  <c r="L214" i="3"/>
  <c r="I214" i="3"/>
  <c r="H214" i="3"/>
  <c r="F214" i="3"/>
  <c r="C214" i="3"/>
  <c r="AC213" i="3"/>
  <c r="AD213" i="3" s="1"/>
  <c r="AA213" i="3"/>
  <c r="W213" i="3"/>
  <c r="X213" i="3" s="1"/>
  <c r="U213" i="3"/>
  <c r="R213" i="3"/>
  <c r="N213" i="3"/>
  <c r="O213" i="3" s="1"/>
  <c r="L213" i="3"/>
  <c r="I213" i="3"/>
  <c r="H213" i="3"/>
  <c r="F213" i="3"/>
  <c r="C213" i="3"/>
  <c r="AC211" i="3"/>
  <c r="AD211" i="3" s="1"/>
  <c r="AA211" i="3"/>
  <c r="W211" i="3"/>
  <c r="X211" i="3" s="1"/>
  <c r="U211" i="3"/>
  <c r="R211" i="3"/>
  <c r="O211" i="3"/>
  <c r="N211" i="3"/>
  <c r="L211" i="3"/>
  <c r="H211" i="3"/>
  <c r="I211" i="3" s="1"/>
  <c r="F211" i="3"/>
  <c r="C211" i="3"/>
  <c r="AC209" i="3"/>
  <c r="AD209" i="3" s="1"/>
  <c r="Z209" i="3"/>
  <c r="AA209" i="3" s="1"/>
  <c r="T209" i="3"/>
  <c r="R209" i="3"/>
  <c r="Q209" i="3"/>
  <c r="K209" i="3"/>
  <c r="I209" i="3"/>
  <c r="H209" i="3"/>
  <c r="F209" i="3"/>
  <c r="E209" i="3"/>
  <c r="B209" i="3"/>
  <c r="C209" i="3" s="1"/>
  <c r="AC208" i="3"/>
  <c r="AA208" i="3"/>
  <c r="X208" i="3"/>
  <c r="W208" i="3"/>
  <c r="U208" i="3"/>
  <c r="R208" i="3"/>
  <c r="N208" i="3"/>
  <c r="O208" i="3" s="1"/>
  <c r="L208" i="3"/>
  <c r="H208" i="3"/>
  <c r="I208" i="3" s="1"/>
  <c r="F208" i="3"/>
  <c r="C208" i="3"/>
  <c r="AC207" i="3"/>
  <c r="AA207" i="3"/>
  <c r="W207" i="3"/>
  <c r="U207" i="3"/>
  <c r="R207" i="3"/>
  <c r="O207" i="3"/>
  <c r="N207" i="3"/>
  <c r="L207" i="3"/>
  <c r="H207" i="3"/>
  <c r="I207" i="3" s="1"/>
  <c r="F207" i="3"/>
  <c r="C207" i="3"/>
  <c r="AD206" i="3"/>
  <c r="AC206" i="3"/>
  <c r="AA206" i="3"/>
  <c r="W206" i="3"/>
  <c r="U206" i="3"/>
  <c r="R206" i="3"/>
  <c r="O206" i="3"/>
  <c r="N206" i="3"/>
  <c r="L206" i="3"/>
  <c r="H206" i="3"/>
  <c r="I206" i="3" s="1"/>
  <c r="F206" i="3"/>
  <c r="C206" i="3"/>
  <c r="AC205" i="3"/>
  <c r="AA205" i="3"/>
  <c r="X205" i="3"/>
  <c r="W205" i="3"/>
  <c r="U205" i="3"/>
  <c r="R205" i="3"/>
  <c r="N205" i="3"/>
  <c r="O205" i="3" s="1"/>
  <c r="L205" i="3"/>
  <c r="I205" i="3"/>
  <c r="H205" i="3"/>
  <c r="F205" i="3"/>
  <c r="C205" i="3"/>
  <c r="AC204" i="3"/>
  <c r="AA204" i="3"/>
  <c r="W204" i="3"/>
  <c r="X204" i="3" s="1"/>
  <c r="U204" i="3"/>
  <c r="R204" i="3"/>
  <c r="O204" i="3"/>
  <c r="N204" i="3"/>
  <c r="L204" i="3"/>
  <c r="I204" i="3"/>
  <c r="H204" i="3"/>
  <c r="F204" i="3"/>
  <c r="C204" i="3"/>
  <c r="AC203" i="3"/>
  <c r="AD203" i="3" s="1"/>
  <c r="AA203" i="3"/>
  <c r="W203" i="3"/>
  <c r="U203" i="3"/>
  <c r="R203" i="3"/>
  <c r="N203" i="3"/>
  <c r="O203" i="3" s="1"/>
  <c r="L203" i="3"/>
  <c r="I203" i="3"/>
  <c r="H203" i="3"/>
  <c r="F203" i="3"/>
  <c r="C203" i="3"/>
  <c r="AC202" i="3"/>
  <c r="AD202" i="3" s="1"/>
  <c r="AA202" i="3"/>
  <c r="X202" i="3"/>
  <c r="W202" i="3"/>
  <c r="U202" i="3"/>
  <c r="R202" i="3"/>
  <c r="O202" i="3"/>
  <c r="N202" i="3"/>
  <c r="L202" i="3"/>
  <c r="H202" i="3"/>
  <c r="I202" i="3" s="1"/>
  <c r="F202" i="3"/>
  <c r="C202" i="3"/>
  <c r="AC201" i="3"/>
  <c r="AD201" i="3" s="1"/>
  <c r="AA201" i="3"/>
  <c r="W201" i="3"/>
  <c r="X201" i="3" s="1"/>
  <c r="U201" i="3"/>
  <c r="R201" i="3"/>
  <c r="O201" i="3"/>
  <c r="N201" i="3"/>
  <c r="L201" i="3"/>
  <c r="H201" i="3"/>
  <c r="I201" i="3" s="1"/>
  <c r="F201" i="3"/>
  <c r="C201" i="3"/>
  <c r="AC197" i="3"/>
  <c r="AD197" i="3" s="1"/>
  <c r="AA197" i="3"/>
  <c r="Z197" i="3"/>
  <c r="T197" i="3"/>
  <c r="U197" i="3" s="1"/>
  <c r="Q197" i="3"/>
  <c r="O197" i="3"/>
  <c r="N197" i="3"/>
  <c r="L197" i="3"/>
  <c r="K197" i="3"/>
  <c r="E197" i="3"/>
  <c r="F197" i="3" s="1"/>
  <c r="B197" i="3"/>
  <c r="H197" i="3" s="1"/>
  <c r="I197" i="3" s="1"/>
  <c r="AD196" i="3"/>
  <c r="Z196" i="3"/>
  <c r="AA196" i="3" s="1"/>
  <c r="T196" i="3"/>
  <c r="W196" i="3" s="1"/>
  <c r="X196" i="3" s="1"/>
  <c r="R196" i="3"/>
  <c r="Q196" i="3"/>
  <c r="AC196" i="3" s="1"/>
  <c r="K196" i="3"/>
  <c r="L196" i="3" s="1"/>
  <c r="H196" i="3"/>
  <c r="I196" i="3" s="1"/>
  <c r="F196" i="3"/>
  <c r="E196" i="3"/>
  <c r="B196" i="3"/>
  <c r="C196" i="3" s="1"/>
  <c r="AC195" i="3"/>
  <c r="AD195" i="3" s="1"/>
  <c r="AA195" i="3"/>
  <c r="X195" i="3"/>
  <c r="W195" i="3"/>
  <c r="U195" i="3"/>
  <c r="R195" i="3"/>
  <c r="O195" i="3"/>
  <c r="N195" i="3"/>
  <c r="L195" i="3"/>
  <c r="H195" i="3"/>
  <c r="I195" i="3" s="1"/>
  <c r="F195" i="3"/>
  <c r="C195" i="3"/>
  <c r="AC194" i="3"/>
  <c r="AD194" i="3" s="1"/>
  <c r="AA194" i="3"/>
  <c r="X194" i="3"/>
  <c r="W194" i="3"/>
  <c r="U194" i="3"/>
  <c r="R194" i="3"/>
  <c r="O194" i="3"/>
  <c r="N194" i="3"/>
  <c r="L194" i="3"/>
  <c r="H194" i="3"/>
  <c r="I194" i="3" s="1"/>
  <c r="F194" i="3"/>
  <c r="C194" i="3"/>
  <c r="Z193" i="3"/>
  <c r="AA193" i="3" s="1"/>
  <c r="T193" i="3"/>
  <c r="W193" i="3" s="1"/>
  <c r="X193" i="3" s="1"/>
  <c r="R193" i="3"/>
  <c r="Q193" i="3"/>
  <c r="AC193" i="3" s="1"/>
  <c r="AD193" i="3" s="1"/>
  <c r="K193" i="3"/>
  <c r="L193" i="3" s="1"/>
  <c r="H193" i="3"/>
  <c r="I193" i="3" s="1"/>
  <c r="F193" i="3"/>
  <c r="E193" i="3"/>
  <c r="B193" i="3"/>
  <c r="C193" i="3" s="1"/>
  <c r="AC192" i="3"/>
  <c r="AD192" i="3" s="1"/>
  <c r="AA192" i="3"/>
  <c r="X192" i="3"/>
  <c r="W192" i="3"/>
  <c r="U192" i="3"/>
  <c r="R192" i="3"/>
  <c r="O192" i="3"/>
  <c r="N192" i="3"/>
  <c r="L192" i="3"/>
  <c r="I192" i="3"/>
  <c r="H192" i="3"/>
  <c r="F192" i="3"/>
  <c r="C192" i="3"/>
  <c r="AC191" i="3"/>
  <c r="AD191" i="3" s="1"/>
  <c r="AA191" i="3"/>
  <c r="W191" i="3"/>
  <c r="X191" i="3" s="1"/>
  <c r="U191" i="3"/>
  <c r="R191" i="3"/>
  <c r="O191" i="3"/>
  <c r="N191" i="3"/>
  <c r="L191" i="3"/>
  <c r="H191" i="3"/>
  <c r="I191" i="3" s="1"/>
  <c r="F191" i="3"/>
  <c r="C191" i="3"/>
  <c r="AD190" i="3"/>
  <c r="AC190" i="3"/>
  <c r="AA190" i="3"/>
  <c r="W190" i="3"/>
  <c r="U190" i="3"/>
  <c r="R190" i="3"/>
  <c r="N190" i="3"/>
  <c r="O190" i="3" s="1"/>
  <c r="L190" i="3"/>
  <c r="H190" i="3"/>
  <c r="I190" i="3" s="1"/>
  <c r="F190" i="3"/>
  <c r="C190" i="3"/>
  <c r="AC189" i="3"/>
  <c r="AD189" i="3" s="1"/>
  <c r="AA189" i="3"/>
  <c r="W189" i="3"/>
  <c r="U189" i="3"/>
  <c r="R189" i="3"/>
  <c r="N189" i="3"/>
  <c r="O189" i="3" s="1"/>
  <c r="L189" i="3"/>
  <c r="I189" i="3"/>
  <c r="H189" i="3"/>
  <c r="F189" i="3"/>
  <c r="C189" i="3"/>
  <c r="AC188" i="3"/>
  <c r="AD188" i="3" s="1"/>
  <c r="AA188" i="3"/>
  <c r="X188" i="3"/>
  <c r="W188" i="3"/>
  <c r="U188" i="3"/>
  <c r="R188" i="3"/>
  <c r="O188" i="3"/>
  <c r="N188" i="3"/>
  <c r="L188" i="3"/>
  <c r="H188" i="3"/>
  <c r="I188" i="3" s="1"/>
  <c r="F188" i="3"/>
  <c r="C188" i="3"/>
  <c r="AC187" i="3"/>
  <c r="AD187" i="3" s="1"/>
  <c r="AA187" i="3"/>
  <c r="X187" i="3"/>
  <c r="W187" i="3"/>
  <c r="U187" i="3"/>
  <c r="R187" i="3"/>
  <c r="O187" i="3"/>
  <c r="N187" i="3"/>
  <c r="L187" i="3"/>
  <c r="H187" i="3"/>
  <c r="I187" i="3" s="1"/>
  <c r="F187" i="3"/>
  <c r="C187" i="3"/>
  <c r="AD186" i="3"/>
  <c r="AC186" i="3"/>
  <c r="AA186" i="3"/>
  <c r="W186" i="3"/>
  <c r="U186" i="3"/>
  <c r="R186" i="3"/>
  <c r="O186" i="3"/>
  <c r="N186" i="3"/>
  <c r="L186" i="3"/>
  <c r="H186" i="3"/>
  <c r="I186" i="3" s="1"/>
  <c r="F186" i="3"/>
  <c r="C186" i="3"/>
  <c r="AD184" i="3"/>
  <c r="AC184" i="3"/>
  <c r="AA184" i="3"/>
  <c r="W184" i="3"/>
  <c r="U184" i="3"/>
  <c r="R184" i="3"/>
  <c r="N184" i="3"/>
  <c r="O184" i="3" s="1"/>
  <c r="L184" i="3"/>
  <c r="I184" i="3"/>
  <c r="H184" i="3"/>
  <c r="F184" i="3"/>
  <c r="C184" i="3"/>
  <c r="AC183" i="3"/>
  <c r="AD183" i="3" s="1"/>
  <c r="AA183" i="3"/>
  <c r="X183" i="3"/>
  <c r="W183" i="3"/>
  <c r="U183" i="3"/>
  <c r="R183" i="3"/>
  <c r="O183" i="3"/>
  <c r="N183" i="3"/>
  <c r="L183" i="3"/>
  <c r="H183" i="3"/>
  <c r="I183" i="3" s="1"/>
  <c r="F183" i="3"/>
  <c r="C183" i="3"/>
  <c r="Z182" i="3"/>
  <c r="AA182" i="3" s="1"/>
  <c r="X182" i="3"/>
  <c r="W182" i="3"/>
  <c r="U182" i="3"/>
  <c r="T182" i="3"/>
  <c r="Q182" i="3"/>
  <c r="R182" i="3" s="1"/>
  <c r="K182" i="3"/>
  <c r="L182" i="3" s="1"/>
  <c r="E182" i="3"/>
  <c r="F182" i="3" s="1"/>
  <c r="B182" i="3"/>
  <c r="AC181" i="3"/>
  <c r="AD181" i="3" s="1"/>
  <c r="AA181" i="3"/>
  <c r="W181" i="3"/>
  <c r="U181" i="3"/>
  <c r="R181" i="3"/>
  <c r="N181" i="3"/>
  <c r="O181" i="3" s="1"/>
  <c r="L181" i="3"/>
  <c r="I181" i="3"/>
  <c r="H181" i="3"/>
  <c r="F181" i="3"/>
  <c r="C181" i="3"/>
  <c r="AC180" i="3"/>
  <c r="AD180" i="3" s="1"/>
  <c r="AA180" i="3"/>
  <c r="X180" i="3"/>
  <c r="W180" i="3"/>
  <c r="U180" i="3"/>
  <c r="R180" i="3"/>
  <c r="O180" i="3"/>
  <c r="N180" i="3"/>
  <c r="L180" i="3"/>
  <c r="H180" i="3"/>
  <c r="I180" i="3" s="1"/>
  <c r="F180" i="3"/>
  <c r="C180" i="3"/>
  <c r="AC179" i="3"/>
  <c r="AD179" i="3" s="1"/>
  <c r="AA179" i="3"/>
  <c r="X179" i="3"/>
  <c r="W179" i="3"/>
  <c r="U179" i="3"/>
  <c r="R179" i="3"/>
  <c r="O179" i="3"/>
  <c r="N179" i="3"/>
  <c r="L179" i="3"/>
  <c r="H179" i="3"/>
  <c r="I179" i="3" s="1"/>
  <c r="F179" i="3"/>
  <c r="C179" i="3"/>
  <c r="AD178" i="3"/>
  <c r="AC178" i="3"/>
  <c r="AA178" i="3"/>
  <c r="W178" i="3"/>
  <c r="U178" i="3"/>
  <c r="R178" i="3"/>
  <c r="O178" i="3"/>
  <c r="N178" i="3"/>
  <c r="L178" i="3"/>
  <c r="H178" i="3"/>
  <c r="I178" i="3" s="1"/>
  <c r="F178" i="3"/>
  <c r="C178" i="3"/>
  <c r="AC177" i="3"/>
  <c r="AD177" i="3" s="1"/>
  <c r="AA177" i="3"/>
  <c r="W177" i="3"/>
  <c r="U177" i="3"/>
  <c r="R177" i="3"/>
  <c r="N177" i="3"/>
  <c r="O177" i="3" s="1"/>
  <c r="L177" i="3"/>
  <c r="I177" i="3"/>
  <c r="H177" i="3"/>
  <c r="F177" i="3"/>
  <c r="C177" i="3"/>
  <c r="AC175" i="3"/>
  <c r="AD175" i="3" s="1"/>
  <c r="AA175" i="3"/>
  <c r="X175" i="3"/>
  <c r="W175" i="3"/>
  <c r="U175" i="3"/>
  <c r="R175" i="3"/>
  <c r="O175" i="3"/>
  <c r="N175" i="3"/>
  <c r="L175" i="3"/>
  <c r="H175" i="3"/>
  <c r="I175" i="3" s="1"/>
  <c r="F175" i="3"/>
  <c r="C175" i="3"/>
  <c r="Z172" i="3"/>
  <c r="K172" i="3"/>
  <c r="K198" i="3" s="1"/>
  <c r="L198" i="3" s="1"/>
  <c r="B172" i="3"/>
  <c r="AA171" i="3"/>
  <c r="Z171" i="3"/>
  <c r="T171" i="3"/>
  <c r="U171" i="3" s="1"/>
  <c r="Q171" i="3"/>
  <c r="O171" i="3"/>
  <c r="K171" i="3"/>
  <c r="L171" i="3" s="1"/>
  <c r="F171" i="3"/>
  <c r="E171" i="3"/>
  <c r="E172" i="3" s="1"/>
  <c r="C171" i="3"/>
  <c r="B171" i="3"/>
  <c r="N171" i="3" s="1"/>
  <c r="Z170" i="3"/>
  <c r="AA170" i="3" s="1"/>
  <c r="X170" i="3"/>
  <c r="W170" i="3"/>
  <c r="U170" i="3"/>
  <c r="T170" i="3"/>
  <c r="Q170" i="3"/>
  <c r="R170" i="3" s="1"/>
  <c r="K170" i="3"/>
  <c r="N170" i="3" s="1"/>
  <c r="O170" i="3" s="1"/>
  <c r="E170" i="3"/>
  <c r="F170" i="3" s="1"/>
  <c r="B170" i="3"/>
  <c r="AD169" i="3"/>
  <c r="AC169" i="3"/>
  <c r="AA169" i="3"/>
  <c r="W169" i="3"/>
  <c r="U169" i="3"/>
  <c r="R169" i="3"/>
  <c r="O169" i="3"/>
  <c r="N169" i="3"/>
  <c r="L169" i="3"/>
  <c r="I169" i="3"/>
  <c r="H169" i="3"/>
  <c r="F169" i="3"/>
  <c r="C169" i="3"/>
  <c r="AC168" i="3"/>
  <c r="AD168" i="3" s="1"/>
  <c r="AA168" i="3"/>
  <c r="W168" i="3"/>
  <c r="X168" i="3" s="1"/>
  <c r="U168" i="3"/>
  <c r="R168" i="3"/>
  <c r="O168" i="3"/>
  <c r="N168" i="3"/>
  <c r="L168" i="3"/>
  <c r="I168" i="3"/>
  <c r="H168" i="3"/>
  <c r="F168" i="3"/>
  <c r="C168" i="3"/>
  <c r="AC167" i="3"/>
  <c r="AD167" i="3" s="1"/>
  <c r="AA167" i="3"/>
  <c r="W167" i="3"/>
  <c r="X167" i="3" s="1"/>
  <c r="U167" i="3"/>
  <c r="R167" i="3"/>
  <c r="O167" i="3"/>
  <c r="N167" i="3"/>
  <c r="L167" i="3"/>
  <c r="H167" i="3"/>
  <c r="I167" i="3" s="1"/>
  <c r="F167" i="3"/>
  <c r="C167" i="3"/>
  <c r="Z166" i="3"/>
  <c r="AA166" i="3" s="1"/>
  <c r="T166" i="3"/>
  <c r="R166" i="3"/>
  <c r="Q166" i="3"/>
  <c r="AC166" i="3" s="1"/>
  <c r="AD166" i="3" s="1"/>
  <c r="K166" i="3"/>
  <c r="L166" i="3" s="1"/>
  <c r="I166" i="3"/>
  <c r="H166" i="3"/>
  <c r="F166" i="3"/>
  <c r="E166" i="3"/>
  <c r="B166" i="3"/>
  <c r="C166" i="3" s="1"/>
  <c r="AC165" i="3"/>
  <c r="AD165" i="3" s="1"/>
  <c r="AA165" i="3"/>
  <c r="X165" i="3"/>
  <c r="W165" i="3"/>
  <c r="U165" i="3"/>
  <c r="R165" i="3"/>
  <c r="O165" i="3"/>
  <c r="N165" i="3"/>
  <c r="L165" i="3"/>
  <c r="H165" i="3"/>
  <c r="I165" i="3" s="1"/>
  <c r="F165" i="3"/>
  <c r="C165" i="3"/>
  <c r="AC164" i="3"/>
  <c r="AD164" i="3" s="1"/>
  <c r="AA164" i="3"/>
  <c r="X164" i="3"/>
  <c r="W164" i="3"/>
  <c r="U164" i="3"/>
  <c r="R164" i="3"/>
  <c r="O164" i="3"/>
  <c r="N164" i="3"/>
  <c r="L164" i="3"/>
  <c r="H164" i="3"/>
  <c r="I164" i="3" s="1"/>
  <c r="F164" i="3"/>
  <c r="C164" i="3"/>
  <c r="AD163" i="3"/>
  <c r="AC163" i="3"/>
  <c r="AA163" i="3"/>
  <c r="W163" i="3"/>
  <c r="U163" i="3"/>
  <c r="R163" i="3"/>
  <c r="O163" i="3"/>
  <c r="N163" i="3"/>
  <c r="L163" i="3"/>
  <c r="H163" i="3"/>
  <c r="I163" i="3" s="1"/>
  <c r="F163" i="3"/>
  <c r="C163" i="3"/>
  <c r="AD162" i="3"/>
  <c r="AC162" i="3"/>
  <c r="AA162" i="3"/>
  <c r="W162" i="3"/>
  <c r="U162" i="3"/>
  <c r="R162" i="3"/>
  <c r="O162" i="3"/>
  <c r="N162" i="3"/>
  <c r="L162" i="3"/>
  <c r="I162" i="3"/>
  <c r="H162" i="3"/>
  <c r="F162" i="3"/>
  <c r="C162" i="3"/>
  <c r="AC161" i="3"/>
  <c r="AD161" i="3" s="1"/>
  <c r="AA161" i="3"/>
  <c r="W161" i="3"/>
  <c r="X161" i="3" s="1"/>
  <c r="U161" i="3"/>
  <c r="R161" i="3"/>
  <c r="O161" i="3"/>
  <c r="N161" i="3"/>
  <c r="L161" i="3"/>
  <c r="I161" i="3"/>
  <c r="H161" i="3"/>
  <c r="F161" i="3"/>
  <c r="C161" i="3"/>
  <c r="AC160" i="3"/>
  <c r="AD160" i="3" s="1"/>
  <c r="AA160" i="3"/>
  <c r="X160" i="3"/>
  <c r="W160" i="3"/>
  <c r="U160" i="3"/>
  <c r="R160" i="3"/>
  <c r="O160" i="3"/>
  <c r="N160" i="3"/>
  <c r="L160" i="3"/>
  <c r="H160" i="3"/>
  <c r="I160" i="3" s="1"/>
  <c r="F160" i="3"/>
  <c r="C160" i="3"/>
  <c r="Z158" i="3"/>
  <c r="AA158" i="3" s="1"/>
  <c r="T158" i="3"/>
  <c r="R158" i="3"/>
  <c r="Q158" i="3"/>
  <c r="AC158" i="3" s="1"/>
  <c r="AD158" i="3" s="1"/>
  <c r="K158" i="3"/>
  <c r="L158" i="3" s="1"/>
  <c r="I158" i="3"/>
  <c r="H158" i="3"/>
  <c r="F158" i="3"/>
  <c r="E158" i="3"/>
  <c r="B158" i="3"/>
  <c r="C158" i="3" s="1"/>
  <c r="AC157" i="3"/>
  <c r="AD157" i="3" s="1"/>
  <c r="AA157" i="3"/>
  <c r="X157" i="3"/>
  <c r="W157" i="3"/>
  <c r="U157" i="3"/>
  <c r="R157" i="3"/>
  <c r="O157" i="3"/>
  <c r="N157" i="3"/>
  <c r="L157" i="3"/>
  <c r="H157" i="3"/>
  <c r="I157" i="3" s="1"/>
  <c r="F157" i="3"/>
  <c r="C157" i="3"/>
  <c r="AC156" i="3"/>
  <c r="AD156" i="3" s="1"/>
  <c r="AA156" i="3"/>
  <c r="X156" i="3"/>
  <c r="W156" i="3"/>
  <c r="U156" i="3"/>
  <c r="R156" i="3"/>
  <c r="O156" i="3"/>
  <c r="N156" i="3"/>
  <c r="L156" i="3"/>
  <c r="H156" i="3"/>
  <c r="I156" i="3" s="1"/>
  <c r="F156" i="3"/>
  <c r="C156" i="3"/>
  <c r="AD155" i="3"/>
  <c r="AC155" i="3"/>
  <c r="AA155" i="3"/>
  <c r="W155" i="3"/>
  <c r="U155" i="3"/>
  <c r="R155" i="3"/>
  <c r="O155" i="3"/>
  <c r="N155" i="3"/>
  <c r="L155" i="3"/>
  <c r="H155" i="3"/>
  <c r="I155" i="3" s="1"/>
  <c r="F155" i="3"/>
  <c r="C155" i="3"/>
  <c r="AD154" i="3"/>
  <c r="AC154" i="3"/>
  <c r="AA154" i="3"/>
  <c r="W154" i="3"/>
  <c r="U154" i="3"/>
  <c r="R154" i="3"/>
  <c r="O154" i="3"/>
  <c r="N154" i="3"/>
  <c r="L154" i="3"/>
  <c r="I154" i="3"/>
  <c r="H154" i="3"/>
  <c r="F154" i="3"/>
  <c r="C154" i="3"/>
  <c r="AC153" i="3"/>
  <c r="AD153" i="3" s="1"/>
  <c r="AA153" i="3"/>
  <c r="W153" i="3"/>
  <c r="X153" i="3" s="1"/>
  <c r="U153" i="3"/>
  <c r="R153" i="3"/>
  <c r="O153" i="3"/>
  <c r="N153" i="3"/>
  <c r="L153" i="3"/>
  <c r="I153" i="3"/>
  <c r="H153" i="3"/>
  <c r="F153" i="3"/>
  <c r="C153" i="3"/>
  <c r="AC151" i="3"/>
  <c r="AD151" i="3" s="1"/>
  <c r="AA151" i="3"/>
  <c r="W151" i="3"/>
  <c r="X151" i="3" s="1"/>
  <c r="U151" i="3"/>
  <c r="R151" i="3"/>
  <c r="O151" i="3"/>
  <c r="N151" i="3"/>
  <c r="L151" i="3"/>
  <c r="H151" i="3"/>
  <c r="I151" i="3" s="1"/>
  <c r="F151" i="3"/>
  <c r="C151" i="3"/>
  <c r="Z149" i="3"/>
  <c r="AA149" i="3" s="1"/>
  <c r="T149" i="3"/>
  <c r="R149" i="3"/>
  <c r="Q149" i="3"/>
  <c r="AC149" i="3" s="1"/>
  <c r="AD149" i="3" s="1"/>
  <c r="K149" i="3"/>
  <c r="L149" i="3" s="1"/>
  <c r="I149" i="3"/>
  <c r="H149" i="3"/>
  <c r="F149" i="3"/>
  <c r="E149" i="3"/>
  <c r="B149" i="3"/>
  <c r="C149" i="3" s="1"/>
  <c r="AC148" i="3"/>
  <c r="AD148" i="3" s="1"/>
  <c r="Z148" i="3"/>
  <c r="AA148" i="3" s="1"/>
  <c r="T148" i="3"/>
  <c r="U148" i="3" s="1"/>
  <c r="Q148" i="3"/>
  <c r="N148" i="3"/>
  <c r="O148" i="3" s="1"/>
  <c r="L148" i="3"/>
  <c r="K148" i="3"/>
  <c r="E148" i="3"/>
  <c r="F148" i="3" s="1"/>
  <c r="C148" i="3"/>
  <c r="B148" i="3"/>
  <c r="AD147" i="3"/>
  <c r="AC147" i="3"/>
  <c r="AA147" i="3"/>
  <c r="W147" i="3"/>
  <c r="U147" i="3"/>
  <c r="R147" i="3"/>
  <c r="O147" i="3"/>
  <c r="N147" i="3"/>
  <c r="L147" i="3"/>
  <c r="H147" i="3"/>
  <c r="I147" i="3" s="1"/>
  <c r="F147" i="3"/>
  <c r="C147" i="3"/>
  <c r="AC146" i="3"/>
  <c r="AD146" i="3" s="1"/>
  <c r="AA146" i="3"/>
  <c r="W146" i="3"/>
  <c r="U146" i="3"/>
  <c r="R146" i="3"/>
  <c r="O146" i="3"/>
  <c r="N146" i="3"/>
  <c r="L146" i="3"/>
  <c r="I146" i="3"/>
  <c r="H146" i="3"/>
  <c r="F146" i="3"/>
  <c r="C146" i="3"/>
  <c r="AC145" i="3"/>
  <c r="AD145" i="3" s="1"/>
  <c r="AA145" i="3"/>
  <c r="W145" i="3"/>
  <c r="X145" i="3" s="1"/>
  <c r="U145" i="3"/>
  <c r="R145" i="3"/>
  <c r="O145" i="3"/>
  <c r="N145" i="3"/>
  <c r="L145" i="3"/>
  <c r="I145" i="3"/>
  <c r="H145" i="3"/>
  <c r="F145" i="3"/>
  <c r="C145" i="3"/>
  <c r="AC144" i="3"/>
  <c r="AD144" i="3" s="1"/>
  <c r="AA144" i="3"/>
  <c r="X144" i="3"/>
  <c r="W144" i="3"/>
  <c r="U144" i="3"/>
  <c r="R144" i="3"/>
  <c r="O144" i="3"/>
  <c r="N144" i="3"/>
  <c r="L144" i="3"/>
  <c r="H144" i="3"/>
  <c r="I144" i="3" s="1"/>
  <c r="F144" i="3"/>
  <c r="C144" i="3"/>
  <c r="AD143" i="3"/>
  <c r="AC143" i="3"/>
  <c r="AA143" i="3"/>
  <c r="W143" i="3"/>
  <c r="U143" i="3"/>
  <c r="R143" i="3"/>
  <c r="O143" i="3"/>
  <c r="N143" i="3"/>
  <c r="L143" i="3"/>
  <c r="H143" i="3"/>
  <c r="I143" i="3" s="1"/>
  <c r="F143" i="3"/>
  <c r="C143" i="3"/>
  <c r="AA141" i="3"/>
  <c r="Z141" i="3"/>
  <c r="T141" i="3"/>
  <c r="U141" i="3" s="1"/>
  <c r="Q141" i="3"/>
  <c r="O141" i="3"/>
  <c r="K141" i="3"/>
  <c r="L141" i="3" s="1"/>
  <c r="F141" i="3"/>
  <c r="E141" i="3"/>
  <c r="H141" i="3" s="1"/>
  <c r="I141" i="3" s="1"/>
  <c r="C141" i="3"/>
  <c r="B141" i="3"/>
  <c r="N141" i="3" s="1"/>
  <c r="AC140" i="3"/>
  <c r="AD140" i="3" s="1"/>
  <c r="AA140" i="3"/>
  <c r="X140" i="3"/>
  <c r="W140" i="3"/>
  <c r="U140" i="3"/>
  <c r="R140" i="3"/>
  <c r="O140" i="3"/>
  <c r="N140" i="3"/>
  <c r="L140" i="3"/>
  <c r="H140" i="3"/>
  <c r="I140" i="3" s="1"/>
  <c r="F140" i="3"/>
  <c r="C140" i="3"/>
  <c r="AD139" i="3"/>
  <c r="AC139" i="3"/>
  <c r="AA139" i="3"/>
  <c r="W139" i="3"/>
  <c r="U139" i="3"/>
  <c r="R139" i="3"/>
  <c r="O139" i="3"/>
  <c r="N139" i="3"/>
  <c r="L139" i="3"/>
  <c r="H139" i="3"/>
  <c r="I139" i="3" s="1"/>
  <c r="F139" i="3"/>
  <c r="C139" i="3"/>
  <c r="AC138" i="3"/>
  <c r="AD138" i="3" s="1"/>
  <c r="AA138" i="3"/>
  <c r="W138" i="3"/>
  <c r="U138" i="3"/>
  <c r="R138" i="3"/>
  <c r="N138" i="3"/>
  <c r="O138" i="3" s="1"/>
  <c r="L138" i="3"/>
  <c r="I138" i="3"/>
  <c r="H138" i="3"/>
  <c r="F138" i="3"/>
  <c r="C138" i="3"/>
  <c r="AC137" i="3"/>
  <c r="AD137" i="3" s="1"/>
  <c r="AA137" i="3"/>
  <c r="X137" i="3"/>
  <c r="W137" i="3"/>
  <c r="U137" i="3"/>
  <c r="R137" i="3"/>
  <c r="O137" i="3"/>
  <c r="N137" i="3"/>
  <c r="L137" i="3"/>
  <c r="H137" i="3"/>
  <c r="I137" i="3" s="1"/>
  <c r="F137" i="3"/>
  <c r="C137" i="3"/>
  <c r="AC136" i="3"/>
  <c r="AD136" i="3" s="1"/>
  <c r="AA136" i="3"/>
  <c r="X136" i="3"/>
  <c r="W136" i="3"/>
  <c r="U136" i="3"/>
  <c r="R136" i="3"/>
  <c r="O136" i="3"/>
  <c r="N136" i="3"/>
  <c r="L136" i="3"/>
  <c r="H136" i="3"/>
  <c r="I136" i="3" s="1"/>
  <c r="F136" i="3"/>
  <c r="C136" i="3"/>
  <c r="AD135" i="3"/>
  <c r="AC135" i="3"/>
  <c r="AA135" i="3"/>
  <c r="W135" i="3"/>
  <c r="U135" i="3"/>
  <c r="R135" i="3"/>
  <c r="O135" i="3"/>
  <c r="N135" i="3"/>
  <c r="L135" i="3"/>
  <c r="H135" i="3"/>
  <c r="I135" i="3" s="1"/>
  <c r="F135" i="3"/>
  <c r="C135" i="3"/>
  <c r="AD134" i="3"/>
  <c r="AC134" i="3"/>
  <c r="AA134" i="3"/>
  <c r="W134" i="3"/>
  <c r="U134" i="3"/>
  <c r="R134" i="3"/>
  <c r="N134" i="3"/>
  <c r="O134" i="3" s="1"/>
  <c r="L134" i="3"/>
  <c r="I134" i="3"/>
  <c r="H134" i="3"/>
  <c r="F134" i="3"/>
  <c r="C134" i="3"/>
  <c r="AC133" i="3"/>
  <c r="AD133" i="3" s="1"/>
  <c r="AA133" i="3"/>
  <c r="X133" i="3"/>
  <c r="W133" i="3"/>
  <c r="U133" i="3"/>
  <c r="R133" i="3"/>
  <c r="O133" i="3"/>
  <c r="N133" i="3"/>
  <c r="L133" i="3"/>
  <c r="H133" i="3"/>
  <c r="I133" i="3" s="1"/>
  <c r="F133" i="3"/>
  <c r="C133" i="3"/>
  <c r="AC132" i="3"/>
  <c r="AD132" i="3" s="1"/>
  <c r="AA132" i="3"/>
  <c r="W132" i="3"/>
  <c r="X132" i="3" s="1"/>
  <c r="U132" i="3"/>
  <c r="R132" i="3"/>
  <c r="O132" i="3"/>
  <c r="N132" i="3"/>
  <c r="L132" i="3"/>
  <c r="H132" i="3"/>
  <c r="I132" i="3" s="1"/>
  <c r="F132" i="3"/>
  <c r="C132" i="3"/>
  <c r="AD131" i="3"/>
  <c r="AC131" i="3"/>
  <c r="AA131" i="3"/>
  <c r="W131" i="3"/>
  <c r="U131" i="3"/>
  <c r="R131" i="3"/>
  <c r="N131" i="3"/>
  <c r="O131" i="3" s="1"/>
  <c r="L131" i="3"/>
  <c r="H131" i="3"/>
  <c r="I131" i="3" s="1"/>
  <c r="F131" i="3"/>
  <c r="C131" i="3"/>
  <c r="AD130" i="3"/>
  <c r="AC130" i="3"/>
  <c r="AA130" i="3"/>
  <c r="W130" i="3"/>
  <c r="U130" i="3"/>
  <c r="R130" i="3"/>
  <c r="O130" i="3"/>
  <c r="N130" i="3"/>
  <c r="L130" i="3"/>
  <c r="I130" i="3"/>
  <c r="H130" i="3"/>
  <c r="F130" i="3"/>
  <c r="C130" i="3"/>
  <c r="AC129" i="3"/>
  <c r="AD129" i="3" s="1"/>
  <c r="AA129" i="3"/>
  <c r="W129" i="3"/>
  <c r="X129" i="3" s="1"/>
  <c r="U129" i="3"/>
  <c r="R129" i="3"/>
  <c r="O129" i="3"/>
  <c r="N129" i="3"/>
  <c r="L129" i="3"/>
  <c r="I129" i="3"/>
  <c r="H129" i="3"/>
  <c r="F129" i="3"/>
  <c r="C129" i="3"/>
  <c r="AC127" i="3"/>
  <c r="AD127" i="3" s="1"/>
  <c r="AA127" i="3"/>
  <c r="X127" i="3"/>
  <c r="W127" i="3"/>
  <c r="U127" i="3"/>
  <c r="R127" i="3"/>
  <c r="O127" i="3"/>
  <c r="N127" i="3"/>
  <c r="L127" i="3"/>
  <c r="H127" i="3"/>
  <c r="I127" i="3" s="1"/>
  <c r="F127" i="3"/>
  <c r="C127" i="3"/>
  <c r="Z124" i="3"/>
  <c r="AA124" i="3" s="1"/>
  <c r="T124" i="3"/>
  <c r="R124" i="3"/>
  <c r="Q124" i="3"/>
  <c r="AC124" i="3" s="1"/>
  <c r="AD124" i="3" s="1"/>
  <c r="K124" i="3"/>
  <c r="L124" i="3" s="1"/>
  <c r="I124" i="3"/>
  <c r="H124" i="3"/>
  <c r="F124" i="3"/>
  <c r="E124" i="3"/>
  <c r="B124" i="3"/>
  <c r="C124" i="3" s="1"/>
  <c r="AC123" i="3"/>
  <c r="AD123" i="3" s="1"/>
  <c r="AA123" i="3"/>
  <c r="X123" i="3"/>
  <c r="W123" i="3"/>
  <c r="U123" i="3"/>
  <c r="R123" i="3"/>
  <c r="O123" i="3"/>
  <c r="N123" i="3"/>
  <c r="L123" i="3"/>
  <c r="I123" i="3"/>
  <c r="H123" i="3"/>
  <c r="F123" i="3"/>
  <c r="C123" i="3"/>
  <c r="Z122" i="3"/>
  <c r="AA122" i="3" s="1"/>
  <c r="W122" i="3"/>
  <c r="X122" i="3" s="1"/>
  <c r="U122" i="3"/>
  <c r="T122" i="3"/>
  <c r="Q122" i="3"/>
  <c r="R122" i="3" s="1"/>
  <c r="K122" i="3"/>
  <c r="L122" i="3" s="1"/>
  <c r="E122" i="3"/>
  <c r="F122" i="3" s="1"/>
  <c r="B122" i="3"/>
  <c r="AC121" i="3"/>
  <c r="AD121" i="3" s="1"/>
  <c r="AA121" i="3"/>
  <c r="W121" i="3"/>
  <c r="U121" i="3"/>
  <c r="R121" i="3"/>
  <c r="N121" i="3"/>
  <c r="O121" i="3" s="1"/>
  <c r="L121" i="3"/>
  <c r="I121" i="3"/>
  <c r="H121" i="3"/>
  <c r="F121" i="3"/>
  <c r="C121" i="3"/>
  <c r="AC120" i="3"/>
  <c r="AD120" i="3" s="1"/>
  <c r="AA120" i="3"/>
  <c r="X120" i="3"/>
  <c r="W120" i="3"/>
  <c r="U120" i="3"/>
  <c r="R120" i="3"/>
  <c r="O120" i="3"/>
  <c r="N120" i="3"/>
  <c r="L120" i="3"/>
  <c r="H120" i="3"/>
  <c r="I120" i="3" s="1"/>
  <c r="F120" i="3"/>
  <c r="C120" i="3"/>
  <c r="AC119" i="3"/>
  <c r="AD119" i="3" s="1"/>
  <c r="AA119" i="3"/>
  <c r="X119" i="3"/>
  <c r="W119" i="3"/>
  <c r="U119" i="3"/>
  <c r="R119" i="3"/>
  <c r="O119" i="3"/>
  <c r="N119" i="3"/>
  <c r="L119" i="3"/>
  <c r="H119" i="3"/>
  <c r="I119" i="3" s="1"/>
  <c r="F119" i="3"/>
  <c r="C119" i="3"/>
  <c r="AD118" i="3"/>
  <c r="Z118" i="3"/>
  <c r="AA118" i="3" s="1"/>
  <c r="W118" i="3"/>
  <c r="X118" i="3" s="1"/>
  <c r="U118" i="3"/>
  <c r="T118" i="3"/>
  <c r="R118" i="3"/>
  <c r="Q118" i="3"/>
  <c r="AC118" i="3" s="1"/>
  <c r="K118" i="3"/>
  <c r="L118" i="3" s="1"/>
  <c r="H118" i="3"/>
  <c r="I118" i="3" s="1"/>
  <c r="F118" i="3"/>
  <c r="E118" i="3"/>
  <c r="B118" i="3"/>
  <c r="C118" i="3" s="1"/>
  <c r="AC117" i="3"/>
  <c r="AD117" i="3" s="1"/>
  <c r="AA117" i="3"/>
  <c r="W117" i="3"/>
  <c r="X117" i="3" s="1"/>
  <c r="U117" i="3"/>
  <c r="R117" i="3"/>
  <c r="O117" i="3"/>
  <c r="N117" i="3"/>
  <c r="L117" i="3"/>
  <c r="I117" i="3"/>
  <c r="H117" i="3"/>
  <c r="F117" i="3"/>
  <c r="C117" i="3"/>
  <c r="AC116" i="3"/>
  <c r="AD116" i="3" s="1"/>
  <c r="AA116" i="3"/>
  <c r="X116" i="3"/>
  <c r="W116" i="3"/>
  <c r="U116" i="3"/>
  <c r="R116" i="3"/>
  <c r="O116" i="3"/>
  <c r="N116" i="3"/>
  <c r="L116" i="3"/>
  <c r="H116" i="3"/>
  <c r="I116" i="3" s="1"/>
  <c r="F116" i="3"/>
  <c r="C116" i="3"/>
  <c r="AD115" i="3"/>
  <c r="AC115" i="3"/>
  <c r="AA115" i="3"/>
  <c r="W115" i="3"/>
  <c r="U115" i="3"/>
  <c r="R115" i="3"/>
  <c r="O115" i="3"/>
  <c r="N115" i="3"/>
  <c r="L115" i="3"/>
  <c r="H115" i="3"/>
  <c r="I115" i="3" s="1"/>
  <c r="F115" i="3"/>
  <c r="C115" i="3"/>
  <c r="AD114" i="3"/>
  <c r="AC114" i="3"/>
  <c r="AA114" i="3"/>
  <c r="W114" i="3"/>
  <c r="U114" i="3"/>
  <c r="R114" i="3"/>
  <c r="O114" i="3"/>
  <c r="N114" i="3"/>
  <c r="L114" i="3"/>
  <c r="I114" i="3"/>
  <c r="H114" i="3"/>
  <c r="F114" i="3"/>
  <c r="C114" i="3"/>
  <c r="AC113" i="3"/>
  <c r="AD113" i="3" s="1"/>
  <c r="AA113" i="3"/>
  <c r="W113" i="3"/>
  <c r="X113" i="3" s="1"/>
  <c r="U113" i="3"/>
  <c r="R113" i="3"/>
  <c r="O113" i="3"/>
  <c r="N113" i="3"/>
  <c r="L113" i="3"/>
  <c r="I113" i="3"/>
  <c r="H113" i="3"/>
  <c r="F113" i="3"/>
  <c r="C113" i="3"/>
  <c r="AC112" i="3"/>
  <c r="AD112" i="3" s="1"/>
  <c r="AA112" i="3"/>
  <c r="X112" i="3"/>
  <c r="W112" i="3"/>
  <c r="U112" i="3"/>
  <c r="R112" i="3"/>
  <c r="O112" i="3"/>
  <c r="N112" i="3"/>
  <c r="L112" i="3"/>
  <c r="H112" i="3"/>
  <c r="I112" i="3" s="1"/>
  <c r="F112" i="3"/>
  <c r="C112" i="3"/>
  <c r="AD111" i="3"/>
  <c r="AC111" i="3"/>
  <c r="AA111" i="3"/>
  <c r="X111" i="3"/>
  <c r="W111" i="3"/>
  <c r="U111" i="3"/>
  <c r="R111" i="3"/>
  <c r="N111" i="3"/>
  <c r="O111" i="3" s="1"/>
  <c r="L111" i="3"/>
  <c r="H111" i="3"/>
  <c r="I111" i="3" s="1"/>
  <c r="F111" i="3"/>
  <c r="C111" i="3"/>
  <c r="AC110" i="3"/>
  <c r="AD110" i="3" s="1"/>
  <c r="AA110" i="3"/>
  <c r="W110" i="3"/>
  <c r="U110" i="3"/>
  <c r="R110" i="3"/>
  <c r="O110" i="3"/>
  <c r="N110" i="3"/>
  <c r="L110" i="3"/>
  <c r="I110" i="3"/>
  <c r="H110" i="3"/>
  <c r="F110" i="3"/>
  <c r="C110" i="3"/>
  <c r="AC109" i="3"/>
  <c r="AD109" i="3" s="1"/>
  <c r="AA109" i="3"/>
  <c r="X109" i="3"/>
  <c r="W109" i="3"/>
  <c r="U109" i="3"/>
  <c r="R109" i="3"/>
  <c r="O109" i="3"/>
  <c r="N109" i="3"/>
  <c r="L109" i="3"/>
  <c r="I109" i="3"/>
  <c r="H109" i="3"/>
  <c r="F109" i="3"/>
  <c r="C109" i="3"/>
  <c r="AC108" i="3"/>
  <c r="AD108" i="3" s="1"/>
  <c r="AA108" i="3"/>
  <c r="X108" i="3"/>
  <c r="W108" i="3"/>
  <c r="U108" i="3"/>
  <c r="R108" i="3"/>
  <c r="O108" i="3"/>
  <c r="N108" i="3"/>
  <c r="L108" i="3"/>
  <c r="H108" i="3"/>
  <c r="I108" i="3" s="1"/>
  <c r="F108" i="3"/>
  <c r="C108" i="3"/>
  <c r="AD107" i="3"/>
  <c r="AC107" i="3"/>
  <c r="AA107" i="3"/>
  <c r="X107" i="3"/>
  <c r="W107" i="3"/>
  <c r="U107" i="3"/>
  <c r="R107" i="3"/>
  <c r="N107" i="3"/>
  <c r="O107" i="3" s="1"/>
  <c r="L107" i="3"/>
  <c r="H107" i="3"/>
  <c r="I107" i="3" s="1"/>
  <c r="F107" i="3"/>
  <c r="C107" i="3"/>
  <c r="AC106" i="3"/>
  <c r="AD106" i="3" s="1"/>
  <c r="AA106" i="3"/>
  <c r="W106" i="3"/>
  <c r="U106" i="3"/>
  <c r="R106" i="3"/>
  <c r="O106" i="3"/>
  <c r="N106" i="3"/>
  <c r="L106" i="3"/>
  <c r="I106" i="3"/>
  <c r="H106" i="3"/>
  <c r="F106" i="3"/>
  <c r="C106" i="3"/>
  <c r="AC105" i="3"/>
  <c r="AD105" i="3" s="1"/>
  <c r="AA105" i="3"/>
  <c r="W105" i="3"/>
  <c r="X105" i="3" s="1"/>
  <c r="U105" i="3"/>
  <c r="R105" i="3"/>
  <c r="O105" i="3"/>
  <c r="N105" i="3"/>
  <c r="L105" i="3"/>
  <c r="I105" i="3"/>
  <c r="H105" i="3"/>
  <c r="F105" i="3"/>
  <c r="C105" i="3"/>
  <c r="AC104" i="3"/>
  <c r="AD104" i="3" s="1"/>
  <c r="AA104" i="3"/>
  <c r="X104" i="3"/>
  <c r="W104" i="3"/>
  <c r="U104" i="3"/>
  <c r="R104" i="3"/>
  <c r="O104" i="3"/>
  <c r="N104" i="3"/>
  <c r="L104" i="3"/>
  <c r="H104" i="3"/>
  <c r="I104" i="3" s="1"/>
  <c r="F104" i="3"/>
  <c r="C104" i="3"/>
  <c r="AD103" i="3"/>
  <c r="AC103" i="3"/>
  <c r="AA103" i="3"/>
  <c r="X103" i="3"/>
  <c r="W103" i="3"/>
  <c r="U103" i="3"/>
  <c r="R103" i="3"/>
  <c r="N103" i="3"/>
  <c r="O103" i="3" s="1"/>
  <c r="L103" i="3"/>
  <c r="H103" i="3"/>
  <c r="I103" i="3" s="1"/>
  <c r="F103" i="3"/>
  <c r="C103" i="3"/>
  <c r="AD102" i="3"/>
  <c r="AC102" i="3"/>
  <c r="AA102" i="3"/>
  <c r="W102" i="3"/>
  <c r="U102" i="3"/>
  <c r="R102" i="3"/>
  <c r="O102" i="3"/>
  <c r="N102" i="3"/>
  <c r="L102" i="3"/>
  <c r="I102" i="3"/>
  <c r="H102" i="3"/>
  <c r="F102" i="3"/>
  <c r="C102" i="3"/>
  <c r="AC101" i="3"/>
  <c r="AD101" i="3" s="1"/>
  <c r="AA101" i="3"/>
  <c r="W101" i="3"/>
  <c r="X101" i="3" s="1"/>
  <c r="U101" i="3"/>
  <c r="R101" i="3"/>
  <c r="O101" i="3"/>
  <c r="N101" i="3"/>
  <c r="L101" i="3"/>
  <c r="I101" i="3"/>
  <c r="H101" i="3"/>
  <c r="F101" i="3"/>
  <c r="C101" i="3"/>
  <c r="AC100" i="3"/>
  <c r="AD100" i="3" s="1"/>
  <c r="AA100" i="3"/>
  <c r="W100" i="3"/>
  <c r="X100" i="3" s="1"/>
  <c r="U100" i="3"/>
  <c r="R100" i="3"/>
  <c r="O100" i="3"/>
  <c r="N100" i="3"/>
  <c r="L100" i="3"/>
  <c r="H100" i="3"/>
  <c r="I100" i="3" s="1"/>
  <c r="F100" i="3"/>
  <c r="C100" i="3"/>
  <c r="AD99" i="3"/>
  <c r="AC99" i="3"/>
  <c r="AA99" i="3"/>
  <c r="X99" i="3"/>
  <c r="W99" i="3"/>
  <c r="U99" i="3"/>
  <c r="R99" i="3"/>
  <c r="N99" i="3"/>
  <c r="O99" i="3" s="1"/>
  <c r="L99" i="3"/>
  <c r="H99" i="3"/>
  <c r="I99" i="3" s="1"/>
  <c r="F99" i="3"/>
  <c r="C99" i="3"/>
  <c r="AD98" i="3"/>
  <c r="AC98" i="3"/>
  <c r="AA98" i="3"/>
  <c r="W98" i="3"/>
  <c r="U98" i="3"/>
  <c r="R98" i="3"/>
  <c r="O98" i="3"/>
  <c r="N98" i="3"/>
  <c r="L98" i="3"/>
  <c r="I98" i="3"/>
  <c r="H98" i="3"/>
  <c r="F98" i="3"/>
  <c r="C98" i="3"/>
  <c r="AC97" i="3"/>
  <c r="AD97" i="3" s="1"/>
  <c r="AA97" i="3"/>
  <c r="W97" i="3"/>
  <c r="X97" i="3" s="1"/>
  <c r="U97" i="3"/>
  <c r="R97" i="3"/>
  <c r="O97" i="3"/>
  <c r="N97" i="3"/>
  <c r="L97" i="3"/>
  <c r="I97" i="3"/>
  <c r="H97" i="3"/>
  <c r="F97" i="3"/>
  <c r="C97" i="3"/>
  <c r="AC96" i="3"/>
  <c r="AD96" i="3" s="1"/>
  <c r="AA96" i="3"/>
  <c r="W96" i="3"/>
  <c r="X96" i="3" s="1"/>
  <c r="U96" i="3"/>
  <c r="R96" i="3"/>
  <c r="O96" i="3"/>
  <c r="N96" i="3"/>
  <c r="L96" i="3"/>
  <c r="H96" i="3"/>
  <c r="I96" i="3" s="1"/>
  <c r="F96" i="3"/>
  <c r="C96" i="3"/>
  <c r="AD95" i="3"/>
  <c r="AC95" i="3"/>
  <c r="AA95" i="3"/>
  <c r="X95" i="3"/>
  <c r="W95" i="3"/>
  <c r="U95" i="3"/>
  <c r="R95" i="3"/>
  <c r="O95" i="3"/>
  <c r="N95" i="3"/>
  <c r="L95" i="3"/>
  <c r="H95" i="3"/>
  <c r="I95" i="3" s="1"/>
  <c r="F95" i="3"/>
  <c r="C95" i="3"/>
  <c r="AC94" i="3"/>
  <c r="AD94" i="3" s="1"/>
  <c r="AA94" i="3"/>
  <c r="W94" i="3"/>
  <c r="U94" i="3"/>
  <c r="R94" i="3"/>
  <c r="N94" i="3"/>
  <c r="O94" i="3" s="1"/>
  <c r="L94" i="3"/>
  <c r="I94" i="3"/>
  <c r="H94" i="3"/>
  <c r="F94" i="3"/>
  <c r="C94" i="3"/>
  <c r="AC92" i="3"/>
  <c r="AD92" i="3" s="1"/>
  <c r="AA92" i="3"/>
  <c r="W92" i="3"/>
  <c r="X92" i="3" s="1"/>
  <c r="U92" i="3"/>
  <c r="R92" i="3"/>
  <c r="O92" i="3"/>
  <c r="N92" i="3"/>
  <c r="L92" i="3"/>
  <c r="H92" i="3"/>
  <c r="I92" i="3" s="1"/>
  <c r="F92" i="3"/>
  <c r="C92" i="3"/>
  <c r="AC91" i="3"/>
  <c r="AD91" i="3" s="1"/>
  <c r="AA91" i="3"/>
  <c r="W91" i="3"/>
  <c r="X91" i="3" s="1"/>
  <c r="U91" i="3"/>
  <c r="R91" i="3"/>
  <c r="O91" i="3"/>
  <c r="N91" i="3"/>
  <c r="L91" i="3"/>
  <c r="H91" i="3"/>
  <c r="I91" i="3" s="1"/>
  <c r="F91" i="3"/>
  <c r="C91" i="3"/>
  <c r="AD90" i="3"/>
  <c r="AC90" i="3"/>
  <c r="AA90" i="3"/>
  <c r="X90" i="3"/>
  <c r="W90" i="3"/>
  <c r="U90" i="3"/>
  <c r="R90" i="3"/>
  <c r="O90" i="3"/>
  <c r="N90" i="3"/>
  <c r="L90" i="3"/>
  <c r="H90" i="3"/>
  <c r="I90" i="3" s="1"/>
  <c r="F90" i="3"/>
  <c r="C90" i="3"/>
  <c r="AD89" i="3"/>
  <c r="AC89" i="3"/>
  <c r="AA89" i="3"/>
  <c r="W89" i="3"/>
  <c r="U89" i="3"/>
  <c r="R89" i="3"/>
  <c r="N89" i="3"/>
  <c r="O89" i="3" s="1"/>
  <c r="L89" i="3"/>
  <c r="I89" i="3"/>
  <c r="H89" i="3"/>
  <c r="F89" i="3"/>
  <c r="C89" i="3"/>
  <c r="Z88" i="3"/>
  <c r="AA88" i="3" s="1"/>
  <c r="T88" i="3"/>
  <c r="U88" i="3" s="1"/>
  <c r="Q88" i="3"/>
  <c r="N88" i="3"/>
  <c r="O88" i="3" s="1"/>
  <c r="L88" i="3"/>
  <c r="K88" i="3"/>
  <c r="H88" i="3"/>
  <c r="I88" i="3" s="1"/>
  <c r="E88" i="3"/>
  <c r="F88" i="3" s="1"/>
  <c r="B88" i="3"/>
  <c r="C88" i="3" s="1"/>
  <c r="AD87" i="3"/>
  <c r="AC87" i="3"/>
  <c r="AA87" i="3"/>
  <c r="X87" i="3"/>
  <c r="W87" i="3"/>
  <c r="U87" i="3"/>
  <c r="R87" i="3"/>
  <c r="O87" i="3"/>
  <c r="N87" i="3"/>
  <c r="L87" i="3"/>
  <c r="H87" i="3"/>
  <c r="I87" i="3" s="1"/>
  <c r="F87" i="3"/>
  <c r="C87" i="3"/>
  <c r="AD86" i="3"/>
  <c r="AC86" i="3"/>
  <c r="AA86" i="3"/>
  <c r="W86" i="3"/>
  <c r="U86" i="3"/>
  <c r="R86" i="3"/>
  <c r="N86" i="3"/>
  <c r="O86" i="3" s="1"/>
  <c r="L86" i="3"/>
  <c r="I86" i="3"/>
  <c r="H86" i="3"/>
  <c r="F86" i="3"/>
  <c r="C86" i="3"/>
  <c r="AC85" i="3"/>
  <c r="AD85" i="3" s="1"/>
  <c r="AA85" i="3"/>
  <c r="X85" i="3"/>
  <c r="W85" i="3"/>
  <c r="U85" i="3"/>
  <c r="R85" i="3"/>
  <c r="O85" i="3"/>
  <c r="N85" i="3"/>
  <c r="L85" i="3"/>
  <c r="H85" i="3"/>
  <c r="I85" i="3" s="1"/>
  <c r="F85" i="3"/>
  <c r="C85" i="3"/>
  <c r="AC84" i="3"/>
  <c r="AD84" i="3" s="1"/>
  <c r="AA84" i="3"/>
  <c r="W84" i="3"/>
  <c r="X84" i="3" s="1"/>
  <c r="U84" i="3"/>
  <c r="R84" i="3"/>
  <c r="O84" i="3"/>
  <c r="N84" i="3"/>
  <c r="L84" i="3"/>
  <c r="H84" i="3"/>
  <c r="I84" i="3" s="1"/>
  <c r="F84" i="3"/>
  <c r="C84" i="3"/>
  <c r="AD83" i="3"/>
  <c r="AC83" i="3"/>
  <c r="AA83" i="3"/>
  <c r="X83" i="3"/>
  <c r="W83" i="3"/>
  <c r="U83" i="3"/>
  <c r="R83" i="3"/>
  <c r="O83" i="3"/>
  <c r="N83" i="3"/>
  <c r="L83" i="3"/>
  <c r="H83" i="3"/>
  <c r="I83" i="3" s="1"/>
  <c r="F83" i="3"/>
  <c r="C83" i="3"/>
  <c r="AC82" i="3"/>
  <c r="AD82" i="3" s="1"/>
  <c r="AA82" i="3"/>
  <c r="W82" i="3"/>
  <c r="U82" i="3"/>
  <c r="R82" i="3"/>
  <c r="N82" i="3"/>
  <c r="O82" i="3" s="1"/>
  <c r="L82" i="3"/>
  <c r="I82" i="3"/>
  <c r="H82" i="3"/>
  <c r="F82" i="3"/>
  <c r="C82" i="3"/>
  <c r="AC81" i="3"/>
  <c r="AD81" i="3" s="1"/>
  <c r="AA81" i="3"/>
  <c r="X81" i="3"/>
  <c r="W81" i="3"/>
  <c r="U81" i="3"/>
  <c r="R81" i="3"/>
  <c r="O81" i="3"/>
  <c r="N81" i="3"/>
  <c r="L81" i="3"/>
  <c r="H81" i="3"/>
  <c r="I81" i="3" s="1"/>
  <c r="F81" i="3"/>
  <c r="C81" i="3"/>
  <c r="AC80" i="3"/>
  <c r="AD80" i="3" s="1"/>
  <c r="AA80" i="3"/>
  <c r="X80" i="3"/>
  <c r="W80" i="3"/>
  <c r="U80" i="3"/>
  <c r="R80" i="3"/>
  <c r="O80" i="3"/>
  <c r="N80" i="3"/>
  <c r="L80" i="3"/>
  <c r="H80" i="3"/>
  <c r="I80" i="3" s="1"/>
  <c r="F80" i="3"/>
  <c r="C80" i="3"/>
  <c r="AD79" i="3"/>
  <c r="AC79" i="3"/>
  <c r="AA79" i="3"/>
  <c r="X79" i="3"/>
  <c r="W79" i="3"/>
  <c r="U79" i="3"/>
  <c r="R79" i="3"/>
  <c r="O79" i="3"/>
  <c r="N79" i="3"/>
  <c r="L79" i="3"/>
  <c r="H79" i="3"/>
  <c r="I79" i="3" s="1"/>
  <c r="F79" i="3"/>
  <c r="C79" i="3"/>
  <c r="AC78" i="3"/>
  <c r="AD78" i="3" s="1"/>
  <c r="AA78" i="3"/>
  <c r="W78" i="3"/>
  <c r="U78" i="3"/>
  <c r="R78" i="3"/>
  <c r="N78" i="3"/>
  <c r="O78" i="3" s="1"/>
  <c r="L78" i="3"/>
  <c r="I78" i="3"/>
  <c r="H78" i="3"/>
  <c r="F78" i="3"/>
  <c r="C78" i="3"/>
  <c r="AC77" i="3"/>
  <c r="AD77" i="3" s="1"/>
  <c r="AA77" i="3"/>
  <c r="X77" i="3"/>
  <c r="W77" i="3"/>
  <c r="U77" i="3"/>
  <c r="R77" i="3"/>
  <c r="O77" i="3"/>
  <c r="N77" i="3"/>
  <c r="L77" i="3"/>
  <c r="H77" i="3"/>
  <c r="I77" i="3" s="1"/>
  <c r="F77" i="3"/>
  <c r="C77" i="3"/>
  <c r="AC76" i="3"/>
  <c r="AD76" i="3" s="1"/>
  <c r="AA76" i="3"/>
  <c r="X76" i="3"/>
  <c r="W76" i="3"/>
  <c r="U76" i="3"/>
  <c r="R76" i="3"/>
  <c r="O76" i="3"/>
  <c r="N76" i="3"/>
  <c r="L76" i="3"/>
  <c r="H76" i="3"/>
  <c r="I76" i="3" s="1"/>
  <c r="F76" i="3"/>
  <c r="C76" i="3"/>
  <c r="AD75" i="3"/>
  <c r="AC75" i="3"/>
  <c r="AA75" i="3"/>
  <c r="X75" i="3"/>
  <c r="W75" i="3"/>
  <c r="U75" i="3"/>
  <c r="R75" i="3"/>
  <c r="N75" i="3"/>
  <c r="O75" i="3" s="1"/>
  <c r="L75" i="3"/>
  <c r="H75" i="3"/>
  <c r="I75" i="3" s="1"/>
  <c r="F75" i="3"/>
  <c r="C75" i="3"/>
  <c r="AC73" i="3"/>
  <c r="AD73" i="3" s="1"/>
  <c r="AA73" i="3"/>
  <c r="Z73" i="3"/>
  <c r="T73" i="3"/>
  <c r="U73" i="3" s="1"/>
  <c r="R73" i="3"/>
  <c r="Q73" i="3"/>
  <c r="K73" i="3"/>
  <c r="L73" i="3" s="1"/>
  <c r="E73" i="3"/>
  <c r="H73" i="3" s="1"/>
  <c r="I73" i="3" s="1"/>
  <c r="C73" i="3"/>
  <c r="B73" i="3"/>
  <c r="N73" i="3" s="1"/>
  <c r="O73" i="3" s="1"/>
  <c r="AC72" i="3"/>
  <c r="AD72" i="3" s="1"/>
  <c r="AA72" i="3"/>
  <c r="X72" i="3"/>
  <c r="W72" i="3"/>
  <c r="U72" i="3"/>
  <c r="R72" i="3"/>
  <c r="O72" i="3"/>
  <c r="N72" i="3"/>
  <c r="L72" i="3"/>
  <c r="H72" i="3"/>
  <c r="I72" i="3" s="1"/>
  <c r="F72" i="3"/>
  <c r="C72" i="3"/>
  <c r="AD71" i="3"/>
  <c r="AC71" i="3"/>
  <c r="AA71" i="3"/>
  <c r="X71" i="3"/>
  <c r="W71" i="3"/>
  <c r="U71" i="3"/>
  <c r="R71" i="3"/>
  <c r="N71" i="3"/>
  <c r="O71" i="3" s="1"/>
  <c r="L71" i="3"/>
  <c r="H71" i="3"/>
  <c r="I71" i="3" s="1"/>
  <c r="F71" i="3"/>
  <c r="C71" i="3"/>
  <c r="AC70" i="3"/>
  <c r="AD70" i="3" s="1"/>
  <c r="AA70" i="3"/>
  <c r="W70" i="3"/>
  <c r="U70" i="3"/>
  <c r="R70" i="3"/>
  <c r="O70" i="3"/>
  <c r="N70" i="3"/>
  <c r="L70" i="3"/>
  <c r="I70" i="3"/>
  <c r="H70" i="3"/>
  <c r="F70" i="3"/>
  <c r="C70" i="3"/>
  <c r="AC69" i="3"/>
  <c r="AD69" i="3" s="1"/>
  <c r="AA69" i="3"/>
  <c r="X69" i="3"/>
  <c r="W69" i="3"/>
  <c r="U69" i="3"/>
  <c r="R69" i="3"/>
  <c r="O69" i="3"/>
  <c r="N69" i="3"/>
  <c r="L69" i="3"/>
  <c r="I69" i="3"/>
  <c r="H69" i="3"/>
  <c r="F69" i="3"/>
  <c r="C69" i="3"/>
  <c r="AC68" i="3"/>
  <c r="AD68" i="3" s="1"/>
  <c r="AA68" i="3"/>
  <c r="W68" i="3"/>
  <c r="X68" i="3" s="1"/>
  <c r="U68" i="3"/>
  <c r="R68" i="3"/>
  <c r="O68" i="3"/>
  <c r="N68" i="3"/>
  <c r="L68" i="3"/>
  <c r="H68" i="3"/>
  <c r="I68" i="3" s="1"/>
  <c r="F68" i="3"/>
  <c r="C68" i="3"/>
  <c r="AD67" i="3"/>
  <c r="AC67" i="3"/>
  <c r="AA67" i="3"/>
  <c r="X67" i="3"/>
  <c r="W67" i="3"/>
  <c r="U67" i="3"/>
  <c r="R67" i="3"/>
  <c r="N67" i="3"/>
  <c r="O67" i="3" s="1"/>
  <c r="L67" i="3"/>
  <c r="H67" i="3"/>
  <c r="I67" i="3" s="1"/>
  <c r="F67" i="3"/>
  <c r="C67" i="3"/>
  <c r="AC66" i="3"/>
  <c r="AD66" i="3" s="1"/>
  <c r="AA66" i="3"/>
  <c r="W66" i="3"/>
  <c r="U66" i="3"/>
  <c r="R66" i="3"/>
  <c r="O66" i="3"/>
  <c r="N66" i="3"/>
  <c r="L66" i="3"/>
  <c r="I66" i="3"/>
  <c r="H66" i="3"/>
  <c r="F66" i="3"/>
  <c r="C66" i="3"/>
  <c r="AC65" i="3"/>
  <c r="AD65" i="3" s="1"/>
  <c r="AA65" i="3"/>
  <c r="W65" i="3"/>
  <c r="X65" i="3" s="1"/>
  <c r="U65" i="3"/>
  <c r="R65" i="3"/>
  <c r="O65" i="3"/>
  <c r="N65" i="3"/>
  <c r="L65" i="3"/>
  <c r="I65" i="3"/>
  <c r="H65" i="3"/>
  <c r="F65" i="3"/>
  <c r="C65" i="3"/>
  <c r="AC64" i="3"/>
  <c r="AD64" i="3" s="1"/>
  <c r="AA64" i="3"/>
  <c r="X64" i="3"/>
  <c r="W64" i="3"/>
  <c r="U64" i="3"/>
  <c r="R64" i="3"/>
  <c r="O64" i="3"/>
  <c r="N64" i="3"/>
  <c r="L64" i="3"/>
  <c r="H64" i="3"/>
  <c r="I64" i="3" s="1"/>
  <c r="F64" i="3"/>
  <c r="C64" i="3"/>
  <c r="AD62" i="3"/>
  <c r="Z62" i="3"/>
  <c r="AA62" i="3" s="1"/>
  <c r="T62" i="3"/>
  <c r="W62" i="3" s="1"/>
  <c r="X62" i="3" s="1"/>
  <c r="R62" i="3"/>
  <c r="Q62" i="3"/>
  <c r="AC62" i="3" s="1"/>
  <c r="K62" i="3"/>
  <c r="L62" i="3" s="1"/>
  <c r="F62" i="3"/>
  <c r="E62" i="3"/>
  <c r="B62" i="3"/>
  <c r="H62" i="3" s="1"/>
  <c r="I62" i="3" s="1"/>
  <c r="Z61" i="3"/>
  <c r="AA61" i="3" s="1"/>
  <c r="T61" i="3"/>
  <c r="U61" i="3" s="1"/>
  <c r="Q61" i="3"/>
  <c r="L61" i="3"/>
  <c r="K61" i="3"/>
  <c r="E61" i="3"/>
  <c r="F61" i="3" s="1"/>
  <c r="C61" i="3"/>
  <c r="B61" i="3"/>
  <c r="H61" i="3" s="1"/>
  <c r="I61" i="3" s="1"/>
  <c r="AD60" i="3"/>
  <c r="AC60" i="3"/>
  <c r="AA60" i="3"/>
  <c r="X60" i="3"/>
  <c r="W60" i="3"/>
  <c r="U60" i="3"/>
  <c r="R60" i="3"/>
  <c r="O60" i="3"/>
  <c r="N60" i="3"/>
  <c r="L60" i="3"/>
  <c r="H60" i="3"/>
  <c r="I60" i="3" s="1"/>
  <c r="F60" i="3"/>
  <c r="C60" i="3"/>
  <c r="AC59" i="3"/>
  <c r="AD59" i="3" s="1"/>
  <c r="AA59" i="3"/>
  <c r="W59" i="3"/>
  <c r="U59" i="3"/>
  <c r="R59" i="3"/>
  <c r="N59" i="3"/>
  <c r="O59" i="3" s="1"/>
  <c r="L59" i="3"/>
  <c r="I59" i="3"/>
  <c r="H59" i="3"/>
  <c r="F59" i="3"/>
  <c r="C59" i="3"/>
  <c r="AC58" i="3"/>
  <c r="AD58" i="3" s="1"/>
  <c r="AA58" i="3"/>
  <c r="X58" i="3"/>
  <c r="W58" i="3"/>
  <c r="U58" i="3"/>
  <c r="R58" i="3"/>
  <c r="O58" i="3"/>
  <c r="N58" i="3"/>
  <c r="L58" i="3"/>
  <c r="H58" i="3"/>
  <c r="I58" i="3" s="1"/>
  <c r="F58" i="3"/>
  <c r="C58" i="3"/>
  <c r="AC57" i="3"/>
  <c r="AD57" i="3" s="1"/>
  <c r="AA57" i="3"/>
  <c r="X57" i="3"/>
  <c r="W57" i="3"/>
  <c r="U57" i="3"/>
  <c r="R57" i="3"/>
  <c r="O57" i="3"/>
  <c r="N57" i="3"/>
  <c r="L57" i="3"/>
  <c r="H57" i="3"/>
  <c r="I57" i="3" s="1"/>
  <c r="F57" i="3"/>
  <c r="C57" i="3"/>
  <c r="AD56" i="3"/>
  <c r="AC56" i="3"/>
  <c r="AA56" i="3"/>
  <c r="X56" i="3"/>
  <c r="W56" i="3"/>
  <c r="U56" i="3"/>
  <c r="R56" i="3"/>
  <c r="O56" i="3"/>
  <c r="N56" i="3"/>
  <c r="L56" i="3"/>
  <c r="H56" i="3"/>
  <c r="I56" i="3" s="1"/>
  <c r="F56" i="3"/>
  <c r="C56" i="3"/>
  <c r="AC55" i="3"/>
  <c r="AD55" i="3" s="1"/>
  <c r="AA55" i="3"/>
  <c r="W55" i="3"/>
  <c r="U55" i="3"/>
  <c r="R55" i="3"/>
  <c r="N55" i="3"/>
  <c r="O55" i="3" s="1"/>
  <c r="L55" i="3"/>
  <c r="I55" i="3"/>
  <c r="H55" i="3"/>
  <c r="F55" i="3"/>
  <c r="C55" i="3"/>
  <c r="AC54" i="3"/>
  <c r="AD54" i="3" s="1"/>
  <c r="AA54" i="3"/>
  <c r="X54" i="3"/>
  <c r="W54" i="3"/>
  <c r="U54" i="3"/>
  <c r="R54" i="3"/>
  <c r="O54" i="3"/>
  <c r="N54" i="3"/>
  <c r="L54" i="3"/>
  <c r="H54" i="3"/>
  <c r="I54" i="3" s="1"/>
  <c r="F54" i="3"/>
  <c r="C54" i="3"/>
  <c r="AC53" i="3"/>
  <c r="AD53" i="3" s="1"/>
  <c r="AA53" i="3"/>
  <c r="X53" i="3"/>
  <c r="W53" i="3"/>
  <c r="U53" i="3"/>
  <c r="R53" i="3"/>
  <c r="O53" i="3"/>
  <c r="N53" i="3"/>
  <c r="L53" i="3"/>
  <c r="H53" i="3"/>
  <c r="I53" i="3" s="1"/>
  <c r="F53" i="3"/>
  <c r="C53" i="3"/>
  <c r="AC52" i="3"/>
  <c r="AD52" i="3" s="1"/>
  <c r="AA52" i="3"/>
  <c r="X52" i="3"/>
  <c r="W52" i="3"/>
  <c r="U52" i="3"/>
  <c r="R52" i="3"/>
  <c r="N52" i="3"/>
  <c r="O52" i="3" s="1"/>
  <c r="L52" i="3"/>
  <c r="H52" i="3"/>
  <c r="I52" i="3" s="1"/>
  <c r="F52" i="3"/>
  <c r="C52" i="3"/>
  <c r="AC51" i="3"/>
  <c r="AD51" i="3" s="1"/>
  <c r="AA51" i="3"/>
  <c r="X51" i="3"/>
  <c r="W51" i="3"/>
  <c r="U51" i="3"/>
  <c r="R51" i="3"/>
  <c r="O51" i="3"/>
  <c r="N51" i="3"/>
  <c r="L51" i="3"/>
  <c r="H51" i="3"/>
  <c r="I51" i="3" s="1"/>
  <c r="F51" i="3"/>
  <c r="C51" i="3"/>
  <c r="AC50" i="3"/>
  <c r="AD50" i="3" s="1"/>
  <c r="AA50" i="3"/>
  <c r="W50" i="3"/>
  <c r="X50" i="3" s="1"/>
  <c r="U50" i="3"/>
  <c r="R50" i="3"/>
  <c r="O50" i="3"/>
  <c r="N50" i="3"/>
  <c r="L50" i="3"/>
  <c r="I50" i="3"/>
  <c r="H50" i="3"/>
  <c r="F50" i="3"/>
  <c r="C50" i="3"/>
  <c r="AC49" i="3"/>
  <c r="AD49" i="3" s="1"/>
  <c r="AA49" i="3"/>
  <c r="X49" i="3"/>
  <c r="W49" i="3"/>
  <c r="U49" i="3"/>
  <c r="R49" i="3"/>
  <c r="O49" i="3"/>
  <c r="N49" i="3"/>
  <c r="L49" i="3"/>
  <c r="H49" i="3"/>
  <c r="I49" i="3" s="1"/>
  <c r="F49" i="3"/>
  <c r="C49" i="3"/>
  <c r="AD48" i="3"/>
  <c r="AC48" i="3"/>
  <c r="AA48" i="3"/>
  <c r="X48" i="3"/>
  <c r="W48" i="3"/>
  <c r="U48" i="3"/>
  <c r="R48" i="3"/>
  <c r="O48" i="3"/>
  <c r="N48" i="3"/>
  <c r="L48" i="3"/>
  <c r="H48" i="3"/>
  <c r="I48" i="3" s="1"/>
  <c r="F48" i="3"/>
  <c r="C48" i="3"/>
  <c r="AD47" i="3"/>
  <c r="AC47" i="3"/>
  <c r="AA47" i="3"/>
  <c r="X47" i="3"/>
  <c r="W47" i="3"/>
  <c r="U47" i="3"/>
  <c r="R47" i="3"/>
  <c r="O47" i="3"/>
  <c r="N47" i="3"/>
  <c r="L47" i="3"/>
  <c r="I47" i="3"/>
  <c r="H47" i="3"/>
  <c r="F47" i="3"/>
  <c r="C47" i="3"/>
  <c r="AC46" i="3"/>
  <c r="AD46" i="3" s="1"/>
  <c r="AA46" i="3"/>
  <c r="X46" i="3"/>
  <c r="W46" i="3"/>
  <c r="U46" i="3"/>
  <c r="R46" i="3"/>
  <c r="O46" i="3"/>
  <c r="N46" i="3"/>
  <c r="L46" i="3"/>
  <c r="I46" i="3"/>
  <c r="H46" i="3"/>
  <c r="F46" i="3"/>
  <c r="C46" i="3"/>
  <c r="AC44" i="3"/>
  <c r="AD44" i="3" s="1"/>
  <c r="AA44" i="3"/>
  <c r="X44" i="3"/>
  <c r="W44" i="3"/>
  <c r="U44" i="3"/>
  <c r="R44" i="3"/>
  <c r="O44" i="3"/>
  <c r="N44" i="3"/>
  <c r="L44" i="3"/>
  <c r="H44" i="3"/>
  <c r="I44" i="3" s="1"/>
  <c r="F44" i="3"/>
  <c r="C44" i="3"/>
  <c r="AD43" i="3"/>
  <c r="AC43" i="3"/>
  <c r="AA43" i="3"/>
  <c r="X43" i="3"/>
  <c r="W43" i="3"/>
  <c r="U43" i="3"/>
  <c r="R43" i="3"/>
  <c r="N43" i="3"/>
  <c r="O43" i="3" s="1"/>
  <c r="L43" i="3"/>
  <c r="H43" i="3"/>
  <c r="I43" i="3" s="1"/>
  <c r="F43" i="3"/>
  <c r="C43" i="3"/>
  <c r="AC42" i="3"/>
  <c r="AD42" i="3" s="1"/>
  <c r="AA42" i="3"/>
  <c r="X42" i="3"/>
  <c r="W42" i="3"/>
  <c r="U42" i="3"/>
  <c r="R42" i="3"/>
  <c r="O42" i="3"/>
  <c r="N42" i="3"/>
  <c r="L42" i="3"/>
  <c r="H42" i="3"/>
  <c r="I42" i="3" s="1"/>
  <c r="F42" i="3"/>
  <c r="C42" i="3"/>
  <c r="AC40" i="3"/>
  <c r="AD40" i="3" s="1"/>
  <c r="AA40" i="3"/>
  <c r="Z40" i="3"/>
  <c r="T40" i="3"/>
  <c r="U40" i="3" s="1"/>
  <c r="Q40" i="3"/>
  <c r="L40" i="3"/>
  <c r="K40" i="3"/>
  <c r="E40" i="3"/>
  <c r="F40" i="3" s="1"/>
  <c r="C40" i="3"/>
  <c r="B40" i="3"/>
  <c r="H40" i="3" s="1"/>
  <c r="I40" i="3" s="1"/>
  <c r="AC39" i="3"/>
  <c r="AD39" i="3" s="1"/>
  <c r="AA39" i="3"/>
  <c r="X39" i="3"/>
  <c r="W39" i="3"/>
  <c r="U39" i="3"/>
  <c r="R39" i="3"/>
  <c r="O39" i="3"/>
  <c r="N39" i="3"/>
  <c r="L39" i="3"/>
  <c r="H39" i="3"/>
  <c r="I39" i="3" s="1"/>
  <c r="F39" i="3"/>
  <c r="C39" i="3"/>
  <c r="AC38" i="3"/>
  <c r="AD38" i="3" s="1"/>
  <c r="AA38" i="3"/>
  <c r="X38" i="3"/>
  <c r="W38" i="3"/>
  <c r="U38" i="3"/>
  <c r="R38" i="3"/>
  <c r="O38" i="3"/>
  <c r="N38" i="3"/>
  <c r="L38" i="3"/>
  <c r="I38" i="3"/>
  <c r="H38" i="3"/>
  <c r="F38" i="3"/>
  <c r="C38" i="3"/>
  <c r="AC37" i="3"/>
  <c r="AD37" i="3" s="1"/>
  <c r="AA37" i="3"/>
  <c r="W37" i="3"/>
  <c r="X37" i="3" s="1"/>
  <c r="U37" i="3"/>
  <c r="R37" i="3"/>
  <c r="O37" i="3"/>
  <c r="N37" i="3"/>
  <c r="L37" i="3"/>
  <c r="I37" i="3"/>
  <c r="H37" i="3"/>
  <c r="F37" i="3"/>
  <c r="C37" i="3"/>
  <c r="AC36" i="3"/>
  <c r="AD36" i="3" s="1"/>
  <c r="AA36" i="3"/>
  <c r="X36" i="3"/>
  <c r="W36" i="3"/>
  <c r="U36" i="3"/>
  <c r="R36" i="3"/>
  <c r="O36" i="3"/>
  <c r="N36" i="3"/>
  <c r="L36" i="3"/>
  <c r="H36" i="3"/>
  <c r="I36" i="3" s="1"/>
  <c r="F36" i="3"/>
  <c r="C36" i="3"/>
  <c r="AD35" i="3"/>
  <c r="AC35" i="3"/>
  <c r="AA35" i="3"/>
  <c r="X35" i="3"/>
  <c r="W35" i="3"/>
  <c r="U35" i="3"/>
  <c r="R35" i="3"/>
  <c r="N35" i="3"/>
  <c r="O35" i="3" s="1"/>
  <c r="L35" i="3"/>
  <c r="H35" i="3"/>
  <c r="I35" i="3" s="1"/>
  <c r="F35" i="3"/>
  <c r="C35" i="3"/>
  <c r="AD34" i="3"/>
  <c r="AC34" i="3"/>
  <c r="AA34" i="3"/>
  <c r="X34" i="3"/>
  <c r="W34" i="3"/>
  <c r="U34" i="3"/>
  <c r="R34" i="3"/>
  <c r="O34" i="3"/>
  <c r="N34" i="3"/>
  <c r="L34" i="3"/>
  <c r="H34" i="3"/>
  <c r="I34" i="3" s="1"/>
  <c r="F34" i="3"/>
  <c r="C34" i="3"/>
  <c r="AC33" i="3"/>
  <c r="AD33" i="3" s="1"/>
  <c r="AA33" i="3"/>
  <c r="X33" i="3"/>
  <c r="W33" i="3"/>
  <c r="U33" i="3"/>
  <c r="R33" i="3"/>
  <c r="O33" i="3"/>
  <c r="N33" i="3"/>
  <c r="L33" i="3"/>
  <c r="I33" i="3"/>
  <c r="H33" i="3"/>
  <c r="F33" i="3"/>
  <c r="C33" i="3"/>
  <c r="AC32" i="3"/>
  <c r="AD32" i="3" s="1"/>
  <c r="AA32" i="3"/>
  <c r="W32" i="3"/>
  <c r="X32" i="3" s="1"/>
  <c r="U32" i="3"/>
  <c r="R32" i="3"/>
  <c r="O32" i="3"/>
  <c r="N32" i="3"/>
  <c r="L32" i="3"/>
  <c r="H32" i="3"/>
  <c r="I32" i="3" s="1"/>
  <c r="F32" i="3"/>
  <c r="C32" i="3"/>
  <c r="AC31" i="3"/>
  <c r="AD31" i="3" s="1"/>
  <c r="AA31" i="3"/>
  <c r="X31" i="3"/>
  <c r="W31" i="3"/>
  <c r="U31" i="3"/>
  <c r="R31" i="3"/>
  <c r="N31" i="3"/>
  <c r="O31" i="3" s="1"/>
  <c r="L31" i="3"/>
  <c r="H31" i="3"/>
  <c r="I31" i="3" s="1"/>
  <c r="F31" i="3"/>
  <c r="C31" i="3"/>
  <c r="Z29" i="3"/>
  <c r="AC29" i="3" s="1"/>
  <c r="AD29" i="3" s="1"/>
  <c r="W29" i="3"/>
  <c r="X29" i="3" s="1"/>
  <c r="T29" i="3"/>
  <c r="U29" i="3" s="1"/>
  <c r="Q29" i="3"/>
  <c r="R29" i="3" s="1"/>
  <c r="N29" i="3"/>
  <c r="O29" i="3" s="1"/>
  <c r="K29" i="3"/>
  <c r="L29" i="3" s="1"/>
  <c r="H29" i="3"/>
  <c r="I29" i="3" s="1"/>
  <c r="F29" i="3"/>
  <c r="E29" i="3"/>
  <c r="B29" i="3"/>
  <c r="C29" i="3" s="1"/>
  <c r="AC28" i="3"/>
  <c r="AD28" i="3" s="1"/>
  <c r="AA28" i="3"/>
  <c r="X28" i="3"/>
  <c r="W28" i="3"/>
  <c r="U28" i="3"/>
  <c r="R28" i="3"/>
  <c r="O28" i="3"/>
  <c r="N28" i="3"/>
  <c r="L28" i="3"/>
  <c r="H28" i="3"/>
  <c r="I28" i="3" s="1"/>
  <c r="F28" i="3"/>
  <c r="C28" i="3"/>
  <c r="AD27" i="3"/>
  <c r="AC27" i="3"/>
  <c r="AA27" i="3"/>
  <c r="X27" i="3"/>
  <c r="W27" i="3"/>
  <c r="U27" i="3"/>
  <c r="R27" i="3"/>
  <c r="N27" i="3"/>
  <c r="O27" i="3" s="1"/>
  <c r="L27" i="3"/>
  <c r="H27" i="3"/>
  <c r="I27" i="3" s="1"/>
  <c r="F27" i="3"/>
  <c r="C27" i="3"/>
  <c r="AD26" i="3"/>
  <c r="AC26" i="3"/>
  <c r="AA26" i="3"/>
  <c r="X26" i="3"/>
  <c r="W26" i="3"/>
  <c r="U26" i="3"/>
  <c r="R26" i="3"/>
  <c r="N26" i="3"/>
  <c r="O26" i="3" s="1"/>
  <c r="L26" i="3"/>
  <c r="I26" i="3"/>
  <c r="H26" i="3"/>
  <c r="F26" i="3"/>
  <c r="C26" i="3"/>
  <c r="AC25" i="3"/>
  <c r="AD25" i="3" s="1"/>
  <c r="AA25" i="3"/>
  <c r="X25" i="3"/>
  <c r="W25" i="3"/>
  <c r="U25" i="3"/>
  <c r="R25" i="3"/>
  <c r="O25" i="3"/>
  <c r="N25" i="3"/>
  <c r="L25" i="3"/>
  <c r="H25" i="3"/>
  <c r="I25" i="3" s="1"/>
  <c r="F25" i="3"/>
  <c r="C25" i="3"/>
  <c r="AC24" i="3"/>
  <c r="AD24" i="3" s="1"/>
  <c r="AA24" i="3"/>
  <c r="W24" i="3"/>
  <c r="X24" i="3" s="1"/>
  <c r="U24" i="3"/>
  <c r="R24" i="3"/>
  <c r="O24" i="3"/>
  <c r="N24" i="3"/>
  <c r="L24" i="3"/>
  <c r="H24" i="3"/>
  <c r="I24" i="3" s="1"/>
  <c r="F24" i="3"/>
  <c r="C24" i="3"/>
  <c r="AC23" i="3"/>
  <c r="AD23" i="3" s="1"/>
  <c r="AA23" i="3"/>
  <c r="X23" i="3"/>
  <c r="W23" i="3"/>
  <c r="U23" i="3"/>
  <c r="R23" i="3"/>
  <c r="O23" i="3"/>
  <c r="N23" i="3"/>
  <c r="L23" i="3"/>
  <c r="H23" i="3"/>
  <c r="I23" i="3" s="1"/>
  <c r="F23" i="3"/>
  <c r="C23" i="3"/>
  <c r="AD22" i="3"/>
  <c r="AC22" i="3"/>
  <c r="AA22" i="3"/>
  <c r="X22" i="3"/>
  <c r="W22" i="3"/>
  <c r="U22" i="3"/>
  <c r="R22" i="3"/>
  <c r="O22" i="3"/>
  <c r="N22" i="3"/>
  <c r="L22" i="3"/>
  <c r="I22" i="3"/>
  <c r="H22" i="3"/>
  <c r="F22" i="3"/>
  <c r="C22" i="3"/>
  <c r="AC21" i="3"/>
  <c r="AD21" i="3" s="1"/>
  <c r="AA21" i="3"/>
  <c r="X21" i="3"/>
  <c r="W21" i="3"/>
  <c r="U21" i="3"/>
  <c r="R21" i="3"/>
  <c r="O21" i="3"/>
  <c r="N21" i="3"/>
  <c r="L21" i="3"/>
  <c r="I21" i="3"/>
  <c r="H21" i="3"/>
  <c r="F21" i="3"/>
  <c r="C21" i="3"/>
  <c r="AC19" i="3"/>
  <c r="AD19" i="3" s="1"/>
  <c r="AA19" i="3"/>
  <c r="W19" i="3"/>
  <c r="X19" i="3" s="1"/>
  <c r="U19" i="3"/>
  <c r="R19" i="3"/>
  <c r="O19" i="3"/>
  <c r="N19" i="3"/>
  <c r="L19" i="3"/>
  <c r="H19" i="3"/>
  <c r="I19" i="3" s="1"/>
  <c r="F19" i="3"/>
  <c r="C19" i="3"/>
  <c r="Z18" i="3"/>
  <c r="AA18" i="3" s="1"/>
  <c r="T18" i="3"/>
  <c r="U18" i="3" s="1"/>
  <c r="Q18" i="3"/>
  <c r="K18" i="3"/>
  <c r="L18" i="3" s="1"/>
  <c r="E18" i="3"/>
  <c r="F18" i="3" s="1"/>
  <c r="B18" i="3"/>
  <c r="AC17" i="3"/>
  <c r="AD17" i="3" s="1"/>
  <c r="AA17" i="3"/>
  <c r="X17" i="3"/>
  <c r="W17" i="3"/>
  <c r="U17" i="3"/>
  <c r="R17" i="3"/>
  <c r="O17" i="3"/>
  <c r="N17" i="3"/>
  <c r="L17" i="3"/>
  <c r="I17" i="3"/>
  <c r="H17" i="3"/>
  <c r="F17" i="3"/>
  <c r="C17" i="3"/>
  <c r="AC16" i="3"/>
  <c r="AD16" i="3" s="1"/>
  <c r="AA16" i="3"/>
  <c r="X16" i="3"/>
  <c r="W16" i="3"/>
  <c r="U16" i="3"/>
  <c r="R16" i="3"/>
  <c r="O16" i="3"/>
  <c r="N16" i="3"/>
  <c r="L16" i="3"/>
  <c r="H16" i="3"/>
  <c r="I16" i="3" s="1"/>
  <c r="F16" i="3"/>
  <c r="C16" i="3"/>
  <c r="AD15" i="3"/>
  <c r="AC15" i="3"/>
  <c r="AA15" i="3"/>
  <c r="X15" i="3"/>
  <c r="W15" i="3"/>
  <c r="U15" i="3"/>
  <c r="R15" i="3"/>
  <c r="O15" i="3"/>
  <c r="N15" i="3"/>
  <c r="L15" i="3"/>
  <c r="H15" i="3"/>
  <c r="I15" i="3" s="1"/>
  <c r="F15" i="3"/>
  <c r="C15" i="3"/>
  <c r="AD14" i="3"/>
  <c r="AC14" i="3"/>
  <c r="AA14" i="3"/>
  <c r="X14" i="3"/>
  <c r="W14" i="3"/>
  <c r="U14" i="3"/>
  <c r="R14" i="3"/>
  <c r="N14" i="3"/>
  <c r="O14" i="3" s="1"/>
  <c r="L14" i="3"/>
  <c r="I14" i="3"/>
  <c r="H14" i="3"/>
  <c r="F14" i="3"/>
  <c r="C14" i="3"/>
  <c r="AC13" i="3"/>
  <c r="AD13" i="3" s="1"/>
  <c r="AA13" i="3"/>
  <c r="W13" i="3"/>
  <c r="X13" i="3" s="1"/>
  <c r="U13" i="3"/>
  <c r="R13" i="3"/>
  <c r="O13" i="3"/>
  <c r="N13" i="3"/>
  <c r="L13" i="3"/>
  <c r="H13" i="3"/>
  <c r="I13" i="3" s="1"/>
  <c r="F13" i="3"/>
  <c r="C13" i="3"/>
  <c r="AC12" i="3"/>
  <c r="AD12" i="3" s="1"/>
  <c r="AA12" i="3"/>
  <c r="W12" i="3"/>
  <c r="X12" i="3" s="1"/>
  <c r="U12" i="3"/>
  <c r="R12" i="3"/>
  <c r="O12" i="3"/>
  <c r="N12" i="3"/>
  <c r="L12" i="3"/>
  <c r="H12" i="3"/>
  <c r="I12" i="3" s="1"/>
  <c r="F12" i="3"/>
  <c r="C12" i="3"/>
  <c r="AC11" i="3"/>
  <c r="AD11" i="3" s="1"/>
  <c r="AA11" i="3"/>
  <c r="W11" i="3"/>
  <c r="X11" i="3" s="1"/>
  <c r="U11" i="3"/>
  <c r="R11" i="3"/>
  <c r="O11" i="3"/>
  <c r="N11" i="3"/>
  <c r="L11" i="3"/>
  <c r="I11" i="3"/>
  <c r="H11" i="3"/>
  <c r="F11" i="3"/>
  <c r="C11" i="3"/>
  <c r="AC10" i="3"/>
  <c r="AD10" i="3" s="1"/>
  <c r="AA10" i="3"/>
  <c r="X10" i="3"/>
  <c r="W10" i="3"/>
  <c r="U10" i="3"/>
  <c r="R10" i="3"/>
  <c r="O10" i="3"/>
  <c r="N10" i="3"/>
  <c r="L10" i="3"/>
  <c r="H10" i="3"/>
  <c r="I10" i="3" s="1"/>
  <c r="F10" i="3"/>
  <c r="C10" i="3"/>
  <c r="AD8" i="3"/>
  <c r="AC8" i="3"/>
  <c r="AA8" i="3"/>
  <c r="X8" i="3"/>
  <c r="W8" i="3"/>
  <c r="U8" i="3"/>
  <c r="R8" i="3"/>
  <c r="N8" i="3"/>
  <c r="O8" i="3" s="1"/>
  <c r="L8" i="3"/>
  <c r="H8" i="3"/>
  <c r="I8" i="3" s="1"/>
  <c r="F8" i="3"/>
  <c r="C8" i="3"/>
  <c r="AC444" i="2"/>
  <c r="AD260" i="2" s="1"/>
  <c r="W444" i="2"/>
  <c r="N444" i="2"/>
  <c r="H444" i="2"/>
  <c r="AC442" i="2"/>
  <c r="AD442" i="2" s="1"/>
  <c r="AA442" i="2"/>
  <c r="Z442" i="2"/>
  <c r="T442" i="2"/>
  <c r="U442" i="2" s="1"/>
  <c r="Q442" i="2"/>
  <c r="W442" i="2" s="1"/>
  <c r="X442" i="2" s="1"/>
  <c r="K442" i="2"/>
  <c r="L442" i="2" s="1"/>
  <c r="F442" i="2"/>
  <c r="E442" i="2"/>
  <c r="H442" i="2" s="1"/>
  <c r="I442" i="2" s="1"/>
  <c r="C442" i="2"/>
  <c r="B442" i="2"/>
  <c r="N442" i="2" s="1"/>
  <c r="O442" i="2" s="1"/>
  <c r="Z441" i="2"/>
  <c r="AA441" i="2" s="1"/>
  <c r="W441" i="2"/>
  <c r="X441" i="2" s="1"/>
  <c r="U441" i="2"/>
  <c r="T441" i="2"/>
  <c r="Q441" i="2"/>
  <c r="R441" i="2" s="1"/>
  <c r="K441" i="2"/>
  <c r="L441" i="2" s="1"/>
  <c r="E441" i="2"/>
  <c r="F441" i="2" s="1"/>
  <c r="B441" i="2"/>
  <c r="N441" i="2" s="1"/>
  <c r="O441" i="2" s="1"/>
  <c r="AD440" i="2"/>
  <c r="AC440" i="2"/>
  <c r="AA440" i="2"/>
  <c r="W440" i="2"/>
  <c r="U440" i="2"/>
  <c r="R440" i="2"/>
  <c r="O440" i="2"/>
  <c r="N440" i="2"/>
  <c r="L440" i="2"/>
  <c r="I440" i="2"/>
  <c r="H440" i="2"/>
  <c r="F440" i="2"/>
  <c r="C440" i="2"/>
  <c r="AC439" i="2"/>
  <c r="AA439" i="2"/>
  <c r="W439" i="2"/>
  <c r="X439" i="2" s="1"/>
  <c r="U439" i="2"/>
  <c r="R439" i="2"/>
  <c r="N439" i="2"/>
  <c r="L439" i="2"/>
  <c r="H439" i="2"/>
  <c r="I439" i="2" s="1"/>
  <c r="F439" i="2"/>
  <c r="C439" i="2"/>
  <c r="AC438" i="2"/>
  <c r="AD438" i="2" s="1"/>
  <c r="AA438" i="2"/>
  <c r="W438" i="2"/>
  <c r="X438" i="2" s="1"/>
  <c r="U438" i="2"/>
  <c r="R438" i="2"/>
  <c r="N438" i="2"/>
  <c r="L438" i="2"/>
  <c r="H438" i="2"/>
  <c r="I438" i="2" s="1"/>
  <c r="F438" i="2"/>
  <c r="C438" i="2"/>
  <c r="AC437" i="2"/>
  <c r="AA437" i="2"/>
  <c r="W437" i="2"/>
  <c r="U437" i="2"/>
  <c r="R437" i="2"/>
  <c r="O437" i="2"/>
  <c r="N437" i="2"/>
  <c r="L437" i="2"/>
  <c r="H437" i="2"/>
  <c r="I437" i="2" s="1"/>
  <c r="F437" i="2"/>
  <c r="C437" i="2"/>
  <c r="AC436" i="2"/>
  <c r="AD436" i="2" s="1"/>
  <c r="AA436" i="2"/>
  <c r="W436" i="2"/>
  <c r="U436" i="2"/>
  <c r="R436" i="2"/>
  <c r="N436" i="2"/>
  <c r="O436" i="2" s="1"/>
  <c r="L436" i="2"/>
  <c r="I436" i="2"/>
  <c r="H436" i="2"/>
  <c r="F436" i="2"/>
  <c r="C436" i="2"/>
  <c r="AC435" i="2"/>
  <c r="AA435" i="2"/>
  <c r="W435" i="2"/>
  <c r="X435" i="2" s="1"/>
  <c r="U435" i="2"/>
  <c r="R435" i="2"/>
  <c r="N435" i="2"/>
  <c r="L435" i="2"/>
  <c r="H435" i="2"/>
  <c r="I435" i="2" s="1"/>
  <c r="F435" i="2"/>
  <c r="C435" i="2"/>
  <c r="AC434" i="2"/>
  <c r="AD434" i="2" s="1"/>
  <c r="AA434" i="2"/>
  <c r="W434" i="2"/>
  <c r="X434" i="2" s="1"/>
  <c r="U434" i="2"/>
  <c r="R434" i="2"/>
  <c r="N434" i="2"/>
  <c r="L434" i="2"/>
  <c r="H434" i="2"/>
  <c r="I434" i="2" s="1"/>
  <c r="F434" i="2"/>
  <c r="C434" i="2"/>
  <c r="AC433" i="2"/>
  <c r="AA433" i="2"/>
  <c r="W433" i="2"/>
  <c r="U433" i="2"/>
  <c r="R433" i="2"/>
  <c r="O433" i="2"/>
  <c r="N433" i="2"/>
  <c r="L433" i="2"/>
  <c r="H433" i="2"/>
  <c r="I433" i="2" s="1"/>
  <c r="F433" i="2"/>
  <c r="C433" i="2"/>
  <c r="AC432" i="2"/>
  <c r="AD432" i="2" s="1"/>
  <c r="AA432" i="2"/>
  <c r="W432" i="2"/>
  <c r="U432" i="2"/>
  <c r="R432" i="2"/>
  <c r="N432" i="2"/>
  <c r="O432" i="2" s="1"/>
  <c r="L432" i="2"/>
  <c r="I432" i="2"/>
  <c r="H432" i="2"/>
  <c r="F432" i="2"/>
  <c r="C432" i="2"/>
  <c r="Z429" i="2"/>
  <c r="AA429" i="2" s="1"/>
  <c r="T429" i="2"/>
  <c r="U429" i="2" s="1"/>
  <c r="Q429" i="2"/>
  <c r="L429" i="2"/>
  <c r="K429" i="2"/>
  <c r="E429" i="2"/>
  <c r="F429" i="2" s="1"/>
  <c r="B429" i="2"/>
  <c r="Z428" i="2"/>
  <c r="AA428" i="2" s="1"/>
  <c r="T428" i="2"/>
  <c r="W428" i="2" s="1"/>
  <c r="X428" i="2" s="1"/>
  <c r="R428" i="2"/>
  <c r="Q428" i="2"/>
  <c r="AC428" i="2" s="1"/>
  <c r="AD428" i="2" s="1"/>
  <c r="K428" i="2"/>
  <c r="L428" i="2" s="1"/>
  <c r="I428" i="2"/>
  <c r="H428" i="2"/>
  <c r="F428" i="2"/>
  <c r="E428" i="2"/>
  <c r="B428" i="2"/>
  <c r="C428" i="2" s="1"/>
  <c r="AC427" i="2"/>
  <c r="AD427" i="2" s="1"/>
  <c r="AA427" i="2"/>
  <c r="X427" i="2"/>
  <c r="W427" i="2"/>
  <c r="U427" i="2"/>
  <c r="R427" i="2"/>
  <c r="N427" i="2"/>
  <c r="L427" i="2"/>
  <c r="I427" i="2"/>
  <c r="H427" i="2"/>
  <c r="F427" i="2"/>
  <c r="C427" i="2"/>
  <c r="AC426" i="2"/>
  <c r="AA426" i="2"/>
  <c r="W426" i="2"/>
  <c r="X426" i="2" s="1"/>
  <c r="U426" i="2"/>
  <c r="R426" i="2"/>
  <c r="N426" i="2"/>
  <c r="L426" i="2"/>
  <c r="H426" i="2"/>
  <c r="I426" i="2" s="1"/>
  <c r="F426" i="2"/>
  <c r="C426" i="2"/>
  <c r="AD425" i="2"/>
  <c r="AC425" i="2"/>
  <c r="AA425" i="2"/>
  <c r="W425" i="2"/>
  <c r="U425" i="2"/>
  <c r="R425" i="2"/>
  <c r="O425" i="2"/>
  <c r="N425" i="2"/>
  <c r="L425" i="2"/>
  <c r="H425" i="2"/>
  <c r="I425" i="2" s="1"/>
  <c r="F425" i="2"/>
  <c r="C425" i="2"/>
  <c r="AC424" i="2"/>
  <c r="AA424" i="2"/>
  <c r="W424" i="2"/>
  <c r="U424" i="2"/>
  <c r="R424" i="2"/>
  <c r="N424" i="2"/>
  <c r="O424" i="2" s="1"/>
  <c r="L424" i="2"/>
  <c r="I424" i="2"/>
  <c r="H424" i="2"/>
  <c r="F424" i="2"/>
  <c r="C424" i="2"/>
  <c r="AC423" i="2"/>
  <c r="AD423" i="2" s="1"/>
  <c r="AA423" i="2"/>
  <c r="X423" i="2"/>
  <c r="W423" i="2"/>
  <c r="U423" i="2"/>
  <c r="R423" i="2"/>
  <c r="N423" i="2"/>
  <c r="L423" i="2"/>
  <c r="I423" i="2"/>
  <c r="H423" i="2"/>
  <c r="F423" i="2"/>
  <c r="C423" i="2"/>
  <c r="AC422" i="2"/>
  <c r="AA422" i="2"/>
  <c r="W422" i="2"/>
  <c r="X422" i="2" s="1"/>
  <c r="U422" i="2"/>
  <c r="R422" i="2"/>
  <c r="N422" i="2"/>
  <c r="L422" i="2"/>
  <c r="H422" i="2"/>
  <c r="I422" i="2" s="1"/>
  <c r="F422" i="2"/>
  <c r="C422" i="2"/>
  <c r="AD421" i="2"/>
  <c r="AC421" i="2"/>
  <c r="AA421" i="2"/>
  <c r="W421" i="2"/>
  <c r="U421" i="2"/>
  <c r="R421" i="2"/>
  <c r="O421" i="2"/>
  <c r="N421" i="2"/>
  <c r="L421" i="2"/>
  <c r="H421" i="2"/>
  <c r="I421" i="2" s="1"/>
  <c r="F421" i="2"/>
  <c r="C421" i="2"/>
  <c r="AC420" i="2"/>
  <c r="AA420" i="2"/>
  <c r="W420" i="2"/>
  <c r="U420" i="2"/>
  <c r="R420" i="2"/>
  <c r="N420" i="2"/>
  <c r="O420" i="2" s="1"/>
  <c r="L420" i="2"/>
  <c r="I420" i="2"/>
  <c r="H420" i="2"/>
  <c r="F420" i="2"/>
  <c r="C420" i="2"/>
  <c r="AC419" i="2"/>
  <c r="AD419" i="2" s="1"/>
  <c r="AA419" i="2"/>
  <c r="X419" i="2"/>
  <c r="W419" i="2"/>
  <c r="U419" i="2"/>
  <c r="R419" i="2"/>
  <c r="N419" i="2"/>
  <c r="L419" i="2"/>
  <c r="I419" i="2"/>
  <c r="H419" i="2"/>
  <c r="F419" i="2"/>
  <c r="C419" i="2"/>
  <c r="AC418" i="2"/>
  <c r="AA418" i="2"/>
  <c r="W418" i="2"/>
  <c r="X418" i="2" s="1"/>
  <c r="U418" i="2"/>
  <c r="R418" i="2"/>
  <c r="N418" i="2"/>
  <c r="L418" i="2"/>
  <c r="H418" i="2"/>
  <c r="I418" i="2" s="1"/>
  <c r="F418" i="2"/>
  <c r="C418" i="2"/>
  <c r="AD417" i="2"/>
  <c r="AC417" i="2"/>
  <c r="AA417" i="2"/>
  <c r="W417" i="2"/>
  <c r="U417" i="2"/>
  <c r="R417" i="2"/>
  <c r="O417" i="2"/>
  <c r="N417" i="2"/>
  <c r="L417" i="2"/>
  <c r="H417" i="2"/>
  <c r="I417" i="2" s="1"/>
  <c r="F417" i="2"/>
  <c r="C417" i="2"/>
  <c r="AC416" i="2"/>
  <c r="AA416" i="2"/>
  <c r="W416" i="2"/>
  <c r="U416" i="2"/>
  <c r="R416" i="2"/>
  <c r="N416" i="2"/>
  <c r="O416" i="2" s="1"/>
  <c r="L416" i="2"/>
  <c r="I416" i="2"/>
  <c r="H416" i="2"/>
  <c r="F416" i="2"/>
  <c r="C416" i="2"/>
  <c r="AC415" i="2"/>
  <c r="AD415" i="2" s="1"/>
  <c r="AA415" i="2"/>
  <c r="X415" i="2"/>
  <c r="W415" i="2"/>
  <c r="U415" i="2"/>
  <c r="R415" i="2"/>
  <c r="N415" i="2"/>
  <c r="L415" i="2"/>
  <c r="I415" i="2"/>
  <c r="H415" i="2"/>
  <c r="F415" i="2"/>
  <c r="C415" i="2"/>
  <c r="AC414" i="2"/>
  <c r="AA414" i="2"/>
  <c r="W414" i="2"/>
  <c r="X414" i="2" s="1"/>
  <c r="U414" i="2"/>
  <c r="R414" i="2"/>
  <c r="N414" i="2"/>
  <c r="L414" i="2"/>
  <c r="H414" i="2"/>
  <c r="I414" i="2" s="1"/>
  <c r="F414" i="2"/>
  <c r="C414" i="2"/>
  <c r="AD413" i="2"/>
  <c r="AC413" i="2"/>
  <c r="AA413" i="2"/>
  <c r="W413" i="2"/>
  <c r="U413" i="2"/>
  <c r="R413" i="2"/>
  <c r="O413" i="2"/>
  <c r="N413" i="2"/>
  <c r="L413" i="2"/>
  <c r="H413" i="2"/>
  <c r="I413" i="2" s="1"/>
  <c r="F413" i="2"/>
  <c r="C413" i="2"/>
  <c r="AC412" i="2"/>
  <c r="AA412" i="2"/>
  <c r="W412" i="2"/>
  <c r="U412" i="2"/>
  <c r="R412" i="2"/>
  <c r="N412" i="2"/>
  <c r="O412" i="2" s="1"/>
  <c r="L412" i="2"/>
  <c r="I412" i="2"/>
  <c r="H412" i="2"/>
  <c r="F412" i="2"/>
  <c r="C412" i="2"/>
  <c r="AC411" i="2"/>
  <c r="AD411" i="2" s="1"/>
  <c r="AA411" i="2"/>
  <c r="X411" i="2"/>
  <c r="W411" i="2"/>
  <c r="U411" i="2"/>
  <c r="R411" i="2"/>
  <c r="N411" i="2"/>
  <c r="L411" i="2"/>
  <c r="I411" i="2"/>
  <c r="H411" i="2"/>
  <c r="F411" i="2"/>
  <c r="C411" i="2"/>
  <c r="AC410" i="2"/>
  <c r="AA410" i="2"/>
  <c r="W410" i="2"/>
  <c r="X410" i="2" s="1"/>
  <c r="U410" i="2"/>
  <c r="R410" i="2"/>
  <c r="N410" i="2"/>
  <c r="L410" i="2"/>
  <c r="H410" i="2"/>
  <c r="I410" i="2" s="1"/>
  <c r="F410" i="2"/>
  <c r="C410" i="2"/>
  <c r="AD409" i="2"/>
  <c r="AC409" i="2"/>
  <c r="AA409" i="2"/>
  <c r="W409" i="2"/>
  <c r="U409" i="2"/>
  <c r="R409" i="2"/>
  <c r="O409" i="2"/>
  <c r="N409" i="2"/>
  <c r="L409" i="2"/>
  <c r="H409" i="2"/>
  <c r="I409" i="2" s="1"/>
  <c r="F409" i="2"/>
  <c r="C409" i="2"/>
  <c r="AC408" i="2"/>
  <c r="AA408" i="2"/>
  <c r="W408" i="2"/>
  <c r="U408" i="2"/>
  <c r="R408" i="2"/>
  <c r="N408" i="2"/>
  <c r="O408" i="2" s="1"/>
  <c r="L408" i="2"/>
  <c r="I408" i="2"/>
  <c r="H408" i="2"/>
  <c r="F408" i="2"/>
  <c r="C408" i="2"/>
  <c r="AC407" i="2"/>
  <c r="AD407" i="2" s="1"/>
  <c r="AA407" i="2"/>
  <c r="X407" i="2"/>
  <c r="W407" i="2"/>
  <c r="U407" i="2"/>
  <c r="R407" i="2"/>
  <c r="N407" i="2"/>
  <c r="L407" i="2"/>
  <c r="I407" i="2"/>
  <c r="H407" i="2"/>
  <c r="F407" i="2"/>
  <c r="C407" i="2"/>
  <c r="AA403" i="2"/>
  <c r="Z403" i="2"/>
  <c r="T403" i="2"/>
  <c r="U403" i="2" s="1"/>
  <c r="R403" i="2"/>
  <c r="Q403" i="2"/>
  <c r="K403" i="2"/>
  <c r="L403" i="2" s="1"/>
  <c r="E403" i="2"/>
  <c r="H403" i="2" s="1"/>
  <c r="I403" i="2" s="1"/>
  <c r="C403" i="2"/>
  <c r="B403" i="2"/>
  <c r="N403" i="2" s="1"/>
  <c r="O403" i="2" s="1"/>
  <c r="AC402" i="2"/>
  <c r="AA402" i="2"/>
  <c r="X402" i="2"/>
  <c r="W402" i="2"/>
  <c r="U402" i="2"/>
  <c r="R402" i="2"/>
  <c r="N402" i="2"/>
  <c r="L402" i="2"/>
  <c r="H402" i="2"/>
  <c r="I402" i="2" s="1"/>
  <c r="F402" i="2"/>
  <c r="C402" i="2"/>
  <c r="AC401" i="2"/>
  <c r="AA401" i="2"/>
  <c r="W401" i="2"/>
  <c r="U401" i="2"/>
  <c r="R401" i="2"/>
  <c r="N401" i="2"/>
  <c r="O401" i="2" s="1"/>
  <c r="L401" i="2"/>
  <c r="H401" i="2"/>
  <c r="I401" i="2" s="1"/>
  <c r="F401" i="2"/>
  <c r="C401" i="2"/>
  <c r="AD400" i="2"/>
  <c r="AC400" i="2"/>
  <c r="AA400" i="2"/>
  <c r="W400" i="2"/>
  <c r="U400" i="2"/>
  <c r="R400" i="2"/>
  <c r="O400" i="2"/>
  <c r="N400" i="2"/>
  <c r="L400" i="2"/>
  <c r="I400" i="2"/>
  <c r="H400" i="2"/>
  <c r="F400" i="2"/>
  <c r="C400" i="2"/>
  <c r="AC399" i="2"/>
  <c r="AD399" i="2" s="1"/>
  <c r="AA399" i="2"/>
  <c r="X399" i="2"/>
  <c r="W399" i="2"/>
  <c r="U399" i="2"/>
  <c r="R399" i="2"/>
  <c r="N399" i="2"/>
  <c r="L399" i="2"/>
  <c r="H399" i="2"/>
  <c r="I399" i="2" s="1"/>
  <c r="F399" i="2"/>
  <c r="C399" i="2"/>
  <c r="AC398" i="2"/>
  <c r="AA398" i="2"/>
  <c r="X398" i="2"/>
  <c r="W398" i="2"/>
  <c r="U398" i="2"/>
  <c r="R398" i="2"/>
  <c r="N398" i="2"/>
  <c r="L398" i="2"/>
  <c r="H398" i="2"/>
  <c r="I398" i="2" s="1"/>
  <c r="F398" i="2"/>
  <c r="C398" i="2"/>
  <c r="AC397" i="2"/>
  <c r="AA397" i="2"/>
  <c r="W397" i="2"/>
  <c r="U397" i="2"/>
  <c r="R397" i="2"/>
  <c r="N397" i="2"/>
  <c r="O397" i="2" s="1"/>
  <c r="L397" i="2"/>
  <c r="H397" i="2"/>
  <c r="I397" i="2" s="1"/>
  <c r="F397" i="2"/>
  <c r="C397" i="2"/>
  <c r="AA396" i="2"/>
  <c r="Z396" i="2"/>
  <c r="T396" i="2"/>
  <c r="U396" i="2" s="1"/>
  <c r="Q396" i="2"/>
  <c r="W396" i="2" s="1"/>
  <c r="X396" i="2" s="1"/>
  <c r="O396" i="2"/>
  <c r="K396" i="2"/>
  <c r="L396" i="2" s="1"/>
  <c r="E396" i="2"/>
  <c r="F396" i="2" s="1"/>
  <c r="C396" i="2"/>
  <c r="B396" i="2"/>
  <c r="N396" i="2" s="1"/>
  <c r="AC395" i="2"/>
  <c r="AD395" i="2" s="1"/>
  <c r="AA395" i="2"/>
  <c r="X395" i="2"/>
  <c r="W395" i="2"/>
  <c r="U395" i="2"/>
  <c r="R395" i="2"/>
  <c r="N395" i="2"/>
  <c r="L395" i="2"/>
  <c r="H395" i="2"/>
  <c r="I395" i="2" s="1"/>
  <c r="F395" i="2"/>
  <c r="C395" i="2"/>
  <c r="AC394" i="2"/>
  <c r="AA394" i="2"/>
  <c r="W394" i="2"/>
  <c r="U394" i="2"/>
  <c r="R394" i="2"/>
  <c r="O394" i="2"/>
  <c r="N394" i="2"/>
  <c r="L394" i="2"/>
  <c r="H394" i="2"/>
  <c r="I394" i="2" s="1"/>
  <c r="F394" i="2"/>
  <c r="C394" i="2"/>
  <c r="AC393" i="2"/>
  <c r="AD393" i="2" s="1"/>
  <c r="AA393" i="2"/>
  <c r="Z393" i="2"/>
  <c r="T393" i="2"/>
  <c r="U393" i="2" s="1"/>
  <c r="Q393" i="2"/>
  <c r="W393" i="2" s="1"/>
  <c r="X393" i="2" s="1"/>
  <c r="K393" i="2"/>
  <c r="L393" i="2" s="1"/>
  <c r="H393" i="2"/>
  <c r="I393" i="2" s="1"/>
  <c r="F393" i="2"/>
  <c r="E393" i="2"/>
  <c r="C393" i="2"/>
  <c r="B393" i="2"/>
  <c r="N393" i="2" s="1"/>
  <c r="O393" i="2" s="1"/>
  <c r="AC392" i="2"/>
  <c r="AA392" i="2"/>
  <c r="W392" i="2"/>
  <c r="X392" i="2" s="1"/>
  <c r="U392" i="2"/>
  <c r="R392" i="2"/>
  <c r="N392" i="2"/>
  <c r="L392" i="2"/>
  <c r="H392" i="2"/>
  <c r="I392" i="2" s="1"/>
  <c r="F392" i="2"/>
  <c r="C392" i="2"/>
  <c r="AD391" i="2"/>
  <c r="AC391" i="2"/>
  <c r="AA391" i="2"/>
  <c r="W391" i="2"/>
  <c r="U391" i="2"/>
  <c r="R391" i="2"/>
  <c r="N391" i="2"/>
  <c r="O391" i="2" s="1"/>
  <c r="L391" i="2"/>
  <c r="H391" i="2"/>
  <c r="I391" i="2" s="1"/>
  <c r="F391" i="2"/>
  <c r="C391" i="2"/>
  <c r="AC390" i="2"/>
  <c r="AD390" i="2" s="1"/>
  <c r="AA390" i="2"/>
  <c r="W390" i="2"/>
  <c r="U390" i="2"/>
  <c r="R390" i="2"/>
  <c r="O390" i="2"/>
  <c r="N390" i="2"/>
  <c r="L390" i="2"/>
  <c r="I390" i="2"/>
  <c r="H390" i="2"/>
  <c r="F390" i="2"/>
  <c r="C390" i="2"/>
  <c r="AC389" i="2"/>
  <c r="AD389" i="2" s="1"/>
  <c r="AA389" i="2"/>
  <c r="X389" i="2"/>
  <c r="W389" i="2"/>
  <c r="U389" i="2"/>
  <c r="R389" i="2"/>
  <c r="N389" i="2"/>
  <c r="L389" i="2"/>
  <c r="I389" i="2"/>
  <c r="H389" i="2"/>
  <c r="F389" i="2"/>
  <c r="C389" i="2"/>
  <c r="AC388" i="2"/>
  <c r="AA388" i="2"/>
  <c r="W388" i="2"/>
  <c r="X388" i="2" s="1"/>
  <c r="U388" i="2"/>
  <c r="R388" i="2"/>
  <c r="N388" i="2"/>
  <c r="L388" i="2"/>
  <c r="H388" i="2"/>
  <c r="I388" i="2" s="1"/>
  <c r="F388" i="2"/>
  <c r="C388" i="2"/>
  <c r="AD386" i="2"/>
  <c r="AC386" i="2"/>
  <c r="AA386" i="2"/>
  <c r="W386" i="2"/>
  <c r="U386" i="2"/>
  <c r="R386" i="2"/>
  <c r="N386" i="2"/>
  <c r="O386" i="2" s="1"/>
  <c r="L386" i="2"/>
  <c r="H386" i="2"/>
  <c r="I386" i="2" s="1"/>
  <c r="F386" i="2"/>
  <c r="C386" i="2"/>
  <c r="AC385" i="2"/>
  <c r="AD385" i="2" s="1"/>
  <c r="AA385" i="2"/>
  <c r="W385" i="2"/>
  <c r="U385" i="2"/>
  <c r="R385" i="2"/>
  <c r="O385" i="2"/>
  <c r="N385" i="2"/>
  <c r="L385" i="2"/>
  <c r="I385" i="2"/>
  <c r="H385" i="2"/>
  <c r="F385" i="2"/>
  <c r="C385" i="2"/>
  <c r="AC383" i="2"/>
  <c r="AD383" i="2" s="1"/>
  <c r="AA383" i="2"/>
  <c r="X383" i="2"/>
  <c r="W383" i="2"/>
  <c r="U383" i="2"/>
  <c r="R383" i="2"/>
  <c r="N383" i="2"/>
  <c r="L383" i="2"/>
  <c r="I383" i="2"/>
  <c r="H383" i="2"/>
  <c r="F383" i="2"/>
  <c r="C383" i="2"/>
  <c r="AC382" i="2"/>
  <c r="AA382" i="2"/>
  <c r="W382" i="2"/>
  <c r="X382" i="2" s="1"/>
  <c r="U382" i="2"/>
  <c r="R382" i="2"/>
  <c r="N382" i="2"/>
  <c r="L382" i="2"/>
  <c r="H382" i="2"/>
  <c r="I382" i="2" s="1"/>
  <c r="F382" i="2"/>
  <c r="C382" i="2"/>
  <c r="AD381" i="2"/>
  <c r="AC381" i="2"/>
  <c r="AA381" i="2"/>
  <c r="W381" i="2"/>
  <c r="U381" i="2"/>
  <c r="R381" i="2"/>
  <c r="N381" i="2"/>
  <c r="O381" i="2" s="1"/>
  <c r="L381" i="2"/>
  <c r="H381" i="2"/>
  <c r="I381" i="2" s="1"/>
  <c r="F381" i="2"/>
  <c r="C381" i="2"/>
  <c r="AC380" i="2"/>
  <c r="AD380" i="2" s="1"/>
  <c r="AA380" i="2"/>
  <c r="W380" i="2"/>
  <c r="U380" i="2"/>
  <c r="R380" i="2"/>
  <c r="O380" i="2"/>
  <c r="N380" i="2"/>
  <c r="L380" i="2"/>
  <c r="I380" i="2"/>
  <c r="H380" i="2"/>
  <c r="F380" i="2"/>
  <c r="C380" i="2"/>
  <c r="AC379" i="2"/>
  <c r="AD379" i="2" s="1"/>
  <c r="AA379" i="2"/>
  <c r="X379" i="2"/>
  <c r="W379" i="2"/>
  <c r="U379" i="2"/>
  <c r="R379" i="2"/>
  <c r="N379" i="2"/>
  <c r="L379" i="2"/>
  <c r="I379" i="2"/>
  <c r="H379" i="2"/>
  <c r="F379" i="2"/>
  <c r="C379" i="2"/>
  <c r="AC378" i="2"/>
  <c r="AA378" i="2"/>
  <c r="W378" i="2"/>
  <c r="X378" i="2" s="1"/>
  <c r="U378" i="2"/>
  <c r="R378" i="2"/>
  <c r="N378" i="2"/>
  <c r="L378" i="2"/>
  <c r="H378" i="2"/>
  <c r="I378" i="2" s="1"/>
  <c r="F378" i="2"/>
  <c r="C378" i="2"/>
  <c r="AD377" i="2"/>
  <c r="AC377" i="2"/>
  <c r="AA377" i="2"/>
  <c r="W377" i="2"/>
  <c r="U377" i="2"/>
  <c r="R377" i="2"/>
  <c r="N377" i="2"/>
  <c r="O377" i="2" s="1"/>
  <c r="L377" i="2"/>
  <c r="H377" i="2"/>
  <c r="I377" i="2" s="1"/>
  <c r="F377" i="2"/>
  <c r="C377" i="2"/>
  <c r="AC376" i="2"/>
  <c r="AD376" i="2" s="1"/>
  <c r="AA376" i="2"/>
  <c r="W376" i="2"/>
  <c r="U376" i="2"/>
  <c r="R376" i="2"/>
  <c r="O376" i="2"/>
  <c r="N376" i="2"/>
  <c r="L376" i="2"/>
  <c r="I376" i="2"/>
  <c r="H376" i="2"/>
  <c r="F376" i="2"/>
  <c r="C376" i="2"/>
  <c r="AC375" i="2"/>
  <c r="AD375" i="2" s="1"/>
  <c r="AA375" i="2"/>
  <c r="X375" i="2"/>
  <c r="W375" i="2"/>
  <c r="U375" i="2"/>
  <c r="R375" i="2"/>
  <c r="N375" i="2"/>
  <c r="L375" i="2"/>
  <c r="I375" i="2"/>
  <c r="H375" i="2"/>
  <c r="F375" i="2"/>
  <c r="C375" i="2"/>
  <c r="AC374" i="2"/>
  <c r="AA374" i="2"/>
  <c r="W374" i="2"/>
  <c r="X374" i="2" s="1"/>
  <c r="U374" i="2"/>
  <c r="R374" i="2"/>
  <c r="N374" i="2"/>
  <c r="L374" i="2"/>
  <c r="H374" i="2"/>
  <c r="I374" i="2" s="1"/>
  <c r="F374" i="2"/>
  <c r="C374" i="2"/>
  <c r="AD373" i="2"/>
  <c r="AC373" i="2"/>
  <c r="AA373" i="2"/>
  <c r="W373" i="2"/>
  <c r="U373" i="2"/>
  <c r="R373" i="2"/>
  <c r="N373" i="2"/>
  <c r="O373" i="2" s="1"/>
  <c r="L373" i="2"/>
  <c r="H373" i="2"/>
  <c r="I373" i="2" s="1"/>
  <c r="F373" i="2"/>
  <c r="C373" i="2"/>
  <c r="AC372" i="2"/>
  <c r="AD372" i="2" s="1"/>
  <c r="AA372" i="2"/>
  <c r="W372" i="2"/>
  <c r="U372" i="2"/>
  <c r="R372" i="2"/>
  <c r="O372" i="2"/>
  <c r="N372" i="2"/>
  <c r="L372" i="2"/>
  <c r="I372" i="2"/>
  <c r="H372" i="2"/>
  <c r="F372" i="2"/>
  <c r="C372" i="2"/>
  <c r="AC371" i="2"/>
  <c r="AD371" i="2" s="1"/>
  <c r="AA371" i="2"/>
  <c r="X371" i="2"/>
  <c r="W371" i="2"/>
  <c r="U371" i="2"/>
  <c r="R371" i="2"/>
  <c r="N371" i="2"/>
  <c r="L371" i="2"/>
  <c r="I371" i="2"/>
  <c r="H371" i="2"/>
  <c r="F371" i="2"/>
  <c r="C371" i="2"/>
  <c r="AC370" i="2"/>
  <c r="AA370" i="2"/>
  <c r="W370" i="2"/>
  <c r="X370" i="2" s="1"/>
  <c r="U370" i="2"/>
  <c r="R370" i="2"/>
  <c r="N370" i="2"/>
  <c r="L370" i="2"/>
  <c r="H370" i="2"/>
  <c r="I370" i="2" s="1"/>
  <c r="F370" i="2"/>
  <c r="C370" i="2"/>
  <c r="AD369" i="2"/>
  <c r="AC369" i="2"/>
  <c r="AA369" i="2"/>
  <c r="W369" i="2"/>
  <c r="U369" i="2"/>
  <c r="R369" i="2"/>
  <c r="N369" i="2"/>
  <c r="O369" i="2" s="1"/>
  <c r="L369" i="2"/>
  <c r="H369" i="2"/>
  <c r="I369" i="2" s="1"/>
  <c r="F369" i="2"/>
  <c r="C369" i="2"/>
  <c r="AA368" i="2"/>
  <c r="Z368" i="2"/>
  <c r="T368" i="2"/>
  <c r="U368" i="2" s="1"/>
  <c r="R368" i="2"/>
  <c r="Q368" i="2"/>
  <c r="K368" i="2"/>
  <c r="L368" i="2" s="1"/>
  <c r="E368" i="2"/>
  <c r="H368" i="2" s="1"/>
  <c r="I368" i="2" s="1"/>
  <c r="C368" i="2"/>
  <c r="B368" i="2"/>
  <c r="N368" i="2" s="1"/>
  <c r="O368" i="2" s="1"/>
  <c r="AC367" i="2"/>
  <c r="AD367" i="2" s="1"/>
  <c r="AA367" i="2"/>
  <c r="W367" i="2"/>
  <c r="X367" i="2" s="1"/>
  <c r="U367" i="2"/>
  <c r="R367" i="2"/>
  <c r="N367" i="2"/>
  <c r="L367" i="2"/>
  <c r="H367" i="2"/>
  <c r="I367" i="2" s="1"/>
  <c r="F367" i="2"/>
  <c r="C367" i="2"/>
  <c r="AC366" i="2"/>
  <c r="AA366" i="2"/>
  <c r="W366" i="2"/>
  <c r="U366" i="2"/>
  <c r="R366" i="2"/>
  <c r="O366" i="2"/>
  <c r="N366" i="2"/>
  <c r="L366" i="2"/>
  <c r="H366" i="2"/>
  <c r="I366" i="2" s="1"/>
  <c r="F366" i="2"/>
  <c r="C366" i="2"/>
  <c r="AC365" i="2"/>
  <c r="AD365" i="2" s="1"/>
  <c r="AA365" i="2"/>
  <c r="W365" i="2"/>
  <c r="U365" i="2"/>
  <c r="R365" i="2"/>
  <c r="N365" i="2"/>
  <c r="O365" i="2" s="1"/>
  <c r="L365" i="2"/>
  <c r="I365" i="2"/>
  <c r="H365" i="2"/>
  <c r="F365" i="2"/>
  <c r="C365" i="2"/>
  <c r="AC364" i="2"/>
  <c r="AA364" i="2"/>
  <c r="X364" i="2"/>
  <c r="W364" i="2"/>
  <c r="U364" i="2"/>
  <c r="R364" i="2"/>
  <c r="N364" i="2"/>
  <c r="L364" i="2"/>
  <c r="H364" i="2"/>
  <c r="I364" i="2" s="1"/>
  <c r="F364" i="2"/>
  <c r="C364" i="2"/>
  <c r="AC363" i="2"/>
  <c r="AD363" i="2" s="1"/>
  <c r="AA363" i="2"/>
  <c r="W363" i="2"/>
  <c r="X363" i="2" s="1"/>
  <c r="U363" i="2"/>
  <c r="R363" i="2"/>
  <c r="N363" i="2"/>
  <c r="L363" i="2"/>
  <c r="H363" i="2"/>
  <c r="I363" i="2" s="1"/>
  <c r="F363" i="2"/>
  <c r="C363" i="2"/>
  <c r="AC362" i="2"/>
  <c r="AA362" i="2"/>
  <c r="W362" i="2"/>
  <c r="U362" i="2"/>
  <c r="R362" i="2"/>
  <c r="O362" i="2"/>
  <c r="N362" i="2"/>
  <c r="L362" i="2"/>
  <c r="H362" i="2"/>
  <c r="I362" i="2" s="1"/>
  <c r="F362" i="2"/>
  <c r="C362" i="2"/>
  <c r="AC361" i="2"/>
  <c r="AD361" i="2" s="1"/>
  <c r="AA361" i="2"/>
  <c r="W361" i="2"/>
  <c r="U361" i="2"/>
  <c r="R361" i="2"/>
  <c r="N361" i="2"/>
  <c r="O361" i="2" s="1"/>
  <c r="L361" i="2"/>
  <c r="I361" i="2"/>
  <c r="H361" i="2"/>
  <c r="F361" i="2"/>
  <c r="C361" i="2"/>
  <c r="AC360" i="2"/>
  <c r="AA360" i="2"/>
  <c r="X360" i="2"/>
  <c r="W360" i="2"/>
  <c r="U360" i="2"/>
  <c r="R360" i="2"/>
  <c r="N360" i="2"/>
  <c r="L360" i="2"/>
  <c r="H360" i="2"/>
  <c r="I360" i="2" s="1"/>
  <c r="F360" i="2"/>
  <c r="C360" i="2"/>
  <c r="Z358" i="2"/>
  <c r="AA358" i="2" s="1"/>
  <c r="X358" i="2"/>
  <c r="W358" i="2"/>
  <c r="U358" i="2"/>
  <c r="T358" i="2"/>
  <c r="Q358" i="2"/>
  <c r="R358" i="2" s="1"/>
  <c r="N358" i="2"/>
  <c r="O358" i="2" s="1"/>
  <c r="K358" i="2"/>
  <c r="L358" i="2" s="1"/>
  <c r="E358" i="2"/>
  <c r="F358" i="2" s="1"/>
  <c r="B358" i="2"/>
  <c r="AC357" i="2"/>
  <c r="AD357" i="2" s="1"/>
  <c r="AA357" i="2"/>
  <c r="W357" i="2"/>
  <c r="U357" i="2"/>
  <c r="R357" i="2"/>
  <c r="N357" i="2"/>
  <c r="O357" i="2" s="1"/>
  <c r="L357" i="2"/>
  <c r="I357" i="2"/>
  <c r="H357" i="2"/>
  <c r="F357" i="2"/>
  <c r="C357" i="2"/>
  <c r="AC356" i="2"/>
  <c r="AA356" i="2"/>
  <c r="X356" i="2"/>
  <c r="W356" i="2"/>
  <c r="U356" i="2"/>
  <c r="R356" i="2"/>
  <c r="N356" i="2"/>
  <c r="L356" i="2"/>
  <c r="I356" i="2"/>
  <c r="H356" i="2"/>
  <c r="F356" i="2"/>
  <c r="C356" i="2"/>
  <c r="AC355" i="2"/>
  <c r="AD355" i="2" s="1"/>
  <c r="AA355" i="2"/>
  <c r="W355" i="2"/>
  <c r="X355" i="2" s="1"/>
  <c r="U355" i="2"/>
  <c r="R355" i="2"/>
  <c r="N355" i="2"/>
  <c r="L355" i="2"/>
  <c r="H355" i="2"/>
  <c r="I355" i="2" s="1"/>
  <c r="F355" i="2"/>
  <c r="C355" i="2"/>
  <c r="AD354" i="2"/>
  <c r="AC354" i="2"/>
  <c r="AA354" i="2"/>
  <c r="W354" i="2"/>
  <c r="U354" i="2"/>
  <c r="R354" i="2"/>
  <c r="O354" i="2"/>
  <c r="N354" i="2"/>
  <c r="L354" i="2"/>
  <c r="H354" i="2"/>
  <c r="I354" i="2" s="1"/>
  <c r="F354" i="2"/>
  <c r="C354" i="2"/>
  <c r="AC353" i="2"/>
  <c r="AD353" i="2" s="1"/>
  <c r="AA353" i="2"/>
  <c r="W353" i="2"/>
  <c r="U353" i="2"/>
  <c r="R353" i="2"/>
  <c r="N353" i="2"/>
  <c r="O353" i="2" s="1"/>
  <c r="L353" i="2"/>
  <c r="I353" i="2"/>
  <c r="H353" i="2"/>
  <c r="F353" i="2"/>
  <c r="C353" i="2"/>
  <c r="AC352" i="2"/>
  <c r="AA352" i="2"/>
  <c r="X352" i="2"/>
  <c r="W352" i="2"/>
  <c r="U352" i="2"/>
  <c r="R352" i="2"/>
  <c r="N352" i="2"/>
  <c r="L352" i="2"/>
  <c r="I352" i="2"/>
  <c r="H352" i="2"/>
  <c r="F352" i="2"/>
  <c r="C352" i="2"/>
  <c r="AC351" i="2"/>
  <c r="AD351" i="2" s="1"/>
  <c r="AA351" i="2"/>
  <c r="W351" i="2"/>
  <c r="X351" i="2" s="1"/>
  <c r="U351" i="2"/>
  <c r="R351" i="2"/>
  <c r="N351" i="2"/>
  <c r="L351" i="2"/>
  <c r="H351" i="2"/>
  <c r="I351" i="2" s="1"/>
  <c r="F351" i="2"/>
  <c r="C351" i="2"/>
  <c r="AD350" i="2"/>
  <c r="AC350" i="2"/>
  <c r="AA350" i="2"/>
  <c r="W350" i="2"/>
  <c r="U350" i="2"/>
  <c r="R350" i="2"/>
  <c r="O350" i="2"/>
  <c r="N350" i="2"/>
  <c r="L350" i="2"/>
  <c r="H350" i="2"/>
  <c r="I350" i="2" s="1"/>
  <c r="F350" i="2"/>
  <c r="C350" i="2"/>
  <c r="AC349" i="2"/>
  <c r="AD349" i="2" s="1"/>
  <c r="AA349" i="2"/>
  <c r="W349" i="2"/>
  <c r="U349" i="2"/>
  <c r="R349" i="2"/>
  <c r="N349" i="2"/>
  <c r="O349" i="2" s="1"/>
  <c r="L349" i="2"/>
  <c r="I349" i="2"/>
  <c r="H349" i="2"/>
  <c r="F349" i="2"/>
  <c r="C349" i="2"/>
  <c r="AC347" i="2"/>
  <c r="AA347" i="2"/>
  <c r="X347" i="2"/>
  <c r="W347" i="2"/>
  <c r="U347" i="2"/>
  <c r="R347" i="2"/>
  <c r="N347" i="2"/>
  <c r="L347" i="2"/>
  <c r="I347" i="2"/>
  <c r="H347" i="2"/>
  <c r="F347" i="2"/>
  <c r="C347" i="2"/>
  <c r="AD344" i="2"/>
  <c r="AC344" i="2"/>
  <c r="AA344" i="2"/>
  <c r="Z344" i="2"/>
  <c r="T344" i="2"/>
  <c r="U344" i="2" s="1"/>
  <c r="R344" i="2"/>
  <c r="Q344" i="2"/>
  <c r="O344" i="2"/>
  <c r="K344" i="2"/>
  <c r="L344" i="2" s="1"/>
  <c r="H344" i="2"/>
  <c r="I344" i="2" s="1"/>
  <c r="F344" i="2"/>
  <c r="E344" i="2"/>
  <c r="C344" i="2"/>
  <c r="B344" i="2"/>
  <c r="N344" i="2" s="1"/>
  <c r="Z343" i="2"/>
  <c r="AA343" i="2" s="1"/>
  <c r="W343" i="2"/>
  <c r="X343" i="2" s="1"/>
  <c r="U343" i="2"/>
  <c r="T343" i="2"/>
  <c r="Q343" i="2"/>
  <c r="R343" i="2" s="1"/>
  <c r="L343" i="2"/>
  <c r="K343" i="2"/>
  <c r="E343" i="2"/>
  <c r="F343" i="2" s="1"/>
  <c r="B343" i="2"/>
  <c r="AA342" i="2"/>
  <c r="Z342" i="2"/>
  <c r="T342" i="2"/>
  <c r="U342" i="2" s="1"/>
  <c r="Q342" i="2"/>
  <c r="W342" i="2" s="1"/>
  <c r="X342" i="2" s="1"/>
  <c r="K342" i="2"/>
  <c r="L342" i="2" s="1"/>
  <c r="E342" i="2"/>
  <c r="F342" i="2" s="1"/>
  <c r="C342" i="2"/>
  <c r="B342" i="2"/>
  <c r="N342" i="2" s="1"/>
  <c r="O342" i="2" s="1"/>
  <c r="AC341" i="2"/>
  <c r="AD341" i="2" s="1"/>
  <c r="AA341" i="2"/>
  <c r="X341" i="2"/>
  <c r="W341" i="2"/>
  <c r="U341" i="2"/>
  <c r="R341" i="2"/>
  <c r="N341" i="2"/>
  <c r="L341" i="2"/>
  <c r="H341" i="2"/>
  <c r="I341" i="2" s="1"/>
  <c r="F341" i="2"/>
  <c r="C341" i="2"/>
  <c r="AC340" i="2"/>
  <c r="AA340" i="2"/>
  <c r="W340" i="2"/>
  <c r="U340" i="2"/>
  <c r="R340" i="2"/>
  <c r="N340" i="2"/>
  <c r="O340" i="2" s="1"/>
  <c r="L340" i="2"/>
  <c r="H340" i="2"/>
  <c r="I340" i="2" s="1"/>
  <c r="F340" i="2"/>
  <c r="C340" i="2"/>
  <c r="AC339" i="2"/>
  <c r="AD339" i="2" s="1"/>
  <c r="AA339" i="2"/>
  <c r="W339" i="2"/>
  <c r="U339" i="2"/>
  <c r="R339" i="2"/>
  <c r="O339" i="2"/>
  <c r="N339" i="2"/>
  <c r="L339" i="2"/>
  <c r="I339" i="2"/>
  <c r="H339" i="2"/>
  <c r="F339" i="2"/>
  <c r="C339" i="2"/>
  <c r="AC338" i="2"/>
  <c r="AA338" i="2"/>
  <c r="W338" i="2"/>
  <c r="X338" i="2" s="1"/>
  <c r="U338" i="2"/>
  <c r="R338" i="2"/>
  <c r="N338" i="2"/>
  <c r="L338" i="2"/>
  <c r="H338" i="2"/>
  <c r="I338" i="2" s="1"/>
  <c r="F338" i="2"/>
  <c r="C338" i="2"/>
  <c r="AC337" i="2"/>
  <c r="AD337" i="2" s="1"/>
  <c r="AA337" i="2"/>
  <c r="X337" i="2"/>
  <c r="W337" i="2"/>
  <c r="U337" i="2"/>
  <c r="R337" i="2"/>
  <c r="N337" i="2"/>
  <c r="L337" i="2"/>
  <c r="H337" i="2"/>
  <c r="I337" i="2" s="1"/>
  <c r="F337" i="2"/>
  <c r="C337" i="2"/>
  <c r="AC335" i="2"/>
  <c r="AA335" i="2"/>
  <c r="W335" i="2"/>
  <c r="U335" i="2"/>
  <c r="R335" i="2"/>
  <c r="N335" i="2"/>
  <c r="O335" i="2" s="1"/>
  <c r="L335" i="2"/>
  <c r="H335" i="2"/>
  <c r="I335" i="2" s="1"/>
  <c r="F335" i="2"/>
  <c r="C335" i="2"/>
  <c r="AC334" i="2"/>
  <c r="AD334" i="2" s="1"/>
  <c r="AA334" i="2"/>
  <c r="W334" i="2"/>
  <c r="U334" i="2"/>
  <c r="R334" i="2"/>
  <c r="O334" i="2"/>
  <c r="N334" i="2"/>
  <c r="L334" i="2"/>
  <c r="I334" i="2"/>
  <c r="H334" i="2"/>
  <c r="F334" i="2"/>
  <c r="C334" i="2"/>
  <c r="AC333" i="2"/>
  <c r="AA333" i="2"/>
  <c r="W333" i="2"/>
  <c r="X333" i="2" s="1"/>
  <c r="U333" i="2"/>
  <c r="R333" i="2"/>
  <c r="N333" i="2"/>
  <c r="L333" i="2"/>
  <c r="H333" i="2"/>
  <c r="I333" i="2" s="1"/>
  <c r="F333" i="2"/>
  <c r="C333" i="2"/>
  <c r="AC332" i="2"/>
  <c r="AD332" i="2" s="1"/>
  <c r="AA332" i="2"/>
  <c r="X332" i="2"/>
  <c r="W332" i="2"/>
  <c r="U332" i="2"/>
  <c r="R332" i="2"/>
  <c r="N332" i="2"/>
  <c r="L332" i="2"/>
  <c r="H332" i="2"/>
  <c r="I332" i="2" s="1"/>
  <c r="F332" i="2"/>
  <c r="C332" i="2"/>
  <c r="AC331" i="2"/>
  <c r="AA331" i="2"/>
  <c r="W331" i="2"/>
  <c r="U331" i="2"/>
  <c r="R331" i="2"/>
  <c r="N331" i="2"/>
  <c r="O331" i="2" s="1"/>
  <c r="L331" i="2"/>
  <c r="H331" i="2"/>
  <c r="I331" i="2" s="1"/>
  <c r="F331" i="2"/>
  <c r="C331" i="2"/>
  <c r="AC330" i="2"/>
  <c r="AD330" i="2" s="1"/>
  <c r="AA330" i="2"/>
  <c r="W330" i="2"/>
  <c r="U330" i="2"/>
  <c r="R330" i="2"/>
  <c r="O330" i="2"/>
  <c r="N330" i="2"/>
  <c r="L330" i="2"/>
  <c r="I330" i="2"/>
  <c r="H330" i="2"/>
  <c r="F330" i="2"/>
  <c r="C330" i="2"/>
  <c r="AC329" i="2"/>
  <c r="AA329" i="2"/>
  <c r="W329" i="2"/>
  <c r="X329" i="2" s="1"/>
  <c r="U329" i="2"/>
  <c r="R329" i="2"/>
  <c r="N329" i="2"/>
  <c r="L329" i="2"/>
  <c r="H329" i="2"/>
  <c r="I329" i="2" s="1"/>
  <c r="F329" i="2"/>
  <c r="C329" i="2"/>
  <c r="AC328" i="2"/>
  <c r="AD328" i="2" s="1"/>
  <c r="AA328" i="2"/>
  <c r="X328" i="2"/>
  <c r="W328" i="2"/>
  <c r="U328" i="2"/>
  <c r="R328" i="2"/>
  <c r="N328" i="2"/>
  <c r="L328" i="2"/>
  <c r="H328" i="2"/>
  <c r="I328" i="2" s="1"/>
  <c r="F328" i="2"/>
  <c r="C328" i="2"/>
  <c r="Z325" i="2"/>
  <c r="AA325" i="2" s="1"/>
  <c r="T325" i="2"/>
  <c r="W325" i="2" s="1"/>
  <c r="X325" i="2" s="1"/>
  <c r="R325" i="2"/>
  <c r="Q325" i="2"/>
  <c r="AC325" i="2" s="1"/>
  <c r="AD325" i="2" s="1"/>
  <c r="K325" i="2"/>
  <c r="L325" i="2" s="1"/>
  <c r="H325" i="2"/>
  <c r="I325" i="2" s="1"/>
  <c r="F325" i="2"/>
  <c r="E325" i="2"/>
  <c r="B325" i="2"/>
  <c r="C325" i="2" s="1"/>
  <c r="Z324" i="2"/>
  <c r="AC324" i="2" s="1"/>
  <c r="AD324" i="2" s="1"/>
  <c r="T324" i="2"/>
  <c r="U324" i="2" s="1"/>
  <c r="Q324" i="2"/>
  <c r="N324" i="2"/>
  <c r="O324" i="2" s="1"/>
  <c r="L324" i="2"/>
  <c r="K324" i="2"/>
  <c r="E324" i="2"/>
  <c r="F324" i="2" s="1"/>
  <c r="B324" i="2"/>
  <c r="C324" i="2" s="1"/>
  <c r="AC323" i="2"/>
  <c r="AA323" i="2"/>
  <c r="W323" i="2"/>
  <c r="U323" i="2"/>
  <c r="R323" i="2"/>
  <c r="N323" i="2"/>
  <c r="O323" i="2" s="1"/>
  <c r="L323" i="2"/>
  <c r="H323" i="2"/>
  <c r="I323" i="2" s="1"/>
  <c r="F323" i="2"/>
  <c r="C323" i="2"/>
  <c r="AC322" i="2"/>
  <c r="AD322" i="2" s="1"/>
  <c r="AA322" i="2"/>
  <c r="W322" i="2"/>
  <c r="U322" i="2"/>
  <c r="R322" i="2"/>
  <c r="N322" i="2"/>
  <c r="O322" i="2" s="1"/>
  <c r="L322" i="2"/>
  <c r="I322" i="2"/>
  <c r="H322" i="2"/>
  <c r="F322" i="2"/>
  <c r="C322" i="2"/>
  <c r="AC321" i="2"/>
  <c r="AA321" i="2"/>
  <c r="X321" i="2"/>
  <c r="W321" i="2"/>
  <c r="U321" i="2"/>
  <c r="R321" i="2"/>
  <c r="N321" i="2"/>
  <c r="L321" i="2"/>
  <c r="H321" i="2"/>
  <c r="I321" i="2" s="1"/>
  <c r="F321" i="2"/>
  <c r="C321" i="2"/>
  <c r="AC320" i="2"/>
  <c r="AD320" i="2" s="1"/>
  <c r="AA320" i="2"/>
  <c r="W320" i="2"/>
  <c r="X320" i="2" s="1"/>
  <c r="U320" i="2"/>
  <c r="R320" i="2"/>
  <c r="N320" i="2"/>
  <c r="L320" i="2"/>
  <c r="H320" i="2"/>
  <c r="I320" i="2" s="1"/>
  <c r="F320" i="2"/>
  <c r="C320" i="2"/>
  <c r="AC319" i="2"/>
  <c r="AA319" i="2"/>
  <c r="W319" i="2"/>
  <c r="U319" i="2"/>
  <c r="R319" i="2"/>
  <c r="N319" i="2"/>
  <c r="O319" i="2" s="1"/>
  <c r="L319" i="2"/>
  <c r="H319" i="2"/>
  <c r="I319" i="2" s="1"/>
  <c r="F319" i="2"/>
  <c r="C319" i="2"/>
  <c r="AC318" i="2"/>
  <c r="AD318" i="2" s="1"/>
  <c r="AA318" i="2"/>
  <c r="W318" i="2"/>
  <c r="U318" i="2"/>
  <c r="R318" i="2"/>
  <c r="N318" i="2"/>
  <c r="O318" i="2" s="1"/>
  <c r="L318" i="2"/>
  <c r="I318" i="2"/>
  <c r="H318" i="2"/>
  <c r="F318" i="2"/>
  <c r="C318" i="2"/>
  <c r="AC317" i="2"/>
  <c r="AA317" i="2"/>
  <c r="X317" i="2"/>
  <c r="W317" i="2"/>
  <c r="U317" i="2"/>
  <c r="R317" i="2"/>
  <c r="N317" i="2"/>
  <c r="L317" i="2"/>
  <c r="H317" i="2"/>
  <c r="I317" i="2" s="1"/>
  <c r="F317" i="2"/>
  <c r="C317" i="2"/>
  <c r="AC316" i="2"/>
  <c r="AD316" i="2" s="1"/>
  <c r="AA316" i="2"/>
  <c r="W316" i="2"/>
  <c r="X316" i="2" s="1"/>
  <c r="U316" i="2"/>
  <c r="R316" i="2"/>
  <c r="N316" i="2"/>
  <c r="L316" i="2"/>
  <c r="H316" i="2"/>
  <c r="I316" i="2" s="1"/>
  <c r="F316" i="2"/>
  <c r="C316" i="2"/>
  <c r="AC315" i="2"/>
  <c r="AA315" i="2"/>
  <c r="W315" i="2"/>
  <c r="U315" i="2"/>
  <c r="R315" i="2"/>
  <c r="N315" i="2"/>
  <c r="O315" i="2" s="1"/>
  <c r="L315" i="2"/>
  <c r="H315" i="2"/>
  <c r="I315" i="2" s="1"/>
  <c r="F315" i="2"/>
  <c r="C315" i="2"/>
  <c r="AC314" i="2"/>
  <c r="AD314" i="2" s="1"/>
  <c r="AA314" i="2"/>
  <c r="W314" i="2"/>
  <c r="U314" i="2"/>
  <c r="R314" i="2"/>
  <c r="N314" i="2"/>
  <c r="O314" i="2" s="1"/>
  <c r="L314" i="2"/>
  <c r="I314" i="2"/>
  <c r="H314" i="2"/>
  <c r="F314" i="2"/>
  <c r="C314" i="2"/>
  <c r="AC313" i="2"/>
  <c r="AA313" i="2"/>
  <c r="X313" i="2"/>
  <c r="W313" i="2"/>
  <c r="U313" i="2"/>
  <c r="R313" i="2"/>
  <c r="N313" i="2"/>
  <c r="L313" i="2"/>
  <c r="H313" i="2"/>
  <c r="I313" i="2" s="1"/>
  <c r="F313" i="2"/>
  <c r="C313" i="2"/>
  <c r="AC312" i="2"/>
  <c r="AD312" i="2" s="1"/>
  <c r="AA312" i="2"/>
  <c r="W312" i="2"/>
  <c r="X312" i="2" s="1"/>
  <c r="U312" i="2"/>
  <c r="R312" i="2"/>
  <c r="N312" i="2"/>
  <c r="L312" i="2"/>
  <c r="H312" i="2"/>
  <c r="I312" i="2" s="1"/>
  <c r="F312" i="2"/>
  <c r="C312" i="2"/>
  <c r="AC311" i="2"/>
  <c r="AA311" i="2"/>
  <c r="W311" i="2"/>
  <c r="U311" i="2"/>
  <c r="R311" i="2"/>
  <c r="N311" i="2"/>
  <c r="O311" i="2" s="1"/>
  <c r="L311" i="2"/>
  <c r="H311" i="2"/>
  <c r="I311" i="2" s="1"/>
  <c r="F311" i="2"/>
  <c r="C311" i="2"/>
  <c r="AC310" i="2"/>
  <c r="AD310" i="2" s="1"/>
  <c r="AA310" i="2"/>
  <c r="W310" i="2"/>
  <c r="U310" i="2"/>
  <c r="R310" i="2"/>
  <c r="N310" i="2"/>
  <c r="O310" i="2" s="1"/>
  <c r="L310" i="2"/>
  <c r="I310" i="2"/>
  <c r="H310" i="2"/>
  <c r="F310" i="2"/>
  <c r="C310" i="2"/>
  <c r="AC309" i="2"/>
  <c r="AA309" i="2"/>
  <c r="X309" i="2"/>
  <c r="W309" i="2"/>
  <c r="U309" i="2"/>
  <c r="R309" i="2"/>
  <c r="N309" i="2"/>
  <c r="L309" i="2"/>
  <c r="H309" i="2"/>
  <c r="I309" i="2" s="1"/>
  <c r="F309" i="2"/>
  <c r="C309" i="2"/>
  <c r="AC308" i="2"/>
  <c r="AD308" i="2" s="1"/>
  <c r="AA308" i="2"/>
  <c r="W308" i="2"/>
  <c r="X308" i="2" s="1"/>
  <c r="U308" i="2"/>
  <c r="R308" i="2"/>
  <c r="N308" i="2"/>
  <c r="L308" i="2"/>
  <c r="H308" i="2"/>
  <c r="I308" i="2" s="1"/>
  <c r="F308" i="2"/>
  <c r="C308" i="2"/>
  <c r="AC307" i="2"/>
  <c r="AA307" i="2"/>
  <c r="W307" i="2"/>
  <c r="U307" i="2"/>
  <c r="R307" i="2"/>
  <c r="N307" i="2"/>
  <c r="O307" i="2" s="1"/>
  <c r="L307" i="2"/>
  <c r="H307" i="2"/>
  <c r="I307" i="2" s="1"/>
  <c r="F307" i="2"/>
  <c r="C307" i="2"/>
  <c r="AC306" i="2"/>
  <c r="AD306" i="2" s="1"/>
  <c r="AA306" i="2"/>
  <c r="W306" i="2"/>
  <c r="U306" i="2"/>
  <c r="R306" i="2"/>
  <c r="N306" i="2"/>
  <c r="O306" i="2" s="1"/>
  <c r="L306" i="2"/>
  <c r="I306" i="2"/>
  <c r="H306" i="2"/>
  <c r="F306" i="2"/>
  <c r="C306" i="2"/>
  <c r="AC305" i="2"/>
  <c r="AA305" i="2"/>
  <c r="X305" i="2"/>
  <c r="W305" i="2"/>
  <c r="U305" i="2"/>
  <c r="R305" i="2"/>
  <c r="N305" i="2"/>
  <c r="L305" i="2"/>
  <c r="H305" i="2"/>
  <c r="I305" i="2" s="1"/>
  <c r="F305" i="2"/>
  <c r="C305" i="2"/>
  <c r="AC304" i="2"/>
  <c r="AD304" i="2" s="1"/>
  <c r="AA304" i="2"/>
  <c r="W304" i="2"/>
  <c r="X304" i="2" s="1"/>
  <c r="U304" i="2"/>
  <c r="R304" i="2"/>
  <c r="N304" i="2"/>
  <c r="L304" i="2"/>
  <c r="H304" i="2"/>
  <c r="I304" i="2" s="1"/>
  <c r="F304" i="2"/>
  <c r="C304" i="2"/>
  <c r="AC303" i="2"/>
  <c r="AA303" i="2"/>
  <c r="W303" i="2"/>
  <c r="U303" i="2"/>
  <c r="R303" i="2"/>
  <c r="N303" i="2"/>
  <c r="O303" i="2" s="1"/>
  <c r="L303" i="2"/>
  <c r="H303" i="2"/>
  <c r="I303" i="2" s="1"/>
  <c r="F303" i="2"/>
  <c r="C303" i="2"/>
  <c r="AC302" i="2"/>
  <c r="AD302" i="2" s="1"/>
  <c r="AA302" i="2"/>
  <c r="W302" i="2"/>
  <c r="U302" i="2"/>
  <c r="R302" i="2"/>
  <c r="N302" i="2"/>
  <c r="O302" i="2" s="1"/>
  <c r="L302" i="2"/>
  <c r="I302" i="2"/>
  <c r="H302" i="2"/>
  <c r="F302" i="2"/>
  <c r="C302" i="2"/>
  <c r="AC301" i="2"/>
  <c r="AA301" i="2"/>
  <c r="X301" i="2"/>
  <c r="W301" i="2"/>
  <c r="U301" i="2"/>
  <c r="R301" i="2"/>
  <c r="N301" i="2"/>
  <c r="L301" i="2"/>
  <c r="H301" i="2"/>
  <c r="I301" i="2" s="1"/>
  <c r="F301" i="2"/>
  <c r="C301" i="2"/>
  <c r="AC300" i="2"/>
  <c r="AD300" i="2" s="1"/>
  <c r="AA300" i="2"/>
  <c r="W300" i="2"/>
  <c r="X300" i="2" s="1"/>
  <c r="U300" i="2"/>
  <c r="R300" i="2"/>
  <c r="N300" i="2"/>
  <c r="L300" i="2"/>
  <c r="H300" i="2"/>
  <c r="I300" i="2" s="1"/>
  <c r="F300" i="2"/>
  <c r="C300" i="2"/>
  <c r="AC299" i="2"/>
  <c r="AA299" i="2"/>
  <c r="W299" i="2"/>
  <c r="U299" i="2"/>
  <c r="R299" i="2"/>
  <c r="N299" i="2"/>
  <c r="O299" i="2" s="1"/>
  <c r="L299" i="2"/>
  <c r="H299" i="2"/>
  <c r="I299" i="2" s="1"/>
  <c r="F299" i="2"/>
  <c r="C299" i="2"/>
  <c r="AC298" i="2"/>
  <c r="AD298" i="2" s="1"/>
  <c r="AA298" i="2"/>
  <c r="W298" i="2"/>
  <c r="U298" i="2"/>
  <c r="R298" i="2"/>
  <c r="N298" i="2"/>
  <c r="O298" i="2" s="1"/>
  <c r="L298" i="2"/>
  <c r="I298" i="2"/>
  <c r="H298" i="2"/>
  <c r="F298" i="2"/>
  <c r="C298" i="2"/>
  <c r="AC297" i="2"/>
  <c r="AA297" i="2"/>
  <c r="X297" i="2"/>
  <c r="W297" i="2"/>
  <c r="U297" i="2"/>
  <c r="R297" i="2"/>
  <c r="N297" i="2"/>
  <c r="L297" i="2"/>
  <c r="H297" i="2"/>
  <c r="I297" i="2" s="1"/>
  <c r="F297" i="2"/>
  <c r="C297" i="2"/>
  <c r="Z295" i="2"/>
  <c r="AA295" i="2" s="1"/>
  <c r="W295" i="2"/>
  <c r="X295" i="2" s="1"/>
  <c r="U295" i="2"/>
  <c r="T295" i="2"/>
  <c r="Q295" i="2"/>
  <c r="R295" i="2" s="1"/>
  <c r="K295" i="2"/>
  <c r="N295" i="2" s="1"/>
  <c r="O295" i="2" s="1"/>
  <c r="E295" i="2"/>
  <c r="F295" i="2" s="1"/>
  <c r="B295" i="2"/>
  <c r="AC294" i="2"/>
  <c r="AD294" i="2" s="1"/>
  <c r="AA294" i="2"/>
  <c r="W294" i="2"/>
  <c r="U294" i="2"/>
  <c r="R294" i="2"/>
  <c r="N294" i="2"/>
  <c r="O294" i="2" s="1"/>
  <c r="L294" i="2"/>
  <c r="I294" i="2"/>
  <c r="H294" i="2"/>
  <c r="F294" i="2"/>
  <c r="C294" i="2"/>
  <c r="AC293" i="2"/>
  <c r="AA293" i="2"/>
  <c r="X293" i="2"/>
  <c r="W293" i="2"/>
  <c r="U293" i="2"/>
  <c r="R293" i="2"/>
  <c r="N293" i="2"/>
  <c r="L293" i="2"/>
  <c r="H293" i="2"/>
  <c r="I293" i="2" s="1"/>
  <c r="F293" i="2"/>
  <c r="C293" i="2"/>
  <c r="AC292" i="2"/>
  <c r="AD292" i="2" s="1"/>
  <c r="AA292" i="2"/>
  <c r="W292" i="2"/>
  <c r="X292" i="2" s="1"/>
  <c r="U292" i="2"/>
  <c r="R292" i="2"/>
  <c r="N292" i="2"/>
  <c r="L292" i="2"/>
  <c r="H292" i="2"/>
  <c r="I292" i="2" s="1"/>
  <c r="F292" i="2"/>
  <c r="C292" i="2"/>
  <c r="AD291" i="2"/>
  <c r="AC291" i="2"/>
  <c r="AA291" i="2"/>
  <c r="W291" i="2"/>
  <c r="U291" i="2"/>
  <c r="R291" i="2"/>
  <c r="N291" i="2"/>
  <c r="O291" i="2" s="1"/>
  <c r="L291" i="2"/>
  <c r="H291" i="2"/>
  <c r="I291" i="2" s="1"/>
  <c r="F291" i="2"/>
  <c r="C291" i="2"/>
  <c r="AC290" i="2"/>
  <c r="AD290" i="2" s="1"/>
  <c r="AA290" i="2"/>
  <c r="W290" i="2"/>
  <c r="U290" i="2"/>
  <c r="R290" i="2"/>
  <c r="N290" i="2"/>
  <c r="O290" i="2" s="1"/>
  <c r="L290" i="2"/>
  <c r="I290" i="2"/>
  <c r="H290" i="2"/>
  <c r="F290" i="2"/>
  <c r="C290" i="2"/>
  <c r="AC289" i="2"/>
  <c r="AA289" i="2"/>
  <c r="X289" i="2"/>
  <c r="W289" i="2"/>
  <c r="U289" i="2"/>
  <c r="R289" i="2"/>
  <c r="N289" i="2"/>
  <c r="L289" i="2"/>
  <c r="H289" i="2"/>
  <c r="I289" i="2" s="1"/>
  <c r="F289" i="2"/>
  <c r="C289" i="2"/>
  <c r="AC288" i="2"/>
  <c r="AD288" i="2" s="1"/>
  <c r="AA288" i="2"/>
  <c r="W288" i="2"/>
  <c r="X288" i="2" s="1"/>
  <c r="U288" i="2"/>
  <c r="R288" i="2"/>
  <c r="N288" i="2"/>
  <c r="L288" i="2"/>
  <c r="H288" i="2"/>
  <c r="I288" i="2" s="1"/>
  <c r="F288" i="2"/>
  <c r="C288" i="2"/>
  <c r="AD287" i="2"/>
  <c r="AC287" i="2"/>
  <c r="AA287" i="2"/>
  <c r="W287" i="2"/>
  <c r="U287" i="2"/>
  <c r="R287" i="2"/>
  <c r="N287" i="2"/>
  <c r="O287" i="2" s="1"/>
  <c r="L287" i="2"/>
  <c r="H287" i="2"/>
  <c r="I287" i="2" s="1"/>
  <c r="F287" i="2"/>
  <c r="C287" i="2"/>
  <c r="AC286" i="2"/>
  <c r="AD286" i="2" s="1"/>
  <c r="AA286" i="2"/>
  <c r="W286" i="2"/>
  <c r="U286" i="2"/>
  <c r="R286" i="2"/>
  <c r="N286" i="2"/>
  <c r="O286" i="2" s="1"/>
  <c r="L286" i="2"/>
  <c r="I286" i="2"/>
  <c r="H286" i="2"/>
  <c r="F286" i="2"/>
  <c r="C286" i="2"/>
  <c r="Z284" i="2"/>
  <c r="AA284" i="2" s="1"/>
  <c r="T284" i="2"/>
  <c r="U284" i="2" s="1"/>
  <c r="Q284" i="2"/>
  <c r="AC284" i="2" s="1"/>
  <c r="AD284" i="2" s="1"/>
  <c r="N284" i="2"/>
  <c r="O284" i="2" s="1"/>
  <c r="L284" i="2"/>
  <c r="K284" i="2"/>
  <c r="E284" i="2"/>
  <c r="F284" i="2" s="1"/>
  <c r="B284" i="2"/>
  <c r="H284" i="2" s="1"/>
  <c r="I284" i="2" s="1"/>
  <c r="AD283" i="2"/>
  <c r="AC283" i="2"/>
  <c r="AA283" i="2"/>
  <c r="W283" i="2"/>
  <c r="U283" i="2"/>
  <c r="R283" i="2"/>
  <c r="N283" i="2"/>
  <c r="O283" i="2" s="1"/>
  <c r="L283" i="2"/>
  <c r="H283" i="2"/>
  <c r="I283" i="2" s="1"/>
  <c r="F283" i="2"/>
  <c r="C283" i="2"/>
  <c r="AC282" i="2"/>
  <c r="AD282" i="2" s="1"/>
  <c r="AA282" i="2"/>
  <c r="W282" i="2"/>
  <c r="U282" i="2"/>
  <c r="R282" i="2"/>
  <c r="O282" i="2"/>
  <c r="N282" i="2"/>
  <c r="L282" i="2"/>
  <c r="I282" i="2"/>
  <c r="H282" i="2"/>
  <c r="F282" i="2"/>
  <c r="C282" i="2"/>
  <c r="AC281" i="2"/>
  <c r="AD281" i="2" s="1"/>
  <c r="AA281" i="2"/>
  <c r="W281" i="2"/>
  <c r="X281" i="2" s="1"/>
  <c r="U281" i="2"/>
  <c r="R281" i="2"/>
  <c r="N281" i="2"/>
  <c r="L281" i="2"/>
  <c r="H281" i="2"/>
  <c r="I281" i="2" s="1"/>
  <c r="F281" i="2"/>
  <c r="C281" i="2"/>
  <c r="AC280" i="2"/>
  <c r="AA280" i="2"/>
  <c r="X280" i="2"/>
  <c r="W280" i="2"/>
  <c r="U280" i="2"/>
  <c r="R280" i="2"/>
  <c r="N280" i="2"/>
  <c r="L280" i="2"/>
  <c r="H280" i="2"/>
  <c r="I280" i="2" s="1"/>
  <c r="F280" i="2"/>
  <c r="C280" i="2"/>
  <c r="AD279" i="2"/>
  <c r="AC279" i="2"/>
  <c r="AA279" i="2"/>
  <c r="W279" i="2"/>
  <c r="U279" i="2"/>
  <c r="R279" i="2"/>
  <c r="N279" i="2"/>
  <c r="O279" i="2" s="1"/>
  <c r="L279" i="2"/>
  <c r="H279" i="2"/>
  <c r="I279" i="2" s="1"/>
  <c r="F279" i="2"/>
  <c r="C279" i="2"/>
  <c r="AC278" i="2"/>
  <c r="AD278" i="2" s="1"/>
  <c r="AA278" i="2"/>
  <c r="W278" i="2"/>
  <c r="U278" i="2"/>
  <c r="R278" i="2"/>
  <c r="O278" i="2"/>
  <c r="N278" i="2"/>
  <c r="L278" i="2"/>
  <c r="I278" i="2"/>
  <c r="H278" i="2"/>
  <c r="F278" i="2"/>
  <c r="C278" i="2"/>
  <c r="AC277" i="2"/>
  <c r="AD277" i="2" s="1"/>
  <c r="AA277" i="2"/>
  <c r="W277" i="2"/>
  <c r="X277" i="2" s="1"/>
  <c r="U277" i="2"/>
  <c r="R277" i="2"/>
  <c r="N277" i="2"/>
  <c r="L277" i="2"/>
  <c r="H277" i="2"/>
  <c r="I277" i="2" s="1"/>
  <c r="F277" i="2"/>
  <c r="C277" i="2"/>
  <c r="AC276" i="2"/>
  <c r="AA276" i="2"/>
  <c r="X276" i="2"/>
  <c r="W276" i="2"/>
  <c r="U276" i="2"/>
  <c r="R276" i="2"/>
  <c r="N276" i="2"/>
  <c r="L276" i="2"/>
  <c r="H276" i="2"/>
  <c r="I276" i="2" s="1"/>
  <c r="F276" i="2"/>
  <c r="C276" i="2"/>
  <c r="AD275" i="2"/>
  <c r="AC275" i="2"/>
  <c r="AA275" i="2"/>
  <c r="W275" i="2"/>
  <c r="U275" i="2"/>
  <c r="R275" i="2"/>
  <c r="N275" i="2"/>
  <c r="O275" i="2" s="1"/>
  <c r="L275" i="2"/>
  <c r="H275" i="2"/>
  <c r="I275" i="2" s="1"/>
  <c r="F275" i="2"/>
  <c r="C275" i="2"/>
  <c r="AA273" i="2"/>
  <c r="Z273" i="2"/>
  <c r="T273" i="2"/>
  <c r="U273" i="2" s="1"/>
  <c r="Q273" i="2"/>
  <c r="W273" i="2" s="1"/>
  <c r="X273" i="2" s="1"/>
  <c r="K273" i="2"/>
  <c r="L273" i="2" s="1"/>
  <c r="E273" i="2"/>
  <c r="H273" i="2" s="1"/>
  <c r="I273" i="2" s="1"/>
  <c r="C273" i="2"/>
  <c r="B273" i="2"/>
  <c r="N273" i="2" s="1"/>
  <c r="O273" i="2" s="1"/>
  <c r="AC272" i="2"/>
  <c r="AD272" i="2" s="1"/>
  <c r="AA272" i="2"/>
  <c r="W272" i="2"/>
  <c r="X272" i="2" s="1"/>
  <c r="U272" i="2"/>
  <c r="R272" i="2"/>
  <c r="N272" i="2"/>
  <c r="L272" i="2"/>
  <c r="H272" i="2"/>
  <c r="I272" i="2" s="1"/>
  <c r="F272" i="2"/>
  <c r="C272" i="2"/>
  <c r="AC271" i="2"/>
  <c r="AA271" i="2"/>
  <c r="W271" i="2"/>
  <c r="U271" i="2"/>
  <c r="R271" i="2"/>
  <c r="N271" i="2"/>
  <c r="O271" i="2" s="1"/>
  <c r="L271" i="2"/>
  <c r="H271" i="2"/>
  <c r="I271" i="2" s="1"/>
  <c r="F271" i="2"/>
  <c r="C271" i="2"/>
  <c r="AC270" i="2"/>
  <c r="AD270" i="2" s="1"/>
  <c r="AA270" i="2"/>
  <c r="W270" i="2"/>
  <c r="U270" i="2"/>
  <c r="R270" i="2"/>
  <c r="O270" i="2"/>
  <c r="N270" i="2"/>
  <c r="L270" i="2"/>
  <c r="I270" i="2"/>
  <c r="H270" i="2"/>
  <c r="F270" i="2"/>
  <c r="C270" i="2"/>
  <c r="AC269" i="2"/>
  <c r="AA269" i="2"/>
  <c r="W269" i="2"/>
  <c r="X269" i="2" s="1"/>
  <c r="U269" i="2"/>
  <c r="R269" i="2"/>
  <c r="N269" i="2"/>
  <c r="L269" i="2"/>
  <c r="H269" i="2"/>
  <c r="I269" i="2" s="1"/>
  <c r="F269" i="2"/>
  <c r="C269" i="2"/>
  <c r="Z267" i="2"/>
  <c r="AA267" i="2" s="1"/>
  <c r="W267" i="2"/>
  <c r="X267" i="2" s="1"/>
  <c r="U267" i="2"/>
  <c r="T267" i="2"/>
  <c r="Q267" i="2"/>
  <c r="R267" i="2" s="1"/>
  <c r="K267" i="2"/>
  <c r="N267" i="2" s="1"/>
  <c r="O267" i="2" s="1"/>
  <c r="E267" i="2"/>
  <c r="F267" i="2" s="1"/>
  <c r="B267" i="2"/>
  <c r="AC266" i="2"/>
  <c r="AD266" i="2" s="1"/>
  <c r="AA266" i="2"/>
  <c r="W266" i="2"/>
  <c r="U266" i="2"/>
  <c r="R266" i="2"/>
  <c r="N266" i="2"/>
  <c r="O266" i="2" s="1"/>
  <c r="L266" i="2"/>
  <c r="I266" i="2"/>
  <c r="H266" i="2"/>
  <c r="F266" i="2"/>
  <c r="C266" i="2"/>
  <c r="AC265" i="2"/>
  <c r="AA265" i="2"/>
  <c r="X265" i="2"/>
  <c r="W265" i="2"/>
  <c r="U265" i="2"/>
  <c r="R265" i="2"/>
  <c r="N265" i="2"/>
  <c r="L265" i="2"/>
  <c r="H265" i="2"/>
  <c r="I265" i="2" s="1"/>
  <c r="F265" i="2"/>
  <c r="C265" i="2"/>
  <c r="Z263" i="2"/>
  <c r="AA263" i="2" s="1"/>
  <c r="X263" i="2"/>
  <c r="W263" i="2"/>
  <c r="U263" i="2"/>
  <c r="T263" i="2"/>
  <c r="Q263" i="2"/>
  <c r="R263" i="2" s="1"/>
  <c r="K263" i="2"/>
  <c r="L263" i="2" s="1"/>
  <c r="E263" i="2"/>
  <c r="F263" i="2" s="1"/>
  <c r="B263" i="2"/>
  <c r="AA262" i="2"/>
  <c r="Z262" i="2"/>
  <c r="T262" i="2"/>
  <c r="U262" i="2" s="1"/>
  <c r="Q262" i="2"/>
  <c r="O262" i="2"/>
  <c r="K262" i="2"/>
  <c r="L262" i="2" s="1"/>
  <c r="H262" i="2"/>
  <c r="I262" i="2" s="1"/>
  <c r="F262" i="2"/>
  <c r="E262" i="2"/>
  <c r="C262" i="2"/>
  <c r="B262" i="2"/>
  <c r="N262" i="2" s="1"/>
  <c r="AC261" i="2"/>
  <c r="AD261" i="2" s="1"/>
  <c r="AA261" i="2"/>
  <c r="W261" i="2"/>
  <c r="X261" i="2" s="1"/>
  <c r="U261" i="2"/>
  <c r="R261" i="2"/>
  <c r="N261" i="2"/>
  <c r="L261" i="2"/>
  <c r="H261" i="2"/>
  <c r="I261" i="2" s="1"/>
  <c r="F261" i="2"/>
  <c r="C261" i="2"/>
  <c r="AC260" i="2"/>
  <c r="AA260" i="2"/>
  <c r="W260" i="2"/>
  <c r="U260" i="2"/>
  <c r="R260" i="2"/>
  <c r="O260" i="2"/>
  <c r="N260" i="2"/>
  <c r="L260" i="2"/>
  <c r="H260" i="2"/>
  <c r="I260" i="2" s="1"/>
  <c r="F260" i="2"/>
  <c r="C260" i="2"/>
  <c r="AC259" i="2"/>
  <c r="AD259" i="2" s="1"/>
  <c r="AA259" i="2"/>
  <c r="W259" i="2"/>
  <c r="U259" i="2"/>
  <c r="R259" i="2"/>
  <c r="N259" i="2"/>
  <c r="O259" i="2" s="1"/>
  <c r="L259" i="2"/>
  <c r="I259" i="2"/>
  <c r="H259" i="2"/>
  <c r="F259" i="2"/>
  <c r="C259" i="2"/>
  <c r="AC258" i="2"/>
  <c r="AA258" i="2"/>
  <c r="X258" i="2"/>
  <c r="W258" i="2"/>
  <c r="U258" i="2"/>
  <c r="R258" i="2"/>
  <c r="N258" i="2"/>
  <c r="L258" i="2"/>
  <c r="I258" i="2"/>
  <c r="H258" i="2"/>
  <c r="F258" i="2"/>
  <c r="C258" i="2"/>
  <c r="AC257" i="2"/>
  <c r="AD257" i="2" s="1"/>
  <c r="AA257" i="2"/>
  <c r="W257" i="2"/>
  <c r="X257" i="2" s="1"/>
  <c r="U257" i="2"/>
  <c r="R257" i="2"/>
  <c r="N257" i="2"/>
  <c r="L257" i="2"/>
  <c r="H257" i="2"/>
  <c r="I257" i="2" s="1"/>
  <c r="F257" i="2"/>
  <c r="C257" i="2"/>
  <c r="AC256" i="2"/>
  <c r="AA256" i="2"/>
  <c r="W256" i="2"/>
  <c r="U256" i="2"/>
  <c r="R256" i="2"/>
  <c r="O256" i="2"/>
  <c r="N256" i="2"/>
  <c r="L256" i="2"/>
  <c r="H256" i="2"/>
  <c r="I256" i="2" s="1"/>
  <c r="F256" i="2"/>
  <c r="C256" i="2"/>
  <c r="AC255" i="2"/>
  <c r="AD255" i="2" s="1"/>
  <c r="AA255" i="2"/>
  <c r="W255" i="2"/>
  <c r="U255" i="2"/>
  <c r="R255" i="2"/>
  <c r="N255" i="2"/>
  <c r="O255" i="2" s="1"/>
  <c r="L255" i="2"/>
  <c r="I255" i="2"/>
  <c r="H255" i="2"/>
  <c r="F255" i="2"/>
  <c r="C255" i="2"/>
  <c r="AC254" i="2"/>
  <c r="AA254" i="2"/>
  <c r="X254" i="2"/>
  <c r="W254" i="2"/>
  <c r="U254" i="2"/>
  <c r="R254" i="2"/>
  <c r="O254" i="2"/>
  <c r="N254" i="2"/>
  <c r="L254" i="2"/>
  <c r="H254" i="2"/>
  <c r="I254" i="2" s="1"/>
  <c r="F254" i="2"/>
  <c r="C254" i="2"/>
  <c r="AC253" i="2"/>
  <c r="AD253" i="2" s="1"/>
  <c r="AA253" i="2"/>
  <c r="W253" i="2"/>
  <c r="X253" i="2" s="1"/>
  <c r="U253" i="2"/>
  <c r="R253" i="2"/>
  <c r="N253" i="2"/>
  <c r="L253" i="2"/>
  <c r="H253" i="2"/>
  <c r="I253" i="2" s="1"/>
  <c r="F253" i="2"/>
  <c r="C253" i="2"/>
  <c r="AC252" i="2"/>
  <c r="AA252" i="2"/>
  <c r="X252" i="2"/>
  <c r="W252" i="2"/>
  <c r="U252" i="2"/>
  <c r="R252" i="2"/>
  <c r="N252" i="2"/>
  <c r="O252" i="2" s="1"/>
  <c r="L252" i="2"/>
  <c r="H252" i="2"/>
  <c r="I252" i="2" s="1"/>
  <c r="F252" i="2"/>
  <c r="C252" i="2"/>
  <c r="AD251" i="2"/>
  <c r="AC251" i="2"/>
  <c r="AA251" i="2"/>
  <c r="W251" i="2"/>
  <c r="U251" i="2"/>
  <c r="R251" i="2"/>
  <c r="N251" i="2"/>
  <c r="O251" i="2" s="1"/>
  <c r="L251" i="2"/>
  <c r="I251" i="2"/>
  <c r="H251" i="2"/>
  <c r="F251" i="2"/>
  <c r="C251" i="2"/>
  <c r="AC250" i="2"/>
  <c r="AD250" i="2" s="1"/>
  <c r="AA250" i="2"/>
  <c r="W250" i="2"/>
  <c r="X250" i="2" s="1"/>
  <c r="U250" i="2"/>
  <c r="R250" i="2"/>
  <c r="O250" i="2"/>
  <c r="N250" i="2"/>
  <c r="L250" i="2"/>
  <c r="H250" i="2"/>
  <c r="I250" i="2" s="1"/>
  <c r="F250" i="2"/>
  <c r="C250" i="2"/>
  <c r="AC249" i="2"/>
  <c r="AA249" i="2"/>
  <c r="W249" i="2"/>
  <c r="X249" i="2" s="1"/>
  <c r="U249" i="2"/>
  <c r="R249" i="2"/>
  <c r="N249" i="2"/>
  <c r="L249" i="2"/>
  <c r="H249" i="2"/>
  <c r="I249" i="2" s="1"/>
  <c r="F249" i="2"/>
  <c r="C249" i="2"/>
  <c r="AD248" i="2"/>
  <c r="AC248" i="2"/>
  <c r="AA248" i="2"/>
  <c r="X248" i="2"/>
  <c r="W248" i="2"/>
  <c r="U248" i="2"/>
  <c r="R248" i="2"/>
  <c r="N248" i="2"/>
  <c r="O248" i="2" s="1"/>
  <c r="L248" i="2"/>
  <c r="H248" i="2"/>
  <c r="I248" i="2" s="1"/>
  <c r="F248" i="2"/>
  <c r="C248" i="2"/>
  <c r="AC247" i="2"/>
  <c r="AD247" i="2" s="1"/>
  <c r="AA247" i="2"/>
  <c r="W247" i="2"/>
  <c r="U247" i="2"/>
  <c r="R247" i="2"/>
  <c r="O247" i="2"/>
  <c r="N247" i="2"/>
  <c r="L247" i="2"/>
  <c r="I247" i="2"/>
  <c r="H247" i="2"/>
  <c r="F247" i="2"/>
  <c r="C247" i="2"/>
  <c r="AC246" i="2"/>
  <c r="AD246" i="2" s="1"/>
  <c r="AA246" i="2"/>
  <c r="W246" i="2"/>
  <c r="X246" i="2" s="1"/>
  <c r="U246" i="2"/>
  <c r="R246" i="2"/>
  <c r="O246" i="2"/>
  <c r="N246" i="2"/>
  <c r="L246" i="2"/>
  <c r="I246" i="2"/>
  <c r="H246" i="2"/>
  <c r="F246" i="2"/>
  <c r="C246" i="2"/>
  <c r="AC245" i="2"/>
  <c r="AA245" i="2"/>
  <c r="W245" i="2"/>
  <c r="X245" i="2" s="1"/>
  <c r="U245" i="2"/>
  <c r="R245" i="2"/>
  <c r="N245" i="2"/>
  <c r="L245" i="2"/>
  <c r="H245" i="2"/>
  <c r="I245" i="2" s="1"/>
  <c r="F245" i="2"/>
  <c r="C245" i="2"/>
  <c r="AD244" i="2"/>
  <c r="AC244" i="2"/>
  <c r="AA244" i="2"/>
  <c r="X244" i="2"/>
  <c r="W244" i="2"/>
  <c r="U244" i="2"/>
  <c r="R244" i="2"/>
  <c r="N244" i="2"/>
  <c r="O244" i="2" s="1"/>
  <c r="L244" i="2"/>
  <c r="H244" i="2"/>
  <c r="I244" i="2" s="1"/>
  <c r="F244" i="2"/>
  <c r="C244" i="2"/>
  <c r="AC243" i="2"/>
  <c r="AD243" i="2" s="1"/>
  <c r="AA243" i="2"/>
  <c r="W243" i="2"/>
  <c r="U243" i="2"/>
  <c r="R243" i="2"/>
  <c r="N243" i="2"/>
  <c r="O243" i="2" s="1"/>
  <c r="L243" i="2"/>
  <c r="I243" i="2"/>
  <c r="H243" i="2"/>
  <c r="F243" i="2"/>
  <c r="C243" i="2"/>
  <c r="AC242" i="2"/>
  <c r="AA242" i="2"/>
  <c r="X242" i="2"/>
  <c r="W242" i="2"/>
  <c r="U242" i="2"/>
  <c r="R242" i="2"/>
  <c r="O242" i="2"/>
  <c r="N242" i="2"/>
  <c r="L242" i="2"/>
  <c r="H242" i="2"/>
  <c r="I242" i="2" s="1"/>
  <c r="F242" i="2"/>
  <c r="C242" i="2"/>
  <c r="AC241" i="2"/>
  <c r="AD241" i="2" s="1"/>
  <c r="AA241" i="2"/>
  <c r="X241" i="2"/>
  <c r="W241" i="2"/>
  <c r="U241" i="2"/>
  <c r="R241" i="2"/>
  <c r="N241" i="2"/>
  <c r="L241" i="2"/>
  <c r="H241" i="2"/>
  <c r="I241" i="2" s="1"/>
  <c r="F241" i="2"/>
  <c r="C241" i="2"/>
  <c r="AC240" i="2"/>
  <c r="AA240" i="2"/>
  <c r="X240" i="2"/>
  <c r="W240" i="2"/>
  <c r="U240" i="2"/>
  <c r="R240" i="2"/>
  <c r="O240" i="2"/>
  <c r="N240" i="2"/>
  <c r="L240" i="2"/>
  <c r="H240" i="2"/>
  <c r="I240" i="2" s="1"/>
  <c r="F240" i="2"/>
  <c r="C240" i="2"/>
  <c r="AC238" i="2"/>
  <c r="AD238" i="2" s="1"/>
  <c r="AA238" i="2"/>
  <c r="W238" i="2"/>
  <c r="U238" i="2"/>
  <c r="R238" i="2"/>
  <c r="N238" i="2"/>
  <c r="O238" i="2" s="1"/>
  <c r="L238" i="2"/>
  <c r="I238" i="2"/>
  <c r="H238" i="2"/>
  <c r="F238" i="2"/>
  <c r="C238" i="2"/>
  <c r="Z236" i="2"/>
  <c r="AA236" i="2" s="1"/>
  <c r="T236" i="2"/>
  <c r="U236" i="2" s="1"/>
  <c r="Q236" i="2"/>
  <c r="L236" i="2"/>
  <c r="K236" i="2"/>
  <c r="H236" i="2"/>
  <c r="I236" i="2" s="1"/>
  <c r="E236" i="2"/>
  <c r="F236" i="2" s="1"/>
  <c r="C236" i="2"/>
  <c r="B236" i="2"/>
  <c r="N236" i="2" s="1"/>
  <c r="O236" i="2" s="1"/>
  <c r="AC235" i="2"/>
  <c r="AA235" i="2"/>
  <c r="X235" i="2"/>
  <c r="W235" i="2"/>
  <c r="U235" i="2"/>
  <c r="R235" i="2"/>
  <c r="O235" i="2"/>
  <c r="N235" i="2"/>
  <c r="L235" i="2"/>
  <c r="H235" i="2"/>
  <c r="I235" i="2" s="1"/>
  <c r="F235" i="2"/>
  <c r="C235" i="2"/>
  <c r="AC234" i="2"/>
  <c r="AD234" i="2" s="1"/>
  <c r="AA234" i="2"/>
  <c r="W234" i="2"/>
  <c r="U234" i="2"/>
  <c r="R234" i="2"/>
  <c r="N234" i="2"/>
  <c r="O234" i="2" s="1"/>
  <c r="L234" i="2"/>
  <c r="I234" i="2"/>
  <c r="H234" i="2"/>
  <c r="F234" i="2"/>
  <c r="C234" i="2"/>
  <c r="AC233" i="2"/>
  <c r="AA233" i="2"/>
  <c r="X233" i="2"/>
  <c r="W233" i="2"/>
  <c r="U233" i="2"/>
  <c r="R233" i="2"/>
  <c r="O233" i="2"/>
  <c r="N233" i="2"/>
  <c r="L233" i="2"/>
  <c r="H233" i="2"/>
  <c r="I233" i="2" s="1"/>
  <c r="F233" i="2"/>
  <c r="C233" i="2"/>
  <c r="AC232" i="2"/>
  <c r="AD232" i="2" s="1"/>
  <c r="AA232" i="2"/>
  <c r="W232" i="2"/>
  <c r="X232" i="2" s="1"/>
  <c r="U232" i="2"/>
  <c r="R232" i="2"/>
  <c r="N232" i="2"/>
  <c r="L232" i="2"/>
  <c r="H232" i="2"/>
  <c r="I232" i="2" s="1"/>
  <c r="F232" i="2"/>
  <c r="C232" i="2"/>
  <c r="AC231" i="2"/>
  <c r="AA231" i="2"/>
  <c r="X231" i="2"/>
  <c r="W231" i="2"/>
  <c r="U231" i="2"/>
  <c r="R231" i="2"/>
  <c r="N231" i="2"/>
  <c r="O231" i="2" s="1"/>
  <c r="L231" i="2"/>
  <c r="H231" i="2"/>
  <c r="I231" i="2" s="1"/>
  <c r="F231" i="2"/>
  <c r="C231" i="2"/>
  <c r="AD230" i="2"/>
  <c r="AC230" i="2"/>
  <c r="AA230" i="2"/>
  <c r="W230" i="2"/>
  <c r="U230" i="2"/>
  <c r="R230" i="2"/>
  <c r="N230" i="2"/>
  <c r="O230" i="2" s="1"/>
  <c r="L230" i="2"/>
  <c r="I230" i="2"/>
  <c r="H230" i="2"/>
  <c r="F230" i="2"/>
  <c r="C230" i="2"/>
  <c r="AC229" i="2"/>
  <c r="AD229" i="2" s="1"/>
  <c r="AA229" i="2"/>
  <c r="W229" i="2"/>
  <c r="X229" i="2" s="1"/>
  <c r="U229" i="2"/>
  <c r="R229" i="2"/>
  <c r="O229" i="2"/>
  <c r="N229" i="2"/>
  <c r="L229" i="2"/>
  <c r="H229" i="2"/>
  <c r="I229" i="2" s="1"/>
  <c r="F229" i="2"/>
  <c r="C229" i="2"/>
  <c r="Z227" i="2"/>
  <c r="AA227" i="2" s="1"/>
  <c r="W227" i="2"/>
  <c r="X227" i="2" s="1"/>
  <c r="U227" i="2"/>
  <c r="T227" i="2"/>
  <c r="Q227" i="2"/>
  <c r="R227" i="2" s="1"/>
  <c r="K227" i="2"/>
  <c r="L227" i="2" s="1"/>
  <c r="E227" i="2"/>
  <c r="F227" i="2" s="1"/>
  <c r="B227" i="2"/>
  <c r="N227" i="2" s="1"/>
  <c r="O227" i="2" s="1"/>
  <c r="AC226" i="2"/>
  <c r="AD226" i="2" s="1"/>
  <c r="AA226" i="2"/>
  <c r="W226" i="2"/>
  <c r="U226" i="2"/>
  <c r="R226" i="2"/>
  <c r="O226" i="2"/>
  <c r="N226" i="2"/>
  <c r="L226" i="2"/>
  <c r="I226" i="2"/>
  <c r="H226" i="2"/>
  <c r="F226" i="2"/>
  <c r="C226" i="2"/>
  <c r="AC225" i="2"/>
  <c r="AA225" i="2"/>
  <c r="X225" i="2"/>
  <c r="W225" i="2"/>
  <c r="U225" i="2"/>
  <c r="R225" i="2"/>
  <c r="O225" i="2"/>
  <c r="N225" i="2"/>
  <c r="L225" i="2"/>
  <c r="I225" i="2"/>
  <c r="H225" i="2"/>
  <c r="F225" i="2"/>
  <c r="C225" i="2"/>
  <c r="AC224" i="2"/>
  <c r="AA224" i="2"/>
  <c r="X224" i="2"/>
  <c r="W224" i="2"/>
  <c r="U224" i="2"/>
  <c r="R224" i="2"/>
  <c r="N224" i="2"/>
  <c r="L224" i="2"/>
  <c r="H224" i="2"/>
  <c r="I224" i="2" s="1"/>
  <c r="F224" i="2"/>
  <c r="C224" i="2"/>
  <c r="AC223" i="2"/>
  <c r="AA223" i="2"/>
  <c r="X223" i="2"/>
  <c r="W223" i="2"/>
  <c r="U223" i="2"/>
  <c r="R223" i="2"/>
  <c r="O223" i="2"/>
  <c r="N223" i="2"/>
  <c r="L223" i="2"/>
  <c r="H223" i="2"/>
  <c r="I223" i="2" s="1"/>
  <c r="F223" i="2"/>
  <c r="C223" i="2"/>
  <c r="AC222" i="2"/>
  <c r="AD222" i="2" s="1"/>
  <c r="AA222" i="2"/>
  <c r="W222" i="2"/>
  <c r="U222" i="2"/>
  <c r="R222" i="2"/>
  <c r="N222" i="2"/>
  <c r="O222" i="2" s="1"/>
  <c r="L222" i="2"/>
  <c r="I222" i="2"/>
  <c r="H222" i="2"/>
  <c r="F222" i="2"/>
  <c r="C222" i="2"/>
  <c r="AC221" i="2"/>
  <c r="AD221" i="2" s="1"/>
  <c r="AA221" i="2"/>
  <c r="X221" i="2"/>
  <c r="W221" i="2"/>
  <c r="U221" i="2"/>
  <c r="R221" i="2"/>
  <c r="O221" i="2"/>
  <c r="N221" i="2"/>
  <c r="L221" i="2"/>
  <c r="H221" i="2"/>
  <c r="I221" i="2" s="1"/>
  <c r="F221" i="2"/>
  <c r="C221" i="2"/>
  <c r="AC220" i="2"/>
  <c r="AA220" i="2"/>
  <c r="X220" i="2"/>
  <c r="W220" i="2"/>
  <c r="U220" i="2"/>
  <c r="R220" i="2"/>
  <c r="N220" i="2"/>
  <c r="L220" i="2"/>
  <c r="H220" i="2"/>
  <c r="I220" i="2" s="1"/>
  <c r="F220" i="2"/>
  <c r="C220" i="2"/>
  <c r="AD219" i="2"/>
  <c r="AC219" i="2"/>
  <c r="AA219" i="2"/>
  <c r="X219" i="2"/>
  <c r="W219" i="2"/>
  <c r="U219" i="2"/>
  <c r="R219" i="2"/>
  <c r="O219" i="2"/>
  <c r="N219" i="2"/>
  <c r="L219" i="2"/>
  <c r="H219" i="2"/>
  <c r="I219" i="2" s="1"/>
  <c r="F219" i="2"/>
  <c r="C219" i="2"/>
  <c r="AA218" i="2"/>
  <c r="Z218" i="2"/>
  <c r="T218" i="2"/>
  <c r="U218" i="2" s="1"/>
  <c r="Q218" i="2"/>
  <c r="AC218" i="2" s="1"/>
  <c r="AD218" i="2" s="1"/>
  <c r="O218" i="2"/>
  <c r="K218" i="2"/>
  <c r="L218" i="2" s="1"/>
  <c r="H218" i="2"/>
  <c r="I218" i="2" s="1"/>
  <c r="E218" i="2"/>
  <c r="F218" i="2" s="1"/>
  <c r="C218" i="2"/>
  <c r="B218" i="2"/>
  <c r="N218" i="2" s="1"/>
  <c r="AC217" i="2"/>
  <c r="AA217" i="2"/>
  <c r="W217" i="2"/>
  <c r="X217" i="2" s="1"/>
  <c r="U217" i="2"/>
  <c r="R217" i="2"/>
  <c r="N217" i="2"/>
  <c r="L217" i="2"/>
  <c r="H217" i="2"/>
  <c r="I217" i="2" s="1"/>
  <c r="F217" i="2"/>
  <c r="C217" i="2"/>
  <c r="AD216" i="2"/>
  <c r="AC216" i="2"/>
  <c r="AA216" i="2"/>
  <c r="X216" i="2"/>
  <c r="W216" i="2"/>
  <c r="U216" i="2"/>
  <c r="R216" i="2"/>
  <c r="N216" i="2"/>
  <c r="O216" i="2" s="1"/>
  <c r="L216" i="2"/>
  <c r="H216" i="2"/>
  <c r="I216" i="2" s="1"/>
  <c r="F216" i="2"/>
  <c r="C216" i="2"/>
  <c r="AC215" i="2"/>
  <c r="AD215" i="2" s="1"/>
  <c r="AA215" i="2"/>
  <c r="W215" i="2"/>
  <c r="U215" i="2"/>
  <c r="R215" i="2"/>
  <c r="O215" i="2"/>
  <c r="N215" i="2"/>
  <c r="L215" i="2"/>
  <c r="I215" i="2"/>
  <c r="H215" i="2"/>
  <c r="F215" i="2"/>
  <c r="C215" i="2"/>
  <c r="AC214" i="2"/>
  <c r="AD214" i="2" s="1"/>
  <c r="AA214" i="2"/>
  <c r="W214" i="2"/>
  <c r="X214" i="2" s="1"/>
  <c r="U214" i="2"/>
  <c r="R214" i="2"/>
  <c r="O214" i="2"/>
  <c r="N214" i="2"/>
  <c r="L214" i="2"/>
  <c r="I214" i="2"/>
  <c r="H214" i="2"/>
  <c r="F214" i="2"/>
  <c r="C214" i="2"/>
  <c r="AC213" i="2"/>
  <c r="AA213" i="2"/>
  <c r="W213" i="2"/>
  <c r="X213" i="2" s="1"/>
  <c r="U213" i="2"/>
  <c r="R213" i="2"/>
  <c r="N213" i="2"/>
  <c r="L213" i="2"/>
  <c r="H213" i="2"/>
  <c r="I213" i="2" s="1"/>
  <c r="F213" i="2"/>
  <c r="C213" i="2"/>
  <c r="AD211" i="2"/>
  <c r="AC211" i="2"/>
  <c r="AA211" i="2"/>
  <c r="X211" i="2"/>
  <c r="W211" i="2"/>
  <c r="U211" i="2"/>
  <c r="R211" i="2"/>
  <c r="N211" i="2"/>
  <c r="O211" i="2" s="1"/>
  <c r="L211" i="2"/>
  <c r="H211" i="2"/>
  <c r="I211" i="2" s="1"/>
  <c r="F211" i="2"/>
  <c r="C211" i="2"/>
  <c r="AC209" i="2"/>
  <c r="AD209" i="2" s="1"/>
  <c r="AA209" i="2"/>
  <c r="Z209" i="2"/>
  <c r="W209" i="2"/>
  <c r="X209" i="2" s="1"/>
  <c r="T209" i="2"/>
  <c r="U209" i="2" s="1"/>
  <c r="Q209" i="2"/>
  <c r="R209" i="2" s="1"/>
  <c r="K209" i="2"/>
  <c r="L209" i="2" s="1"/>
  <c r="E209" i="2"/>
  <c r="H209" i="2" s="1"/>
  <c r="I209" i="2" s="1"/>
  <c r="C209" i="2"/>
  <c r="B209" i="2"/>
  <c r="AC208" i="2"/>
  <c r="AA208" i="2"/>
  <c r="X208" i="2"/>
  <c r="W208" i="2"/>
  <c r="U208" i="2"/>
  <c r="R208" i="2"/>
  <c r="N208" i="2"/>
  <c r="L208" i="2"/>
  <c r="H208" i="2"/>
  <c r="I208" i="2" s="1"/>
  <c r="F208" i="2"/>
  <c r="C208" i="2"/>
  <c r="AD207" i="2"/>
  <c r="AC207" i="2"/>
  <c r="AA207" i="2"/>
  <c r="X207" i="2"/>
  <c r="W207" i="2"/>
  <c r="U207" i="2"/>
  <c r="R207" i="2"/>
  <c r="O207" i="2"/>
  <c r="N207" i="2"/>
  <c r="L207" i="2"/>
  <c r="H207" i="2"/>
  <c r="I207" i="2" s="1"/>
  <c r="F207" i="2"/>
  <c r="C207" i="2"/>
  <c r="AC206" i="2"/>
  <c r="AA206" i="2"/>
  <c r="W206" i="2"/>
  <c r="U206" i="2"/>
  <c r="R206" i="2"/>
  <c r="N206" i="2"/>
  <c r="O206" i="2" s="1"/>
  <c r="L206" i="2"/>
  <c r="I206" i="2"/>
  <c r="H206" i="2"/>
  <c r="F206" i="2"/>
  <c r="C206" i="2"/>
  <c r="AC205" i="2"/>
  <c r="AD205" i="2" s="1"/>
  <c r="AA205" i="2"/>
  <c r="W205" i="2"/>
  <c r="X205" i="2" s="1"/>
  <c r="U205" i="2"/>
  <c r="R205" i="2"/>
  <c r="O205" i="2"/>
  <c r="N205" i="2"/>
  <c r="L205" i="2"/>
  <c r="H205" i="2"/>
  <c r="I205" i="2" s="1"/>
  <c r="F205" i="2"/>
  <c r="C205" i="2"/>
  <c r="AC204" i="2"/>
  <c r="AD204" i="2" s="1"/>
  <c r="AA204" i="2"/>
  <c r="W204" i="2"/>
  <c r="X204" i="2" s="1"/>
  <c r="U204" i="2"/>
  <c r="R204" i="2"/>
  <c r="N204" i="2"/>
  <c r="L204" i="2"/>
  <c r="H204" i="2"/>
  <c r="I204" i="2" s="1"/>
  <c r="F204" i="2"/>
  <c r="C204" i="2"/>
  <c r="AD203" i="2"/>
  <c r="AC203" i="2"/>
  <c r="AA203" i="2"/>
  <c r="X203" i="2"/>
  <c r="W203" i="2"/>
  <c r="U203" i="2"/>
  <c r="R203" i="2"/>
  <c r="N203" i="2"/>
  <c r="O203" i="2" s="1"/>
  <c r="L203" i="2"/>
  <c r="H203" i="2"/>
  <c r="I203" i="2" s="1"/>
  <c r="F203" i="2"/>
  <c r="C203" i="2"/>
  <c r="AD202" i="2"/>
  <c r="AC202" i="2"/>
  <c r="AA202" i="2"/>
  <c r="W202" i="2"/>
  <c r="U202" i="2"/>
  <c r="R202" i="2"/>
  <c r="O202" i="2"/>
  <c r="N202" i="2"/>
  <c r="L202" i="2"/>
  <c r="I202" i="2"/>
  <c r="H202" i="2"/>
  <c r="F202" i="2"/>
  <c r="C202" i="2"/>
  <c r="AC201" i="2"/>
  <c r="AA201" i="2"/>
  <c r="W201" i="2"/>
  <c r="X201" i="2" s="1"/>
  <c r="U201" i="2"/>
  <c r="R201" i="2"/>
  <c r="O201" i="2"/>
  <c r="N201" i="2"/>
  <c r="L201" i="2"/>
  <c r="I201" i="2"/>
  <c r="H201" i="2"/>
  <c r="F201" i="2"/>
  <c r="C201" i="2"/>
  <c r="AA197" i="2"/>
  <c r="Z197" i="2"/>
  <c r="T197" i="2"/>
  <c r="U197" i="2" s="1"/>
  <c r="Q197" i="2"/>
  <c r="AC197" i="2" s="1"/>
  <c r="AD197" i="2" s="1"/>
  <c r="O197" i="2"/>
  <c r="K197" i="2"/>
  <c r="L197" i="2" s="1"/>
  <c r="H197" i="2"/>
  <c r="I197" i="2" s="1"/>
  <c r="E197" i="2"/>
  <c r="F197" i="2" s="1"/>
  <c r="C197" i="2"/>
  <c r="B197" i="2"/>
  <c r="N197" i="2" s="1"/>
  <c r="Z196" i="2"/>
  <c r="AA196" i="2" s="1"/>
  <c r="W196" i="2"/>
  <c r="X196" i="2" s="1"/>
  <c r="U196" i="2"/>
  <c r="T196" i="2"/>
  <c r="Q196" i="2"/>
  <c r="R196" i="2" s="1"/>
  <c r="K196" i="2"/>
  <c r="L196" i="2" s="1"/>
  <c r="E196" i="2"/>
  <c r="F196" i="2" s="1"/>
  <c r="B196" i="2"/>
  <c r="N196" i="2" s="1"/>
  <c r="O196" i="2" s="1"/>
  <c r="AC195" i="2"/>
  <c r="AD195" i="2" s="1"/>
  <c r="AA195" i="2"/>
  <c r="W195" i="2"/>
  <c r="U195" i="2"/>
  <c r="R195" i="2"/>
  <c r="O195" i="2"/>
  <c r="N195" i="2"/>
  <c r="L195" i="2"/>
  <c r="I195" i="2"/>
  <c r="H195" i="2"/>
  <c r="F195" i="2"/>
  <c r="C195" i="2"/>
  <c r="AC194" i="2"/>
  <c r="AA194" i="2"/>
  <c r="W194" i="2"/>
  <c r="X194" i="2" s="1"/>
  <c r="U194" i="2"/>
  <c r="R194" i="2"/>
  <c r="O194" i="2"/>
  <c r="N194" i="2"/>
  <c r="L194" i="2"/>
  <c r="I194" i="2"/>
  <c r="H194" i="2"/>
  <c r="F194" i="2"/>
  <c r="C194" i="2"/>
  <c r="Z193" i="2"/>
  <c r="AA193" i="2" s="1"/>
  <c r="U193" i="2"/>
  <c r="T193" i="2"/>
  <c r="Q193" i="2"/>
  <c r="R193" i="2" s="1"/>
  <c r="K193" i="2"/>
  <c r="L193" i="2" s="1"/>
  <c r="E193" i="2"/>
  <c r="F193" i="2" s="1"/>
  <c r="B193" i="2"/>
  <c r="N193" i="2" s="1"/>
  <c r="O193" i="2" s="1"/>
  <c r="AC192" i="2"/>
  <c r="AD192" i="2" s="1"/>
  <c r="AA192" i="2"/>
  <c r="W192" i="2"/>
  <c r="U192" i="2"/>
  <c r="R192" i="2"/>
  <c r="N192" i="2"/>
  <c r="O192" i="2" s="1"/>
  <c r="L192" i="2"/>
  <c r="I192" i="2"/>
  <c r="H192" i="2"/>
  <c r="F192" i="2"/>
  <c r="C192" i="2"/>
  <c r="AC191" i="2"/>
  <c r="AA191" i="2"/>
  <c r="X191" i="2"/>
  <c r="W191" i="2"/>
  <c r="U191" i="2"/>
  <c r="R191" i="2"/>
  <c r="O191" i="2"/>
  <c r="N191" i="2"/>
  <c r="L191" i="2"/>
  <c r="H191" i="2"/>
  <c r="I191" i="2" s="1"/>
  <c r="F191" i="2"/>
  <c r="C191" i="2"/>
  <c r="AC190" i="2"/>
  <c r="AD190" i="2" s="1"/>
  <c r="AA190" i="2"/>
  <c r="W190" i="2"/>
  <c r="X190" i="2" s="1"/>
  <c r="U190" i="2"/>
  <c r="R190" i="2"/>
  <c r="N190" i="2"/>
  <c r="L190" i="2"/>
  <c r="H190" i="2"/>
  <c r="I190" i="2" s="1"/>
  <c r="F190" i="2"/>
  <c r="C190" i="2"/>
  <c r="AC189" i="2"/>
  <c r="AA189" i="2"/>
  <c r="X189" i="2"/>
  <c r="W189" i="2"/>
  <c r="U189" i="2"/>
  <c r="R189" i="2"/>
  <c r="N189" i="2"/>
  <c r="O189" i="2" s="1"/>
  <c r="L189" i="2"/>
  <c r="H189" i="2"/>
  <c r="I189" i="2" s="1"/>
  <c r="F189" i="2"/>
  <c r="C189" i="2"/>
  <c r="AD188" i="2"/>
  <c r="AC188" i="2"/>
  <c r="AA188" i="2"/>
  <c r="W188" i="2"/>
  <c r="U188" i="2"/>
  <c r="R188" i="2"/>
  <c r="N188" i="2"/>
  <c r="O188" i="2" s="1"/>
  <c r="L188" i="2"/>
  <c r="I188" i="2"/>
  <c r="H188" i="2"/>
  <c r="F188" i="2"/>
  <c r="C188" i="2"/>
  <c r="AC187" i="2"/>
  <c r="AD187" i="2" s="1"/>
  <c r="AA187" i="2"/>
  <c r="W187" i="2"/>
  <c r="X187" i="2" s="1"/>
  <c r="U187" i="2"/>
  <c r="R187" i="2"/>
  <c r="O187" i="2"/>
  <c r="N187" i="2"/>
  <c r="L187" i="2"/>
  <c r="H187" i="2"/>
  <c r="I187" i="2" s="1"/>
  <c r="F187" i="2"/>
  <c r="C187" i="2"/>
  <c r="AC186" i="2"/>
  <c r="AA186" i="2"/>
  <c r="W186" i="2"/>
  <c r="X186" i="2" s="1"/>
  <c r="U186" i="2"/>
  <c r="R186" i="2"/>
  <c r="N186" i="2"/>
  <c r="L186" i="2"/>
  <c r="H186" i="2"/>
  <c r="I186" i="2" s="1"/>
  <c r="F186" i="2"/>
  <c r="C186" i="2"/>
  <c r="AD184" i="2"/>
  <c r="AC184" i="2"/>
  <c r="AA184" i="2"/>
  <c r="X184" i="2"/>
  <c r="W184" i="2"/>
  <c r="U184" i="2"/>
  <c r="R184" i="2"/>
  <c r="N184" i="2"/>
  <c r="O184" i="2" s="1"/>
  <c r="L184" i="2"/>
  <c r="H184" i="2"/>
  <c r="I184" i="2" s="1"/>
  <c r="F184" i="2"/>
  <c r="C184" i="2"/>
  <c r="AC183" i="2"/>
  <c r="AD183" i="2" s="1"/>
  <c r="AA183" i="2"/>
  <c r="W183" i="2"/>
  <c r="U183" i="2"/>
  <c r="R183" i="2"/>
  <c r="O183" i="2"/>
  <c r="N183" i="2"/>
  <c r="L183" i="2"/>
  <c r="I183" i="2"/>
  <c r="H183" i="2"/>
  <c r="F183" i="2"/>
  <c r="C183" i="2"/>
  <c r="AC182" i="2"/>
  <c r="AD182" i="2" s="1"/>
  <c r="AA182" i="2"/>
  <c r="Z182" i="2"/>
  <c r="T182" i="2"/>
  <c r="U182" i="2" s="1"/>
  <c r="Q182" i="2"/>
  <c r="O182" i="2"/>
  <c r="N182" i="2"/>
  <c r="L182" i="2"/>
  <c r="K182" i="2"/>
  <c r="E182" i="2"/>
  <c r="F182" i="2" s="1"/>
  <c r="C182" i="2"/>
  <c r="B182" i="2"/>
  <c r="AD181" i="2"/>
  <c r="AC181" i="2"/>
  <c r="AA181" i="2"/>
  <c r="X181" i="2"/>
  <c r="W181" i="2"/>
  <c r="U181" i="2"/>
  <c r="R181" i="2"/>
  <c r="N181" i="2"/>
  <c r="O181" i="2" s="1"/>
  <c r="L181" i="2"/>
  <c r="H181" i="2"/>
  <c r="I181" i="2" s="1"/>
  <c r="F181" i="2"/>
  <c r="C181" i="2"/>
  <c r="AC180" i="2"/>
  <c r="AD180" i="2" s="1"/>
  <c r="AA180" i="2"/>
  <c r="W180" i="2"/>
  <c r="U180" i="2"/>
  <c r="R180" i="2"/>
  <c r="O180" i="2"/>
  <c r="N180" i="2"/>
  <c r="L180" i="2"/>
  <c r="I180" i="2"/>
  <c r="H180" i="2"/>
  <c r="F180" i="2"/>
  <c r="C180" i="2"/>
  <c r="AC179" i="2"/>
  <c r="AD179" i="2" s="1"/>
  <c r="AA179" i="2"/>
  <c r="W179" i="2"/>
  <c r="X179" i="2" s="1"/>
  <c r="U179" i="2"/>
  <c r="R179" i="2"/>
  <c r="O179" i="2"/>
  <c r="N179" i="2"/>
  <c r="L179" i="2"/>
  <c r="I179" i="2"/>
  <c r="H179" i="2"/>
  <c r="F179" i="2"/>
  <c r="C179" i="2"/>
  <c r="AC178" i="2"/>
  <c r="AA178" i="2"/>
  <c r="W178" i="2"/>
  <c r="X178" i="2" s="1"/>
  <c r="U178" i="2"/>
  <c r="R178" i="2"/>
  <c r="N178" i="2"/>
  <c r="L178" i="2"/>
  <c r="H178" i="2"/>
  <c r="I178" i="2" s="1"/>
  <c r="F178" i="2"/>
  <c r="C178" i="2"/>
  <c r="AD177" i="2"/>
  <c r="AC177" i="2"/>
  <c r="AA177" i="2"/>
  <c r="X177" i="2"/>
  <c r="W177" i="2"/>
  <c r="U177" i="2"/>
  <c r="R177" i="2"/>
  <c r="N177" i="2"/>
  <c r="O177" i="2" s="1"/>
  <c r="L177" i="2"/>
  <c r="H177" i="2"/>
  <c r="I177" i="2" s="1"/>
  <c r="F177" i="2"/>
  <c r="C177" i="2"/>
  <c r="AC175" i="2"/>
  <c r="AD175" i="2" s="1"/>
  <c r="AA175" i="2"/>
  <c r="W175" i="2"/>
  <c r="U175" i="2"/>
  <c r="R175" i="2"/>
  <c r="N175" i="2"/>
  <c r="O175" i="2" s="1"/>
  <c r="L175" i="2"/>
  <c r="I175" i="2"/>
  <c r="H175" i="2"/>
  <c r="F175" i="2"/>
  <c r="C175" i="2"/>
  <c r="Q172" i="2"/>
  <c r="E172" i="2"/>
  <c r="F172" i="2" s="1"/>
  <c r="B172" i="2"/>
  <c r="B198" i="2" s="1"/>
  <c r="Z171" i="2"/>
  <c r="AA171" i="2" s="1"/>
  <c r="W171" i="2"/>
  <c r="X171" i="2" s="1"/>
  <c r="T171" i="2"/>
  <c r="U171" i="2" s="1"/>
  <c r="R171" i="2"/>
  <c r="Q171" i="2"/>
  <c r="N171" i="2"/>
  <c r="O171" i="2" s="1"/>
  <c r="K171" i="2"/>
  <c r="L171" i="2" s="1"/>
  <c r="H171" i="2"/>
  <c r="I171" i="2" s="1"/>
  <c r="F171" i="2"/>
  <c r="E171" i="2"/>
  <c r="B171" i="2"/>
  <c r="C171" i="2" s="1"/>
  <c r="Z170" i="2"/>
  <c r="AA170" i="2" s="1"/>
  <c r="T170" i="2"/>
  <c r="U170" i="2" s="1"/>
  <c r="Q170" i="2"/>
  <c r="N170" i="2"/>
  <c r="O170" i="2" s="1"/>
  <c r="L170" i="2"/>
  <c r="K170" i="2"/>
  <c r="E170" i="2"/>
  <c r="F170" i="2" s="1"/>
  <c r="C170" i="2"/>
  <c r="B170" i="2"/>
  <c r="AC169" i="2"/>
  <c r="AA169" i="2"/>
  <c r="X169" i="2"/>
  <c r="W169" i="2"/>
  <c r="U169" i="2"/>
  <c r="R169" i="2"/>
  <c r="N169" i="2"/>
  <c r="O169" i="2" s="1"/>
  <c r="L169" i="2"/>
  <c r="H169" i="2"/>
  <c r="I169" i="2" s="1"/>
  <c r="F169" i="2"/>
  <c r="C169" i="2"/>
  <c r="AC168" i="2"/>
  <c r="AD168" i="2" s="1"/>
  <c r="AA168" i="2"/>
  <c r="W168" i="2"/>
  <c r="U168" i="2"/>
  <c r="R168" i="2"/>
  <c r="N168" i="2"/>
  <c r="O168" i="2" s="1"/>
  <c r="L168" i="2"/>
  <c r="I168" i="2"/>
  <c r="H168" i="2"/>
  <c r="F168" i="2"/>
  <c r="C168" i="2"/>
  <c r="AC167" i="2"/>
  <c r="AA167" i="2"/>
  <c r="W167" i="2"/>
  <c r="X167" i="2" s="1"/>
  <c r="U167" i="2"/>
  <c r="R167" i="2"/>
  <c r="O167" i="2"/>
  <c r="N167" i="2"/>
  <c r="L167" i="2"/>
  <c r="H167" i="2"/>
  <c r="I167" i="2" s="1"/>
  <c r="F167" i="2"/>
  <c r="C167" i="2"/>
  <c r="Z166" i="2"/>
  <c r="AA166" i="2" s="1"/>
  <c r="U166" i="2"/>
  <c r="T166" i="2"/>
  <c r="Q166" i="2"/>
  <c r="K166" i="2"/>
  <c r="L166" i="2" s="1"/>
  <c r="E166" i="2"/>
  <c r="F166" i="2" s="1"/>
  <c r="B166" i="2"/>
  <c r="N166" i="2" s="1"/>
  <c r="O166" i="2" s="1"/>
  <c r="AC165" i="2"/>
  <c r="AD165" i="2" s="1"/>
  <c r="AA165" i="2"/>
  <c r="W165" i="2"/>
  <c r="U165" i="2"/>
  <c r="R165" i="2"/>
  <c r="N165" i="2"/>
  <c r="O165" i="2" s="1"/>
  <c r="L165" i="2"/>
  <c r="I165" i="2"/>
  <c r="H165" i="2"/>
  <c r="F165" i="2"/>
  <c r="C165" i="2"/>
  <c r="AC164" i="2"/>
  <c r="AA164" i="2"/>
  <c r="X164" i="2"/>
  <c r="W164" i="2"/>
  <c r="U164" i="2"/>
  <c r="R164" i="2"/>
  <c r="O164" i="2"/>
  <c r="N164" i="2"/>
  <c r="L164" i="2"/>
  <c r="H164" i="2"/>
  <c r="I164" i="2" s="1"/>
  <c r="F164" i="2"/>
  <c r="C164" i="2"/>
  <c r="AC163" i="2"/>
  <c r="AD163" i="2" s="1"/>
  <c r="AA163" i="2"/>
  <c r="W163" i="2"/>
  <c r="X163" i="2" s="1"/>
  <c r="U163" i="2"/>
  <c r="R163" i="2"/>
  <c r="N163" i="2"/>
  <c r="L163" i="2"/>
  <c r="H163" i="2"/>
  <c r="I163" i="2" s="1"/>
  <c r="F163" i="2"/>
  <c r="C163" i="2"/>
  <c r="AC162" i="2"/>
  <c r="AA162" i="2"/>
  <c r="X162" i="2"/>
  <c r="W162" i="2"/>
  <c r="U162" i="2"/>
  <c r="R162" i="2"/>
  <c r="N162" i="2"/>
  <c r="O162" i="2" s="1"/>
  <c r="L162" i="2"/>
  <c r="H162" i="2"/>
  <c r="I162" i="2" s="1"/>
  <c r="F162" i="2"/>
  <c r="C162" i="2"/>
  <c r="AD161" i="2"/>
  <c r="AC161" i="2"/>
  <c r="AA161" i="2"/>
  <c r="W161" i="2"/>
  <c r="U161" i="2"/>
  <c r="R161" i="2"/>
  <c r="N161" i="2"/>
  <c r="O161" i="2" s="1"/>
  <c r="L161" i="2"/>
  <c r="I161" i="2"/>
  <c r="H161" i="2"/>
  <c r="F161" i="2"/>
  <c r="C161" i="2"/>
  <c r="AC160" i="2"/>
  <c r="AD160" i="2" s="1"/>
  <c r="AA160" i="2"/>
  <c r="X160" i="2"/>
  <c r="W160" i="2"/>
  <c r="U160" i="2"/>
  <c r="R160" i="2"/>
  <c r="O160" i="2"/>
  <c r="N160" i="2"/>
  <c r="L160" i="2"/>
  <c r="H160" i="2"/>
  <c r="I160" i="2" s="1"/>
  <c r="F160" i="2"/>
  <c r="C160" i="2"/>
  <c r="Z158" i="2"/>
  <c r="AA158" i="2" s="1"/>
  <c r="U158" i="2"/>
  <c r="T158" i="2"/>
  <c r="Q158" i="2"/>
  <c r="K158" i="2"/>
  <c r="L158" i="2" s="1"/>
  <c r="E158" i="2"/>
  <c r="F158" i="2" s="1"/>
  <c r="B158" i="2"/>
  <c r="H158" i="2" s="1"/>
  <c r="I158" i="2" s="1"/>
  <c r="AD157" i="2"/>
  <c r="AC157" i="2"/>
  <c r="AA157" i="2"/>
  <c r="X157" i="2"/>
  <c r="W157" i="2"/>
  <c r="U157" i="2"/>
  <c r="R157" i="2"/>
  <c r="N157" i="2"/>
  <c r="O157" i="2" s="1"/>
  <c r="L157" i="2"/>
  <c r="H157" i="2"/>
  <c r="I157" i="2" s="1"/>
  <c r="F157" i="2"/>
  <c r="C157" i="2"/>
  <c r="AC156" i="2"/>
  <c r="AD156" i="2" s="1"/>
  <c r="AA156" i="2"/>
  <c r="X156" i="2"/>
  <c r="W156" i="2"/>
  <c r="U156" i="2"/>
  <c r="R156" i="2"/>
  <c r="O156" i="2"/>
  <c r="N156" i="2"/>
  <c r="L156" i="2"/>
  <c r="I156" i="2"/>
  <c r="H156" i="2"/>
  <c r="F156" i="2"/>
  <c r="C156" i="2"/>
  <c r="AC155" i="2"/>
  <c r="AA155" i="2"/>
  <c r="X155" i="2"/>
  <c r="W155" i="2"/>
  <c r="U155" i="2"/>
  <c r="R155" i="2"/>
  <c r="O155" i="2"/>
  <c r="N155" i="2"/>
  <c r="L155" i="2"/>
  <c r="H155" i="2"/>
  <c r="I155" i="2" s="1"/>
  <c r="F155" i="2"/>
  <c r="C155" i="2"/>
  <c r="AD154" i="2"/>
  <c r="AC154" i="2"/>
  <c r="AA154" i="2"/>
  <c r="X154" i="2"/>
  <c r="W154" i="2"/>
  <c r="U154" i="2"/>
  <c r="R154" i="2"/>
  <c r="N154" i="2"/>
  <c r="O154" i="2" s="1"/>
  <c r="L154" i="2"/>
  <c r="H154" i="2"/>
  <c r="I154" i="2" s="1"/>
  <c r="F154" i="2"/>
  <c r="C154" i="2"/>
  <c r="AC153" i="2"/>
  <c r="AD153" i="2" s="1"/>
  <c r="AA153" i="2"/>
  <c r="X153" i="2"/>
  <c r="W153" i="2"/>
  <c r="U153" i="2"/>
  <c r="R153" i="2"/>
  <c r="O153" i="2"/>
  <c r="N153" i="2"/>
  <c r="L153" i="2"/>
  <c r="I153" i="2"/>
  <c r="H153" i="2"/>
  <c r="F153" i="2"/>
  <c r="C153" i="2"/>
  <c r="AC151" i="2"/>
  <c r="AA151" i="2"/>
  <c r="W151" i="2"/>
  <c r="X151" i="2" s="1"/>
  <c r="U151" i="2"/>
  <c r="R151" i="2"/>
  <c r="O151" i="2"/>
  <c r="N151" i="2"/>
  <c r="L151" i="2"/>
  <c r="I151" i="2"/>
  <c r="H151" i="2"/>
  <c r="F151" i="2"/>
  <c r="C151" i="2"/>
  <c r="AC149" i="2"/>
  <c r="AD149" i="2" s="1"/>
  <c r="Z149" i="2"/>
  <c r="AA149" i="2" s="1"/>
  <c r="U149" i="2"/>
  <c r="T149" i="2"/>
  <c r="Q149" i="2"/>
  <c r="K149" i="2"/>
  <c r="N149" i="2" s="1"/>
  <c r="O149" i="2" s="1"/>
  <c r="E149" i="2"/>
  <c r="F149" i="2" s="1"/>
  <c r="B149" i="2"/>
  <c r="C149" i="2" s="1"/>
  <c r="Z148" i="2"/>
  <c r="AC148" i="2" s="1"/>
  <c r="AD148" i="2" s="1"/>
  <c r="T148" i="2"/>
  <c r="U148" i="2" s="1"/>
  <c r="R148" i="2"/>
  <c r="Q148" i="2"/>
  <c r="N148" i="2"/>
  <c r="O148" i="2" s="1"/>
  <c r="K148" i="2"/>
  <c r="L148" i="2" s="1"/>
  <c r="H148" i="2"/>
  <c r="I148" i="2" s="1"/>
  <c r="E148" i="2"/>
  <c r="F148" i="2" s="1"/>
  <c r="C148" i="2"/>
  <c r="B148" i="2"/>
  <c r="AC147" i="2"/>
  <c r="AD147" i="2" s="1"/>
  <c r="AA147" i="2"/>
  <c r="W147" i="2"/>
  <c r="X147" i="2" s="1"/>
  <c r="U147" i="2"/>
  <c r="R147" i="2"/>
  <c r="O147" i="2"/>
  <c r="N147" i="2"/>
  <c r="L147" i="2"/>
  <c r="H147" i="2"/>
  <c r="I147" i="2" s="1"/>
  <c r="F147" i="2"/>
  <c r="C147" i="2"/>
  <c r="AC146" i="2"/>
  <c r="AD146" i="2" s="1"/>
  <c r="AA146" i="2"/>
  <c r="X146" i="2"/>
  <c r="W146" i="2"/>
  <c r="U146" i="2"/>
  <c r="R146" i="2"/>
  <c r="O146" i="2"/>
  <c r="N146" i="2"/>
  <c r="L146" i="2"/>
  <c r="H146" i="2"/>
  <c r="I146" i="2" s="1"/>
  <c r="F146" i="2"/>
  <c r="C146" i="2"/>
  <c r="AD145" i="2"/>
  <c r="AC145" i="2"/>
  <c r="AA145" i="2"/>
  <c r="X145" i="2"/>
  <c r="W145" i="2"/>
  <c r="U145" i="2"/>
  <c r="R145" i="2"/>
  <c r="N145" i="2"/>
  <c r="O145" i="2" s="1"/>
  <c r="L145" i="2"/>
  <c r="I145" i="2"/>
  <c r="H145" i="2"/>
  <c r="F145" i="2"/>
  <c r="C145" i="2"/>
  <c r="AC144" i="2"/>
  <c r="AA144" i="2"/>
  <c r="X144" i="2"/>
  <c r="W144" i="2"/>
  <c r="U144" i="2"/>
  <c r="R144" i="2"/>
  <c r="O144" i="2"/>
  <c r="N144" i="2"/>
  <c r="L144" i="2"/>
  <c r="H144" i="2"/>
  <c r="I144" i="2" s="1"/>
  <c r="F144" i="2"/>
  <c r="C144" i="2"/>
  <c r="AC143" i="2"/>
  <c r="AA143" i="2"/>
  <c r="X143" i="2"/>
  <c r="W143" i="2"/>
  <c r="U143" i="2"/>
  <c r="R143" i="2"/>
  <c r="N143" i="2"/>
  <c r="O143" i="2" s="1"/>
  <c r="L143" i="2"/>
  <c r="H143" i="2"/>
  <c r="I143" i="2" s="1"/>
  <c r="F143" i="2"/>
  <c r="C143" i="2"/>
  <c r="AC141" i="2"/>
  <c r="AD141" i="2" s="1"/>
  <c r="AA141" i="2"/>
  <c r="Z141" i="2"/>
  <c r="T141" i="2"/>
  <c r="U141" i="2" s="1"/>
  <c r="Q141" i="2"/>
  <c r="W141" i="2" s="1"/>
  <c r="X141" i="2" s="1"/>
  <c r="O141" i="2"/>
  <c r="K141" i="2"/>
  <c r="L141" i="2" s="1"/>
  <c r="H141" i="2"/>
  <c r="I141" i="2" s="1"/>
  <c r="E141" i="2"/>
  <c r="F141" i="2" s="1"/>
  <c r="C141" i="2"/>
  <c r="B141" i="2"/>
  <c r="N141" i="2" s="1"/>
  <c r="AC140" i="2"/>
  <c r="AD140" i="2" s="1"/>
  <c r="AA140" i="2"/>
  <c r="W140" i="2"/>
  <c r="X140" i="2" s="1"/>
  <c r="U140" i="2"/>
  <c r="R140" i="2"/>
  <c r="N140" i="2"/>
  <c r="O140" i="2" s="1"/>
  <c r="L140" i="2"/>
  <c r="H140" i="2"/>
  <c r="I140" i="2" s="1"/>
  <c r="F140" i="2"/>
  <c r="C140" i="2"/>
  <c r="AD139" i="2"/>
  <c r="AC139" i="2"/>
  <c r="AA139" i="2"/>
  <c r="X139" i="2"/>
  <c r="W139" i="2"/>
  <c r="U139" i="2"/>
  <c r="R139" i="2"/>
  <c r="N139" i="2"/>
  <c r="O139" i="2" s="1"/>
  <c r="L139" i="2"/>
  <c r="H139" i="2"/>
  <c r="I139" i="2" s="1"/>
  <c r="F139" i="2"/>
  <c r="C139" i="2"/>
  <c r="AD138" i="2"/>
  <c r="AC138" i="2"/>
  <c r="AA138" i="2"/>
  <c r="W138" i="2"/>
  <c r="X138" i="2" s="1"/>
  <c r="U138" i="2"/>
  <c r="R138" i="2"/>
  <c r="N138" i="2"/>
  <c r="O138" i="2" s="1"/>
  <c r="L138" i="2"/>
  <c r="I138" i="2"/>
  <c r="H138" i="2"/>
  <c r="F138" i="2"/>
  <c r="C138" i="2"/>
  <c r="AC137" i="2"/>
  <c r="AD137" i="2" s="1"/>
  <c r="AA137" i="2"/>
  <c r="W137" i="2"/>
  <c r="X137" i="2" s="1"/>
  <c r="U137" i="2"/>
  <c r="R137" i="2"/>
  <c r="O137" i="2"/>
  <c r="N137" i="2"/>
  <c r="L137" i="2"/>
  <c r="H137" i="2"/>
  <c r="I137" i="2" s="1"/>
  <c r="F137" i="2"/>
  <c r="C137" i="2"/>
  <c r="AC136" i="2"/>
  <c r="AD136" i="2" s="1"/>
  <c r="AA136" i="2"/>
  <c r="W136" i="2"/>
  <c r="X136" i="2" s="1"/>
  <c r="U136" i="2"/>
  <c r="R136" i="2"/>
  <c r="N136" i="2"/>
  <c r="O136" i="2" s="1"/>
  <c r="L136" i="2"/>
  <c r="H136" i="2"/>
  <c r="I136" i="2" s="1"/>
  <c r="F136" i="2"/>
  <c r="C136" i="2"/>
  <c r="AD135" i="2"/>
  <c r="AC135" i="2"/>
  <c r="AA135" i="2"/>
  <c r="X135" i="2"/>
  <c r="W135" i="2"/>
  <c r="U135" i="2"/>
  <c r="R135" i="2"/>
  <c r="N135" i="2"/>
  <c r="O135" i="2" s="1"/>
  <c r="L135" i="2"/>
  <c r="H135" i="2"/>
  <c r="I135" i="2" s="1"/>
  <c r="F135" i="2"/>
  <c r="C135" i="2"/>
  <c r="AC134" i="2"/>
  <c r="AD134" i="2" s="1"/>
  <c r="AA134" i="2"/>
  <c r="W134" i="2"/>
  <c r="X134" i="2" s="1"/>
  <c r="U134" i="2"/>
  <c r="R134" i="2"/>
  <c r="O134" i="2"/>
  <c r="N134" i="2"/>
  <c r="L134" i="2"/>
  <c r="I134" i="2"/>
  <c r="H134" i="2"/>
  <c r="F134" i="2"/>
  <c r="C134" i="2"/>
  <c r="AC133" i="2"/>
  <c r="AD133" i="2" s="1"/>
  <c r="AA133" i="2"/>
  <c r="W133" i="2"/>
  <c r="X133" i="2" s="1"/>
  <c r="U133" i="2"/>
  <c r="R133" i="2"/>
  <c r="O133" i="2"/>
  <c r="N133" i="2"/>
  <c r="L133" i="2"/>
  <c r="I133" i="2"/>
  <c r="H133" i="2"/>
  <c r="F133" i="2"/>
  <c r="C133" i="2"/>
  <c r="AC132" i="2"/>
  <c r="AD132" i="2" s="1"/>
  <c r="AA132" i="2"/>
  <c r="W132" i="2"/>
  <c r="X132" i="2" s="1"/>
  <c r="U132" i="2"/>
  <c r="R132" i="2"/>
  <c r="N132" i="2"/>
  <c r="O132" i="2" s="1"/>
  <c r="L132" i="2"/>
  <c r="H132" i="2"/>
  <c r="I132" i="2" s="1"/>
  <c r="F132" i="2"/>
  <c r="C132" i="2"/>
  <c r="AD131" i="2"/>
  <c r="AC131" i="2"/>
  <c r="AA131" i="2"/>
  <c r="X131" i="2"/>
  <c r="W131" i="2"/>
  <c r="U131" i="2"/>
  <c r="R131" i="2"/>
  <c r="N131" i="2"/>
  <c r="O131" i="2" s="1"/>
  <c r="L131" i="2"/>
  <c r="H131" i="2"/>
  <c r="I131" i="2" s="1"/>
  <c r="F131" i="2"/>
  <c r="C131" i="2"/>
  <c r="AC130" i="2"/>
  <c r="AD130" i="2" s="1"/>
  <c r="AA130" i="2"/>
  <c r="W130" i="2"/>
  <c r="X130" i="2" s="1"/>
  <c r="U130" i="2"/>
  <c r="R130" i="2"/>
  <c r="N130" i="2"/>
  <c r="O130" i="2" s="1"/>
  <c r="L130" i="2"/>
  <c r="I130" i="2"/>
  <c r="H130" i="2"/>
  <c r="F130" i="2"/>
  <c r="C130" i="2"/>
  <c r="AC129" i="2"/>
  <c r="AD129" i="2" s="1"/>
  <c r="AA129" i="2"/>
  <c r="X129" i="2"/>
  <c r="W129" i="2"/>
  <c r="U129" i="2"/>
  <c r="R129" i="2"/>
  <c r="O129" i="2"/>
  <c r="N129" i="2"/>
  <c r="L129" i="2"/>
  <c r="H129" i="2"/>
  <c r="I129" i="2" s="1"/>
  <c r="F129" i="2"/>
  <c r="C129" i="2"/>
  <c r="AC127" i="2"/>
  <c r="AD127" i="2" s="1"/>
  <c r="AA127" i="2"/>
  <c r="X127" i="2"/>
  <c r="W127" i="2"/>
  <c r="U127" i="2"/>
  <c r="R127" i="2"/>
  <c r="N127" i="2"/>
  <c r="O127" i="2" s="1"/>
  <c r="L127" i="2"/>
  <c r="H127" i="2"/>
  <c r="I127" i="2" s="1"/>
  <c r="F127" i="2"/>
  <c r="C127" i="2"/>
  <c r="AD124" i="2"/>
  <c r="Z124" i="2"/>
  <c r="AA124" i="2" s="1"/>
  <c r="W124" i="2"/>
  <c r="X124" i="2" s="1"/>
  <c r="T124" i="2"/>
  <c r="T172" i="2" s="1"/>
  <c r="R124" i="2"/>
  <c r="Q124" i="2"/>
  <c r="AC124" i="2" s="1"/>
  <c r="K124" i="2"/>
  <c r="H124" i="2"/>
  <c r="I124" i="2" s="1"/>
  <c r="F124" i="2"/>
  <c r="E124" i="2"/>
  <c r="B124" i="2"/>
  <c r="C124" i="2" s="1"/>
  <c r="AC123" i="2"/>
  <c r="AD123" i="2" s="1"/>
  <c r="AA123" i="2"/>
  <c r="X123" i="2"/>
  <c r="W123" i="2"/>
  <c r="U123" i="2"/>
  <c r="R123" i="2"/>
  <c r="O123" i="2"/>
  <c r="N123" i="2"/>
  <c r="L123" i="2"/>
  <c r="H123" i="2"/>
  <c r="I123" i="2" s="1"/>
  <c r="F123" i="2"/>
  <c r="C123" i="2"/>
  <c r="Z122" i="2"/>
  <c r="AA122" i="2" s="1"/>
  <c r="W122" i="2"/>
  <c r="X122" i="2" s="1"/>
  <c r="U122" i="2"/>
  <c r="T122" i="2"/>
  <c r="Q122" i="2"/>
  <c r="R122" i="2" s="1"/>
  <c r="K122" i="2"/>
  <c r="N122" i="2" s="1"/>
  <c r="O122" i="2" s="1"/>
  <c r="E122" i="2"/>
  <c r="F122" i="2" s="1"/>
  <c r="B122" i="2"/>
  <c r="AC121" i="2"/>
  <c r="AD121" i="2" s="1"/>
  <c r="AA121" i="2"/>
  <c r="X121" i="2"/>
  <c r="W121" i="2"/>
  <c r="U121" i="2"/>
  <c r="R121" i="2"/>
  <c r="N121" i="2"/>
  <c r="O121" i="2" s="1"/>
  <c r="L121" i="2"/>
  <c r="I121" i="2"/>
  <c r="H121" i="2"/>
  <c r="F121" i="2"/>
  <c r="C121" i="2"/>
  <c r="AC120" i="2"/>
  <c r="AD120" i="2" s="1"/>
  <c r="AA120" i="2"/>
  <c r="W120" i="2"/>
  <c r="X120" i="2" s="1"/>
  <c r="U120" i="2"/>
  <c r="R120" i="2"/>
  <c r="O120" i="2"/>
  <c r="N120" i="2"/>
  <c r="L120" i="2"/>
  <c r="H120" i="2"/>
  <c r="I120" i="2" s="1"/>
  <c r="F120" i="2"/>
  <c r="C120" i="2"/>
  <c r="AC119" i="2"/>
  <c r="AD119" i="2" s="1"/>
  <c r="AA119" i="2"/>
  <c r="W119" i="2"/>
  <c r="X119" i="2" s="1"/>
  <c r="U119" i="2"/>
  <c r="R119" i="2"/>
  <c r="O119" i="2"/>
  <c r="N119" i="2"/>
  <c r="L119" i="2"/>
  <c r="H119" i="2"/>
  <c r="I119" i="2" s="1"/>
  <c r="F119" i="2"/>
  <c r="C119" i="2"/>
  <c r="AD118" i="2"/>
  <c r="Z118" i="2"/>
  <c r="AA118" i="2" s="1"/>
  <c r="W118" i="2"/>
  <c r="X118" i="2" s="1"/>
  <c r="T118" i="2"/>
  <c r="U118" i="2" s="1"/>
  <c r="R118" i="2"/>
  <c r="Q118" i="2"/>
  <c r="AC118" i="2" s="1"/>
  <c r="K118" i="2"/>
  <c r="L118" i="2" s="1"/>
  <c r="H118" i="2"/>
  <c r="I118" i="2" s="1"/>
  <c r="F118" i="2"/>
  <c r="E118" i="2"/>
  <c r="B118" i="2"/>
  <c r="C118" i="2" s="1"/>
  <c r="AC117" i="2"/>
  <c r="AD117" i="2" s="1"/>
  <c r="AA117" i="2"/>
  <c r="X117" i="2"/>
  <c r="W117" i="2"/>
  <c r="U117" i="2"/>
  <c r="R117" i="2"/>
  <c r="O117" i="2"/>
  <c r="N117" i="2"/>
  <c r="L117" i="2"/>
  <c r="H117" i="2"/>
  <c r="I117" i="2" s="1"/>
  <c r="F117" i="2"/>
  <c r="C117" i="2"/>
  <c r="AC116" i="2"/>
  <c r="AD116" i="2" s="1"/>
  <c r="AA116" i="2"/>
  <c r="W116" i="2"/>
  <c r="X116" i="2" s="1"/>
  <c r="U116" i="2"/>
  <c r="R116" i="2"/>
  <c r="O116" i="2"/>
  <c r="N116" i="2"/>
  <c r="L116" i="2"/>
  <c r="H116" i="2"/>
  <c r="I116" i="2" s="1"/>
  <c r="F116" i="2"/>
  <c r="C116" i="2"/>
  <c r="AD115" i="2"/>
  <c r="AC115" i="2"/>
  <c r="AA115" i="2"/>
  <c r="X115" i="2"/>
  <c r="W115" i="2"/>
  <c r="U115" i="2"/>
  <c r="R115" i="2"/>
  <c r="O115" i="2"/>
  <c r="N115" i="2"/>
  <c r="L115" i="2"/>
  <c r="H115" i="2"/>
  <c r="I115" i="2" s="1"/>
  <c r="F115" i="2"/>
  <c r="C115" i="2"/>
  <c r="AC114" i="2"/>
  <c r="AD114" i="2" s="1"/>
  <c r="AA114" i="2"/>
  <c r="X114" i="2"/>
  <c r="W114" i="2"/>
  <c r="U114" i="2"/>
  <c r="R114" i="2"/>
  <c r="O114" i="2"/>
  <c r="N114" i="2"/>
  <c r="L114" i="2"/>
  <c r="I114" i="2"/>
  <c r="H114" i="2"/>
  <c r="F114" i="2"/>
  <c r="C114" i="2"/>
  <c r="AC113" i="2"/>
  <c r="AD113" i="2" s="1"/>
  <c r="AA113" i="2"/>
  <c r="W113" i="2"/>
  <c r="X113" i="2" s="1"/>
  <c r="U113" i="2"/>
  <c r="R113" i="2"/>
  <c r="O113" i="2"/>
  <c r="N113" i="2"/>
  <c r="L113" i="2"/>
  <c r="I113" i="2"/>
  <c r="H113" i="2"/>
  <c r="F113" i="2"/>
  <c r="C113" i="2"/>
  <c r="AC112" i="2"/>
  <c r="AD112" i="2" s="1"/>
  <c r="AA112" i="2"/>
  <c r="W112" i="2"/>
  <c r="X112" i="2" s="1"/>
  <c r="U112" i="2"/>
  <c r="R112" i="2"/>
  <c r="O112" i="2"/>
  <c r="N112" i="2"/>
  <c r="L112" i="2"/>
  <c r="H112" i="2"/>
  <c r="I112" i="2" s="1"/>
  <c r="F112" i="2"/>
  <c r="C112" i="2"/>
  <c r="AD111" i="2"/>
  <c r="AC111" i="2"/>
  <c r="AA111" i="2"/>
  <c r="X111" i="2"/>
  <c r="W111" i="2"/>
  <c r="U111" i="2"/>
  <c r="R111" i="2"/>
  <c r="N111" i="2"/>
  <c r="O111" i="2" s="1"/>
  <c r="L111" i="2"/>
  <c r="H111" i="2"/>
  <c r="I111" i="2" s="1"/>
  <c r="F111" i="2"/>
  <c r="C111" i="2"/>
  <c r="AD110" i="2"/>
  <c r="AC110" i="2"/>
  <c r="AA110" i="2"/>
  <c r="X110" i="2"/>
  <c r="W110" i="2"/>
  <c r="U110" i="2"/>
  <c r="R110" i="2"/>
  <c r="N110" i="2"/>
  <c r="O110" i="2" s="1"/>
  <c r="L110" i="2"/>
  <c r="I110" i="2"/>
  <c r="H110" i="2"/>
  <c r="F110" i="2"/>
  <c r="C110" i="2"/>
  <c r="AC109" i="2"/>
  <c r="AD109" i="2" s="1"/>
  <c r="AA109" i="2"/>
  <c r="X109" i="2"/>
  <c r="W109" i="2"/>
  <c r="U109" i="2"/>
  <c r="R109" i="2"/>
  <c r="O109" i="2"/>
  <c r="N109" i="2"/>
  <c r="L109" i="2"/>
  <c r="H109" i="2"/>
  <c r="I109" i="2" s="1"/>
  <c r="F109" i="2"/>
  <c r="C109" i="2"/>
  <c r="AC108" i="2"/>
  <c r="AD108" i="2" s="1"/>
  <c r="AA108" i="2"/>
  <c r="W108" i="2"/>
  <c r="X108" i="2" s="1"/>
  <c r="U108" i="2"/>
  <c r="R108" i="2"/>
  <c r="O108" i="2"/>
  <c r="N108" i="2"/>
  <c r="L108" i="2"/>
  <c r="H108" i="2"/>
  <c r="I108" i="2" s="1"/>
  <c r="F108" i="2"/>
  <c r="C108" i="2"/>
  <c r="AD107" i="2"/>
  <c r="AC107" i="2"/>
  <c r="AA107" i="2"/>
  <c r="X107" i="2"/>
  <c r="W107" i="2"/>
  <c r="U107" i="2"/>
  <c r="R107" i="2"/>
  <c r="O107" i="2"/>
  <c r="N107" i="2"/>
  <c r="L107" i="2"/>
  <c r="H107" i="2"/>
  <c r="I107" i="2" s="1"/>
  <c r="F107" i="2"/>
  <c r="C107" i="2"/>
  <c r="AC106" i="2"/>
  <c r="AD106" i="2" s="1"/>
  <c r="AA106" i="2"/>
  <c r="X106" i="2"/>
  <c r="W106" i="2"/>
  <c r="U106" i="2"/>
  <c r="R106" i="2"/>
  <c r="O106" i="2"/>
  <c r="N106" i="2"/>
  <c r="L106" i="2"/>
  <c r="I106" i="2"/>
  <c r="H106" i="2"/>
  <c r="F106" i="2"/>
  <c r="C106" i="2"/>
  <c r="AC105" i="2"/>
  <c r="AD105" i="2" s="1"/>
  <c r="AA105" i="2"/>
  <c r="W105" i="2"/>
  <c r="X105" i="2" s="1"/>
  <c r="U105" i="2"/>
  <c r="R105" i="2"/>
  <c r="O105" i="2"/>
  <c r="N105" i="2"/>
  <c r="L105" i="2"/>
  <c r="I105" i="2"/>
  <c r="H105" i="2"/>
  <c r="F105" i="2"/>
  <c r="C105" i="2"/>
  <c r="AC104" i="2"/>
  <c r="AD104" i="2" s="1"/>
  <c r="AA104" i="2"/>
  <c r="W104" i="2"/>
  <c r="X104" i="2" s="1"/>
  <c r="U104" i="2"/>
  <c r="R104" i="2"/>
  <c r="O104" i="2"/>
  <c r="N104" i="2"/>
  <c r="L104" i="2"/>
  <c r="H104" i="2"/>
  <c r="I104" i="2" s="1"/>
  <c r="F104" i="2"/>
  <c r="C104" i="2"/>
  <c r="AD103" i="2"/>
  <c r="AC103" i="2"/>
  <c r="AA103" i="2"/>
  <c r="X103" i="2"/>
  <c r="W103" i="2"/>
  <c r="U103" i="2"/>
  <c r="R103" i="2"/>
  <c r="N103" i="2"/>
  <c r="O103" i="2" s="1"/>
  <c r="L103" i="2"/>
  <c r="H103" i="2"/>
  <c r="I103" i="2" s="1"/>
  <c r="F103" i="2"/>
  <c r="C103" i="2"/>
  <c r="AD102" i="2"/>
  <c r="AC102" i="2"/>
  <c r="AA102" i="2"/>
  <c r="X102" i="2"/>
  <c r="W102" i="2"/>
  <c r="U102" i="2"/>
  <c r="R102" i="2"/>
  <c r="N102" i="2"/>
  <c r="O102" i="2" s="1"/>
  <c r="L102" i="2"/>
  <c r="I102" i="2"/>
  <c r="H102" i="2"/>
  <c r="F102" i="2"/>
  <c r="C102" i="2"/>
  <c r="AC101" i="2"/>
  <c r="AD101" i="2" s="1"/>
  <c r="AA101" i="2"/>
  <c r="X101" i="2"/>
  <c r="W101" i="2"/>
  <c r="U101" i="2"/>
  <c r="R101" i="2"/>
  <c r="O101" i="2"/>
  <c r="N101" i="2"/>
  <c r="L101" i="2"/>
  <c r="H101" i="2"/>
  <c r="I101" i="2" s="1"/>
  <c r="F101" i="2"/>
  <c r="C101" i="2"/>
  <c r="AC100" i="2"/>
  <c r="AD100" i="2" s="1"/>
  <c r="AA100" i="2"/>
  <c r="W100" i="2"/>
  <c r="X100" i="2" s="1"/>
  <c r="U100" i="2"/>
  <c r="R100" i="2"/>
  <c r="O100" i="2"/>
  <c r="N100" i="2"/>
  <c r="L100" i="2"/>
  <c r="H100" i="2"/>
  <c r="I100" i="2" s="1"/>
  <c r="F100" i="2"/>
  <c r="C100" i="2"/>
  <c r="AD99" i="2"/>
  <c r="AC99" i="2"/>
  <c r="AA99" i="2"/>
  <c r="X99" i="2"/>
  <c r="W99" i="2"/>
  <c r="U99" i="2"/>
  <c r="R99" i="2"/>
  <c r="O99" i="2"/>
  <c r="N99" i="2"/>
  <c r="L99" i="2"/>
  <c r="H99" i="2"/>
  <c r="I99" i="2" s="1"/>
  <c r="F99" i="2"/>
  <c r="C99" i="2"/>
  <c r="AC98" i="2"/>
  <c r="AD98" i="2" s="1"/>
  <c r="AA98" i="2"/>
  <c r="X98" i="2"/>
  <c r="W98" i="2"/>
  <c r="U98" i="2"/>
  <c r="R98" i="2"/>
  <c r="O98" i="2"/>
  <c r="N98" i="2"/>
  <c r="L98" i="2"/>
  <c r="I98" i="2"/>
  <c r="H98" i="2"/>
  <c r="F98" i="2"/>
  <c r="C98" i="2"/>
  <c r="AC97" i="2"/>
  <c r="AD97" i="2" s="1"/>
  <c r="AA97" i="2"/>
  <c r="W97" i="2"/>
  <c r="X97" i="2" s="1"/>
  <c r="U97" i="2"/>
  <c r="R97" i="2"/>
  <c r="O97" i="2"/>
  <c r="N97" i="2"/>
  <c r="L97" i="2"/>
  <c r="I97" i="2"/>
  <c r="H97" i="2"/>
  <c r="F97" i="2"/>
  <c r="C97" i="2"/>
  <c r="AC96" i="2"/>
  <c r="AD96" i="2" s="1"/>
  <c r="AA96" i="2"/>
  <c r="W96" i="2"/>
  <c r="X96" i="2" s="1"/>
  <c r="U96" i="2"/>
  <c r="R96" i="2"/>
  <c r="O96" i="2"/>
  <c r="N96" i="2"/>
  <c r="L96" i="2"/>
  <c r="H96" i="2"/>
  <c r="I96" i="2" s="1"/>
  <c r="F96" i="2"/>
  <c r="C96" i="2"/>
  <c r="AD95" i="2"/>
  <c r="AC95" i="2"/>
  <c r="AA95" i="2"/>
  <c r="X95" i="2"/>
  <c r="W95" i="2"/>
  <c r="U95" i="2"/>
  <c r="R95" i="2"/>
  <c r="N95" i="2"/>
  <c r="O95" i="2" s="1"/>
  <c r="L95" i="2"/>
  <c r="H95" i="2"/>
  <c r="I95" i="2" s="1"/>
  <c r="F95" i="2"/>
  <c r="C95" i="2"/>
  <c r="AD94" i="2"/>
  <c r="AC94" i="2"/>
  <c r="AA94" i="2"/>
  <c r="X94" i="2"/>
  <c r="W94" i="2"/>
  <c r="U94" i="2"/>
  <c r="R94" i="2"/>
  <c r="N94" i="2"/>
  <c r="O94" i="2" s="1"/>
  <c r="L94" i="2"/>
  <c r="I94" i="2"/>
  <c r="H94" i="2"/>
  <c r="F94" i="2"/>
  <c r="C94" i="2"/>
  <c r="AC92" i="2"/>
  <c r="AD92" i="2" s="1"/>
  <c r="AA92" i="2"/>
  <c r="X92" i="2"/>
  <c r="W92" i="2"/>
  <c r="U92" i="2"/>
  <c r="R92" i="2"/>
  <c r="O92" i="2"/>
  <c r="N92" i="2"/>
  <c r="L92" i="2"/>
  <c r="H92" i="2"/>
  <c r="I92" i="2" s="1"/>
  <c r="F92" i="2"/>
  <c r="C92" i="2"/>
  <c r="AC91" i="2"/>
  <c r="AD91" i="2" s="1"/>
  <c r="AA91" i="2"/>
  <c r="W91" i="2"/>
  <c r="X91" i="2" s="1"/>
  <c r="U91" i="2"/>
  <c r="R91" i="2"/>
  <c r="O91" i="2"/>
  <c r="N91" i="2"/>
  <c r="L91" i="2"/>
  <c r="H91" i="2"/>
  <c r="I91" i="2" s="1"/>
  <c r="F91" i="2"/>
  <c r="C91" i="2"/>
  <c r="AD90" i="2"/>
  <c r="AC90" i="2"/>
  <c r="AA90" i="2"/>
  <c r="X90" i="2"/>
  <c r="W90" i="2"/>
  <c r="U90" i="2"/>
  <c r="R90" i="2"/>
  <c r="O90" i="2"/>
  <c r="N90" i="2"/>
  <c r="L90" i="2"/>
  <c r="H90" i="2"/>
  <c r="I90" i="2" s="1"/>
  <c r="F90" i="2"/>
  <c r="C90" i="2"/>
  <c r="AC89" i="2"/>
  <c r="AD89" i="2" s="1"/>
  <c r="AA89" i="2"/>
  <c r="X89" i="2"/>
  <c r="W89" i="2"/>
  <c r="U89" i="2"/>
  <c r="R89" i="2"/>
  <c r="O89" i="2"/>
  <c r="N89" i="2"/>
  <c r="L89" i="2"/>
  <c r="I89" i="2"/>
  <c r="H89" i="2"/>
  <c r="F89" i="2"/>
  <c r="C89" i="2"/>
  <c r="AA88" i="2"/>
  <c r="Z88" i="2"/>
  <c r="AC88" i="2" s="1"/>
  <c r="AD88" i="2" s="1"/>
  <c r="T88" i="2"/>
  <c r="U88" i="2" s="1"/>
  <c r="Q88" i="2"/>
  <c r="L88" i="2"/>
  <c r="K88" i="2"/>
  <c r="E88" i="2"/>
  <c r="F88" i="2" s="1"/>
  <c r="B88" i="2"/>
  <c r="H88" i="2" s="1"/>
  <c r="I88" i="2" s="1"/>
  <c r="AD87" i="2"/>
  <c r="AC87" i="2"/>
  <c r="AA87" i="2"/>
  <c r="X87" i="2"/>
  <c r="W87" i="2"/>
  <c r="U87" i="2"/>
  <c r="R87" i="2"/>
  <c r="O87" i="2"/>
  <c r="N87" i="2"/>
  <c r="L87" i="2"/>
  <c r="H87" i="2"/>
  <c r="I87" i="2" s="1"/>
  <c r="F87" i="2"/>
  <c r="C87" i="2"/>
  <c r="AD86" i="2"/>
  <c r="AC86" i="2"/>
  <c r="AA86" i="2"/>
  <c r="X86" i="2"/>
  <c r="W86" i="2"/>
  <c r="U86" i="2"/>
  <c r="R86" i="2"/>
  <c r="O86" i="2"/>
  <c r="N86" i="2"/>
  <c r="L86" i="2"/>
  <c r="I86" i="2"/>
  <c r="H86" i="2"/>
  <c r="F86" i="2"/>
  <c r="C86" i="2"/>
  <c r="AC85" i="2"/>
  <c r="AD85" i="2" s="1"/>
  <c r="AA85" i="2"/>
  <c r="X85" i="2"/>
  <c r="W85" i="2"/>
  <c r="U85" i="2"/>
  <c r="R85" i="2"/>
  <c r="O85" i="2"/>
  <c r="N85" i="2"/>
  <c r="L85" i="2"/>
  <c r="I85" i="2"/>
  <c r="H85" i="2"/>
  <c r="F85" i="2"/>
  <c r="C85" i="2"/>
  <c r="AC84" i="2"/>
  <c r="AD84" i="2" s="1"/>
  <c r="AA84" i="2"/>
  <c r="W84" i="2"/>
  <c r="X84" i="2" s="1"/>
  <c r="U84" i="2"/>
  <c r="R84" i="2"/>
  <c r="O84" i="2"/>
  <c r="N84" i="2"/>
  <c r="L84" i="2"/>
  <c r="H84" i="2"/>
  <c r="I84" i="2" s="1"/>
  <c r="F84" i="2"/>
  <c r="C84" i="2"/>
  <c r="AD83" i="2"/>
  <c r="AC83" i="2"/>
  <c r="AA83" i="2"/>
  <c r="X83" i="2"/>
  <c r="W83" i="2"/>
  <c r="U83" i="2"/>
  <c r="R83" i="2"/>
  <c r="N83" i="2"/>
  <c r="O83" i="2" s="1"/>
  <c r="L83" i="2"/>
  <c r="H83" i="2"/>
  <c r="I83" i="2" s="1"/>
  <c r="F83" i="2"/>
  <c r="C83" i="2"/>
  <c r="AD82" i="2"/>
  <c r="AC82" i="2"/>
  <c r="AA82" i="2"/>
  <c r="X82" i="2"/>
  <c r="W82" i="2"/>
  <c r="U82" i="2"/>
  <c r="R82" i="2"/>
  <c r="N82" i="2"/>
  <c r="O82" i="2" s="1"/>
  <c r="L82" i="2"/>
  <c r="I82" i="2"/>
  <c r="H82" i="2"/>
  <c r="F82" i="2"/>
  <c r="C82" i="2"/>
  <c r="AC81" i="2"/>
  <c r="AD81" i="2" s="1"/>
  <c r="AA81" i="2"/>
  <c r="X81" i="2"/>
  <c r="W81" i="2"/>
  <c r="U81" i="2"/>
  <c r="R81" i="2"/>
  <c r="O81" i="2"/>
  <c r="N81" i="2"/>
  <c r="L81" i="2"/>
  <c r="H81" i="2"/>
  <c r="I81" i="2" s="1"/>
  <c r="F81" i="2"/>
  <c r="C81" i="2"/>
  <c r="AC80" i="2"/>
  <c r="AD80" i="2" s="1"/>
  <c r="AA80" i="2"/>
  <c r="W80" i="2"/>
  <c r="X80" i="2" s="1"/>
  <c r="U80" i="2"/>
  <c r="R80" i="2"/>
  <c r="O80" i="2"/>
  <c r="N80" i="2"/>
  <c r="L80" i="2"/>
  <c r="H80" i="2"/>
  <c r="I80" i="2" s="1"/>
  <c r="F80" i="2"/>
  <c r="C80" i="2"/>
  <c r="AD79" i="2"/>
  <c r="AC79" i="2"/>
  <c r="AA79" i="2"/>
  <c r="X79" i="2"/>
  <c r="W79" i="2"/>
  <c r="U79" i="2"/>
  <c r="R79" i="2"/>
  <c r="O79" i="2"/>
  <c r="N79" i="2"/>
  <c r="L79" i="2"/>
  <c r="H79" i="2"/>
  <c r="I79" i="2" s="1"/>
  <c r="F79" i="2"/>
  <c r="C79" i="2"/>
  <c r="AC78" i="2"/>
  <c r="AD78" i="2" s="1"/>
  <c r="AA78" i="2"/>
  <c r="X78" i="2"/>
  <c r="W78" i="2"/>
  <c r="U78" i="2"/>
  <c r="R78" i="2"/>
  <c r="O78" i="2"/>
  <c r="N78" i="2"/>
  <c r="L78" i="2"/>
  <c r="I78" i="2"/>
  <c r="H78" i="2"/>
  <c r="F78" i="2"/>
  <c r="C78" i="2"/>
  <c r="AC77" i="2"/>
  <c r="AD77" i="2" s="1"/>
  <c r="AA77" i="2"/>
  <c r="W77" i="2"/>
  <c r="X77" i="2" s="1"/>
  <c r="U77" i="2"/>
  <c r="R77" i="2"/>
  <c r="O77" i="2"/>
  <c r="N77" i="2"/>
  <c r="L77" i="2"/>
  <c r="I77" i="2"/>
  <c r="H77" i="2"/>
  <c r="F77" i="2"/>
  <c r="C77" i="2"/>
  <c r="AC76" i="2"/>
  <c r="AD76" i="2" s="1"/>
  <c r="AA76" i="2"/>
  <c r="W76" i="2"/>
  <c r="X76" i="2" s="1"/>
  <c r="U76" i="2"/>
  <c r="R76" i="2"/>
  <c r="O76" i="2"/>
  <c r="N76" i="2"/>
  <c r="L76" i="2"/>
  <c r="H76" i="2"/>
  <c r="I76" i="2" s="1"/>
  <c r="F76" i="2"/>
  <c r="C76" i="2"/>
  <c r="AD75" i="2"/>
  <c r="AC75" i="2"/>
  <c r="AA75" i="2"/>
  <c r="X75" i="2"/>
  <c r="W75" i="2"/>
  <c r="U75" i="2"/>
  <c r="R75" i="2"/>
  <c r="N75" i="2"/>
  <c r="O75" i="2" s="1"/>
  <c r="L75" i="2"/>
  <c r="H75" i="2"/>
  <c r="I75" i="2" s="1"/>
  <c r="F75" i="2"/>
  <c r="C75" i="2"/>
  <c r="AA73" i="2"/>
  <c r="Z73" i="2"/>
  <c r="T73" i="2"/>
  <c r="U73" i="2" s="1"/>
  <c r="Q73" i="2"/>
  <c r="W73" i="2" s="1"/>
  <c r="X73" i="2" s="1"/>
  <c r="K73" i="2"/>
  <c r="L73" i="2" s="1"/>
  <c r="E73" i="2"/>
  <c r="H73" i="2" s="1"/>
  <c r="I73" i="2" s="1"/>
  <c r="C73" i="2"/>
  <c r="B73" i="2"/>
  <c r="N73" i="2" s="1"/>
  <c r="O73" i="2" s="1"/>
  <c r="AC72" i="2"/>
  <c r="AD72" i="2" s="1"/>
  <c r="AA72" i="2"/>
  <c r="X72" i="2"/>
  <c r="W72" i="2"/>
  <c r="U72" i="2"/>
  <c r="R72" i="2"/>
  <c r="O72" i="2"/>
  <c r="N72" i="2"/>
  <c r="L72" i="2"/>
  <c r="H72" i="2"/>
  <c r="I72" i="2" s="1"/>
  <c r="F72" i="2"/>
  <c r="C72" i="2"/>
  <c r="AD71" i="2"/>
  <c r="AC71" i="2"/>
  <c r="AA71" i="2"/>
  <c r="X71" i="2"/>
  <c r="W71" i="2"/>
  <c r="U71" i="2"/>
  <c r="R71" i="2"/>
  <c r="N71" i="2"/>
  <c r="O71" i="2" s="1"/>
  <c r="L71" i="2"/>
  <c r="H71" i="2"/>
  <c r="I71" i="2" s="1"/>
  <c r="F71" i="2"/>
  <c r="C71" i="2"/>
  <c r="AC70" i="2"/>
  <c r="AD70" i="2" s="1"/>
  <c r="AA70" i="2"/>
  <c r="X70" i="2"/>
  <c r="W70" i="2"/>
  <c r="U70" i="2"/>
  <c r="R70" i="2"/>
  <c r="O70" i="2"/>
  <c r="N70" i="2"/>
  <c r="L70" i="2"/>
  <c r="I70" i="2"/>
  <c r="H70" i="2"/>
  <c r="F70" i="2"/>
  <c r="C70" i="2"/>
  <c r="AC69" i="2"/>
  <c r="AD69" i="2" s="1"/>
  <c r="AA69" i="2"/>
  <c r="W69" i="2"/>
  <c r="X69" i="2" s="1"/>
  <c r="U69" i="2"/>
  <c r="R69" i="2"/>
  <c r="O69" i="2"/>
  <c r="N69" i="2"/>
  <c r="L69" i="2"/>
  <c r="I69" i="2"/>
  <c r="H69" i="2"/>
  <c r="F69" i="2"/>
  <c r="C69" i="2"/>
  <c r="AC68" i="2"/>
  <c r="AD68" i="2" s="1"/>
  <c r="AA68" i="2"/>
  <c r="W68" i="2"/>
  <c r="X68" i="2" s="1"/>
  <c r="U68" i="2"/>
  <c r="R68" i="2"/>
  <c r="O68" i="2"/>
  <c r="N68" i="2"/>
  <c r="L68" i="2"/>
  <c r="H68" i="2"/>
  <c r="I68" i="2" s="1"/>
  <c r="F68" i="2"/>
  <c r="C68" i="2"/>
  <c r="AD67" i="2"/>
  <c r="AC67" i="2"/>
  <c r="AA67" i="2"/>
  <c r="X67" i="2"/>
  <c r="W67" i="2"/>
  <c r="U67" i="2"/>
  <c r="R67" i="2"/>
  <c r="N67" i="2"/>
  <c r="O67" i="2" s="1"/>
  <c r="L67" i="2"/>
  <c r="H67" i="2"/>
  <c r="I67" i="2" s="1"/>
  <c r="F67" i="2"/>
  <c r="C67" i="2"/>
  <c r="AD66" i="2"/>
  <c r="AC66" i="2"/>
  <c r="AA66" i="2"/>
  <c r="X66" i="2"/>
  <c r="W66" i="2"/>
  <c r="U66" i="2"/>
  <c r="R66" i="2"/>
  <c r="N66" i="2"/>
  <c r="O66" i="2" s="1"/>
  <c r="L66" i="2"/>
  <c r="I66" i="2"/>
  <c r="H66" i="2"/>
  <c r="F66" i="2"/>
  <c r="C66" i="2"/>
  <c r="AC65" i="2"/>
  <c r="AD65" i="2" s="1"/>
  <c r="AA65" i="2"/>
  <c r="X65" i="2"/>
  <c r="W65" i="2"/>
  <c r="U65" i="2"/>
  <c r="R65" i="2"/>
  <c r="O65" i="2"/>
  <c r="N65" i="2"/>
  <c r="L65" i="2"/>
  <c r="H65" i="2"/>
  <c r="I65" i="2" s="1"/>
  <c r="F65" i="2"/>
  <c r="C65" i="2"/>
  <c r="AC64" i="2"/>
  <c r="AD64" i="2" s="1"/>
  <c r="AA64" i="2"/>
  <c r="X64" i="2"/>
  <c r="W64" i="2"/>
  <c r="U64" i="2"/>
  <c r="R64" i="2"/>
  <c r="O64" i="2"/>
  <c r="N64" i="2"/>
  <c r="L64" i="2"/>
  <c r="H64" i="2"/>
  <c r="I64" i="2" s="1"/>
  <c r="F64" i="2"/>
  <c r="C64" i="2"/>
  <c r="AD62" i="2"/>
  <c r="Z62" i="2"/>
  <c r="AA62" i="2" s="1"/>
  <c r="T62" i="2"/>
  <c r="W62" i="2" s="1"/>
  <c r="X62" i="2" s="1"/>
  <c r="R62" i="2"/>
  <c r="Q62" i="2"/>
  <c r="AC62" i="2" s="1"/>
  <c r="K62" i="2"/>
  <c r="L62" i="2" s="1"/>
  <c r="H62" i="2"/>
  <c r="I62" i="2" s="1"/>
  <c r="F62" i="2"/>
  <c r="E62" i="2"/>
  <c r="B62" i="2"/>
  <c r="C62" i="2" s="1"/>
  <c r="AA61" i="2"/>
  <c r="Z61" i="2"/>
  <c r="T61" i="2"/>
  <c r="U61" i="2" s="1"/>
  <c r="Q61" i="2"/>
  <c r="AC61" i="2" s="1"/>
  <c r="AD61" i="2" s="1"/>
  <c r="N61" i="2"/>
  <c r="O61" i="2" s="1"/>
  <c r="L61" i="2"/>
  <c r="K61" i="2"/>
  <c r="E61" i="2"/>
  <c r="F61" i="2" s="1"/>
  <c r="B61" i="2"/>
  <c r="H61" i="2" s="1"/>
  <c r="I61" i="2" s="1"/>
  <c r="AD60" i="2"/>
  <c r="AC60" i="2"/>
  <c r="AA60" i="2"/>
  <c r="X60" i="2"/>
  <c r="W60" i="2"/>
  <c r="U60" i="2"/>
  <c r="R60" i="2"/>
  <c r="O60" i="2"/>
  <c r="N60" i="2"/>
  <c r="L60" i="2"/>
  <c r="H60" i="2"/>
  <c r="I60" i="2" s="1"/>
  <c r="F60" i="2"/>
  <c r="C60" i="2"/>
  <c r="AC59" i="2"/>
  <c r="AD59" i="2" s="1"/>
  <c r="AA59" i="2"/>
  <c r="X59" i="2"/>
  <c r="W59" i="2"/>
  <c r="U59" i="2"/>
  <c r="R59" i="2"/>
  <c r="O59" i="2"/>
  <c r="N59" i="2"/>
  <c r="L59" i="2"/>
  <c r="I59" i="2"/>
  <c r="H59" i="2"/>
  <c r="F59" i="2"/>
  <c r="C59" i="2"/>
  <c r="AC58" i="2"/>
  <c r="AD58" i="2" s="1"/>
  <c r="AA58" i="2"/>
  <c r="W58" i="2"/>
  <c r="X58" i="2" s="1"/>
  <c r="U58" i="2"/>
  <c r="R58" i="2"/>
  <c r="O58" i="2"/>
  <c r="N58" i="2"/>
  <c r="L58" i="2"/>
  <c r="I58" i="2"/>
  <c r="H58" i="2"/>
  <c r="F58" i="2"/>
  <c r="C58" i="2"/>
  <c r="AC57" i="2"/>
  <c r="AD57" i="2" s="1"/>
  <c r="AA57" i="2"/>
  <c r="X57" i="2"/>
  <c r="W57" i="2"/>
  <c r="U57" i="2"/>
  <c r="R57" i="2"/>
  <c r="O57" i="2"/>
  <c r="N57" i="2"/>
  <c r="L57" i="2"/>
  <c r="H57" i="2"/>
  <c r="I57" i="2" s="1"/>
  <c r="F57" i="2"/>
  <c r="C57" i="2"/>
  <c r="AD56" i="2"/>
  <c r="AC56" i="2"/>
  <c r="AA56" i="2"/>
  <c r="X56" i="2"/>
  <c r="W56" i="2"/>
  <c r="U56" i="2"/>
  <c r="R56" i="2"/>
  <c r="N56" i="2"/>
  <c r="O56" i="2" s="1"/>
  <c r="L56" i="2"/>
  <c r="H56" i="2"/>
  <c r="I56" i="2" s="1"/>
  <c r="F56" i="2"/>
  <c r="C56" i="2"/>
  <c r="AC55" i="2"/>
  <c r="AD55" i="2" s="1"/>
  <c r="AA55" i="2"/>
  <c r="X55" i="2"/>
  <c r="W55" i="2"/>
  <c r="U55" i="2"/>
  <c r="R55" i="2"/>
  <c r="O55" i="2"/>
  <c r="N55" i="2"/>
  <c r="L55" i="2"/>
  <c r="I55" i="2"/>
  <c r="H55" i="2"/>
  <c r="F55" i="2"/>
  <c r="C55" i="2"/>
  <c r="AC54" i="2"/>
  <c r="AD54" i="2" s="1"/>
  <c r="AA54" i="2"/>
  <c r="W54" i="2"/>
  <c r="X54" i="2" s="1"/>
  <c r="U54" i="2"/>
  <c r="R54" i="2"/>
  <c r="O54" i="2"/>
  <c r="N54" i="2"/>
  <c r="L54" i="2"/>
  <c r="I54" i="2"/>
  <c r="H54" i="2"/>
  <c r="F54" i="2"/>
  <c r="C54" i="2"/>
  <c r="AC53" i="2"/>
  <c r="AD53" i="2" s="1"/>
  <c r="AA53" i="2"/>
  <c r="W53" i="2"/>
  <c r="X53" i="2" s="1"/>
  <c r="U53" i="2"/>
  <c r="R53" i="2"/>
  <c r="O53" i="2"/>
  <c r="N53" i="2"/>
  <c r="L53" i="2"/>
  <c r="H53" i="2"/>
  <c r="I53" i="2" s="1"/>
  <c r="F53" i="2"/>
  <c r="C53" i="2"/>
  <c r="AD52" i="2"/>
  <c r="AC52" i="2"/>
  <c r="AA52" i="2"/>
  <c r="X52" i="2"/>
  <c r="W52" i="2"/>
  <c r="U52" i="2"/>
  <c r="R52" i="2"/>
  <c r="O52" i="2"/>
  <c r="N52" i="2"/>
  <c r="L52" i="2"/>
  <c r="H52" i="2"/>
  <c r="I52" i="2" s="1"/>
  <c r="F52" i="2"/>
  <c r="C52" i="2"/>
  <c r="AC51" i="2"/>
  <c r="AD51" i="2" s="1"/>
  <c r="AA51" i="2"/>
  <c r="X51" i="2"/>
  <c r="W51" i="2"/>
  <c r="U51" i="2"/>
  <c r="R51" i="2"/>
  <c r="O51" i="2"/>
  <c r="N51" i="2"/>
  <c r="L51" i="2"/>
  <c r="I51" i="2"/>
  <c r="H51" i="2"/>
  <c r="F51" i="2"/>
  <c r="C51" i="2"/>
  <c r="AC50" i="2"/>
  <c r="AD50" i="2" s="1"/>
  <c r="AA50" i="2"/>
  <c r="W50" i="2"/>
  <c r="X50" i="2" s="1"/>
  <c r="U50" i="2"/>
  <c r="R50" i="2"/>
  <c r="O50" i="2"/>
  <c r="N50" i="2"/>
  <c r="L50" i="2"/>
  <c r="I50" i="2"/>
  <c r="H50" i="2"/>
  <c r="F50" i="2"/>
  <c r="C50" i="2"/>
  <c r="AC49" i="2"/>
  <c r="AD49" i="2" s="1"/>
  <c r="AA49" i="2"/>
  <c r="X49" i="2"/>
  <c r="W49" i="2"/>
  <c r="U49" i="2"/>
  <c r="R49" i="2"/>
  <c r="O49" i="2"/>
  <c r="N49" i="2"/>
  <c r="L49" i="2"/>
  <c r="H49" i="2"/>
  <c r="I49" i="2" s="1"/>
  <c r="F49" i="2"/>
  <c r="C49" i="2"/>
  <c r="AD48" i="2"/>
  <c r="AC48" i="2"/>
  <c r="AA48" i="2"/>
  <c r="X48" i="2"/>
  <c r="W48" i="2"/>
  <c r="U48" i="2"/>
  <c r="R48" i="2"/>
  <c r="N48" i="2"/>
  <c r="O48" i="2" s="1"/>
  <c r="L48" i="2"/>
  <c r="H48" i="2"/>
  <c r="I48" i="2" s="1"/>
  <c r="F48" i="2"/>
  <c r="C48" i="2"/>
  <c r="AC47" i="2"/>
  <c r="AD47" i="2" s="1"/>
  <c r="AA47" i="2"/>
  <c r="X47" i="2"/>
  <c r="W47" i="2"/>
  <c r="U47" i="2"/>
  <c r="R47" i="2"/>
  <c r="O47" i="2"/>
  <c r="N47" i="2"/>
  <c r="L47" i="2"/>
  <c r="I47" i="2"/>
  <c r="H47" i="2"/>
  <c r="F47" i="2"/>
  <c r="C47" i="2"/>
  <c r="AC46" i="2"/>
  <c r="AD46" i="2" s="1"/>
  <c r="AA46" i="2"/>
  <c r="W46" i="2"/>
  <c r="X46" i="2" s="1"/>
  <c r="U46" i="2"/>
  <c r="R46" i="2"/>
  <c r="O46" i="2"/>
  <c r="N46" i="2"/>
  <c r="L46" i="2"/>
  <c r="I46" i="2"/>
  <c r="H46" i="2"/>
  <c r="F46" i="2"/>
  <c r="C46" i="2"/>
  <c r="AC44" i="2"/>
  <c r="AD44" i="2" s="1"/>
  <c r="AA44" i="2"/>
  <c r="W44" i="2"/>
  <c r="X44" i="2" s="1"/>
  <c r="U44" i="2"/>
  <c r="R44" i="2"/>
  <c r="O44" i="2"/>
  <c r="N44" i="2"/>
  <c r="L44" i="2"/>
  <c r="H44" i="2"/>
  <c r="I44" i="2" s="1"/>
  <c r="F44" i="2"/>
  <c r="C44" i="2"/>
  <c r="AD43" i="2"/>
  <c r="AC43" i="2"/>
  <c r="AA43" i="2"/>
  <c r="X43" i="2"/>
  <c r="W43" i="2"/>
  <c r="U43" i="2"/>
  <c r="R43" i="2"/>
  <c r="N43" i="2"/>
  <c r="O43" i="2" s="1"/>
  <c r="L43" i="2"/>
  <c r="H43" i="2"/>
  <c r="I43" i="2" s="1"/>
  <c r="F43" i="2"/>
  <c r="C43" i="2"/>
  <c r="AC42" i="2"/>
  <c r="AD42" i="2" s="1"/>
  <c r="AA42" i="2"/>
  <c r="X42" i="2"/>
  <c r="W42" i="2"/>
  <c r="U42" i="2"/>
  <c r="R42" i="2"/>
  <c r="O42" i="2"/>
  <c r="N42" i="2"/>
  <c r="L42" i="2"/>
  <c r="I42" i="2"/>
  <c r="H42" i="2"/>
  <c r="F42" i="2"/>
  <c r="C42" i="2"/>
  <c r="AA40" i="2"/>
  <c r="Z40" i="2"/>
  <c r="T40" i="2"/>
  <c r="U40" i="2" s="1"/>
  <c r="Q40" i="2"/>
  <c r="AC40" i="2" s="1"/>
  <c r="AD40" i="2" s="1"/>
  <c r="L40" i="2"/>
  <c r="K40" i="2"/>
  <c r="E40" i="2"/>
  <c r="F40" i="2" s="1"/>
  <c r="B40" i="2"/>
  <c r="H40" i="2" s="1"/>
  <c r="I40" i="2" s="1"/>
  <c r="AD39" i="2"/>
  <c r="AC39" i="2"/>
  <c r="AA39" i="2"/>
  <c r="X39" i="2"/>
  <c r="W39" i="2"/>
  <c r="U39" i="2"/>
  <c r="R39" i="2"/>
  <c r="O39" i="2"/>
  <c r="N39" i="2"/>
  <c r="L39" i="2"/>
  <c r="H39" i="2"/>
  <c r="I39" i="2" s="1"/>
  <c r="F39" i="2"/>
  <c r="C39" i="2"/>
  <c r="AC38" i="2"/>
  <c r="AD38" i="2" s="1"/>
  <c r="AA38" i="2"/>
  <c r="X38" i="2"/>
  <c r="W38" i="2"/>
  <c r="U38" i="2"/>
  <c r="R38" i="2"/>
  <c r="O38" i="2"/>
  <c r="N38" i="2"/>
  <c r="L38" i="2"/>
  <c r="I38" i="2"/>
  <c r="H38" i="2"/>
  <c r="F38" i="2"/>
  <c r="C38" i="2"/>
  <c r="AC37" i="2"/>
  <c r="AD37" i="2" s="1"/>
  <c r="AA37" i="2"/>
  <c r="W37" i="2"/>
  <c r="X37" i="2" s="1"/>
  <c r="U37" i="2"/>
  <c r="R37" i="2"/>
  <c r="O37" i="2"/>
  <c r="N37" i="2"/>
  <c r="L37" i="2"/>
  <c r="I37" i="2"/>
  <c r="H37" i="2"/>
  <c r="F37" i="2"/>
  <c r="C37" i="2"/>
  <c r="AC36" i="2"/>
  <c r="AD36" i="2" s="1"/>
  <c r="AA36" i="2"/>
  <c r="X36" i="2"/>
  <c r="W36" i="2"/>
  <c r="U36" i="2"/>
  <c r="R36" i="2"/>
  <c r="O36" i="2"/>
  <c r="N36" i="2"/>
  <c r="L36" i="2"/>
  <c r="H36" i="2"/>
  <c r="I36" i="2" s="1"/>
  <c r="F36" i="2"/>
  <c r="C36" i="2"/>
  <c r="AD35" i="2"/>
  <c r="AC35" i="2"/>
  <c r="AA35" i="2"/>
  <c r="X35" i="2"/>
  <c r="W35" i="2"/>
  <c r="U35" i="2"/>
  <c r="R35" i="2"/>
  <c r="N35" i="2"/>
  <c r="O35" i="2" s="1"/>
  <c r="L35" i="2"/>
  <c r="H35" i="2"/>
  <c r="I35" i="2" s="1"/>
  <c r="F35" i="2"/>
  <c r="C35" i="2"/>
  <c r="AC34" i="2"/>
  <c r="AD34" i="2" s="1"/>
  <c r="AA34" i="2"/>
  <c r="X34" i="2"/>
  <c r="W34" i="2"/>
  <c r="U34" i="2"/>
  <c r="R34" i="2"/>
  <c r="O34" i="2"/>
  <c r="N34" i="2"/>
  <c r="L34" i="2"/>
  <c r="I34" i="2"/>
  <c r="H34" i="2"/>
  <c r="F34" i="2"/>
  <c r="C34" i="2"/>
  <c r="AC33" i="2"/>
  <c r="AD33" i="2" s="1"/>
  <c r="AA33" i="2"/>
  <c r="W33" i="2"/>
  <c r="X33" i="2" s="1"/>
  <c r="U33" i="2"/>
  <c r="R33" i="2"/>
  <c r="O33" i="2"/>
  <c r="N33" i="2"/>
  <c r="L33" i="2"/>
  <c r="I33" i="2"/>
  <c r="H33" i="2"/>
  <c r="F33" i="2"/>
  <c r="C33" i="2"/>
  <c r="AC32" i="2"/>
  <c r="AD32" i="2" s="1"/>
  <c r="AA32" i="2"/>
  <c r="W32" i="2"/>
  <c r="X32" i="2" s="1"/>
  <c r="U32" i="2"/>
  <c r="R32" i="2"/>
  <c r="O32" i="2"/>
  <c r="N32" i="2"/>
  <c r="L32" i="2"/>
  <c r="H32" i="2"/>
  <c r="I32" i="2" s="1"/>
  <c r="F32" i="2"/>
  <c r="C32" i="2"/>
  <c r="AD31" i="2"/>
  <c r="AC31" i="2"/>
  <c r="AA31" i="2"/>
  <c r="X31" i="2"/>
  <c r="W31" i="2"/>
  <c r="U31" i="2"/>
  <c r="R31" i="2"/>
  <c r="O31" i="2"/>
  <c r="N31" i="2"/>
  <c r="L31" i="2"/>
  <c r="H31" i="2"/>
  <c r="I31" i="2" s="1"/>
  <c r="F31" i="2"/>
  <c r="C31" i="2"/>
  <c r="AC29" i="2"/>
  <c r="AD29" i="2" s="1"/>
  <c r="AA29" i="2"/>
  <c r="Z29" i="2"/>
  <c r="T29" i="2"/>
  <c r="U29" i="2" s="1"/>
  <c r="R29" i="2"/>
  <c r="Q29" i="2"/>
  <c r="K29" i="2"/>
  <c r="L29" i="2" s="1"/>
  <c r="F29" i="2"/>
  <c r="E29" i="2"/>
  <c r="H29" i="2" s="1"/>
  <c r="I29" i="2" s="1"/>
  <c r="C29" i="2"/>
  <c r="B29" i="2"/>
  <c r="N29" i="2" s="1"/>
  <c r="O29" i="2" s="1"/>
  <c r="AC28" i="2"/>
  <c r="AD28" i="2" s="1"/>
  <c r="AA28" i="2"/>
  <c r="W28" i="2"/>
  <c r="X28" i="2" s="1"/>
  <c r="U28" i="2"/>
  <c r="R28" i="2"/>
  <c r="O28" i="2"/>
  <c r="N28" i="2"/>
  <c r="L28" i="2"/>
  <c r="H28" i="2"/>
  <c r="I28" i="2" s="1"/>
  <c r="F28" i="2"/>
  <c r="C28" i="2"/>
  <c r="AD27" i="2"/>
  <c r="AC27" i="2"/>
  <c r="AA27" i="2"/>
  <c r="X27" i="2"/>
  <c r="W27" i="2"/>
  <c r="U27" i="2"/>
  <c r="R27" i="2"/>
  <c r="N27" i="2"/>
  <c r="O27" i="2" s="1"/>
  <c r="L27" i="2"/>
  <c r="H27" i="2"/>
  <c r="I27" i="2" s="1"/>
  <c r="F27" i="2"/>
  <c r="C27" i="2"/>
  <c r="AD26" i="2"/>
  <c r="AC26" i="2"/>
  <c r="AA26" i="2"/>
  <c r="X26" i="2"/>
  <c r="W26" i="2"/>
  <c r="U26" i="2"/>
  <c r="R26" i="2"/>
  <c r="N26" i="2"/>
  <c r="O26" i="2" s="1"/>
  <c r="L26" i="2"/>
  <c r="I26" i="2"/>
  <c r="H26" i="2"/>
  <c r="F26" i="2"/>
  <c r="C26" i="2"/>
  <c r="AC25" i="2"/>
  <c r="AD25" i="2" s="1"/>
  <c r="AA25" i="2"/>
  <c r="X25" i="2"/>
  <c r="W25" i="2"/>
  <c r="U25" i="2"/>
  <c r="R25" i="2"/>
  <c r="O25" i="2"/>
  <c r="N25" i="2"/>
  <c r="L25" i="2"/>
  <c r="H25" i="2"/>
  <c r="I25" i="2" s="1"/>
  <c r="F25" i="2"/>
  <c r="C25" i="2"/>
  <c r="AC24" i="2"/>
  <c r="AD24" i="2" s="1"/>
  <c r="AA24" i="2"/>
  <c r="W24" i="2"/>
  <c r="X24" i="2" s="1"/>
  <c r="U24" i="2"/>
  <c r="R24" i="2"/>
  <c r="O24" i="2"/>
  <c r="N24" i="2"/>
  <c r="L24" i="2"/>
  <c r="H24" i="2"/>
  <c r="I24" i="2" s="1"/>
  <c r="F24" i="2"/>
  <c r="C24" i="2"/>
  <c r="AD23" i="2"/>
  <c r="AC23" i="2"/>
  <c r="AA23" i="2"/>
  <c r="X23" i="2"/>
  <c r="W23" i="2"/>
  <c r="U23" i="2"/>
  <c r="R23" i="2"/>
  <c r="O23" i="2"/>
  <c r="N23" i="2"/>
  <c r="L23" i="2"/>
  <c r="H23" i="2"/>
  <c r="I23" i="2" s="1"/>
  <c r="F23" i="2"/>
  <c r="C23" i="2"/>
  <c r="AC22" i="2"/>
  <c r="AD22" i="2" s="1"/>
  <c r="AA22" i="2"/>
  <c r="X22" i="2"/>
  <c r="W22" i="2"/>
  <c r="U22" i="2"/>
  <c r="R22" i="2"/>
  <c r="O22" i="2"/>
  <c r="N22" i="2"/>
  <c r="L22" i="2"/>
  <c r="I22" i="2"/>
  <c r="H22" i="2"/>
  <c r="F22" i="2"/>
  <c r="C22" i="2"/>
  <c r="AC21" i="2"/>
  <c r="AD21" i="2" s="1"/>
  <c r="AA21" i="2"/>
  <c r="W21" i="2"/>
  <c r="X21" i="2" s="1"/>
  <c r="U21" i="2"/>
  <c r="R21" i="2"/>
  <c r="O21" i="2"/>
  <c r="N21" i="2"/>
  <c r="L21" i="2"/>
  <c r="I21" i="2"/>
  <c r="H21" i="2"/>
  <c r="F21" i="2"/>
  <c r="C21" i="2"/>
  <c r="AC19" i="2"/>
  <c r="AD19" i="2" s="1"/>
  <c r="AA19" i="2"/>
  <c r="W19" i="2"/>
  <c r="X19" i="2" s="1"/>
  <c r="U19" i="2"/>
  <c r="R19" i="2"/>
  <c r="O19" i="2"/>
  <c r="N19" i="2"/>
  <c r="L19" i="2"/>
  <c r="H19" i="2"/>
  <c r="I19" i="2" s="1"/>
  <c r="F19" i="2"/>
  <c r="C19" i="2"/>
  <c r="AD18" i="2"/>
  <c r="Z18" i="2"/>
  <c r="AA18" i="2" s="1"/>
  <c r="W18" i="2"/>
  <c r="X18" i="2" s="1"/>
  <c r="U18" i="2"/>
  <c r="T18" i="2"/>
  <c r="R18" i="2"/>
  <c r="Q18" i="2"/>
  <c r="AC18" i="2" s="1"/>
  <c r="K18" i="2"/>
  <c r="L18" i="2" s="1"/>
  <c r="H18" i="2"/>
  <c r="I18" i="2" s="1"/>
  <c r="F18" i="2"/>
  <c r="E18" i="2"/>
  <c r="B18" i="2"/>
  <c r="C18" i="2" s="1"/>
  <c r="AC17" i="2"/>
  <c r="AD17" i="2" s="1"/>
  <c r="AA17" i="2"/>
  <c r="W17" i="2"/>
  <c r="X17" i="2" s="1"/>
  <c r="U17" i="2"/>
  <c r="R17" i="2"/>
  <c r="O17" i="2"/>
  <c r="N17" i="2"/>
  <c r="L17" i="2"/>
  <c r="H17" i="2"/>
  <c r="I17" i="2" s="1"/>
  <c r="F17" i="2"/>
  <c r="C17" i="2"/>
  <c r="AC16" i="2"/>
  <c r="AD16" i="2" s="1"/>
  <c r="AA16" i="2"/>
  <c r="W16" i="2"/>
  <c r="X16" i="2" s="1"/>
  <c r="U16" i="2"/>
  <c r="R16" i="2"/>
  <c r="O16" i="2"/>
  <c r="N16" i="2"/>
  <c r="L16" i="2"/>
  <c r="H16" i="2"/>
  <c r="I16" i="2" s="1"/>
  <c r="F16" i="2"/>
  <c r="C16" i="2"/>
  <c r="AD15" i="2"/>
  <c r="AC15" i="2"/>
  <c r="AA15" i="2"/>
  <c r="X15" i="2"/>
  <c r="W15" i="2"/>
  <c r="U15" i="2"/>
  <c r="R15" i="2"/>
  <c r="O15" i="2"/>
  <c r="N15" i="2"/>
  <c r="L15" i="2"/>
  <c r="H15" i="2"/>
  <c r="I15" i="2" s="1"/>
  <c r="F15" i="2"/>
  <c r="C15" i="2"/>
  <c r="AD14" i="2"/>
  <c r="AC14" i="2"/>
  <c r="AA14" i="2"/>
  <c r="X14" i="2"/>
  <c r="W14" i="2"/>
  <c r="U14" i="2"/>
  <c r="R14" i="2"/>
  <c r="N14" i="2"/>
  <c r="O14" i="2" s="1"/>
  <c r="L14" i="2"/>
  <c r="I14" i="2"/>
  <c r="H14" i="2"/>
  <c r="F14" i="2"/>
  <c r="C14" i="2"/>
  <c r="AC13" i="2"/>
  <c r="AD13" i="2" s="1"/>
  <c r="AA13" i="2"/>
  <c r="X13" i="2"/>
  <c r="W13" i="2"/>
  <c r="U13" i="2"/>
  <c r="R13" i="2"/>
  <c r="O13" i="2"/>
  <c r="N13" i="2"/>
  <c r="L13" i="2"/>
  <c r="H13" i="2"/>
  <c r="I13" i="2" s="1"/>
  <c r="F13" i="2"/>
  <c r="C13" i="2"/>
  <c r="AC12" i="2"/>
  <c r="AD12" i="2" s="1"/>
  <c r="AA12" i="2"/>
  <c r="W12" i="2"/>
  <c r="X12" i="2" s="1"/>
  <c r="U12" i="2"/>
  <c r="R12" i="2"/>
  <c r="O12" i="2"/>
  <c r="N12" i="2"/>
  <c r="L12" i="2"/>
  <c r="H12" i="2"/>
  <c r="I12" i="2" s="1"/>
  <c r="F12" i="2"/>
  <c r="C12" i="2"/>
  <c r="AD11" i="2"/>
  <c r="AC11" i="2"/>
  <c r="AA11" i="2"/>
  <c r="X11" i="2"/>
  <c r="W11" i="2"/>
  <c r="U11" i="2"/>
  <c r="R11" i="2"/>
  <c r="N11" i="2"/>
  <c r="O11" i="2" s="1"/>
  <c r="L11" i="2"/>
  <c r="H11" i="2"/>
  <c r="I11" i="2" s="1"/>
  <c r="F11" i="2"/>
  <c r="C11" i="2"/>
  <c r="AC10" i="2"/>
  <c r="AD10" i="2" s="1"/>
  <c r="AA10" i="2"/>
  <c r="X10" i="2"/>
  <c r="W10" i="2"/>
  <c r="U10" i="2"/>
  <c r="R10" i="2"/>
  <c r="N10" i="2"/>
  <c r="O10" i="2" s="1"/>
  <c r="L10" i="2"/>
  <c r="I10" i="2"/>
  <c r="H10" i="2"/>
  <c r="F10" i="2"/>
  <c r="C10" i="2"/>
  <c r="AC8" i="2"/>
  <c r="AD8" i="2" s="1"/>
  <c r="AA8" i="2"/>
  <c r="W8" i="2"/>
  <c r="X8" i="2" s="1"/>
  <c r="U8" i="2"/>
  <c r="R8" i="2"/>
  <c r="O8" i="2"/>
  <c r="N8" i="2"/>
  <c r="L8" i="2"/>
  <c r="H8" i="2"/>
  <c r="I8" i="2" s="1"/>
  <c r="F8" i="2"/>
  <c r="C8" i="2"/>
  <c r="AC444" i="1"/>
  <c r="W444" i="1"/>
  <c r="X438" i="1" s="1"/>
  <c r="N444" i="1"/>
  <c r="H444" i="1"/>
  <c r="I395" i="1" s="1"/>
  <c r="Z442" i="1"/>
  <c r="AA442" i="1" s="1"/>
  <c r="W442" i="1"/>
  <c r="X442" i="1" s="1"/>
  <c r="U442" i="1"/>
  <c r="T442" i="1"/>
  <c r="Q442" i="1"/>
  <c r="R442" i="1" s="1"/>
  <c r="K442" i="1"/>
  <c r="N442" i="1" s="1"/>
  <c r="O442" i="1" s="1"/>
  <c r="E442" i="1"/>
  <c r="F442" i="1" s="1"/>
  <c r="B442" i="1"/>
  <c r="AA441" i="1"/>
  <c r="Z441" i="1"/>
  <c r="T441" i="1"/>
  <c r="U441" i="1" s="1"/>
  <c r="Q441" i="1"/>
  <c r="K441" i="1"/>
  <c r="L441" i="1" s="1"/>
  <c r="E441" i="1"/>
  <c r="H441" i="1" s="1"/>
  <c r="I441" i="1" s="1"/>
  <c r="C441" i="1"/>
  <c r="B441" i="1"/>
  <c r="N441" i="1" s="1"/>
  <c r="O441" i="1" s="1"/>
  <c r="AC440" i="1"/>
  <c r="AD440" i="1" s="1"/>
  <c r="AA440" i="1"/>
  <c r="X440" i="1"/>
  <c r="W440" i="1"/>
  <c r="U440" i="1"/>
  <c r="R440" i="1"/>
  <c r="O440" i="1"/>
  <c r="N440" i="1"/>
  <c r="L440" i="1"/>
  <c r="H440" i="1"/>
  <c r="F440" i="1"/>
  <c r="C440" i="1"/>
  <c r="AD439" i="1"/>
  <c r="AC439" i="1"/>
  <c r="AA439" i="1"/>
  <c r="X439" i="1"/>
  <c r="W439" i="1"/>
  <c r="U439" i="1"/>
  <c r="R439" i="1"/>
  <c r="N439" i="1"/>
  <c r="O439" i="1" s="1"/>
  <c r="L439" i="1"/>
  <c r="H439" i="1"/>
  <c r="I439" i="1" s="1"/>
  <c r="F439" i="1"/>
  <c r="C439" i="1"/>
  <c r="AC438" i="1"/>
  <c r="AD438" i="1" s="1"/>
  <c r="AA438" i="1"/>
  <c r="W438" i="1"/>
  <c r="U438" i="1"/>
  <c r="R438" i="1"/>
  <c r="N438" i="1"/>
  <c r="O438" i="1" s="1"/>
  <c r="L438" i="1"/>
  <c r="I438" i="1"/>
  <c r="H438" i="1"/>
  <c r="F438" i="1"/>
  <c r="C438" i="1"/>
  <c r="AC437" i="1"/>
  <c r="AD437" i="1" s="1"/>
  <c r="AA437" i="1"/>
  <c r="X437" i="1"/>
  <c r="W437" i="1"/>
  <c r="U437" i="1"/>
  <c r="R437" i="1"/>
  <c r="O437" i="1"/>
  <c r="N437" i="1"/>
  <c r="L437" i="1"/>
  <c r="H437" i="1"/>
  <c r="I437" i="1" s="1"/>
  <c r="F437" i="1"/>
  <c r="C437" i="1"/>
  <c r="AC436" i="1"/>
  <c r="AD436" i="1" s="1"/>
  <c r="AA436" i="1"/>
  <c r="W436" i="1"/>
  <c r="X436" i="1" s="1"/>
  <c r="U436" i="1"/>
  <c r="R436" i="1"/>
  <c r="O436" i="1"/>
  <c r="N436" i="1"/>
  <c r="L436" i="1"/>
  <c r="H436" i="1"/>
  <c r="I436" i="1" s="1"/>
  <c r="F436" i="1"/>
  <c r="C436" i="1"/>
  <c r="AD435" i="1"/>
  <c r="AC435" i="1"/>
  <c r="AA435" i="1"/>
  <c r="X435" i="1"/>
  <c r="W435" i="1"/>
  <c r="U435" i="1"/>
  <c r="R435" i="1"/>
  <c r="O435" i="1"/>
  <c r="N435" i="1"/>
  <c r="L435" i="1"/>
  <c r="H435" i="1"/>
  <c r="F435" i="1"/>
  <c r="C435" i="1"/>
  <c r="AC434" i="1"/>
  <c r="AD434" i="1" s="1"/>
  <c r="AA434" i="1"/>
  <c r="W434" i="1"/>
  <c r="U434" i="1"/>
  <c r="R434" i="1"/>
  <c r="O434" i="1"/>
  <c r="N434" i="1"/>
  <c r="L434" i="1"/>
  <c r="I434" i="1"/>
  <c r="H434" i="1"/>
  <c r="F434" i="1"/>
  <c r="C434" i="1"/>
  <c r="AC433" i="1"/>
  <c r="AD433" i="1" s="1"/>
  <c r="AA433" i="1"/>
  <c r="W433" i="1"/>
  <c r="X433" i="1" s="1"/>
  <c r="U433" i="1"/>
  <c r="R433" i="1"/>
  <c r="O433" i="1"/>
  <c r="N433" i="1"/>
  <c r="L433" i="1"/>
  <c r="I433" i="1"/>
  <c r="H433" i="1"/>
  <c r="F433" i="1"/>
  <c r="C433" i="1"/>
  <c r="AC432" i="1"/>
  <c r="AD432" i="1" s="1"/>
  <c r="AA432" i="1"/>
  <c r="X432" i="1"/>
  <c r="W432" i="1"/>
  <c r="U432" i="1"/>
  <c r="R432" i="1"/>
  <c r="O432" i="1"/>
  <c r="N432" i="1"/>
  <c r="L432" i="1"/>
  <c r="H432" i="1"/>
  <c r="I432" i="1" s="1"/>
  <c r="F432" i="1"/>
  <c r="C432" i="1"/>
  <c r="Z429" i="1"/>
  <c r="AA429" i="1" s="1"/>
  <c r="T429" i="1"/>
  <c r="W429" i="1" s="1"/>
  <c r="X429" i="1" s="1"/>
  <c r="R429" i="1"/>
  <c r="Q429" i="1"/>
  <c r="AC429" i="1" s="1"/>
  <c r="AD429" i="1" s="1"/>
  <c r="K429" i="1"/>
  <c r="L429" i="1" s="1"/>
  <c r="I429" i="1"/>
  <c r="H429" i="1"/>
  <c r="F429" i="1"/>
  <c r="E429" i="1"/>
  <c r="B429" i="1"/>
  <c r="C429" i="1" s="1"/>
  <c r="AC428" i="1"/>
  <c r="AD428" i="1" s="1"/>
  <c r="AA428" i="1"/>
  <c r="Z428" i="1"/>
  <c r="T428" i="1"/>
  <c r="U428" i="1" s="1"/>
  <c r="Q428" i="1"/>
  <c r="N428" i="1"/>
  <c r="O428" i="1" s="1"/>
  <c r="L428" i="1"/>
  <c r="K428" i="1"/>
  <c r="E428" i="1"/>
  <c r="F428" i="1" s="1"/>
  <c r="C428" i="1"/>
  <c r="B428" i="1"/>
  <c r="H428" i="1" s="1"/>
  <c r="I428" i="1" s="1"/>
  <c r="AD427" i="1"/>
  <c r="AC427" i="1"/>
  <c r="AA427" i="1"/>
  <c r="X427" i="1"/>
  <c r="W427" i="1"/>
  <c r="U427" i="1"/>
  <c r="R427" i="1"/>
  <c r="N427" i="1"/>
  <c r="O427" i="1" s="1"/>
  <c r="L427" i="1"/>
  <c r="H427" i="1"/>
  <c r="I427" i="1" s="1"/>
  <c r="F427" i="1"/>
  <c r="C427" i="1"/>
  <c r="AC426" i="1"/>
  <c r="AD426" i="1" s="1"/>
  <c r="AA426" i="1"/>
  <c r="W426" i="1"/>
  <c r="U426" i="1"/>
  <c r="R426" i="1"/>
  <c r="N426" i="1"/>
  <c r="O426" i="1" s="1"/>
  <c r="L426" i="1"/>
  <c r="I426" i="1"/>
  <c r="H426" i="1"/>
  <c r="F426" i="1"/>
  <c r="C426" i="1"/>
  <c r="AC425" i="1"/>
  <c r="AD425" i="1" s="1"/>
  <c r="AA425" i="1"/>
  <c r="X425" i="1"/>
  <c r="W425" i="1"/>
  <c r="U425" i="1"/>
  <c r="R425" i="1"/>
  <c r="O425" i="1"/>
  <c r="N425" i="1"/>
  <c r="L425" i="1"/>
  <c r="I425" i="1"/>
  <c r="H425" i="1"/>
  <c r="F425" i="1"/>
  <c r="C425" i="1"/>
  <c r="AC424" i="1"/>
  <c r="AD424" i="1" s="1"/>
  <c r="AA424" i="1"/>
  <c r="W424" i="1"/>
  <c r="X424" i="1" s="1"/>
  <c r="U424" i="1"/>
  <c r="R424" i="1"/>
  <c r="O424" i="1"/>
  <c r="N424" i="1"/>
  <c r="L424" i="1"/>
  <c r="H424" i="1"/>
  <c r="I424" i="1" s="1"/>
  <c r="F424" i="1"/>
  <c r="C424" i="1"/>
  <c r="AD423" i="1"/>
  <c r="AC423" i="1"/>
  <c r="AA423" i="1"/>
  <c r="X423" i="1"/>
  <c r="W423" i="1"/>
  <c r="U423" i="1"/>
  <c r="R423" i="1"/>
  <c r="O423" i="1"/>
  <c r="N423" i="1"/>
  <c r="L423" i="1"/>
  <c r="H423" i="1"/>
  <c r="F423" i="1"/>
  <c r="C423" i="1"/>
  <c r="AC422" i="1"/>
  <c r="AD422" i="1" s="1"/>
  <c r="AA422" i="1"/>
  <c r="W422" i="1"/>
  <c r="U422" i="1"/>
  <c r="R422" i="1"/>
  <c r="O422" i="1"/>
  <c r="N422" i="1"/>
  <c r="L422" i="1"/>
  <c r="I422" i="1"/>
  <c r="H422" i="1"/>
  <c r="F422" i="1"/>
  <c r="C422" i="1"/>
  <c r="AC421" i="1"/>
  <c r="AD421" i="1" s="1"/>
  <c r="AA421" i="1"/>
  <c r="W421" i="1"/>
  <c r="X421" i="1" s="1"/>
  <c r="U421" i="1"/>
  <c r="R421" i="1"/>
  <c r="O421" i="1"/>
  <c r="N421" i="1"/>
  <c r="L421" i="1"/>
  <c r="I421" i="1"/>
  <c r="H421" i="1"/>
  <c r="F421" i="1"/>
  <c r="C421" i="1"/>
  <c r="AC420" i="1"/>
  <c r="AD420" i="1" s="1"/>
  <c r="AA420" i="1"/>
  <c r="X420" i="1"/>
  <c r="W420" i="1"/>
  <c r="U420" i="1"/>
  <c r="R420" i="1"/>
  <c r="O420" i="1"/>
  <c r="N420" i="1"/>
  <c r="L420" i="1"/>
  <c r="H420" i="1"/>
  <c r="I420" i="1" s="1"/>
  <c r="F420" i="1"/>
  <c r="C420" i="1"/>
  <c r="AD419" i="1"/>
  <c r="AC419" i="1"/>
  <c r="AA419" i="1"/>
  <c r="X419" i="1"/>
  <c r="W419" i="1"/>
  <c r="U419" i="1"/>
  <c r="R419" i="1"/>
  <c r="N419" i="1"/>
  <c r="O419" i="1" s="1"/>
  <c r="L419" i="1"/>
  <c r="H419" i="1"/>
  <c r="I419" i="1" s="1"/>
  <c r="F419" i="1"/>
  <c r="C419" i="1"/>
  <c r="AD418" i="1"/>
  <c r="AC418" i="1"/>
  <c r="AA418" i="1"/>
  <c r="W418" i="1"/>
  <c r="U418" i="1"/>
  <c r="R418" i="1"/>
  <c r="N418" i="1"/>
  <c r="O418" i="1" s="1"/>
  <c r="L418" i="1"/>
  <c r="I418" i="1"/>
  <c r="H418" i="1"/>
  <c r="F418" i="1"/>
  <c r="C418" i="1"/>
  <c r="AC417" i="1"/>
  <c r="AD417" i="1" s="1"/>
  <c r="AA417" i="1"/>
  <c r="X417" i="1"/>
  <c r="W417" i="1"/>
  <c r="U417" i="1"/>
  <c r="R417" i="1"/>
  <c r="O417" i="1"/>
  <c r="N417" i="1"/>
  <c r="L417" i="1"/>
  <c r="H417" i="1"/>
  <c r="I417" i="1" s="1"/>
  <c r="F417" i="1"/>
  <c r="C417" i="1"/>
  <c r="AC416" i="1"/>
  <c r="AD416" i="1" s="1"/>
  <c r="AA416" i="1"/>
  <c r="W416" i="1"/>
  <c r="X416" i="1" s="1"/>
  <c r="U416" i="1"/>
  <c r="R416" i="1"/>
  <c r="O416" i="1"/>
  <c r="N416" i="1"/>
  <c r="L416" i="1"/>
  <c r="H416" i="1"/>
  <c r="I416" i="1" s="1"/>
  <c r="F416" i="1"/>
  <c r="C416" i="1"/>
  <c r="AD415" i="1"/>
  <c r="AC415" i="1"/>
  <c r="AA415" i="1"/>
  <c r="X415" i="1"/>
  <c r="W415" i="1"/>
  <c r="U415" i="1"/>
  <c r="R415" i="1"/>
  <c r="N415" i="1"/>
  <c r="O415" i="1" s="1"/>
  <c r="L415" i="1"/>
  <c r="H415" i="1"/>
  <c r="I415" i="1" s="1"/>
  <c r="F415" i="1"/>
  <c r="C415" i="1"/>
  <c r="AD414" i="1"/>
  <c r="AC414" i="1"/>
  <c r="AA414" i="1"/>
  <c r="W414" i="1"/>
  <c r="U414" i="1"/>
  <c r="R414" i="1"/>
  <c r="O414" i="1"/>
  <c r="N414" i="1"/>
  <c r="L414" i="1"/>
  <c r="I414" i="1"/>
  <c r="H414" i="1"/>
  <c r="F414" i="1"/>
  <c r="C414" i="1"/>
  <c r="AC413" i="1"/>
  <c r="AD413" i="1" s="1"/>
  <c r="AA413" i="1"/>
  <c r="W413" i="1"/>
  <c r="X413" i="1" s="1"/>
  <c r="U413" i="1"/>
  <c r="R413" i="1"/>
  <c r="O413" i="1"/>
  <c r="N413" i="1"/>
  <c r="L413" i="1"/>
  <c r="I413" i="1"/>
  <c r="H413" i="1"/>
  <c r="F413" i="1"/>
  <c r="C413" i="1"/>
  <c r="AC412" i="1"/>
  <c r="AD412" i="1" s="1"/>
  <c r="AA412" i="1"/>
  <c r="W412" i="1"/>
  <c r="X412" i="1" s="1"/>
  <c r="U412" i="1"/>
  <c r="R412" i="1"/>
  <c r="O412" i="1"/>
  <c r="N412" i="1"/>
  <c r="L412" i="1"/>
  <c r="H412" i="1"/>
  <c r="I412" i="1" s="1"/>
  <c r="F412" i="1"/>
  <c r="C412" i="1"/>
  <c r="AD411" i="1"/>
  <c r="AC411" i="1"/>
  <c r="AA411" i="1"/>
  <c r="X411" i="1"/>
  <c r="W411" i="1"/>
  <c r="U411" i="1"/>
  <c r="R411" i="1"/>
  <c r="O411" i="1"/>
  <c r="N411" i="1"/>
  <c r="L411" i="1"/>
  <c r="H411" i="1"/>
  <c r="I411" i="1" s="1"/>
  <c r="F411" i="1"/>
  <c r="C411" i="1"/>
  <c r="AC410" i="1"/>
  <c r="AD410" i="1" s="1"/>
  <c r="AA410" i="1"/>
  <c r="W410" i="1"/>
  <c r="U410" i="1"/>
  <c r="R410" i="1"/>
  <c r="N410" i="1"/>
  <c r="O410" i="1" s="1"/>
  <c r="L410" i="1"/>
  <c r="I410" i="1"/>
  <c r="H410" i="1"/>
  <c r="F410" i="1"/>
  <c r="C410" i="1"/>
  <c r="AC409" i="1"/>
  <c r="AD409" i="1" s="1"/>
  <c r="AA409" i="1"/>
  <c r="W409" i="1"/>
  <c r="X409" i="1" s="1"/>
  <c r="U409" i="1"/>
  <c r="R409" i="1"/>
  <c r="O409" i="1"/>
  <c r="N409" i="1"/>
  <c r="L409" i="1"/>
  <c r="H409" i="1"/>
  <c r="I409" i="1" s="1"/>
  <c r="F409" i="1"/>
  <c r="C409" i="1"/>
  <c r="AC408" i="1"/>
  <c r="AD408" i="1" s="1"/>
  <c r="AA408" i="1"/>
  <c r="W408" i="1"/>
  <c r="X408" i="1" s="1"/>
  <c r="U408" i="1"/>
  <c r="R408" i="1"/>
  <c r="O408" i="1"/>
  <c r="N408" i="1"/>
  <c r="L408" i="1"/>
  <c r="H408" i="1"/>
  <c r="I408" i="1" s="1"/>
  <c r="F408" i="1"/>
  <c r="C408" i="1"/>
  <c r="AD407" i="1"/>
  <c r="AC407" i="1"/>
  <c r="AA407" i="1"/>
  <c r="X407" i="1"/>
  <c r="W407" i="1"/>
  <c r="U407" i="1"/>
  <c r="R407" i="1"/>
  <c r="O407" i="1"/>
  <c r="N407" i="1"/>
  <c r="L407" i="1"/>
  <c r="H407" i="1"/>
  <c r="I407" i="1" s="1"/>
  <c r="F407" i="1"/>
  <c r="C407" i="1"/>
  <c r="Z403" i="1"/>
  <c r="AA403" i="1" s="1"/>
  <c r="W403" i="1"/>
  <c r="X403" i="1" s="1"/>
  <c r="U403" i="1"/>
  <c r="T403" i="1"/>
  <c r="Q403" i="1"/>
  <c r="R403" i="1" s="1"/>
  <c r="L403" i="1"/>
  <c r="K403" i="1"/>
  <c r="E403" i="1"/>
  <c r="F403" i="1" s="1"/>
  <c r="B403" i="1"/>
  <c r="N403" i="1" s="1"/>
  <c r="O403" i="1" s="1"/>
  <c r="AC402" i="1"/>
  <c r="AD402" i="1" s="1"/>
  <c r="AA402" i="1"/>
  <c r="W402" i="1"/>
  <c r="U402" i="1"/>
  <c r="R402" i="1"/>
  <c r="N402" i="1"/>
  <c r="O402" i="1" s="1"/>
  <c r="L402" i="1"/>
  <c r="I402" i="1"/>
  <c r="H402" i="1"/>
  <c r="F402" i="1"/>
  <c r="C402" i="1"/>
  <c r="AC401" i="1"/>
  <c r="AD401" i="1" s="1"/>
  <c r="AA401" i="1"/>
  <c r="X401" i="1"/>
  <c r="W401" i="1"/>
  <c r="U401" i="1"/>
  <c r="R401" i="1"/>
  <c r="O401" i="1"/>
  <c r="N401" i="1"/>
  <c r="L401" i="1"/>
  <c r="H401" i="1"/>
  <c r="I401" i="1" s="1"/>
  <c r="F401" i="1"/>
  <c r="C401" i="1"/>
  <c r="AC400" i="1"/>
  <c r="AD400" i="1" s="1"/>
  <c r="AA400" i="1"/>
  <c r="W400" i="1"/>
  <c r="X400" i="1" s="1"/>
  <c r="U400" i="1"/>
  <c r="R400" i="1"/>
  <c r="O400" i="1"/>
  <c r="N400" i="1"/>
  <c r="L400" i="1"/>
  <c r="H400" i="1"/>
  <c r="I400" i="1" s="1"/>
  <c r="F400" i="1"/>
  <c r="C400" i="1"/>
  <c r="AD399" i="1"/>
  <c r="AC399" i="1"/>
  <c r="AA399" i="1"/>
  <c r="X399" i="1"/>
  <c r="W399" i="1"/>
  <c r="U399" i="1"/>
  <c r="R399" i="1"/>
  <c r="N399" i="1"/>
  <c r="O399" i="1" s="1"/>
  <c r="L399" i="1"/>
  <c r="H399" i="1"/>
  <c r="I399" i="1" s="1"/>
  <c r="F399" i="1"/>
  <c r="C399" i="1"/>
  <c r="AD398" i="1"/>
  <c r="AC398" i="1"/>
  <c r="AA398" i="1"/>
  <c r="W398" i="1"/>
  <c r="U398" i="1"/>
  <c r="R398" i="1"/>
  <c r="O398" i="1"/>
  <c r="N398" i="1"/>
  <c r="L398" i="1"/>
  <c r="I398" i="1"/>
  <c r="H398" i="1"/>
  <c r="F398" i="1"/>
  <c r="C398" i="1"/>
  <c r="AC397" i="1"/>
  <c r="AD397" i="1" s="1"/>
  <c r="AA397" i="1"/>
  <c r="W397" i="1"/>
  <c r="X397" i="1" s="1"/>
  <c r="U397" i="1"/>
  <c r="R397" i="1"/>
  <c r="O397" i="1"/>
  <c r="N397" i="1"/>
  <c r="L397" i="1"/>
  <c r="I397" i="1"/>
  <c r="H397" i="1"/>
  <c r="F397" i="1"/>
  <c r="C397" i="1"/>
  <c r="Z396" i="1"/>
  <c r="AA396" i="1" s="1"/>
  <c r="W396" i="1"/>
  <c r="X396" i="1" s="1"/>
  <c r="U396" i="1"/>
  <c r="T396" i="1"/>
  <c r="Q396" i="1"/>
  <c r="R396" i="1" s="1"/>
  <c r="K396" i="1"/>
  <c r="L396" i="1" s="1"/>
  <c r="E396" i="1"/>
  <c r="F396" i="1" s="1"/>
  <c r="B396" i="1"/>
  <c r="AD395" i="1"/>
  <c r="AC395" i="1"/>
  <c r="AA395" i="1"/>
  <c r="W395" i="1"/>
  <c r="U395" i="1"/>
  <c r="R395" i="1"/>
  <c r="O395" i="1"/>
  <c r="N395" i="1"/>
  <c r="L395" i="1"/>
  <c r="H395" i="1"/>
  <c r="F395" i="1"/>
  <c r="C395" i="1"/>
  <c r="AC394" i="1"/>
  <c r="AD394" i="1" s="1"/>
  <c r="AA394" i="1"/>
  <c r="W394" i="1"/>
  <c r="X394" i="1" s="1"/>
  <c r="U394" i="1"/>
  <c r="R394" i="1"/>
  <c r="O394" i="1"/>
  <c r="N394" i="1"/>
  <c r="L394" i="1"/>
  <c r="I394" i="1"/>
  <c r="H394" i="1"/>
  <c r="F394" i="1"/>
  <c r="C394" i="1"/>
  <c r="Z393" i="1"/>
  <c r="AA393" i="1" s="1"/>
  <c r="W393" i="1"/>
  <c r="X393" i="1" s="1"/>
  <c r="U393" i="1"/>
  <c r="T393" i="1"/>
  <c r="Q393" i="1"/>
  <c r="R393" i="1" s="1"/>
  <c r="K393" i="1"/>
  <c r="L393" i="1" s="1"/>
  <c r="E393" i="1"/>
  <c r="F393" i="1" s="1"/>
  <c r="B393" i="1"/>
  <c r="N393" i="1" s="1"/>
  <c r="O393" i="1" s="1"/>
  <c r="AD392" i="1"/>
  <c r="AC392" i="1"/>
  <c r="AA392" i="1"/>
  <c r="W392" i="1"/>
  <c r="U392" i="1"/>
  <c r="R392" i="1"/>
  <c r="N392" i="1"/>
  <c r="O392" i="1" s="1"/>
  <c r="L392" i="1"/>
  <c r="I392" i="1"/>
  <c r="H392" i="1"/>
  <c r="F392" i="1"/>
  <c r="C392" i="1"/>
  <c r="AC391" i="1"/>
  <c r="AD391" i="1" s="1"/>
  <c r="AA391" i="1"/>
  <c r="W391" i="1"/>
  <c r="X391" i="1" s="1"/>
  <c r="U391" i="1"/>
  <c r="R391" i="1"/>
  <c r="O391" i="1"/>
  <c r="N391" i="1"/>
  <c r="L391" i="1"/>
  <c r="H391" i="1"/>
  <c r="I391" i="1" s="1"/>
  <c r="F391" i="1"/>
  <c r="C391" i="1"/>
  <c r="AC390" i="1"/>
  <c r="AD390" i="1" s="1"/>
  <c r="AA390" i="1"/>
  <c r="X390" i="1"/>
  <c r="W390" i="1"/>
  <c r="U390" i="1"/>
  <c r="R390" i="1"/>
  <c r="O390" i="1"/>
  <c r="N390" i="1"/>
  <c r="L390" i="1"/>
  <c r="H390" i="1"/>
  <c r="F390" i="1"/>
  <c r="C390" i="1"/>
  <c r="AD389" i="1"/>
  <c r="AC389" i="1"/>
  <c r="AA389" i="1"/>
  <c r="X389" i="1"/>
  <c r="W389" i="1"/>
  <c r="U389" i="1"/>
  <c r="R389" i="1"/>
  <c r="N389" i="1"/>
  <c r="O389" i="1" s="1"/>
  <c r="L389" i="1"/>
  <c r="H389" i="1"/>
  <c r="I389" i="1" s="1"/>
  <c r="F389" i="1"/>
  <c r="C389" i="1"/>
  <c r="AC388" i="1"/>
  <c r="AD388" i="1" s="1"/>
  <c r="AA388" i="1"/>
  <c r="W388" i="1"/>
  <c r="U388" i="1"/>
  <c r="R388" i="1"/>
  <c r="N388" i="1"/>
  <c r="O388" i="1" s="1"/>
  <c r="L388" i="1"/>
  <c r="I388" i="1"/>
  <c r="H388" i="1"/>
  <c r="F388" i="1"/>
  <c r="C388" i="1"/>
  <c r="AC386" i="1"/>
  <c r="AD386" i="1" s="1"/>
  <c r="AA386" i="1"/>
  <c r="X386" i="1"/>
  <c r="W386" i="1"/>
  <c r="U386" i="1"/>
  <c r="R386" i="1"/>
  <c r="O386" i="1"/>
  <c r="N386" i="1"/>
  <c r="L386" i="1"/>
  <c r="H386" i="1"/>
  <c r="I386" i="1" s="1"/>
  <c r="F386" i="1"/>
  <c r="C386" i="1"/>
  <c r="AC385" i="1"/>
  <c r="AD385" i="1" s="1"/>
  <c r="AA385" i="1"/>
  <c r="W385" i="1"/>
  <c r="X385" i="1" s="1"/>
  <c r="U385" i="1"/>
  <c r="R385" i="1"/>
  <c r="O385" i="1"/>
  <c r="N385" i="1"/>
  <c r="L385" i="1"/>
  <c r="H385" i="1"/>
  <c r="I385" i="1" s="1"/>
  <c r="F385" i="1"/>
  <c r="C385" i="1"/>
  <c r="AD383" i="1"/>
  <c r="AC383" i="1"/>
  <c r="AA383" i="1"/>
  <c r="X383" i="1"/>
  <c r="W383" i="1"/>
  <c r="U383" i="1"/>
  <c r="R383" i="1"/>
  <c r="O383" i="1"/>
  <c r="N383" i="1"/>
  <c r="L383" i="1"/>
  <c r="H383" i="1"/>
  <c r="I383" i="1" s="1"/>
  <c r="F383" i="1"/>
  <c r="C383" i="1"/>
  <c r="AC382" i="1"/>
  <c r="AD382" i="1" s="1"/>
  <c r="AA382" i="1"/>
  <c r="W382" i="1"/>
  <c r="U382" i="1"/>
  <c r="R382" i="1"/>
  <c r="O382" i="1"/>
  <c r="N382" i="1"/>
  <c r="L382" i="1"/>
  <c r="I382" i="1"/>
  <c r="H382" i="1"/>
  <c r="F382" i="1"/>
  <c r="C382" i="1"/>
  <c r="AC381" i="1"/>
  <c r="AD381" i="1" s="1"/>
  <c r="AA381" i="1"/>
  <c r="W381" i="1"/>
  <c r="X381" i="1" s="1"/>
  <c r="U381" i="1"/>
  <c r="R381" i="1"/>
  <c r="O381" i="1"/>
  <c r="N381" i="1"/>
  <c r="L381" i="1"/>
  <c r="I381" i="1"/>
  <c r="H381" i="1"/>
  <c r="F381" i="1"/>
  <c r="C381" i="1"/>
  <c r="AC380" i="1"/>
  <c r="AD380" i="1" s="1"/>
  <c r="AA380" i="1"/>
  <c r="X380" i="1"/>
  <c r="W380" i="1"/>
  <c r="U380" i="1"/>
  <c r="R380" i="1"/>
  <c r="O380" i="1"/>
  <c r="N380" i="1"/>
  <c r="L380" i="1"/>
  <c r="H380" i="1"/>
  <c r="I380" i="1" s="1"/>
  <c r="F380" i="1"/>
  <c r="C380" i="1"/>
  <c r="AD379" i="1"/>
  <c r="AC379" i="1"/>
  <c r="AA379" i="1"/>
  <c r="X379" i="1"/>
  <c r="W379" i="1"/>
  <c r="U379" i="1"/>
  <c r="R379" i="1"/>
  <c r="N379" i="1"/>
  <c r="O379" i="1" s="1"/>
  <c r="L379" i="1"/>
  <c r="H379" i="1"/>
  <c r="I379" i="1" s="1"/>
  <c r="F379" i="1"/>
  <c r="C379" i="1"/>
  <c r="AD378" i="1"/>
  <c r="AC378" i="1"/>
  <c r="AA378" i="1"/>
  <c r="W378" i="1"/>
  <c r="U378" i="1"/>
  <c r="R378" i="1"/>
  <c r="N378" i="1"/>
  <c r="O378" i="1" s="1"/>
  <c r="L378" i="1"/>
  <c r="I378" i="1"/>
  <c r="H378" i="1"/>
  <c r="F378" i="1"/>
  <c r="C378" i="1"/>
  <c r="AC377" i="1"/>
  <c r="AD377" i="1" s="1"/>
  <c r="AA377" i="1"/>
  <c r="W377" i="1"/>
  <c r="X377" i="1" s="1"/>
  <c r="U377" i="1"/>
  <c r="R377" i="1"/>
  <c r="O377" i="1"/>
  <c r="N377" i="1"/>
  <c r="L377" i="1"/>
  <c r="H377" i="1"/>
  <c r="I377" i="1" s="1"/>
  <c r="F377" i="1"/>
  <c r="C377" i="1"/>
  <c r="AC376" i="1"/>
  <c r="AD376" i="1" s="1"/>
  <c r="AA376" i="1"/>
  <c r="W376" i="1"/>
  <c r="X376" i="1" s="1"/>
  <c r="U376" i="1"/>
  <c r="R376" i="1"/>
  <c r="O376" i="1"/>
  <c r="N376" i="1"/>
  <c r="L376" i="1"/>
  <c r="H376" i="1"/>
  <c r="I376" i="1" s="1"/>
  <c r="F376" i="1"/>
  <c r="C376" i="1"/>
  <c r="AD375" i="1"/>
  <c r="AC375" i="1"/>
  <c r="AA375" i="1"/>
  <c r="X375" i="1"/>
  <c r="W375" i="1"/>
  <c r="U375" i="1"/>
  <c r="R375" i="1"/>
  <c r="N375" i="1"/>
  <c r="O375" i="1" s="1"/>
  <c r="L375" i="1"/>
  <c r="H375" i="1"/>
  <c r="I375" i="1" s="1"/>
  <c r="F375" i="1"/>
  <c r="C375" i="1"/>
  <c r="AD374" i="1"/>
  <c r="AC374" i="1"/>
  <c r="AA374" i="1"/>
  <c r="W374" i="1"/>
  <c r="U374" i="1"/>
  <c r="R374" i="1"/>
  <c r="O374" i="1"/>
  <c r="N374" i="1"/>
  <c r="L374" i="1"/>
  <c r="I374" i="1"/>
  <c r="H374" i="1"/>
  <c r="F374" i="1"/>
  <c r="C374" i="1"/>
  <c r="AC373" i="1"/>
  <c r="AD373" i="1" s="1"/>
  <c r="AA373" i="1"/>
  <c r="W373" i="1"/>
  <c r="X373" i="1" s="1"/>
  <c r="U373" i="1"/>
  <c r="R373" i="1"/>
  <c r="O373" i="1"/>
  <c r="N373" i="1"/>
  <c r="L373" i="1"/>
  <c r="I373" i="1"/>
  <c r="H373" i="1"/>
  <c r="F373" i="1"/>
  <c r="C373" i="1"/>
  <c r="AC372" i="1"/>
  <c r="AD372" i="1" s="1"/>
  <c r="AA372" i="1"/>
  <c r="W372" i="1"/>
  <c r="X372" i="1" s="1"/>
  <c r="U372" i="1"/>
  <c r="R372" i="1"/>
  <c r="O372" i="1"/>
  <c r="N372" i="1"/>
  <c r="L372" i="1"/>
  <c r="H372" i="1"/>
  <c r="I372" i="1" s="1"/>
  <c r="F372" i="1"/>
  <c r="C372" i="1"/>
  <c r="AD371" i="1"/>
  <c r="AC371" i="1"/>
  <c r="AA371" i="1"/>
  <c r="X371" i="1"/>
  <c r="W371" i="1"/>
  <c r="U371" i="1"/>
  <c r="R371" i="1"/>
  <c r="O371" i="1"/>
  <c r="N371" i="1"/>
  <c r="L371" i="1"/>
  <c r="H371" i="1"/>
  <c r="I371" i="1" s="1"/>
  <c r="F371" i="1"/>
  <c r="C371" i="1"/>
  <c r="AC370" i="1"/>
  <c r="AD370" i="1" s="1"/>
  <c r="AA370" i="1"/>
  <c r="W370" i="1"/>
  <c r="U370" i="1"/>
  <c r="R370" i="1"/>
  <c r="N370" i="1"/>
  <c r="O370" i="1" s="1"/>
  <c r="L370" i="1"/>
  <c r="I370" i="1"/>
  <c r="H370" i="1"/>
  <c r="F370" i="1"/>
  <c r="C370" i="1"/>
  <c r="AC369" i="1"/>
  <c r="AD369" i="1" s="1"/>
  <c r="AA369" i="1"/>
  <c r="W369" i="1"/>
  <c r="X369" i="1" s="1"/>
  <c r="U369" i="1"/>
  <c r="R369" i="1"/>
  <c r="O369" i="1"/>
  <c r="N369" i="1"/>
  <c r="L369" i="1"/>
  <c r="H369" i="1"/>
  <c r="I369" i="1" s="1"/>
  <c r="F369" i="1"/>
  <c r="C369" i="1"/>
  <c r="Z368" i="1"/>
  <c r="AA368" i="1" s="1"/>
  <c r="X368" i="1"/>
  <c r="W368" i="1"/>
  <c r="U368" i="1"/>
  <c r="T368" i="1"/>
  <c r="Q368" i="1"/>
  <c r="R368" i="1" s="1"/>
  <c r="K368" i="1"/>
  <c r="N368" i="1" s="1"/>
  <c r="O368" i="1" s="1"/>
  <c r="E368" i="1"/>
  <c r="F368" i="1" s="1"/>
  <c r="B368" i="1"/>
  <c r="AC367" i="1"/>
  <c r="AD367" i="1" s="1"/>
  <c r="AA367" i="1"/>
  <c r="W367" i="1"/>
  <c r="U367" i="1"/>
  <c r="R367" i="1"/>
  <c r="N367" i="1"/>
  <c r="O367" i="1" s="1"/>
  <c r="L367" i="1"/>
  <c r="I367" i="1"/>
  <c r="H367" i="1"/>
  <c r="F367" i="1"/>
  <c r="C367" i="1"/>
  <c r="AC366" i="1"/>
  <c r="AD366" i="1" s="1"/>
  <c r="AA366" i="1"/>
  <c r="X366" i="1"/>
  <c r="W366" i="1"/>
  <c r="U366" i="1"/>
  <c r="R366" i="1"/>
  <c r="O366" i="1"/>
  <c r="N366" i="1"/>
  <c r="L366" i="1"/>
  <c r="H366" i="1"/>
  <c r="I366" i="1" s="1"/>
  <c r="F366" i="1"/>
  <c r="C366" i="1"/>
  <c r="AC365" i="1"/>
  <c r="AD365" i="1" s="1"/>
  <c r="AA365" i="1"/>
  <c r="W365" i="1"/>
  <c r="X365" i="1" s="1"/>
  <c r="U365" i="1"/>
  <c r="R365" i="1"/>
  <c r="O365" i="1"/>
  <c r="N365" i="1"/>
  <c r="L365" i="1"/>
  <c r="H365" i="1"/>
  <c r="I365" i="1" s="1"/>
  <c r="F365" i="1"/>
  <c r="C365" i="1"/>
  <c r="AD364" i="1"/>
  <c r="AC364" i="1"/>
  <c r="AA364" i="1"/>
  <c r="X364" i="1"/>
  <c r="W364" i="1"/>
  <c r="U364" i="1"/>
  <c r="R364" i="1"/>
  <c r="O364" i="1"/>
  <c r="N364" i="1"/>
  <c r="L364" i="1"/>
  <c r="H364" i="1"/>
  <c r="I364" i="1" s="1"/>
  <c r="F364" i="1"/>
  <c r="C364" i="1"/>
  <c r="AC363" i="1"/>
  <c r="AD363" i="1" s="1"/>
  <c r="AA363" i="1"/>
  <c r="W363" i="1"/>
  <c r="U363" i="1"/>
  <c r="R363" i="1"/>
  <c r="N363" i="1"/>
  <c r="O363" i="1" s="1"/>
  <c r="L363" i="1"/>
  <c r="I363" i="1"/>
  <c r="H363" i="1"/>
  <c r="F363" i="1"/>
  <c r="C363" i="1"/>
  <c r="AC362" i="1"/>
  <c r="AD362" i="1" s="1"/>
  <c r="AA362" i="1"/>
  <c r="W362" i="1"/>
  <c r="X362" i="1" s="1"/>
  <c r="U362" i="1"/>
  <c r="R362" i="1"/>
  <c r="O362" i="1"/>
  <c r="N362" i="1"/>
  <c r="L362" i="1"/>
  <c r="H362" i="1"/>
  <c r="I362" i="1" s="1"/>
  <c r="F362" i="1"/>
  <c r="C362" i="1"/>
  <c r="AC361" i="1"/>
  <c r="AD361" i="1" s="1"/>
  <c r="AA361" i="1"/>
  <c r="X361" i="1"/>
  <c r="W361" i="1"/>
  <c r="U361" i="1"/>
  <c r="R361" i="1"/>
  <c r="O361" i="1"/>
  <c r="N361" i="1"/>
  <c r="L361" i="1"/>
  <c r="H361" i="1"/>
  <c r="I361" i="1" s="1"/>
  <c r="F361" i="1"/>
  <c r="C361" i="1"/>
  <c r="AD360" i="1"/>
  <c r="AC360" i="1"/>
  <c r="AA360" i="1"/>
  <c r="X360" i="1"/>
  <c r="W360" i="1"/>
  <c r="U360" i="1"/>
  <c r="R360" i="1"/>
  <c r="N360" i="1"/>
  <c r="O360" i="1" s="1"/>
  <c r="L360" i="1"/>
  <c r="H360" i="1"/>
  <c r="I360" i="1" s="1"/>
  <c r="F360" i="1"/>
  <c r="C360" i="1"/>
  <c r="AA358" i="1"/>
  <c r="Z358" i="1"/>
  <c r="T358" i="1"/>
  <c r="U358" i="1" s="1"/>
  <c r="R358" i="1"/>
  <c r="Q358" i="1"/>
  <c r="K358" i="1"/>
  <c r="L358" i="1" s="1"/>
  <c r="H358" i="1"/>
  <c r="I358" i="1" s="1"/>
  <c r="E358" i="1"/>
  <c r="F358" i="1" s="1"/>
  <c r="C358" i="1"/>
  <c r="B358" i="1"/>
  <c r="N358" i="1" s="1"/>
  <c r="O358" i="1" s="1"/>
  <c r="AC357" i="1"/>
  <c r="AD357" i="1" s="1"/>
  <c r="AA357" i="1"/>
  <c r="W357" i="1"/>
  <c r="X357" i="1" s="1"/>
  <c r="U357" i="1"/>
  <c r="R357" i="1"/>
  <c r="O357" i="1"/>
  <c r="N357" i="1"/>
  <c r="L357" i="1"/>
  <c r="H357" i="1"/>
  <c r="I357" i="1" s="1"/>
  <c r="F357" i="1"/>
  <c r="C357" i="1"/>
  <c r="AD356" i="1"/>
  <c r="AC356" i="1"/>
  <c r="AA356" i="1"/>
  <c r="X356" i="1"/>
  <c r="W356" i="1"/>
  <c r="U356" i="1"/>
  <c r="R356" i="1"/>
  <c r="O356" i="1"/>
  <c r="N356" i="1"/>
  <c r="L356" i="1"/>
  <c r="H356" i="1"/>
  <c r="I356" i="1" s="1"/>
  <c r="F356" i="1"/>
  <c r="C356" i="1"/>
  <c r="AD355" i="1"/>
  <c r="AC355" i="1"/>
  <c r="AA355" i="1"/>
  <c r="W355" i="1"/>
  <c r="U355" i="1"/>
  <c r="R355" i="1"/>
  <c r="N355" i="1"/>
  <c r="O355" i="1" s="1"/>
  <c r="L355" i="1"/>
  <c r="I355" i="1"/>
  <c r="H355" i="1"/>
  <c r="F355" i="1"/>
  <c r="C355" i="1"/>
  <c r="AC354" i="1"/>
  <c r="AD354" i="1" s="1"/>
  <c r="AA354" i="1"/>
  <c r="W354" i="1"/>
  <c r="X354" i="1" s="1"/>
  <c r="U354" i="1"/>
  <c r="R354" i="1"/>
  <c r="O354" i="1"/>
  <c r="N354" i="1"/>
  <c r="L354" i="1"/>
  <c r="H354" i="1"/>
  <c r="I354" i="1" s="1"/>
  <c r="F354" i="1"/>
  <c r="C354" i="1"/>
  <c r="AC353" i="1"/>
  <c r="AD353" i="1" s="1"/>
  <c r="AA353" i="1"/>
  <c r="W353" i="1"/>
  <c r="X353" i="1" s="1"/>
  <c r="U353" i="1"/>
  <c r="R353" i="1"/>
  <c r="O353" i="1"/>
  <c r="N353" i="1"/>
  <c r="L353" i="1"/>
  <c r="H353" i="1"/>
  <c r="I353" i="1" s="1"/>
  <c r="F353" i="1"/>
  <c r="C353" i="1"/>
  <c r="AD352" i="1"/>
  <c r="AC352" i="1"/>
  <c r="AA352" i="1"/>
  <c r="X352" i="1"/>
  <c r="W352" i="1"/>
  <c r="U352" i="1"/>
  <c r="R352" i="1"/>
  <c r="O352" i="1"/>
  <c r="N352" i="1"/>
  <c r="L352" i="1"/>
  <c r="H352" i="1"/>
  <c r="I352" i="1" s="1"/>
  <c r="F352" i="1"/>
  <c r="C352" i="1"/>
  <c r="AC351" i="1"/>
  <c r="AD351" i="1" s="1"/>
  <c r="AA351" i="1"/>
  <c r="W351" i="1"/>
  <c r="U351" i="1"/>
  <c r="R351" i="1"/>
  <c r="N351" i="1"/>
  <c r="O351" i="1" s="1"/>
  <c r="L351" i="1"/>
  <c r="I351" i="1"/>
  <c r="H351" i="1"/>
  <c r="F351" i="1"/>
  <c r="C351" i="1"/>
  <c r="AC350" i="1"/>
  <c r="AD350" i="1" s="1"/>
  <c r="AA350" i="1"/>
  <c r="X350" i="1"/>
  <c r="W350" i="1"/>
  <c r="U350" i="1"/>
  <c r="R350" i="1"/>
  <c r="O350" i="1"/>
  <c r="N350" i="1"/>
  <c r="L350" i="1"/>
  <c r="H350" i="1"/>
  <c r="I350" i="1" s="1"/>
  <c r="F350" i="1"/>
  <c r="C350" i="1"/>
  <c r="AC349" i="1"/>
  <c r="AD349" i="1" s="1"/>
  <c r="AA349" i="1"/>
  <c r="W349" i="1"/>
  <c r="X349" i="1" s="1"/>
  <c r="U349" i="1"/>
  <c r="R349" i="1"/>
  <c r="O349" i="1"/>
  <c r="N349" i="1"/>
  <c r="L349" i="1"/>
  <c r="H349" i="1"/>
  <c r="I349" i="1" s="1"/>
  <c r="F349" i="1"/>
  <c r="C349" i="1"/>
  <c r="AD347" i="1"/>
  <c r="AC347" i="1"/>
  <c r="AA347" i="1"/>
  <c r="X347" i="1"/>
  <c r="W347" i="1"/>
  <c r="U347" i="1"/>
  <c r="R347" i="1"/>
  <c r="O347" i="1"/>
  <c r="N347" i="1"/>
  <c r="L347" i="1"/>
  <c r="H347" i="1"/>
  <c r="I347" i="1" s="1"/>
  <c r="F347" i="1"/>
  <c r="C347" i="1"/>
  <c r="Z344" i="1"/>
  <c r="AA344" i="1" s="1"/>
  <c r="X344" i="1"/>
  <c r="W344" i="1"/>
  <c r="U344" i="1"/>
  <c r="T344" i="1"/>
  <c r="Q344" i="1"/>
  <c r="R344" i="1" s="1"/>
  <c r="N344" i="1"/>
  <c r="O344" i="1" s="1"/>
  <c r="L344" i="1"/>
  <c r="K344" i="1"/>
  <c r="E344" i="1"/>
  <c r="F344" i="1" s="1"/>
  <c r="B344" i="1"/>
  <c r="AC343" i="1"/>
  <c r="AD343" i="1" s="1"/>
  <c r="AA343" i="1"/>
  <c r="Z343" i="1"/>
  <c r="T343" i="1"/>
  <c r="U343" i="1" s="1"/>
  <c r="R343" i="1"/>
  <c r="Q343" i="1"/>
  <c r="W343" i="1" s="1"/>
  <c r="X343" i="1" s="1"/>
  <c r="K343" i="1"/>
  <c r="L343" i="1" s="1"/>
  <c r="E343" i="1"/>
  <c r="H343" i="1" s="1"/>
  <c r="I343" i="1" s="1"/>
  <c r="C343" i="1"/>
  <c r="B343" i="1"/>
  <c r="N343" i="1" s="1"/>
  <c r="O343" i="1" s="1"/>
  <c r="Z342" i="1"/>
  <c r="AA342" i="1" s="1"/>
  <c r="W342" i="1"/>
  <c r="X342" i="1" s="1"/>
  <c r="U342" i="1"/>
  <c r="T342" i="1"/>
  <c r="Q342" i="1"/>
  <c r="R342" i="1" s="1"/>
  <c r="L342" i="1"/>
  <c r="K342" i="1"/>
  <c r="E342" i="1"/>
  <c r="F342" i="1" s="1"/>
  <c r="B342" i="1"/>
  <c r="N342" i="1" s="1"/>
  <c r="O342" i="1" s="1"/>
  <c r="AC341" i="1"/>
  <c r="AD341" i="1" s="1"/>
  <c r="AA341" i="1"/>
  <c r="W341" i="1"/>
  <c r="U341" i="1"/>
  <c r="R341" i="1"/>
  <c r="N341" i="1"/>
  <c r="O341" i="1" s="1"/>
  <c r="L341" i="1"/>
  <c r="I341" i="1"/>
  <c r="H341" i="1"/>
  <c r="F341" i="1"/>
  <c r="C341" i="1"/>
  <c r="AC340" i="1"/>
  <c r="AD340" i="1" s="1"/>
  <c r="AA340" i="1"/>
  <c r="X340" i="1"/>
  <c r="W340" i="1"/>
  <c r="U340" i="1"/>
  <c r="R340" i="1"/>
  <c r="O340" i="1"/>
  <c r="N340" i="1"/>
  <c r="L340" i="1"/>
  <c r="H340" i="1"/>
  <c r="I340" i="1" s="1"/>
  <c r="F340" i="1"/>
  <c r="C340" i="1"/>
  <c r="AC339" i="1"/>
  <c r="AD339" i="1" s="1"/>
  <c r="AA339" i="1"/>
  <c r="W339" i="1"/>
  <c r="X339" i="1" s="1"/>
  <c r="U339" i="1"/>
  <c r="R339" i="1"/>
  <c r="O339" i="1"/>
  <c r="N339" i="1"/>
  <c r="L339" i="1"/>
  <c r="H339" i="1"/>
  <c r="I339" i="1" s="1"/>
  <c r="F339" i="1"/>
  <c r="C339" i="1"/>
  <c r="AD338" i="1"/>
  <c r="AC338" i="1"/>
  <c r="AA338" i="1"/>
  <c r="X338" i="1"/>
  <c r="W338" i="1"/>
  <c r="U338" i="1"/>
  <c r="R338" i="1"/>
  <c r="N338" i="1"/>
  <c r="O338" i="1" s="1"/>
  <c r="L338" i="1"/>
  <c r="H338" i="1"/>
  <c r="I338" i="1" s="1"/>
  <c r="F338" i="1"/>
  <c r="C338" i="1"/>
  <c r="AD337" i="1"/>
  <c r="AC337" i="1"/>
  <c r="AA337" i="1"/>
  <c r="W337" i="1"/>
  <c r="U337" i="1"/>
  <c r="R337" i="1"/>
  <c r="O337" i="1"/>
  <c r="N337" i="1"/>
  <c r="L337" i="1"/>
  <c r="I337" i="1"/>
  <c r="H337" i="1"/>
  <c r="F337" i="1"/>
  <c r="C337" i="1"/>
  <c r="AC335" i="1"/>
  <c r="AD335" i="1" s="1"/>
  <c r="AA335" i="1"/>
  <c r="W335" i="1"/>
  <c r="X335" i="1" s="1"/>
  <c r="U335" i="1"/>
  <c r="R335" i="1"/>
  <c r="O335" i="1"/>
  <c r="N335" i="1"/>
  <c r="L335" i="1"/>
  <c r="I335" i="1"/>
  <c r="H335" i="1"/>
  <c r="F335" i="1"/>
  <c r="C335" i="1"/>
  <c r="AC334" i="1"/>
  <c r="AD334" i="1" s="1"/>
  <c r="AA334" i="1"/>
  <c r="W334" i="1"/>
  <c r="X334" i="1" s="1"/>
  <c r="U334" i="1"/>
  <c r="R334" i="1"/>
  <c r="O334" i="1"/>
  <c r="N334" i="1"/>
  <c r="L334" i="1"/>
  <c r="H334" i="1"/>
  <c r="I334" i="1" s="1"/>
  <c r="F334" i="1"/>
  <c r="C334" i="1"/>
  <c r="AD333" i="1"/>
  <c r="AC333" i="1"/>
  <c r="AA333" i="1"/>
  <c r="X333" i="1"/>
  <c r="W333" i="1"/>
  <c r="U333" i="1"/>
  <c r="R333" i="1"/>
  <c r="O333" i="1"/>
  <c r="N333" i="1"/>
  <c r="L333" i="1"/>
  <c r="H333" i="1"/>
  <c r="I333" i="1" s="1"/>
  <c r="F333" i="1"/>
  <c r="C333" i="1"/>
  <c r="AC332" i="1"/>
  <c r="AD332" i="1" s="1"/>
  <c r="AA332" i="1"/>
  <c r="W332" i="1"/>
  <c r="U332" i="1"/>
  <c r="R332" i="1"/>
  <c r="N332" i="1"/>
  <c r="O332" i="1" s="1"/>
  <c r="L332" i="1"/>
  <c r="I332" i="1"/>
  <c r="H332" i="1"/>
  <c r="F332" i="1"/>
  <c r="C332" i="1"/>
  <c r="AC331" i="1"/>
  <c r="AD331" i="1" s="1"/>
  <c r="AA331" i="1"/>
  <c r="W331" i="1"/>
  <c r="X331" i="1" s="1"/>
  <c r="U331" i="1"/>
  <c r="R331" i="1"/>
  <c r="O331" i="1"/>
  <c r="N331" i="1"/>
  <c r="L331" i="1"/>
  <c r="H331" i="1"/>
  <c r="I331" i="1" s="1"/>
  <c r="F331" i="1"/>
  <c r="C331" i="1"/>
  <c r="AC330" i="1"/>
  <c r="AD330" i="1" s="1"/>
  <c r="AA330" i="1"/>
  <c r="W330" i="1"/>
  <c r="X330" i="1" s="1"/>
  <c r="U330" i="1"/>
  <c r="R330" i="1"/>
  <c r="O330" i="1"/>
  <c r="N330" i="1"/>
  <c r="L330" i="1"/>
  <c r="H330" i="1"/>
  <c r="I330" i="1" s="1"/>
  <c r="F330" i="1"/>
  <c r="C330" i="1"/>
  <c r="AD329" i="1"/>
  <c r="AC329" i="1"/>
  <c r="AA329" i="1"/>
  <c r="X329" i="1"/>
  <c r="W329" i="1"/>
  <c r="U329" i="1"/>
  <c r="R329" i="1"/>
  <c r="O329" i="1"/>
  <c r="N329" i="1"/>
  <c r="L329" i="1"/>
  <c r="H329" i="1"/>
  <c r="I329" i="1" s="1"/>
  <c r="F329" i="1"/>
  <c r="C329" i="1"/>
  <c r="AD328" i="1"/>
  <c r="AC328" i="1"/>
  <c r="AA328" i="1"/>
  <c r="W328" i="1"/>
  <c r="U328" i="1"/>
  <c r="R328" i="1"/>
  <c r="N328" i="1"/>
  <c r="O328" i="1" s="1"/>
  <c r="L328" i="1"/>
  <c r="I328" i="1"/>
  <c r="H328" i="1"/>
  <c r="F328" i="1"/>
  <c r="C328" i="1"/>
  <c r="Z325" i="1"/>
  <c r="AC325" i="1" s="1"/>
  <c r="AD325" i="1" s="1"/>
  <c r="T325" i="1"/>
  <c r="U325" i="1" s="1"/>
  <c r="Q325" i="1"/>
  <c r="N325" i="1"/>
  <c r="O325" i="1" s="1"/>
  <c r="L325" i="1"/>
  <c r="K325" i="1"/>
  <c r="E325" i="1"/>
  <c r="F325" i="1" s="1"/>
  <c r="C325" i="1"/>
  <c r="B325" i="1"/>
  <c r="Z324" i="1"/>
  <c r="AA324" i="1" s="1"/>
  <c r="T324" i="1"/>
  <c r="W324" i="1" s="1"/>
  <c r="X324" i="1" s="1"/>
  <c r="R324" i="1"/>
  <c r="Q324" i="1"/>
  <c r="AC324" i="1" s="1"/>
  <c r="AD324" i="1" s="1"/>
  <c r="K324" i="1"/>
  <c r="L324" i="1" s="1"/>
  <c r="I324" i="1"/>
  <c r="H324" i="1"/>
  <c r="F324" i="1"/>
  <c r="E324" i="1"/>
  <c r="B324" i="1"/>
  <c r="C324" i="1" s="1"/>
  <c r="AC323" i="1"/>
  <c r="AD323" i="1" s="1"/>
  <c r="AA323" i="1"/>
  <c r="W323" i="1"/>
  <c r="X323" i="1" s="1"/>
  <c r="U323" i="1"/>
  <c r="R323" i="1"/>
  <c r="O323" i="1"/>
  <c r="N323" i="1"/>
  <c r="L323" i="1"/>
  <c r="I323" i="1"/>
  <c r="H323" i="1"/>
  <c r="F323" i="1"/>
  <c r="C323" i="1"/>
  <c r="AC322" i="1"/>
  <c r="AD322" i="1" s="1"/>
  <c r="AA322" i="1"/>
  <c r="W322" i="1"/>
  <c r="X322" i="1" s="1"/>
  <c r="U322" i="1"/>
  <c r="R322" i="1"/>
  <c r="O322" i="1"/>
  <c r="N322" i="1"/>
  <c r="L322" i="1"/>
  <c r="H322" i="1"/>
  <c r="I322" i="1" s="1"/>
  <c r="F322" i="1"/>
  <c r="C322" i="1"/>
  <c r="AD321" i="1"/>
  <c r="AC321" i="1"/>
  <c r="AA321" i="1"/>
  <c r="X321" i="1"/>
  <c r="W321" i="1"/>
  <c r="U321" i="1"/>
  <c r="R321" i="1"/>
  <c r="O321" i="1"/>
  <c r="N321" i="1"/>
  <c r="L321" i="1"/>
  <c r="H321" i="1"/>
  <c r="I321" i="1" s="1"/>
  <c r="F321" i="1"/>
  <c r="C321" i="1"/>
  <c r="AC320" i="1"/>
  <c r="AD320" i="1" s="1"/>
  <c r="AA320" i="1"/>
  <c r="W320" i="1"/>
  <c r="U320" i="1"/>
  <c r="R320" i="1"/>
  <c r="N320" i="1"/>
  <c r="O320" i="1" s="1"/>
  <c r="L320" i="1"/>
  <c r="I320" i="1"/>
  <c r="H320" i="1"/>
  <c r="F320" i="1"/>
  <c r="C320" i="1"/>
  <c r="AC319" i="1"/>
  <c r="AD319" i="1" s="1"/>
  <c r="AA319" i="1"/>
  <c r="W319" i="1"/>
  <c r="X319" i="1" s="1"/>
  <c r="U319" i="1"/>
  <c r="R319" i="1"/>
  <c r="O319" i="1"/>
  <c r="N319" i="1"/>
  <c r="L319" i="1"/>
  <c r="H319" i="1"/>
  <c r="I319" i="1" s="1"/>
  <c r="F319" i="1"/>
  <c r="C319" i="1"/>
  <c r="AC318" i="1"/>
  <c r="AD318" i="1" s="1"/>
  <c r="AA318" i="1"/>
  <c r="W318" i="1"/>
  <c r="X318" i="1" s="1"/>
  <c r="U318" i="1"/>
  <c r="R318" i="1"/>
  <c r="O318" i="1"/>
  <c r="N318" i="1"/>
  <c r="L318" i="1"/>
  <c r="H318" i="1"/>
  <c r="I318" i="1" s="1"/>
  <c r="F318" i="1"/>
  <c r="C318" i="1"/>
  <c r="AD317" i="1"/>
  <c r="AC317" i="1"/>
  <c r="AA317" i="1"/>
  <c r="X317" i="1"/>
  <c r="W317" i="1"/>
  <c r="U317" i="1"/>
  <c r="R317" i="1"/>
  <c r="O317" i="1"/>
  <c r="N317" i="1"/>
  <c r="L317" i="1"/>
  <c r="H317" i="1"/>
  <c r="I317" i="1" s="1"/>
  <c r="F317" i="1"/>
  <c r="C317" i="1"/>
  <c r="AD316" i="1"/>
  <c r="AC316" i="1"/>
  <c r="AA316" i="1"/>
  <c r="W316" i="1"/>
  <c r="U316" i="1"/>
  <c r="R316" i="1"/>
  <c r="N316" i="1"/>
  <c r="O316" i="1" s="1"/>
  <c r="L316" i="1"/>
  <c r="I316" i="1"/>
  <c r="H316" i="1"/>
  <c r="F316" i="1"/>
  <c r="C316" i="1"/>
  <c r="AC315" i="1"/>
  <c r="AD315" i="1" s="1"/>
  <c r="AA315" i="1"/>
  <c r="X315" i="1"/>
  <c r="W315" i="1"/>
  <c r="U315" i="1"/>
  <c r="R315" i="1"/>
  <c r="O315" i="1"/>
  <c r="N315" i="1"/>
  <c r="L315" i="1"/>
  <c r="H315" i="1"/>
  <c r="I315" i="1" s="1"/>
  <c r="F315" i="1"/>
  <c r="C315" i="1"/>
  <c r="AC314" i="1"/>
  <c r="AD314" i="1" s="1"/>
  <c r="AA314" i="1"/>
  <c r="W314" i="1"/>
  <c r="X314" i="1" s="1"/>
  <c r="U314" i="1"/>
  <c r="R314" i="1"/>
  <c r="O314" i="1"/>
  <c r="N314" i="1"/>
  <c r="L314" i="1"/>
  <c r="H314" i="1"/>
  <c r="I314" i="1" s="1"/>
  <c r="F314" i="1"/>
  <c r="C314" i="1"/>
  <c r="AD313" i="1"/>
  <c r="AC313" i="1"/>
  <c r="AA313" i="1"/>
  <c r="X313" i="1"/>
  <c r="W313" i="1"/>
  <c r="U313" i="1"/>
  <c r="R313" i="1"/>
  <c r="N313" i="1"/>
  <c r="O313" i="1" s="1"/>
  <c r="L313" i="1"/>
  <c r="H313" i="1"/>
  <c r="I313" i="1" s="1"/>
  <c r="F313" i="1"/>
  <c r="C313" i="1"/>
  <c r="AC312" i="1"/>
  <c r="AD312" i="1" s="1"/>
  <c r="AA312" i="1"/>
  <c r="W312" i="1"/>
  <c r="U312" i="1"/>
  <c r="R312" i="1"/>
  <c r="N312" i="1"/>
  <c r="O312" i="1" s="1"/>
  <c r="L312" i="1"/>
  <c r="I312" i="1"/>
  <c r="H312" i="1"/>
  <c r="F312" i="1"/>
  <c r="C312" i="1"/>
  <c r="AC311" i="1"/>
  <c r="AD311" i="1" s="1"/>
  <c r="AA311" i="1"/>
  <c r="X311" i="1"/>
  <c r="W311" i="1"/>
  <c r="U311" i="1"/>
  <c r="R311" i="1"/>
  <c r="O311" i="1"/>
  <c r="N311" i="1"/>
  <c r="L311" i="1"/>
  <c r="H311" i="1"/>
  <c r="I311" i="1" s="1"/>
  <c r="F311" i="1"/>
  <c r="C311" i="1"/>
  <c r="AC310" i="1"/>
  <c r="AD310" i="1" s="1"/>
  <c r="AA310" i="1"/>
  <c r="X310" i="1"/>
  <c r="W310" i="1"/>
  <c r="U310" i="1"/>
  <c r="R310" i="1"/>
  <c r="O310" i="1"/>
  <c r="N310" i="1"/>
  <c r="L310" i="1"/>
  <c r="H310" i="1"/>
  <c r="I310" i="1" s="1"/>
  <c r="F310" i="1"/>
  <c r="C310" i="1"/>
  <c r="AD309" i="1"/>
  <c r="AC309" i="1"/>
  <c r="AA309" i="1"/>
  <c r="X309" i="1"/>
  <c r="W309" i="1"/>
  <c r="U309" i="1"/>
  <c r="R309" i="1"/>
  <c r="O309" i="1"/>
  <c r="N309" i="1"/>
  <c r="L309" i="1"/>
  <c r="H309" i="1"/>
  <c r="I309" i="1" s="1"/>
  <c r="F309" i="1"/>
  <c r="C309" i="1"/>
  <c r="AC308" i="1"/>
  <c r="AD308" i="1" s="1"/>
  <c r="AA308" i="1"/>
  <c r="W308" i="1"/>
  <c r="U308" i="1"/>
  <c r="R308" i="1"/>
  <c r="N308" i="1"/>
  <c r="O308" i="1" s="1"/>
  <c r="L308" i="1"/>
  <c r="I308" i="1"/>
  <c r="H308" i="1"/>
  <c r="F308" i="1"/>
  <c r="C308" i="1"/>
  <c r="AC307" i="1"/>
  <c r="AD307" i="1" s="1"/>
  <c r="AA307" i="1"/>
  <c r="W307" i="1"/>
  <c r="X307" i="1" s="1"/>
  <c r="U307" i="1"/>
  <c r="R307" i="1"/>
  <c r="O307" i="1"/>
  <c r="N307" i="1"/>
  <c r="L307" i="1"/>
  <c r="H307" i="1"/>
  <c r="I307" i="1" s="1"/>
  <c r="F307" i="1"/>
  <c r="C307" i="1"/>
  <c r="AC306" i="1"/>
  <c r="AD306" i="1" s="1"/>
  <c r="AA306" i="1"/>
  <c r="X306" i="1"/>
  <c r="W306" i="1"/>
  <c r="U306" i="1"/>
  <c r="R306" i="1"/>
  <c r="O306" i="1"/>
  <c r="N306" i="1"/>
  <c r="L306" i="1"/>
  <c r="H306" i="1"/>
  <c r="I306" i="1" s="1"/>
  <c r="F306" i="1"/>
  <c r="C306" i="1"/>
  <c r="AD305" i="1"/>
  <c r="AC305" i="1"/>
  <c r="AA305" i="1"/>
  <c r="X305" i="1"/>
  <c r="W305" i="1"/>
  <c r="U305" i="1"/>
  <c r="R305" i="1"/>
  <c r="N305" i="1"/>
  <c r="O305" i="1" s="1"/>
  <c r="L305" i="1"/>
  <c r="H305" i="1"/>
  <c r="I305" i="1" s="1"/>
  <c r="F305" i="1"/>
  <c r="C305" i="1"/>
  <c r="AC304" i="1"/>
  <c r="AD304" i="1" s="1"/>
  <c r="AA304" i="1"/>
  <c r="W304" i="1"/>
  <c r="U304" i="1"/>
  <c r="R304" i="1"/>
  <c r="O304" i="1"/>
  <c r="N304" i="1"/>
  <c r="L304" i="1"/>
  <c r="I304" i="1"/>
  <c r="H304" i="1"/>
  <c r="F304" i="1"/>
  <c r="C304" i="1"/>
  <c r="AC303" i="1"/>
  <c r="AD303" i="1" s="1"/>
  <c r="AA303" i="1"/>
  <c r="X303" i="1"/>
  <c r="W303" i="1"/>
  <c r="U303" i="1"/>
  <c r="R303" i="1"/>
  <c r="O303" i="1"/>
  <c r="N303" i="1"/>
  <c r="L303" i="1"/>
  <c r="I303" i="1"/>
  <c r="H303" i="1"/>
  <c r="F303" i="1"/>
  <c r="C303" i="1"/>
  <c r="AC302" i="1"/>
  <c r="AD302" i="1" s="1"/>
  <c r="AA302" i="1"/>
  <c r="W302" i="1"/>
  <c r="X302" i="1" s="1"/>
  <c r="U302" i="1"/>
  <c r="R302" i="1"/>
  <c r="O302" i="1"/>
  <c r="N302" i="1"/>
  <c r="L302" i="1"/>
  <c r="H302" i="1"/>
  <c r="I302" i="1" s="1"/>
  <c r="F302" i="1"/>
  <c r="C302" i="1"/>
  <c r="AD301" i="1"/>
  <c r="AC301" i="1"/>
  <c r="AA301" i="1"/>
  <c r="X301" i="1"/>
  <c r="W301" i="1"/>
  <c r="U301" i="1"/>
  <c r="R301" i="1"/>
  <c r="N301" i="1"/>
  <c r="O301" i="1" s="1"/>
  <c r="L301" i="1"/>
  <c r="H301" i="1"/>
  <c r="I301" i="1" s="1"/>
  <c r="F301" i="1"/>
  <c r="C301" i="1"/>
  <c r="AC300" i="1"/>
  <c r="AD300" i="1" s="1"/>
  <c r="AA300" i="1"/>
  <c r="W300" i="1"/>
  <c r="U300" i="1"/>
  <c r="R300" i="1"/>
  <c r="O300" i="1"/>
  <c r="N300" i="1"/>
  <c r="L300" i="1"/>
  <c r="I300" i="1"/>
  <c r="H300" i="1"/>
  <c r="F300" i="1"/>
  <c r="C300" i="1"/>
  <c r="AC299" i="1"/>
  <c r="AD299" i="1" s="1"/>
  <c r="AA299" i="1"/>
  <c r="W299" i="1"/>
  <c r="X299" i="1" s="1"/>
  <c r="U299" i="1"/>
  <c r="R299" i="1"/>
  <c r="O299" i="1"/>
  <c r="N299" i="1"/>
  <c r="L299" i="1"/>
  <c r="I299" i="1"/>
  <c r="H299" i="1"/>
  <c r="F299" i="1"/>
  <c r="C299" i="1"/>
  <c r="AC298" i="1"/>
  <c r="AD298" i="1" s="1"/>
  <c r="AA298" i="1"/>
  <c r="X298" i="1"/>
  <c r="W298" i="1"/>
  <c r="U298" i="1"/>
  <c r="R298" i="1"/>
  <c r="O298" i="1"/>
  <c r="N298" i="1"/>
  <c r="L298" i="1"/>
  <c r="H298" i="1"/>
  <c r="I298" i="1" s="1"/>
  <c r="F298" i="1"/>
  <c r="C298" i="1"/>
  <c r="AD297" i="1"/>
  <c r="AC297" i="1"/>
  <c r="AA297" i="1"/>
  <c r="X297" i="1"/>
  <c r="W297" i="1"/>
  <c r="U297" i="1"/>
  <c r="R297" i="1"/>
  <c r="N297" i="1"/>
  <c r="O297" i="1" s="1"/>
  <c r="L297" i="1"/>
  <c r="H297" i="1"/>
  <c r="I297" i="1" s="1"/>
  <c r="F297" i="1"/>
  <c r="C297" i="1"/>
  <c r="AA295" i="1"/>
  <c r="Z295" i="1"/>
  <c r="T295" i="1"/>
  <c r="U295" i="1" s="1"/>
  <c r="Q295" i="1"/>
  <c r="W295" i="1" s="1"/>
  <c r="X295" i="1" s="1"/>
  <c r="O295" i="1"/>
  <c r="K295" i="1"/>
  <c r="L295" i="1" s="1"/>
  <c r="H295" i="1"/>
  <c r="I295" i="1" s="1"/>
  <c r="E295" i="1"/>
  <c r="F295" i="1" s="1"/>
  <c r="C295" i="1"/>
  <c r="B295" i="1"/>
  <c r="N295" i="1" s="1"/>
  <c r="AC294" i="1"/>
  <c r="AD294" i="1" s="1"/>
  <c r="AA294" i="1"/>
  <c r="X294" i="1"/>
  <c r="W294" i="1"/>
  <c r="U294" i="1"/>
  <c r="R294" i="1"/>
  <c r="O294" i="1"/>
  <c r="N294" i="1"/>
  <c r="L294" i="1"/>
  <c r="H294" i="1"/>
  <c r="I294" i="1" s="1"/>
  <c r="F294" i="1"/>
  <c r="C294" i="1"/>
  <c r="AD293" i="1"/>
  <c r="AC293" i="1"/>
  <c r="AA293" i="1"/>
  <c r="X293" i="1"/>
  <c r="W293" i="1"/>
  <c r="U293" i="1"/>
  <c r="R293" i="1"/>
  <c r="O293" i="1"/>
  <c r="N293" i="1"/>
  <c r="L293" i="1"/>
  <c r="H293" i="1"/>
  <c r="I293" i="1" s="1"/>
  <c r="F293" i="1"/>
  <c r="C293" i="1"/>
  <c r="AC292" i="1"/>
  <c r="AD292" i="1" s="1"/>
  <c r="AA292" i="1"/>
  <c r="W292" i="1"/>
  <c r="U292" i="1"/>
  <c r="R292" i="1"/>
  <c r="N292" i="1"/>
  <c r="O292" i="1" s="1"/>
  <c r="L292" i="1"/>
  <c r="I292" i="1"/>
  <c r="H292" i="1"/>
  <c r="F292" i="1"/>
  <c r="C292" i="1"/>
  <c r="AC291" i="1"/>
  <c r="AD291" i="1" s="1"/>
  <c r="AA291" i="1"/>
  <c r="W291" i="1"/>
  <c r="X291" i="1" s="1"/>
  <c r="U291" i="1"/>
  <c r="R291" i="1"/>
  <c r="O291" i="1"/>
  <c r="N291" i="1"/>
  <c r="L291" i="1"/>
  <c r="H291" i="1"/>
  <c r="I291" i="1" s="1"/>
  <c r="F291" i="1"/>
  <c r="C291" i="1"/>
  <c r="AC290" i="1"/>
  <c r="AD290" i="1" s="1"/>
  <c r="AA290" i="1"/>
  <c r="X290" i="1"/>
  <c r="W290" i="1"/>
  <c r="U290" i="1"/>
  <c r="R290" i="1"/>
  <c r="O290" i="1"/>
  <c r="N290" i="1"/>
  <c r="L290" i="1"/>
  <c r="H290" i="1"/>
  <c r="I290" i="1" s="1"/>
  <c r="F290" i="1"/>
  <c r="C290" i="1"/>
  <c r="AD289" i="1"/>
  <c r="AC289" i="1"/>
  <c r="AA289" i="1"/>
  <c r="X289" i="1"/>
  <c r="W289" i="1"/>
  <c r="U289" i="1"/>
  <c r="R289" i="1"/>
  <c r="N289" i="1"/>
  <c r="O289" i="1" s="1"/>
  <c r="L289" i="1"/>
  <c r="H289" i="1"/>
  <c r="I289" i="1" s="1"/>
  <c r="F289" i="1"/>
  <c r="C289" i="1"/>
  <c r="AC288" i="1"/>
  <c r="AD288" i="1" s="1"/>
  <c r="AA288" i="1"/>
  <c r="W288" i="1"/>
  <c r="U288" i="1"/>
  <c r="R288" i="1"/>
  <c r="O288" i="1"/>
  <c r="N288" i="1"/>
  <c r="L288" i="1"/>
  <c r="I288" i="1"/>
  <c r="H288" i="1"/>
  <c r="F288" i="1"/>
  <c r="C288" i="1"/>
  <c r="AC287" i="1"/>
  <c r="AD287" i="1" s="1"/>
  <c r="AA287" i="1"/>
  <c r="X287" i="1"/>
  <c r="W287" i="1"/>
  <c r="U287" i="1"/>
  <c r="R287" i="1"/>
  <c r="O287" i="1"/>
  <c r="N287" i="1"/>
  <c r="L287" i="1"/>
  <c r="I287" i="1"/>
  <c r="H287" i="1"/>
  <c r="F287" i="1"/>
  <c r="C287" i="1"/>
  <c r="AC286" i="1"/>
  <c r="AD286" i="1" s="1"/>
  <c r="AA286" i="1"/>
  <c r="W286" i="1"/>
  <c r="X286" i="1" s="1"/>
  <c r="U286" i="1"/>
  <c r="R286" i="1"/>
  <c r="O286" i="1"/>
  <c r="N286" i="1"/>
  <c r="L286" i="1"/>
  <c r="H286" i="1"/>
  <c r="I286" i="1" s="1"/>
  <c r="F286" i="1"/>
  <c r="C286" i="1"/>
  <c r="AD284" i="1"/>
  <c r="Z284" i="1"/>
  <c r="AA284" i="1" s="1"/>
  <c r="U284" i="1"/>
  <c r="T284" i="1"/>
  <c r="W284" i="1" s="1"/>
  <c r="X284" i="1" s="1"/>
  <c r="R284" i="1"/>
  <c r="Q284" i="1"/>
  <c r="AC284" i="1" s="1"/>
  <c r="K284" i="1"/>
  <c r="L284" i="1" s="1"/>
  <c r="I284" i="1"/>
  <c r="H284" i="1"/>
  <c r="F284" i="1"/>
  <c r="E284" i="1"/>
  <c r="B284" i="1"/>
  <c r="C284" i="1" s="1"/>
  <c r="AC283" i="1"/>
  <c r="AD283" i="1" s="1"/>
  <c r="AA283" i="1"/>
  <c r="W283" i="1"/>
  <c r="X283" i="1" s="1"/>
  <c r="U283" i="1"/>
  <c r="R283" i="1"/>
  <c r="O283" i="1"/>
  <c r="N283" i="1"/>
  <c r="L283" i="1"/>
  <c r="H283" i="1"/>
  <c r="I283" i="1" s="1"/>
  <c r="F283" i="1"/>
  <c r="C283" i="1"/>
  <c r="AC282" i="1"/>
  <c r="AD282" i="1" s="1"/>
  <c r="AA282" i="1"/>
  <c r="W282" i="1"/>
  <c r="X282" i="1" s="1"/>
  <c r="U282" i="1"/>
  <c r="R282" i="1"/>
  <c r="O282" i="1"/>
  <c r="N282" i="1"/>
  <c r="L282" i="1"/>
  <c r="H282" i="1"/>
  <c r="I282" i="1" s="1"/>
  <c r="F282" i="1"/>
  <c r="C282" i="1"/>
  <c r="AD281" i="1"/>
  <c r="AC281" i="1"/>
  <c r="AA281" i="1"/>
  <c r="X281" i="1"/>
  <c r="W281" i="1"/>
  <c r="U281" i="1"/>
  <c r="R281" i="1"/>
  <c r="N281" i="1"/>
  <c r="O281" i="1" s="1"/>
  <c r="L281" i="1"/>
  <c r="H281" i="1"/>
  <c r="I281" i="1" s="1"/>
  <c r="F281" i="1"/>
  <c r="C281" i="1"/>
  <c r="AD280" i="1"/>
  <c r="AC280" i="1"/>
  <c r="AA280" i="1"/>
  <c r="W280" i="1"/>
  <c r="U280" i="1"/>
  <c r="R280" i="1"/>
  <c r="O280" i="1"/>
  <c r="N280" i="1"/>
  <c r="L280" i="1"/>
  <c r="I280" i="1"/>
  <c r="H280" i="1"/>
  <c r="F280" i="1"/>
  <c r="C280" i="1"/>
  <c r="AC279" i="1"/>
  <c r="AD279" i="1" s="1"/>
  <c r="AA279" i="1"/>
  <c r="W279" i="1"/>
  <c r="X279" i="1" s="1"/>
  <c r="U279" i="1"/>
  <c r="R279" i="1"/>
  <c r="O279" i="1"/>
  <c r="N279" i="1"/>
  <c r="L279" i="1"/>
  <c r="I279" i="1"/>
  <c r="H279" i="1"/>
  <c r="F279" i="1"/>
  <c r="C279" i="1"/>
  <c r="AC278" i="1"/>
  <c r="AD278" i="1" s="1"/>
  <c r="AA278" i="1"/>
  <c r="W278" i="1"/>
  <c r="X278" i="1" s="1"/>
  <c r="U278" i="1"/>
  <c r="R278" i="1"/>
  <c r="O278" i="1"/>
  <c r="N278" i="1"/>
  <c r="L278" i="1"/>
  <c r="H278" i="1"/>
  <c r="I278" i="1" s="1"/>
  <c r="F278" i="1"/>
  <c r="C278" i="1"/>
  <c r="AD277" i="1"/>
  <c r="AC277" i="1"/>
  <c r="AA277" i="1"/>
  <c r="X277" i="1"/>
  <c r="W277" i="1"/>
  <c r="U277" i="1"/>
  <c r="R277" i="1"/>
  <c r="O277" i="1"/>
  <c r="N277" i="1"/>
  <c r="L277" i="1"/>
  <c r="H277" i="1"/>
  <c r="I277" i="1" s="1"/>
  <c r="F277" i="1"/>
  <c r="C277" i="1"/>
  <c r="AC276" i="1"/>
  <c r="AD276" i="1" s="1"/>
  <c r="AA276" i="1"/>
  <c r="W276" i="1"/>
  <c r="U276" i="1"/>
  <c r="R276" i="1"/>
  <c r="N276" i="1"/>
  <c r="O276" i="1" s="1"/>
  <c r="L276" i="1"/>
  <c r="I276" i="1"/>
  <c r="H276" i="1"/>
  <c r="F276" i="1"/>
  <c r="C276" i="1"/>
  <c r="AC275" i="1"/>
  <c r="AD275" i="1" s="1"/>
  <c r="AA275" i="1"/>
  <c r="W275" i="1"/>
  <c r="X275" i="1" s="1"/>
  <c r="U275" i="1"/>
  <c r="R275" i="1"/>
  <c r="O275" i="1"/>
  <c r="N275" i="1"/>
  <c r="L275" i="1"/>
  <c r="H275" i="1"/>
  <c r="I275" i="1" s="1"/>
  <c r="F275" i="1"/>
  <c r="C275" i="1"/>
  <c r="Z273" i="1"/>
  <c r="AA273" i="1" s="1"/>
  <c r="X273" i="1"/>
  <c r="W273" i="1"/>
  <c r="U273" i="1"/>
  <c r="T273" i="1"/>
  <c r="Q273" i="1"/>
  <c r="R273" i="1" s="1"/>
  <c r="K273" i="1"/>
  <c r="N273" i="1" s="1"/>
  <c r="O273" i="1" s="1"/>
  <c r="E273" i="1"/>
  <c r="F273" i="1" s="1"/>
  <c r="B273" i="1"/>
  <c r="AC272" i="1"/>
  <c r="AD272" i="1" s="1"/>
  <c r="AA272" i="1"/>
  <c r="W272" i="1"/>
  <c r="U272" i="1"/>
  <c r="R272" i="1"/>
  <c r="N272" i="1"/>
  <c r="O272" i="1" s="1"/>
  <c r="L272" i="1"/>
  <c r="I272" i="1"/>
  <c r="H272" i="1"/>
  <c r="F272" i="1"/>
  <c r="C272" i="1"/>
  <c r="AC271" i="1"/>
  <c r="AD271" i="1" s="1"/>
  <c r="AA271" i="1"/>
  <c r="X271" i="1"/>
  <c r="W271" i="1"/>
  <c r="U271" i="1"/>
  <c r="R271" i="1"/>
  <c r="O271" i="1"/>
  <c r="N271" i="1"/>
  <c r="L271" i="1"/>
  <c r="H271" i="1"/>
  <c r="I271" i="1" s="1"/>
  <c r="F271" i="1"/>
  <c r="C271" i="1"/>
  <c r="AC270" i="1"/>
  <c r="AD270" i="1" s="1"/>
  <c r="AA270" i="1"/>
  <c r="X270" i="1"/>
  <c r="W270" i="1"/>
  <c r="U270" i="1"/>
  <c r="R270" i="1"/>
  <c r="O270" i="1"/>
  <c r="N270" i="1"/>
  <c r="L270" i="1"/>
  <c r="H270" i="1"/>
  <c r="I270" i="1" s="1"/>
  <c r="F270" i="1"/>
  <c r="C270" i="1"/>
  <c r="AD269" i="1"/>
  <c r="AC269" i="1"/>
  <c r="AA269" i="1"/>
  <c r="X269" i="1"/>
  <c r="W269" i="1"/>
  <c r="U269" i="1"/>
  <c r="R269" i="1"/>
  <c r="O269" i="1"/>
  <c r="N269" i="1"/>
  <c r="L269" i="1"/>
  <c r="H269" i="1"/>
  <c r="I269" i="1" s="1"/>
  <c r="F269" i="1"/>
  <c r="C269" i="1"/>
  <c r="AC267" i="1"/>
  <c r="AD267" i="1" s="1"/>
  <c r="AA267" i="1"/>
  <c r="Z267" i="1"/>
  <c r="T267" i="1"/>
  <c r="U267" i="1" s="1"/>
  <c r="Q267" i="1"/>
  <c r="O267" i="1"/>
  <c r="K267" i="1"/>
  <c r="L267" i="1" s="1"/>
  <c r="H267" i="1"/>
  <c r="I267" i="1" s="1"/>
  <c r="F267" i="1"/>
  <c r="E267" i="1"/>
  <c r="C267" i="1"/>
  <c r="B267" i="1"/>
  <c r="N267" i="1" s="1"/>
  <c r="AC266" i="1"/>
  <c r="AD266" i="1" s="1"/>
  <c r="AA266" i="1"/>
  <c r="W266" i="1"/>
  <c r="X266" i="1" s="1"/>
  <c r="U266" i="1"/>
  <c r="R266" i="1"/>
  <c r="O266" i="1"/>
  <c r="N266" i="1"/>
  <c r="L266" i="1"/>
  <c r="H266" i="1"/>
  <c r="I266" i="1" s="1"/>
  <c r="F266" i="1"/>
  <c r="C266" i="1"/>
  <c r="AD265" i="1"/>
  <c r="AC265" i="1"/>
  <c r="AA265" i="1"/>
  <c r="X265" i="1"/>
  <c r="W265" i="1"/>
  <c r="U265" i="1"/>
  <c r="R265" i="1"/>
  <c r="O265" i="1"/>
  <c r="N265" i="1"/>
  <c r="L265" i="1"/>
  <c r="H265" i="1"/>
  <c r="I265" i="1" s="1"/>
  <c r="F265" i="1"/>
  <c r="C265" i="1"/>
  <c r="AC263" i="1"/>
  <c r="AD263" i="1" s="1"/>
  <c r="AA263" i="1"/>
  <c r="Z263" i="1"/>
  <c r="T263" i="1"/>
  <c r="U263" i="1" s="1"/>
  <c r="R263" i="1"/>
  <c r="Q263" i="1"/>
  <c r="W263" i="1" s="1"/>
  <c r="X263" i="1" s="1"/>
  <c r="K263" i="1"/>
  <c r="L263" i="1" s="1"/>
  <c r="F263" i="1"/>
  <c r="E263" i="1"/>
  <c r="H263" i="1" s="1"/>
  <c r="I263" i="1" s="1"/>
  <c r="C263" i="1"/>
  <c r="B263" i="1"/>
  <c r="N263" i="1" s="1"/>
  <c r="O263" i="1" s="1"/>
  <c r="Z262" i="1"/>
  <c r="AA262" i="1" s="1"/>
  <c r="W262" i="1"/>
  <c r="X262" i="1" s="1"/>
  <c r="U262" i="1"/>
  <c r="T262" i="1"/>
  <c r="Q262" i="1"/>
  <c r="R262" i="1" s="1"/>
  <c r="L262" i="1"/>
  <c r="K262" i="1"/>
  <c r="E262" i="1"/>
  <c r="F262" i="1" s="1"/>
  <c r="B262" i="1"/>
  <c r="N262" i="1" s="1"/>
  <c r="O262" i="1" s="1"/>
  <c r="AD261" i="1"/>
  <c r="AC261" i="1"/>
  <c r="AA261" i="1"/>
  <c r="W261" i="1"/>
  <c r="U261" i="1"/>
  <c r="R261" i="1"/>
  <c r="N261" i="1"/>
  <c r="O261" i="1" s="1"/>
  <c r="L261" i="1"/>
  <c r="I261" i="1"/>
  <c r="H261" i="1"/>
  <c r="F261" i="1"/>
  <c r="C261" i="1"/>
  <c r="AC260" i="1"/>
  <c r="AD260" i="1" s="1"/>
  <c r="AA260" i="1"/>
  <c r="W260" i="1"/>
  <c r="X260" i="1" s="1"/>
  <c r="U260" i="1"/>
  <c r="R260" i="1"/>
  <c r="O260" i="1"/>
  <c r="N260" i="1"/>
  <c r="L260" i="1"/>
  <c r="H260" i="1"/>
  <c r="I260" i="1" s="1"/>
  <c r="F260" i="1"/>
  <c r="C260" i="1"/>
  <c r="AC259" i="1"/>
  <c r="AD259" i="1" s="1"/>
  <c r="AA259" i="1"/>
  <c r="W259" i="1"/>
  <c r="X259" i="1" s="1"/>
  <c r="U259" i="1"/>
  <c r="R259" i="1"/>
  <c r="O259" i="1"/>
  <c r="N259" i="1"/>
  <c r="L259" i="1"/>
  <c r="H259" i="1"/>
  <c r="I259" i="1" s="1"/>
  <c r="F259" i="1"/>
  <c r="C259" i="1"/>
  <c r="AD258" i="1"/>
  <c r="AC258" i="1"/>
  <c r="AA258" i="1"/>
  <c r="X258" i="1"/>
  <c r="W258" i="1"/>
  <c r="U258" i="1"/>
  <c r="R258" i="1"/>
  <c r="N258" i="1"/>
  <c r="O258" i="1" s="1"/>
  <c r="L258" i="1"/>
  <c r="H258" i="1"/>
  <c r="I258" i="1" s="1"/>
  <c r="F258" i="1"/>
  <c r="C258" i="1"/>
  <c r="AD257" i="1"/>
  <c r="AC257" i="1"/>
  <c r="AA257" i="1"/>
  <c r="W257" i="1"/>
  <c r="U257" i="1"/>
  <c r="R257" i="1"/>
  <c r="O257" i="1"/>
  <c r="N257" i="1"/>
  <c r="L257" i="1"/>
  <c r="I257" i="1"/>
  <c r="H257" i="1"/>
  <c r="F257" i="1"/>
  <c r="C257" i="1"/>
  <c r="AC256" i="1"/>
  <c r="AD256" i="1" s="1"/>
  <c r="AA256" i="1"/>
  <c r="W256" i="1"/>
  <c r="X256" i="1" s="1"/>
  <c r="U256" i="1"/>
  <c r="R256" i="1"/>
  <c r="O256" i="1"/>
  <c r="N256" i="1"/>
  <c r="L256" i="1"/>
  <c r="I256" i="1"/>
  <c r="H256" i="1"/>
  <c r="F256" i="1"/>
  <c r="C256" i="1"/>
  <c r="AC255" i="1"/>
  <c r="AD255" i="1" s="1"/>
  <c r="AA255" i="1"/>
  <c r="W255" i="1"/>
  <c r="X255" i="1" s="1"/>
  <c r="U255" i="1"/>
  <c r="R255" i="1"/>
  <c r="O255" i="1"/>
  <c r="N255" i="1"/>
  <c r="L255" i="1"/>
  <c r="H255" i="1"/>
  <c r="I255" i="1" s="1"/>
  <c r="F255" i="1"/>
  <c r="C255" i="1"/>
  <c r="AD254" i="1"/>
  <c r="AC254" i="1"/>
  <c r="AA254" i="1"/>
  <c r="X254" i="1"/>
  <c r="W254" i="1"/>
  <c r="U254" i="1"/>
  <c r="R254" i="1"/>
  <c r="O254" i="1"/>
  <c r="N254" i="1"/>
  <c r="L254" i="1"/>
  <c r="H254" i="1"/>
  <c r="I254" i="1" s="1"/>
  <c r="F254" i="1"/>
  <c r="C254" i="1"/>
  <c r="AC253" i="1"/>
  <c r="AD253" i="1" s="1"/>
  <c r="AA253" i="1"/>
  <c r="W253" i="1"/>
  <c r="U253" i="1"/>
  <c r="R253" i="1"/>
  <c r="N253" i="1"/>
  <c r="O253" i="1" s="1"/>
  <c r="L253" i="1"/>
  <c r="I253" i="1"/>
  <c r="H253" i="1"/>
  <c r="F253" i="1"/>
  <c r="C253" i="1"/>
  <c r="AC252" i="1"/>
  <c r="AD252" i="1" s="1"/>
  <c r="AA252" i="1"/>
  <c r="W252" i="1"/>
  <c r="X252" i="1" s="1"/>
  <c r="U252" i="1"/>
  <c r="R252" i="1"/>
  <c r="O252" i="1"/>
  <c r="N252" i="1"/>
  <c r="L252" i="1"/>
  <c r="H252" i="1"/>
  <c r="I252" i="1" s="1"/>
  <c r="F252" i="1"/>
  <c r="C252" i="1"/>
  <c r="AC251" i="1"/>
  <c r="AD251" i="1" s="1"/>
  <c r="AA251" i="1"/>
  <c r="W251" i="1"/>
  <c r="X251" i="1" s="1"/>
  <c r="U251" i="1"/>
  <c r="R251" i="1"/>
  <c r="O251" i="1"/>
  <c r="N251" i="1"/>
  <c r="L251" i="1"/>
  <c r="H251" i="1"/>
  <c r="I251" i="1" s="1"/>
  <c r="F251" i="1"/>
  <c r="C251" i="1"/>
  <c r="AD250" i="1"/>
  <c r="AC250" i="1"/>
  <c r="AA250" i="1"/>
  <c r="X250" i="1"/>
  <c r="W250" i="1"/>
  <c r="U250" i="1"/>
  <c r="R250" i="1"/>
  <c r="O250" i="1"/>
  <c r="N250" i="1"/>
  <c r="L250" i="1"/>
  <c r="H250" i="1"/>
  <c r="I250" i="1" s="1"/>
  <c r="F250" i="1"/>
  <c r="C250" i="1"/>
  <c r="AD249" i="1"/>
  <c r="AC249" i="1"/>
  <c r="AA249" i="1"/>
  <c r="W249" i="1"/>
  <c r="U249" i="1"/>
  <c r="R249" i="1"/>
  <c r="N249" i="1"/>
  <c r="O249" i="1" s="1"/>
  <c r="L249" i="1"/>
  <c r="I249" i="1"/>
  <c r="H249" i="1"/>
  <c r="F249" i="1"/>
  <c r="C249" i="1"/>
  <c r="AC248" i="1"/>
  <c r="AD248" i="1" s="1"/>
  <c r="AA248" i="1"/>
  <c r="X248" i="1"/>
  <c r="W248" i="1"/>
  <c r="U248" i="1"/>
  <c r="R248" i="1"/>
  <c r="O248" i="1"/>
  <c r="N248" i="1"/>
  <c r="L248" i="1"/>
  <c r="H248" i="1"/>
  <c r="I248" i="1" s="1"/>
  <c r="F248" i="1"/>
  <c r="C248" i="1"/>
  <c r="AC247" i="1"/>
  <c r="AD247" i="1" s="1"/>
  <c r="AA247" i="1"/>
  <c r="W247" i="1"/>
  <c r="X247" i="1" s="1"/>
  <c r="U247" i="1"/>
  <c r="R247" i="1"/>
  <c r="O247" i="1"/>
  <c r="N247" i="1"/>
  <c r="L247" i="1"/>
  <c r="H247" i="1"/>
  <c r="I247" i="1" s="1"/>
  <c r="F247" i="1"/>
  <c r="C247" i="1"/>
  <c r="AD246" i="1"/>
  <c r="AC246" i="1"/>
  <c r="AA246" i="1"/>
  <c r="X246" i="1"/>
  <c r="W246" i="1"/>
  <c r="U246" i="1"/>
  <c r="R246" i="1"/>
  <c r="O246" i="1"/>
  <c r="N246" i="1"/>
  <c r="L246" i="1"/>
  <c r="H246" i="1"/>
  <c r="I246" i="1" s="1"/>
  <c r="F246" i="1"/>
  <c r="C246" i="1"/>
  <c r="AC245" i="1"/>
  <c r="AD245" i="1" s="1"/>
  <c r="AA245" i="1"/>
  <c r="W245" i="1"/>
  <c r="U245" i="1"/>
  <c r="R245" i="1"/>
  <c r="N245" i="1"/>
  <c r="O245" i="1" s="1"/>
  <c r="L245" i="1"/>
  <c r="I245" i="1"/>
  <c r="H245" i="1"/>
  <c r="F245" i="1"/>
  <c r="C245" i="1"/>
  <c r="AC244" i="1"/>
  <c r="AD244" i="1" s="1"/>
  <c r="AA244" i="1"/>
  <c r="X244" i="1"/>
  <c r="W244" i="1"/>
  <c r="U244" i="1"/>
  <c r="R244" i="1"/>
  <c r="O244" i="1"/>
  <c r="N244" i="1"/>
  <c r="L244" i="1"/>
  <c r="H244" i="1"/>
  <c r="I244" i="1" s="1"/>
  <c r="F244" i="1"/>
  <c r="C244" i="1"/>
  <c r="AC243" i="1"/>
  <c r="AD243" i="1" s="1"/>
  <c r="AA243" i="1"/>
  <c r="X243" i="1"/>
  <c r="W243" i="1"/>
  <c r="U243" i="1"/>
  <c r="R243" i="1"/>
  <c r="O243" i="1"/>
  <c r="N243" i="1"/>
  <c r="L243" i="1"/>
  <c r="H243" i="1"/>
  <c r="I243" i="1" s="1"/>
  <c r="F243" i="1"/>
  <c r="C243" i="1"/>
  <c r="AD242" i="1"/>
  <c r="AC242" i="1"/>
  <c r="AA242" i="1"/>
  <c r="X242" i="1"/>
  <c r="W242" i="1"/>
  <c r="U242" i="1"/>
  <c r="R242" i="1"/>
  <c r="O242" i="1"/>
  <c r="N242" i="1"/>
  <c r="L242" i="1"/>
  <c r="H242" i="1"/>
  <c r="I242" i="1" s="1"/>
  <c r="F242" i="1"/>
  <c r="C242" i="1"/>
  <c r="AC241" i="1"/>
  <c r="AD241" i="1" s="1"/>
  <c r="AA241" i="1"/>
  <c r="W241" i="1"/>
  <c r="U241" i="1"/>
  <c r="R241" i="1"/>
  <c r="N241" i="1"/>
  <c r="O241" i="1" s="1"/>
  <c r="L241" i="1"/>
  <c r="I241" i="1"/>
  <c r="H241" i="1"/>
  <c r="F241" i="1"/>
  <c r="C241" i="1"/>
  <c r="AC240" i="1"/>
  <c r="AD240" i="1" s="1"/>
  <c r="AA240" i="1"/>
  <c r="W240" i="1"/>
  <c r="X240" i="1" s="1"/>
  <c r="U240" i="1"/>
  <c r="R240" i="1"/>
  <c r="O240" i="1"/>
  <c r="N240" i="1"/>
  <c r="L240" i="1"/>
  <c r="H240" i="1"/>
  <c r="I240" i="1" s="1"/>
  <c r="F240" i="1"/>
  <c r="C240" i="1"/>
  <c r="AC238" i="1"/>
  <c r="AD238" i="1" s="1"/>
  <c r="AA238" i="1"/>
  <c r="X238" i="1"/>
  <c r="W238" i="1"/>
  <c r="U238" i="1"/>
  <c r="R238" i="1"/>
  <c r="O238" i="1"/>
  <c r="N238" i="1"/>
  <c r="L238" i="1"/>
  <c r="H238" i="1"/>
  <c r="I238" i="1" s="1"/>
  <c r="F238" i="1"/>
  <c r="C238" i="1"/>
  <c r="Z236" i="1"/>
  <c r="AA236" i="1" s="1"/>
  <c r="U236" i="1"/>
  <c r="T236" i="1"/>
  <c r="W236" i="1" s="1"/>
  <c r="X236" i="1" s="1"/>
  <c r="R236" i="1"/>
  <c r="Q236" i="1"/>
  <c r="AC236" i="1" s="1"/>
  <c r="AD236" i="1" s="1"/>
  <c r="K236" i="1"/>
  <c r="L236" i="1" s="1"/>
  <c r="H236" i="1"/>
  <c r="I236" i="1" s="1"/>
  <c r="F236" i="1"/>
  <c r="E236" i="1"/>
  <c r="B236" i="1"/>
  <c r="C236" i="1" s="1"/>
  <c r="AC235" i="1"/>
  <c r="AD235" i="1" s="1"/>
  <c r="AA235" i="1"/>
  <c r="X235" i="1"/>
  <c r="W235" i="1"/>
  <c r="U235" i="1"/>
  <c r="R235" i="1"/>
  <c r="O235" i="1"/>
  <c r="N235" i="1"/>
  <c r="L235" i="1"/>
  <c r="I235" i="1"/>
  <c r="H235" i="1"/>
  <c r="F235" i="1"/>
  <c r="C235" i="1"/>
  <c r="AC234" i="1"/>
  <c r="AD234" i="1" s="1"/>
  <c r="AA234" i="1"/>
  <c r="X234" i="1"/>
  <c r="W234" i="1"/>
  <c r="U234" i="1"/>
  <c r="R234" i="1"/>
  <c r="O234" i="1"/>
  <c r="N234" i="1"/>
  <c r="L234" i="1"/>
  <c r="H234" i="1"/>
  <c r="I234" i="1" s="1"/>
  <c r="F234" i="1"/>
  <c r="C234" i="1"/>
  <c r="AD233" i="1"/>
  <c r="AC233" i="1"/>
  <c r="AA233" i="1"/>
  <c r="X233" i="1"/>
  <c r="W233" i="1"/>
  <c r="U233" i="1"/>
  <c r="R233" i="1"/>
  <c r="N233" i="1"/>
  <c r="O233" i="1" s="1"/>
  <c r="L233" i="1"/>
  <c r="H233" i="1"/>
  <c r="I233" i="1" s="1"/>
  <c r="F233" i="1"/>
  <c r="C233" i="1"/>
  <c r="AD232" i="1"/>
  <c r="AC232" i="1"/>
  <c r="AA232" i="1"/>
  <c r="W232" i="1"/>
  <c r="U232" i="1"/>
  <c r="R232" i="1"/>
  <c r="N232" i="1"/>
  <c r="O232" i="1" s="1"/>
  <c r="L232" i="1"/>
  <c r="I232" i="1"/>
  <c r="H232" i="1"/>
  <c r="F232" i="1"/>
  <c r="C232" i="1"/>
  <c r="AC231" i="1"/>
  <c r="AD231" i="1" s="1"/>
  <c r="AA231" i="1"/>
  <c r="W231" i="1"/>
  <c r="X231" i="1" s="1"/>
  <c r="U231" i="1"/>
  <c r="R231" i="1"/>
  <c r="O231" i="1"/>
  <c r="N231" i="1"/>
  <c r="L231" i="1"/>
  <c r="H231" i="1"/>
  <c r="I231" i="1" s="1"/>
  <c r="F231" i="1"/>
  <c r="C231" i="1"/>
  <c r="AC230" i="1"/>
  <c r="AD230" i="1" s="1"/>
  <c r="AA230" i="1"/>
  <c r="X230" i="1"/>
  <c r="W230" i="1"/>
  <c r="U230" i="1"/>
  <c r="R230" i="1"/>
  <c r="O230" i="1"/>
  <c r="N230" i="1"/>
  <c r="L230" i="1"/>
  <c r="H230" i="1"/>
  <c r="I230" i="1" s="1"/>
  <c r="F230" i="1"/>
  <c r="C230" i="1"/>
  <c r="AD229" i="1"/>
  <c r="AC229" i="1"/>
  <c r="AA229" i="1"/>
  <c r="X229" i="1"/>
  <c r="W229" i="1"/>
  <c r="U229" i="1"/>
  <c r="R229" i="1"/>
  <c r="N229" i="1"/>
  <c r="O229" i="1" s="1"/>
  <c r="L229" i="1"/>
  <c r="H229" i="1"/>
  <c r="I229" i="1" s="1"/>
  <c r="F229" i="1"/>
  <c r="C229" i="1"/>
  <c r="AA227" i="1"/>
  <c r="Z227" i="1"/>
  <c r="T227" i="1"/>
  <c r="U227" i="1" s="1"/>
  <c r="R227" i="1"/>
  <c r="Q227" i="1"/>
  <c r="W227" i="1" s="1"/>
  <c r="X227" i="1" s="1"/>
  <c r="K227" i="1"/>
  <c r="L227" i="1" s="1"/>
  <c r="E227" i="1"/>
  <c r="H227" i="1" s="1"/>
  <c r="I227" i="1" s="1"/>
  <c r="C227" i="1"/>
  <c r="B227" i="1"/>
  <c r="N227" i="1" s="1"/>
  <c r="O227" i="1" s="1"/>
  <c r="AC226" i="1"/>
  <c r="AD226" i="1" s="1"/>
  <c r="AA226" i="1"/>
  <c r="X226" i="1"/>
  <c r="W226" i="1"/>
  <c r="U226" i="1"/>
  <c r="R226" i="1"/>
  <c r="O226" i="1"/>
  <c r="N226" i="1"/>
  <c r="L226" i="1"/>
  <c r="H226" i="1"/>
  <c r="I226" i="1" s="1"/>
  <c r="F226" i="1"/>
  <c r="C226" i="1"/>
  <c r="AD225" i="1"/>
  <c r="AC225" i="1"/>
  <c r="AA225" i="1"/>
  <c r="X225" i="1"/>
  <c r="W225" i="1"/>
  <c r="U225" i="1"/>
  <c r="R225" i="1"/>
  <c r="O225" i="1"/>
  <c r="N225" i="1"/>
  <c r="L225" i="1"/>
  <c r="H225" i="1"/>
  <c r="I225" i="1" s="1"/>
  <c r="F225" i="1"/>
  <c r="C225" i="1"/>
  <c r="AC224" i="1"/>
  <c r="AD224" i="1" s="1"/>
  <c r="AA224" i="1"/>
  <c r="X224" i="1"/>
  <c r="W224" i="1"/>
  <c r="U224" i="1"/>
  <c r="R224" i="1"/>
  <c r="O224" i="1"/>
  <c r="N224" i="1"/>
  <c r="L224" i="1"/>
  <c r="I224" i="1"/>
  <c r="H224" i="1"/>
  <c r="F224" i="1"/>
  <c r="C224" i="1"/>
  <c r="AC223" i="1"/>
  <c r="AD223" i="1" s="1"/>
  <c r="AA223" i="1"/>
  <c r="W223" i="1"/>
  <c r="X223" i="1" s="1"/>
  <c r="U223" i="1"/>
  <c r="R223" i="1"/>
  <c r="O223" i="1"/>
  <c r="N223" i="1"/>
  <c r="L223" i="1"/>
  <c r="I223" i="1"/>
  <c r="H223" i="1"/>
  <c r="F223" i="1"/>
  <c r="C223" i="1"/>
  <c r="AC222" i="1"/>
  <c r="AD222" i="1" s="1"/>
  <c r="AA222" i="1"/>
  <c r="W222" i="1"/>
  <c r="X222" i="1" s="1"/>
  <c r="U222" i="1"/>
  <c r="R222" i="1"/>
  <c r="O222" i="1"/>
  <c r="N222" i="1"/>
  <c r="L222" i="1"/>
  <c r="H222" i="1"/>
  <c r="I222" i="1" s="1"/>
  <c r="F222" i="1"/>
  <c r="C222" i="1"/>
  <c r="AD221" i="1"/>
  <c r="AC221" i="1"/>
  <c r="AA221" i="1"/>
  <c r="X221" i="1"/>
  <c r="W221" i="1"/>
  <c r="U221" i="1"/>
  <c r="R221" i="1"/>
  <c r="N221" i="1"/>
  <c r="O221" i="1" s="1"/>
  <c r="L221" i="1"/>
  <c r="H221" i="1"/>
  <c r="I221" i="1" s="1"/>
  <c r="F221" i="1"/>
  <c r="C221" i="1"/>
  <c r="AC220" i="1"/>
  <c r="AD220" i="1" s="1"/>
  <c r="AA220" i="1"/>
  <c r="X220" i="1"/>
  <c r="W220" i="1"/>
  <c r="U220" i="1"/>
  <c r="R220" i="1"/>
  <c r="N220" i="1"/>
  <c r="O220" i="1" s="1"/>
  <c r="L220" i="1"/>
  <c r="I220" i="1"/>
  <c r="H220" i="1"/>
  <c r="F220" i="1"/>
  <c r="C220" i="1"/>
  <c r="AC219" i="1"/>
  <c r="AD219" i="1" s="1"/>
  <c r="AA219" i="1"/>
  <c r="W219" i="1"/>
  <c r="X219" i="1" s="1"/>
  <c r="U219" i="1"/>
  <c r="R219" i="1"/>
  <c r="O219" i="1"/>
  <c r="N219" i="1"/>
  <c r="L219" i="1"/>
  <c r="H219" i="1"/>
  <c r="I219" i="1" s="1"/>
  <c r="F219" i="1"/>
  <c r="C219" i="1"/>
  <c r="Z218" i="1"/>
  <c r="AA218" i="1" s="1"/>
  <c r="W218" i="1"/>
  <c r="X218" i="1" s="1"/>
  <c r="U218" i="1"/>
  <c r="T218" i="1"/>
  <c r="Q218" i="1"/>
  <c r="R218" i="1" s="1"/>
  <c r="K218" i="1"/>
  <c r="N218" i="1" s="1"/>
  <c r="O218" i="1" s="1"/>
  <c r="E218" i="1"/>
  <c r="F218" i="1" s="1"/>
  <c r="B218" i="1"/>
  <c r="AC217" i="1"/>
  <c r="AD217" i="1" s="1"/>
  <c r="AA217" i="1"/>
  <c r="W217" i="1"/>
  <c r="X217" i="1" s="1"/>
  <c r="U217" i="1"/>
  <c r="R217" i="1"/>
  <c r="O217" i="1"/>
  <c r="N217" i="1"/>
  <c r="L217" i="1"/>
  <c r="I217" i="1"/>
  <c r="H217" i="1"/>
  <c r="F217" i="1"/>
  <c r="C217" i="1"/>
  <c r="AC216" i="1"/>
  <c r="AD216" i="1" s="1"/>
  <c r="AA216" i="1"/>
  <c r="X216" i="1"/>
  <c r="W216" i="1"/>
  <c r="U216" i="1"/>
  <c r="R216" i="1"/>
  <c r="O216" i="1"/>
  <c r="N216" i="1"/>
  <c r="L216" i="1"/>
  <c r="I216" i="1"/>
  <c r="H216" i="1"/>
  <c r="F216" i="1"/>
  <c r="C216" i="1"/>
  <c r="AC215" i="1"/>
  <c r="AD215" i="1" s="1"/>
  <c r="AA215" i="1"/>
  <c r="X215" i="1"/>
  <c r="W215" i="1"/>
  <c r="U215" i="1"/>
  <c r="R215" i="1"/>
  <c r="N215" i="1"/>
  <c r="O215" i="1" s="1"/>
  <c r="L215" i="1"/>
  <c r="H215" i="1"/>
  <c r="I215" i="1" s="1"/>
  <c r="F215" i="1"/>
  <c r="C215" i="1"/>
  <c r="AD214" i="1"/>
  <c r="AC214" i="1"/>
  <c r="AA214" i="1"/>
  <c r="X214" i="1"/>
  <c r="W214" i="1"/>
  <c r="U214" i="1"/>
  <c r="R214" i="1"/>
  <c r="O214" i="1"/>
  <c r="N214" i="1"/>
  <c r="L214" i="1"/>
  <c r="H214" i="1"/>
  <c r="I214" i="1" s="1"/>
  <c r="F214" i="1"/>
  <c r="C214" i="1"/>
  <c r="AD213" i="1"/>
  <c r="AC213" i="1"/>
  <c r="AA213" i="1"/>
  <c r="W213" i="1"/>
  <c r="X213" i="1" s="1"/>
  <c r="U213" i="1"/>
  <c r="R213" i="1"/>
  <c r="N213" i="1"/>
  <c r="O213" i="1" s="1"/>
  <c r="L213" i="1"/>
  <c r="I213" i="1"/>
  <c r="H213" i="1"/>
  <c r="F213" i="1"/>
  <c r="C213" i="1"/>
  <c r="AC211" i="1"/>
  <c r="AD211" i="1" s="1"/>
  <c r="AA211" i="1"/>
  <c r="W211" i="1"/>
  <c r="X211" i="1" s="1"/>
  <c r="U211" i="1"/>
  <c r="R211" i="1"/>
  <c r="O211" i="1"/>
  <c r="N211" i="1"/>
  <c r="L211" i="1"/>
  <c r="H211" i="1"/>
  <c r="I211" i="1" s="1"/>
  <c r="F211" i="1"/>
  <c r="C211" i="1"/>
  <c r="Z209" i="1"/>
  <c r="AA209" i="1" s="1"/>
  <c r="W209" i="1"/>
  <c r="X209" i="1" s="1"/>
  <c r="U209" i="1"/>
  <c r="T209" i="1"/>
  <c r="Q209" i="1"/>
  <c r="R209" i="1" s="1"/>
  <c r="K209" i="1"/>
  <c r="N209" i="1" s="1"/>
  <c r="O209" i="1" s="1"/>
  <c r="E209" i="1"/>
  <c r="F209" i="1" s="1"/>
  <c r="B209" i="1"/>
  <c r="AC208" i="1"/>
  <c r="AD208" i="1" s="1"/>
  <c r="AA208" i="1"/>
  <c r="W208" i="1"/>
  <c r="X208" i="1" s="1"/>
  <c r="U208" i="1"/>
  <c r="R208" i="1"/>
  <c r="O208" i="1"/>
  <c r="N208" i="1"/>
  <c r="L208" i="1"/>
  <c r="I208" i="1"/>
  <c r="H208" i="1"/>
  <c r="F208" i="1"/>
  <c r="C208" i="1"/>
  <c r="AC207" i="1"/>
  <c r="AD207" i="1" s="1"/>
  <c r="AA207" i="1"/>
  <c r="X207" i="1"/>
  <c r="W207" i="1"/>
  <c r="U207" i="1"/>
  <c r="R207" i="1"/>
  <c r="O207" i="1"/>
  <c r="N207" i="1"/>
  <c r="L207" i="1"/>
  <c r="I207" i="1"/>
  <c r="H207" i="1"/>
  <c r="F207" i="1"/>
  <c r="C207" i="1"/>
  <c r="AC206" i="1"/>
  <c r="AD206" i="1" s="1"/>
  <c r="AA206" i="1"/>
  <c r="X206" i="1"/>
  <c r="W206" i="1"/>
  <c r="U206" i="1"/>
  <c r="R206" i="1"/>
  <c r="N206" i="1"/>
  <c r="O206" i="1" s="1"/>
  <c r="L206" i="1"/>
  <c r="H206" i="1"/>
  <c r="I206" i="1" s="1"/>
  <c r="F206" i="1"/>
  <c r="C206" i="1"/>
  <c r="AD205" i="1"/>
  <c r="AC205" i="1"/>
  <c r="AA205" i="1"/>
  <c r="X205" i="1"/>
  <c r="W205" i="1"/>
  <c r="U205" i="1"/>
  <c r="R205" i="1"/>
  <c r="O205" i="1"/>
  <c r="N205" i="1"/>
  <c r="L205" i="1"/>
  <c r="H205" i="1"/>
  <c r="I205" i="1" s="1"/>
  <c r="F205" i="1"/>
  <c r="C205" i="1"/>
  <c r="AD204" i="1"/>
  <c r="AC204" i="1"/>
  <c r="AA204" i="1"/>
  <c r="X204" i="1"/>
  <c r="W204" i="1"/>
  <c r="U204" i="1"/>
  <c r="R204" i="1"/>
  <c r="N204" i="1"/>
  <c r="O204" i="1" s="1"/>
  <c r="L204" i="1"/>
  <c r="I204" i="1"/>
  <c r="H204" i="1"/>
  <c r="F204" i="1"/>
  <c r="C204" i="1"/>
  <c r="AC203" i="1"/>
  <c r="AD203" i="1" s="1"/>
  <c r="AA203" i="1"/>
  <c r="X203" i="1"/>
  <c r="W203" i="1"/>
  <c r="U203" i="1"/>
  <c r="R203" i="1"/>
  <c r="O203" i="1"/>
  <c r="N203" i="1"/>
  <c r="L203" i="1"/>
  <c r="H203" i="1"/>
  <c r="I203" i="1" s="1"/>
  <c r="F203" i="1"/>
  <c r="C203" i="1"/>
  <c r="AC202" i="1"/>
  <c r="AD202" i="1" s="1"/>
  <c r="AA202" i="1"/>
  <c r="X202" i="1"/>
  <c r="W202" i="1"/>
  <c r="U202" i="1"/>
  <c r="R202" i="1"/>
  <c r="O202" i="1"/>
  <c r="N202" i="1"/>
  <c r="L202" i="1"/>
  <c r="H202" i="1"/>
  <c r="I202" i="1" s="1"/>
  <c r="F202" i="1"/>
  <c r="C202" i="1"/>
  <c r="AD201" i="1"/>
  <c r="AC201" i="1"/>
  <c r="AA201" i="1"/>
  <c r="X201" i="1"/>
  <c r="W201" i="1"/>
  <c r="U201" i="1"/>
  <c r="R201" i="1"/>
  <c r="N201" i="1"/>
  <c r="O201" i="1" s="1"/>
  <c r="L201" i="1"/>
  <c r="H201" i="1"/>
  <c r="I201" i="1" s="1"/>
  <c r="F201" i="1"/>
  <c r="C201" i="1"/>
  <c r="Z197" i="1"/>
  <c r="AA197" i="1" s="1"/>
  <c r="W197" i="1"/>
  <c r="X197" i="1" s="1"/>
  <c r="U197" i="1"/>
  <c r="T197" i="1"/>
  <c r="Q197" i="1"/>
  <c r="R197" i="1" s="1"/>
  <c r="K197" i="1"/>
  <c r="L197" i="1" s="1"/>
  <c r="E197" i="1"/>
  <c r="F197" i="1" s="1"/>
  <c r="B197" i="1"/>
  <c r="AA196" i="1"/>
  <c r="Z196" i="1"/>
  <c r="T196" i="1"/>
  <c r="U196" i="1" s="1"/>
  <c r="Q196" i="1"/>
  <c r="O196" i="1"/>
  <c r="K196" i="1"/>
  <c r="L196" i="1" s="1"/>
  <c r="H196" i="1"/>
  <c r="I196" i="1" s="1"/>
  <c r="F196" i="1"/>
  <c r="E196" i="1"/>
  <c r="C196" i="1"/>
  <c r="B196" i="1"/>
  <c r="N196" i="1" s="1"/>
  <c r="AC195" i="1"/>
  <c r="AD195" i="1" s="1"/>
  <c r="AA195" i="1"/>
  <c r="W195" i="1"/>
  <c r="X195" i="1" s="1"/>
  <c r="U195" i="1"/>
  <c r="R195" i="1"/>
  <c r="O195" i="1"/>
  <c r="N195" i="1"/>
  <c r="L195" i="1"/>
  <c r="H195" i="1"/>
  <c r="I195" i="1" s="1"/>
  <c r="F195" i="1"/>
  <c r="C195" i="1"/>
  <c r="AD194" i="1"/>
  <c r="AC194" i="1"/>
  <c r="AA194" i="1"/>
  <c r="X194" i="1"/>
  <c r="W194" i="1"/>
  <c r="U194" i="1"/>
  <c r="R194" i="1"/>
  <c r="O194" i="1"/>
  <c r="N194" i="1"/>
  <c r="L194" i="1"/>
  <c r="H194" i="1"/>
  <c r="I194" i="1" s="1"/>
  <c r="F194" i="1"/>
  <c r="C194" i="1"/>
  <c r="AA193" i="1"/>
  <c r="Z193" i="1"/>
  <c r="T193" i="1"/>
  <c r="U193" i="1" s="1"/>
  <c r="R193" i="1"/>
  <c r="Q193" i="1"/>
  <c r="W193" i="1" s="1"/>
  <c r="X193" i="1" s="1"/>
  <c r="K193" i="1"/>
  <c r="L193" i="1" s="1"/>
  <c r="F193" i="1"/>
  <c r="E193" i="1"/>
  <c r="H193" i="1" s="1"/>
  <c r="I193" i="1" s="1"/>
  <c r="C193" i="1"/>
  <c r="B193" i="1"/>
  <c r="N193" i="1" s="1"/>
  <c r="O193" i="1" s="1"/>
  <c r="AC192" i="1"/>
  <c r="AD192" i="1" s="1"/>
  <c r="AA192" i="1"/>
  <c r="X192" i="1"/>
  <c r="W192" i="1"/>
  <c r="U192" i="1"/>
  <c r="R192" i="1"/>
  <c r="O192" i="1"/>
  <c r="N192" i="1"/>
  <c r="L192" i="1"/>
  <c r="H192" i="1"/>
  <c r="I192" i="1" s="1"/>
  <c r="F192" i="1"/>
  <c r="C192" i="1"/>
  <c r="AD191" i="1"/>
  <c r="AC191" i="1"/>
  <c r="AA191" i="1"/>
  <c r="X191" i="1"/>
  <c r="W191" i="1"/>
  <c r="U191" i="1"/>
  <c r="R191" i="1"/>
  <c r="N191" i="1"/>
  <c r="O191" i="1" s="1"/>
  <c r="L191" i="1"/>
  <c r="H191" i="1"/>
  <c r="I191" i="1" s="1"/>
  <c r="F191" i="1"/>
  <c r="C191" i="1"/>
  <c r="AC190" i="1"/>
  <c r="AD190" i="1" s="1"/>
  <c r="AA190" i="1"/>
  <c r="X190" i="1"/>
  <c r="W190" i="1"/>
  <c r="U190" i="1"/>
  <c r="R190" i="1"/>
  <c r="N190" i="1"/>
  <c r="O190" i="1" s="1"/>
  <c r="L190" i="1"/>
  <c r="I190" i="1"/>
  <c r="H190" i="1"/>
  <c r="F190" i="1"/>
  <c r="C190" i="1"/>
  <c r="AC189" i="1"/>
  <c r="AD189" i="1" s="1"/>
  <c r="AA189" i="1"/>
  <c r="W189" i="1"/>
  <c r="X189" i="1" s="1"/>
  <c r="U189" i="1"/>
  <c r="R189" i="1"/>
  <c r="O189" i="1"/>
  <c r="N189" i="1"/>
  <c r="L189" i="1"/>
  <c r="H189" i="1"/>
  <c r="I189" i="1" s="1"/>
  <c r="F189" i="1"/>
  <c r="C189" i="1"/>
  <c r="AC188" i="1"/>
  <c r="AD188" i="1" s="1"/>
  <c r="AA188" i="1"/>
  <c r="W188" i="1"/>
  <c r="X188" i="1" s="1"/>
  <c r="U188" i="1"/>
  <c r="R188" i="1"/>
  <c r="O188" i="1"/>
  <c r="N188" i="1"/>
  <c r="L188" i="1"/>
  <c r="H188" i="1"/>
  <c r="I188" i="1" s="1"/>
  <c r="F188" i="1"/>
  <c r="C188" i="1"/>
  <c r="AD187" i="1"/>
  <c r="AC187" i="1"/>
  <c r="AA187" i="1"/>
  <c r="X187" i="1"/>
  <c r="W187" i="1"/>
  <c r="U187" i="1"/>
  <c r="R187" i="1"/>
  <c r="O187" i="1"/>
  <c r="N187" i="1"/>
  <c r="L187" i="1"/>
  <c r="H187" i="1"/>
  <c r="I187" i="1" s="1"/>
  <c r="F187" i="1"/>
  <c r="C187" i="1"/>
  <c r="AD186" i="1"/>
  <c r="AC186" i="1"/>
  <c r="AA186" i="1"/>
  <c r="X186" i="1"/>
  <c r="W186" i="1"/>
  <c r="U186" i="1"/>
  <c r="R186" i="1"/>
  <c r="O186" i="1"/>
  <c r="N186" i="1"/>
  <c r="L186" i="1"/>
  <c r="I186" i="1"/>
  <c r="H186" i="1"/>
  <c r="F186" i="1"/>
  <c r="C186" i="1"/>
  <c r="AC184" i="1"/>
  <c r="AD184" i="1" s="1"/>
  <c r="AA184" i="1"/>
  <c r="X184" i="1"/>
  <c r="W184" i="1"/>
  <c r="U184" i="1"/>
  <c r="R184" i="1"/>
  <c r="O184" i="1"/>
  <c r="N184" i="1"/>
  <c r="L184" i="1"/>
  <c r="I184" i="1"/>
  <c r="H184" i="1"/>
  <c r="F184" i="1"/>
  <c r="C184" i="1"/>
  <c r="AC183" i="1"/>
  <c r="AD183" i="1" s="1"/>
  <c r="AA183" i="1"/>
  <c r="X183" i="1"/>
  <c r="W183" i="1"/>
  <c r="U183" i="1"/>
  <c r="R183" i="1"/>
  <c r="N183" i="1"/>
  <c r="O183" i="1" s="1"/>
  <c r="L183" i="1"/>
  <c r="H183" i="1"/>
  <c r="I183" i="1" s="1"/>
  <c r="F183" i="1"/>
  <c r="C183" i="1"/>
  <c r="Z182" i="1"/>
  <c r="AA182" i="1" s="1"/>
  <c r="T182" i="1"/>
  <c r="W182" i="1" s="1"/>
  <c r="X182" i="1" s="1"/>
  <c r="R182" i="1"/>
  <c r="Q182" i="1"/>
  <c r="AC182" i="1" s="1"/>
  <c r="AD182" i="1" s="1"/>
  <c r="K182" i="1"/>
  <c r="L182" i="1" s="1"/>
  <c r="H182" i="1"/>
  <c r="I182" i="1" s="1"/>
  <c r="F182" i="1"/>
  <c r="E182" i="1"/>
  <c r="B182" i="1"/>
  <c r="C182" i="1" s="1"/>
  <c r="AC181" i="1"/>
  <c r="AD181" i="1" s="1"/>
  <c r="AA181" i="1"/>
  <c r="X181" i="1"/>
  <c r="W181" i="1"/>
  <c r="U181" i="1"/>
  <c r="R181" i="1"/>
  <c r="O181" i="1"/>
  <c r="N181" i="1"/>
  <c r="L181" i="1"/>
  <c r="H181" i="1"/>
  <c r="I181" i="1" s="1"/>
  <c r="F181" i="1"/>
  <c r="C181" i="1"/>
  <c r="AC180" i="1"/>
  <c r="AD180" i="1" s="1"/>
  <c r="AA180" i="1"/>
  <c r="W180" i="1"/>
  <c r="X180" i="1" s="1"/>
  <c r="U180" i="1"/>
  <c r="R180" i="1"/>
  <c r="N180" i="1"/>
  <c r="O180" i="1" s="1"/>
  <c r="L180" i="1"/>
  <c r="H180" i="1"/>
  <c r="I180" i="1" s="1"/>
  <c r="F180" i="1"/>
  <c r="C180" i="1"/>
  <c r="AD179" i="1"/>
  <c r="AC179" i="1"/>
  <c r="AA179" i="1"/>
  <c r="X179" i="1"/>
  <c r="W179" i="1"/>
  <c r="U179" i="1"/>
  <c r="R179" i="1"/>
  <c r="N179" i="1"/>
  <c r="O179" i="1" s="1"/>
  <c r="L179" i="1"/>
  <c r="H179" i="1"/>
  <c r="I179" i="1" s="1"/>
  <c r="F179" i="1"/>
  <c r="C179" i="1"/>
  <c r="AD178" i="1"/>
  <c r="AC178" i="1"/>
  <c r="AA178" i="1"/>
  <c r="W178" i="1"/>
  <c r="X178" i="1" s="1"/>
  <c r="U178" i="1"/>
  <c r="R178" i="1"/>
  <c r="N178" i="1"/>
  <c r="O178" i="1" s="1"/>
  <c r="L178" i="1"/>
  <c r="I178" i="1"/>
  <c r="H178" i="1"/>
  <c r="F178" i="1"/>
  <c r="C178" i="1"/>
  <c r="AC177" i="1"/>
  <c r="AD177" i="1" s="1"/>
  <c r="AA177" i="1"/>
  <c r="X177" i="1"/>
  <c r="W177" i="1"/>
  <c r="U177" i="1"/>
  <c r="R177" i="1"/>
  <c r="O177" i="1"/>
  <c r="N177" i="1"/>
  <c r="L177" i="1"/>
  <c r="H177" i="1"/>
  <c r="I177" i="1" s="1"/>
  <c r="F177" i="1"/>
  <c r="C177" i="1"/>
  <c r="AC175" i="1"/>
  <c r="AD175" i="1" s="1"/>
  <c r="AA175" i="1"/>
  <c r="W175" i="1"/>
  <c r="X175" i="1" s="1"/>
  <c r="U175" i="1"/>
  <c r="R175" i="1"/>
  <c r="N175" i="1"/>
  <c r="O175" i="1" s="1"/>
  <c r="L175" i="1"/>
  <c r="H175" i="1"/>
  <c r="I175" i="1" s="1"/>
  <c r="F175" i="1"/>
  <c r="C175" i="1"/>
  <c r="K172" i="1"/>
  <c r="AA171" i="1"/>
  <c r="Z171" i="1"/>
  <c r="Z172" i="1" s="1"/>
  <c r="T171" i="1"/>
  <c r="U171" i="1" s="1"/>
  <c r="Q171" i="1"/>
  <c r="AC171" i="1" s="1"/>
  <c r="AD171" i="1" s="1"/>
  <c r="L171" i="1"/>
  <c r="K171" i="1"/>
  <c r="E171" i="1"/>
  <c r="F171" i="1" s="1"/>
  <c r="B171" i="1"/>
  <c r="N171" i="1" s="1"/>
  <c r="O171" i="1" s="1"/>
  <c r="AD170" i="1"/>
  <c r="Z170" i="1"/>
  <c r="AA170" i="1" s="1"/>
  <c r="W170" i="1"/>
  <c r="X170" i="1" s="1"/>
  <c r="T170" i="1"/>
  <c r="U170" i="1" s="1"/>
  <c r="R170" i="1"/>
  <c r="Q170" i="1"/>
  <c r="AC170" i="1" s="1"/>
  <c r="K170" i="1"/>
  <c r="L170" i="1" s="1"/>
  <c r="I170" i="1"/>
  <c r="H170" i="1"/>
  <c r="F170" i="1"/>
  <c r="E170" i="1"/>
  <c r="B170" i="1"/>
  <c r="C170" i="1" s="1"/>
  <c r="AC169" i="1"/>
  <c r="AD169" i="1" s="1"/>
  <c r="AA169" i="1"/>
  <c r="X169" i="1"/>
  <c r="W169" i="1"/>
  <c r="U169" i="1"/>
  <c r="R169" i="1"/>
  <c r="O169" i="1"/>
  <c r="N169" i="1"/>
  <c r="L169" i="1"/>
  <c r="H169" i="1"/>
  <c r="I169" i="1" s="1"/>
  <c r="F169" i="1"/>
  <c r="C169" i="1"/>
  <c r="AC168" i="1"/>
  <c r="AD168" i="1" s="1"/>
  <c r="AA168" i="1"/>
  <c r="W168" i="1"/>
  <c r="X168" i="1" s="1"/>
  <c r="U168" i="1"/>
  <c r="R168" i="1"/>
  <c r="O168" i="1"/>
  <c r="N168" i="1"/>
  <c r="L168" i="1"/>
  <c r="H168" i="1"/>
  <c r="I168" i="1" s="1"/>
  <c r="F168" i="1"/>
  <c r="C168" i="1"/>
  <c r="AD167" i="1"/>
  <c r="AC167" i="1"/>
  <c r="AA167" i="1"/>
  <c r="X167" i="1"/>
  <c r="W167" i="1"/>
  <c r="U167" i="1"/>
  <c r="R167" i="1"/>
  <c r="O167" i="1"/>
  <c r="N167" i="1"/>
  <c r="L167" i="1"/>
  <c r="H167" i="1"/>
  <c r="I167" i="1" s="1"/>
  <c r="F167" i="1"/>
  <c r="C167" i="1"/>
  <c r="AA166" i="1"/>
  <c r="Z166" i="1"/>
  <c r="T166" i="1"/>
  <c r="U166" i="1" s="1"/>
  <c r="R166" i="1"/>
  <c r="Q166" i="1"/>
  <c r="K166" i="1"/>
  <c r="L166" i="1" s="1"/>
  <c r="H166" i="1"/>
  <c r="I166" i="1" s="1"/>
  <c r="F166" i="1"/>
  <c r="E166" i="1"/>
  <c r="C166" i="1"/>
  <c r="B166" i="1"/>
  <c r="N166" i="1" s="1"/>
  <c r="O166" i="1" s="1"/>
  <c r="AC165" i="1"/>
  <c r="AD165" i="1" s="1"/>
  <c r="AA165" i="1"/>
  <c r="W165" i="1"/>
  <c r="X165" i="1" s="1"/>
  <c r="U165" i="1"/>
  <c r="R165" i="1"/>
  <c r="O165" i="1"/>
  <c r="N165" i="1"/>
  <c r="L165" i="1"/>
  <c r="H165" i="1"/>
  <c r="I165" i="1" s="1"/>
  <c r="F165" i="1"/>
  <c r="C165" i="1"/>
  <c r="AD164" i="1"/>
  <c r="AC164" i="1"/>
  <c r="AA164" i="1"/>
  <c r="X164" i="1"/>
  <c r="W164" i="1"/>
  <c r="U164" i="1"/>
  <c r="R164" i="1"/>
  <c r="O164" i="1"/>
  <c r="N164" i="1"/>
  <c r="L164" i="1"/>
  <c r="H164" i="1"/>
  <c r="I164" i="1" s="1"/>
  <c r="F164" i="1"/>
  <c r="C164" i="1"/>
  <c r="AD163" i="1"/>
  <c r="AC163" i="1"/>
  <c r="AA163" i="1"/>
  <c r="X163" i="1"/>
  <c r="W163" i="1"/>
  <c r="U163" i="1"/>
  <c r="R163" i="1"/>
  <c r="N163" i="1"/>
  <c r="O163" i="1" s="1"/>
  <c r="L163" i="1"/>
  <c r="I163" i="1"/>
  <c r="H163" i="1"/>
  <c r="F163" i="1"/>
  <c r="C163" i="1"/>
  <c r="AC162" i="1"/>
  <c r="AD162" i="1" s="1"/>
  <c r="AA162" i="1"/>
  <c r="X162" i="1"/>
  <c r="W162" i="1"/>
  <c r="U162" i="1"/>
  <c r="R162" i="1"/>
  <c r="O162" i="1"/>
  <c r="N162" i="1"/>
  <c r="L162" i="1"/>
  <c r="H162" i="1"/>
  <c r="I162" i="1" s="1"/>
  <c r="F162" i="1"/>
  <c r="C162" i="1"/>
  <c r="AC161" i="1"/>
  <c r="AD161" i="1" s="1"/>
  <c r="AA161" i="1"/>
  <c r="X161" i="1"/>
  <c r="W161" i="1"/>
  <c r="U161" i="1"/>
  <c r="R161" i="1"/>
  <c r="O161" i="1"/>
  <c r="N161" i="1"/>
  <c r="L161" i="1"/>
  <c r="H161" i="1"/>
  <c r="I161" i="1" s="1"/>
  <c r="F161" i="1"/>
  <c r="C161" i="1"/>
  <c r="AD160" i="1"/>
  <c r="AC160" i="1"/>
  <c r="AA160" i="1"/>
  <c r="X160" i="1"/>
  <c r="W160" i="1"/>
  <c r="U160" i="1"/>
  <c r="R160" i="1"/>
  <c r="O160" i="1"/>
  <c r="N160" i="1"/>
  <c r="L160" i="1"/>
  <c r="H160" i="1"/>
  <c r="I160" i="1" s="1"/>
  <c r="F160" i="1"/>
  <c r="C160" i="1"/>
  <c r="AC158" i="1"/>
  <c r="AD158" i="1" s="1"/>
  <c r="AA158" i="1"/>
  <c r="Z158" i="1"/>
  <c r="T158" i="1"/>
  <c r="U158" i="1" s="1"/>
  <c r="Q158" i="1"/>
  <c r="R158" i="1" s="1"/>
  <c r="O158" i="1"/>
  <c r="K158" i="1"/>
  <c r="L158" i="1" s="1"/>
  <c r="H158" i="1"/>
  <c r="I158" i="1" s="1"/>
  <c r="F158" i="1"/>
  <c r="E158" i="1"/>
  <c r="C158" i="1"/>
  <c r="B158" i="1"/>
  <c r="N158" i="1" s="1"/>
  <c r="AC157" i="1"/>
  <c r="AD157" i="1" s="1"/>
  <c r="AA157" i="1"/>
  <c r="W157" i="1"/>
  <c r="X157" i="1" s="1"/>
  <c r="U157" i="1"/>
  <c r="R157" i="1"/>
  <c r="O157" i="1"/>
  <c r="N157" i="1"/>
  <c r="L157" i="1"/>
  <c r="H157" i="1"/>
  <c r="I157" i="1" s="1"/>
  <c r="F157" i="1"/>
  <c r="C157" i="1"/>
  <c r="AD156" i="1"/>
  <c r="AC156" i="1"/>
  <c r="AA156" i="1"/>
  <c r="X156" i="1"/>
  <c r="W156" i="1"/>
  <c r="U156" i="1"/>
  <c r="R156" i="1"/>
  <c r="O156" i="1"/>
  <c r="N156" i="1"/>
  <c r="L156" i="1"/>
  <c r="H156" i="1"/>
  <c r="I156" i="1" s="1"/>
  <c r="F156" i="1"/>
  <c r="C156" i="1"/>
  <c r="AD155" i="1"/>
  <c r="AC155" i="1"/>
  <c r="AA155" i="1"/>
  <c r="X155" i="1"/>
  <c r="W155" i="1"/>
  <c r="U155" i="1"/>
  <c r="R155" i="1"/>
  <c r="O155" i="1"/>
  <c r="N155" i="1"/>
  <c r="L155" i="1"/>
  <c r="I155" i="1"/>
  <c r="H155" i="1"/>
  <c r="F155" i="1"/>
  <c r="C155" i="1"/>
  <c r="AC154" i="1"/>
  <c r="AD154" i="1" s="1"/>
  <c r="AA154" i="1"/>
  <c r="X154" i="1"/>
  <c r="W154" i="1"/>
  <c r="U154" i="1"/>
  <c r="R154" i="1"/>
  <c r="O154" i="1"/>
  <c r="N154" i="1"/>
  <c r="L154" i="1"/>
  <c r="I154" i="1"/>
  <c r="H154" i="1"/>
  <c r="F154" i="1"/>
  <c r="C154" i="1"/>
  <c r="AC153" i="1"/>
  <c r="AD153" i="1" s="1"/>
  <c r="AA153" i="1"/>
  <c r="X153" i="1"/>
  <c r="W153" i="1"/>
  <c r="U153" i="1"/>
  <c r="R153" i="1"/>
  <c r="O153" i="1"/>
  <c r="N153" i="1"/>
  <c r="L153" i="1"/>
  <c r="H153" i="1"/>
  <c r="I153" i="1" s="1"/>
  <c r="F153" i="1"/>
  <c r="C153" i="1"/>
  <c r="AD151" i="1"/>
  <c r="AC151" i="1"/>
  <c r="AA151" i="1"/>
  <c r="X151" i="1"/>
  <c r="W151" i="1"/>
  <c r="U151" i="1"/>
  <c r="R151" i="1"/>
  <c r="N151" i="1"/>
  <c r="O151" i="1" s="1"/>
  <c r="L151" i="1"/>
  <c r="H151" i="1"/>
  <c r="I151" i="1" s="1"/>
  <c r="F151" i="1"/>
  <c r="C151" i="1"/>
  <c r="AA149" i="1"/>
  <c r="Z149" i="1"/>
  <c r="T149" i="1"/>
  <c r="U149" i="1" s="1"/>
  <c r="Q149" i="1"/>
  <c r="W149" i="1" s="1"/>
  <c r="X149" i="1" s="1"/>
  <c r="O149" i="1"/>
  <c r="K149" i="1"/>
  <c r="L149" i="1" s="1"/>
  <c r="H149" i="1"/>
  <c r="I149" i="1" s="1"/>
  <c r="E149" i="1"/>
  <c r="F149" i="1" s="1"/>
  <c r="C149" i="1"/>
  <c r="B149" i="1"/>
  <c r="N149" i="1" s="1"/>
  <c r="Z148" i="1"/>
  <c r="AA148" i="1" s="1"/>
  <c r="W148" i="1"/>
  <c r="X148" i="1" s="1"/>
  <c r="U148" i="1"/>
  <c r="T148" i="1"/>
  <c r="Q148" i="1"/>
  <c r="R148" i="1" s="1"/>
  <c r="K148" i="1"/>
  <c r="L148" i="1" s="1"/>
  <c r="E148" i="1"/>
  <c r="F148" i="1" s="1"/>
  <c r="B148" i="1"/>
  <c r="AC147" i="1"/>
  <c r="AD147" i="1" s="1"/>
  <c r="AA147" i="1"/>
  <c r="X147" i="1"/>
  <c r="W147" i="1"/>
  <c r="U147" i="1"/>
  <c r="R147" i="1"/>
  <c r="O147" i="1"/>
  <c r="N147" i="1"/>
  <c r="L147" i="1"/>
  <c r="I147" i="1"/>
  <c r="H147" i="1"/>
  <c r="F147" i="1"/>
  <c r="C147" i="1"/>
  <c r="AC146" i="1"/>
  <c r="AD146" i="1" s="1"/>
  <c r="AA146" i="1"/>
  <c r="W146" i="1"/>
  <c r="X146" i="1" s="1"/>
  <c r="U146" i="1"/>
  <c r="R146" i="1"/>
  <c r="O146" i="1"/>
  <c r="N146" i="1"/>
  <c r="L146" i="1"/>
  <c r="I146" i="1"/>
  <c r="H146" i="1"/>
  <c r="F146" i="1"/>
  <c r="C146" i="1"/>
  <c r="AC145" i="1"/>
  <c r="AD145" i="1" s="1"/>
  <c r="AA145" i="1"/>
  <c r="W145" i="1"/>
  <c r="X145" i="1" s="1"/>
  <c r="U145" i="1"/>
  <c r="R145" i="1"/>
  <c r="O145" i="1"/>
  <c r="N145" i="1"/>
  <c r="L145" i="1"/>
  <c r="H145" i="1"/>
  <c r="I145" i="1" s="1"/>
  <c r="F145" i="1"/>
  <c r="C145" i="1"/>
  <c r="AD144" i="1"/>
  <c r="AC144" i="1"/>
  <c r="AA144" i="1"/>
  <c r="X144" i="1"/>
  <c r="W144" i="1"/>
  <c r="U144" i="1"/>
  <c r="R144" i="1"/>
  <c r="O144" i="1"/>
  <c r="N144" i="1"/>
  <c r="L144" i="1"/>
  <c r="H144" i="1"/>
  <c r="I144" i="1" s="1"/>
  <c r="F144" i="1"/>
  <c r="C144" i="1"/>
  <c r="AD143" i="1"/>
  <c r="AC143" i="1"/>
  <c r="AA143" i="1"/>
  <c r="X143" i="1"/>
  <c r="W143" i="1"/>
  <c r="U143" i="1"/>
  <c r="R143" i="1"/>
  <c r="N143" i="1"/>
  <c r="O143" i="1" s="1"/>
  <c r="L143" i="1"/>
  <c r="I143" i="1"/>
  <c r="H143" i="1"/>
  <c r="F143" i="1"/>
  <c r="C143" i="1"/>
  <c r="Z141" i="1"/>
  <c r="AA141" i="1" s="1"/>
  <c r="T141" i="1"/>
  <c r="U141" i="1" s="1"/>
  <c r="Q141" i="1"/>
  <c r="L141" i="1"/>
  <c r="K141" i="1"/>
  <c r="E141" i="1"/>
  <c r="F141" i="1" s="1"/>
  <c r="B141" i="1"/>
  <c r="AD140" i="1"/>
  <c r="AC140" i="1"/>
  <c r="AA140" i="1"/>
  <c r="X140" i="1"/>
  <c r="W140" i="1"/>
  <c r="U140" i="1"/>
  <c r="R140" i="1"/>
  <c r="O140" i="1"/>
  <c r="N140" i="1"/>
  <c r="L140" i="1"/>
  <c r="H140" i="1"/>
  <c r="I140" i="1" s="1"/>
  <c r="F140" i="1"/>
  <c r="C140" i="1"/>
  <c r="AD139" i="1"/>
  <c r="AC139" i="1"/>
  <c r="AA139" i="1"/>
  <c r="X139" i="1"/>
  <c r="W139" i="1"/>
  <c r="U139" i="1"/>
  <c r="R139" i="1"/>
  <c r="N139" i="1"/>
  <c r="O139" i="1" s="1"/>
  <c r="L139" i="1"/>
  <c r="I139" i="1"/>
  <c r="H139" i="1"/>
  <c r="F139" i="1"/>
  <c r="C139" i="1"/>
  <c r="AC138" i="1"/>
  <c r="AD138" i="1" s="1"/>
  <c r="AA138" i="1"/>
  <c r="X138" i="1"/>
  <c r="W138" i="1"/>
  <c r="U138" i="1"/>
  <c r="R138" i="1"/>
  <c r="O138" i="1"/>
  <c r="N138" i="1"/>
  <c r="L138" i="1"/>
  <c r="H138" i="1"/>
  <c r="I138" i="1" s="1"/>
  <c r="F138" i="1"/>
  <c r="C138" i="1"/>
  <c r="AC137" i="1"/>
  <c r="AD137" i="1" s="1"/>
  <c r="AA137" i="1"/>
  <c r="X137" i="1"/>
  <c r="W137" i="1"/>
  <c r="U137" i="1"/>
  <c r="R137" i="1"/>
  <c r="O137" i="1"/>
  <c r="N137" i="1"/>
  <c r="L137" i="1"/>
  <c r="H137" i="1"/>
  <c r="I137" i="1" s="1"/>
  <c r="F137" i="1"/>
  <c r="C137" i="1"/>
  <c r="AD136" i="1"/>
  <c r="AC136" i="1"/>
  <c r="AA136" i="1"/>
  <c r="X136" i="1"/>
  <c r="W136" i="1"/>
  <c r="U136" i="1"/>
  <c r="R136" i="1"/>
  <c r="O136" i="1"/>
  <c r="N136" i="1"/>
  <c r="L136" i="1"/>
  <c r="H136" i="1"/>
  <c r="I136" i="1" s="1"/>
  <c r="F136" i="1"/>
  <c r="C136" i="1"/>
  <c r="AC135" i="1"/>
  <c r="AD135" i="1" s="1"/>
  <c r="AA135" i="1"/>
  <c r="X135" i="1"/>
  <c r="W135" i="1"/>
  <c r="U135" i="1"/>
  <c r="R135" i="1"/>
  <c r="O135" i="1"/>
  <c r="N135" i="1"/>
  <c r="L135" i="1"/>
  <c r="I135" i="1"/>
  <c r="H135" i="1"/>
  <c r="F135" i="1"/>
  <c r="C135" i="1"/>
  <c r="AC134" i="1"/>
  <c r="AD134" i="1" s="1"/>
  <c r="AA134" i="1"/>
  <c r="W134" i="1"/>
  <c r="X134" i="1" s="1"/>
  <c r="U134" i="1"/>
  <c r="R134" i="1"/>
  <c r="O134" i="1"/>
  <c r="N134" i="1"/>
  <c r="L134" i="1"/>
  <c r="I134" i="1"/>
  <c r="H134" i="1"/>
  <c r="F134" i="1"/>
  <c r="C134" i="1"/>
  <c r="AC133" i="1"/>
  <c r="AD133" i="1" s="1"/>
  <c r="AA133" i="1"/>
  <c r="W133" i="1"/>
  <c r="X133" i="1" s="1"/>
  <c r="U133" i="1"/>
  <c r="R133" i="1"/>
  <c r="N133" i="1"/>
  <c r="O133" i="1" s="1"/>
  <c r="L133" i="1"/>
  <c r="H133" i="1"/>
  <c r="I133" i="1" s="1"/>
  <c r="F133" i="1"/>
  <c r="C133" i="1"/>
  <c r="AD132" i="1"/>
  <c r="AC132" i="1"/>
  <c r="AA132" i="1"/>
  <c r="X132" i="1"/>
  <c r="W132" i="1"/>
  <c r="U132" i="1"/>
  <c r="R132" i="1"/>
  <c r="N132" i="1"/>
  <c r="O132" i="1" s="1"/>
  <c r="L132" i="1"/>
  <c r="H132" i="1"/>
  <c r="I132" i="1" s="1"/>
  <c r="F132" i="1"/>
  <c r="C132" i="1"/>
  <c r="AC131" i="1"/>
  <c r="AD131" i="1" s="1"/>
  <c r="AA131" i="1"/>
  <c r="W131" i="1"/>
  <c r="X131" i="1" s="1"/>
  <c r="U131" i="1"/>
  <c r="R131" i="1"/>
  <c r="O131" i="1"/>
  <c r="N131" i="1"/>
  <c r="L131" i="1"/>
  <c r="I131" i="1"/>
  <c r="H131" i="1"/>
  <c r="F131" i="1"/>
  <c r="C131" i="1"/>
  <c r="AC130" i="1"/>
  <c r="AD130" i="1" s="1"/>
  <c r="AA130" i="1"/>
  <c r="X130" i="1"/>
  <c r="W130" i="1"/>
  <c r="U130" i="1"/>
  <c r="R130" i="1"/>
  <c r="O130" i="1"/>
  <c r="N130" i="1"/>
  <c r="L130" i="1"/>
  <c r="I130" i="1"/>
  <c r="H130" i="1"/>
  <c r="F130" i="1"/>
  <c r="C130" i="1"/>
  <c r="AC129" i="1"/>
  <c r="AD129" i="1" s="1"/>
  <c r="AA129" i="1"/>
  <c r="X129" i="1"/>
  <c r="W129" i="1"/>
  <c r="U129" i="1"/>
  <c r="R129" i="1"/>
  <c r="N129" i="1"/>
  <c r="O129" i="1" s="1"/>
  <c r="L129" i="1"/>
  <c r="H129" i="1"/>
  <c r="I129" i="1" s="1"/>
  <c r="F129" i="1"/>
  <c r="C129" i="1"/>
  <c r="AD127" i="1"/>
  <c r="AC127" i="1"/>
  <c r="AA127" i="1"/>
  <c r="X127" i="1"/>
  <c r="W127" i="1"/>
  <c r="U127" i="1"/>
  <c r="R127" i="1"/>
  <c r="O127" i="1"/>
  <c r="N127" i="1"/>
  <c r="L127" i="1"/>
  <c r="H127" i="1"/>
  <c r="I127" i="1" s="1"/>
  <c r="F127" i="1"/>
  <c r="C127" i="1"/>
  <c r="AC124" i="1"/>
  <c r="AD124" i="1" s="1"/>
  <c r="AA124" i="1"/>
  <c r="Z124" i="1"/>
  <c r="T124" i="1"/>
  <c r="U124" i="1" s="1"/>
  <c r="R124" i="1"/>
  <c r="Q124" i="1"/>
  <c r="O124" i="1"/>
  <c r="K124" i="1"/>
  <c r="L124" i="1" s="1"/>
  <c r="H124" i="1"/>
  <c r="I124" i="1" s="1"/>
  <c r="F124" i="1"/>
  <c r="E124" i="1"/>
  <c r="C124" i="1"/>
  <c r="B124" i="1"/>
  <c r="N124" i="1" s="1"/>
  <c r="AC123" i="1"/>
  <c r="AD123" i="1" s="1"/>
  <c r="AA123" i="1"/>
  <c r="W123" i="1"/>
  <c r="X123" i="1" s="1"/>
  <c r="U123" i="1"/>
  <c r="R123" i="1"/>
  <c r="O123" i="1"/>
  <c r="N123" i="1"/>
  <c r="L123" i="1"/>
  <c r="H123" i="1"/>
  <c r="I123" i="1" s="1"/>
  <c r="F123" i="1"/>
  <c r="C123" i="1"/>
  <c r="Z122" i="1"/>
  <c r="AA122" i="1" s="1"/>
  <c r="W122" i="1"/>
  <c r="X122" i="1" s="1"/>
  <c r="U122" i="1"/>
  <c r="T122" i="1"/>
  <c r="R122" i="1"/>
  <c r="Q122" i="1"/>
  <c r="AC122" i="1" s="1"/>
  <c r="AD122" i="1" s="1"/>
  <c r="K122" i="1"/>
  <c r="L122" i="1" s="1"/>
  <c r="I122" i="1"/>
  <c r="H122" i="1"/>
  <c r="F122" i="1"/>
  <c r="E122" i="1"/>
  <c r="B122" i="1"/>
  <c r="C122" i="1" s="1"/>
  <c r="AC121" i="1"/>
  <c r="AD121" i="1" s="1"/>
  <c r="AA121" i="1"/>
  <c r="X121" i="1"/>
  <c r="W121" i="1"/>
  <c r="U121" i="1"/>
  <c r="R121" i="1"/>
  <c r="O121" i="1"/>
  <c r="N121" i="1"/>
  <c r="L121" i="1"/>
  <c r="H121" i="1"/>
  <c r="I121" i="1" s="1"/>
  <c r="F121" i="1"/>
  <c r="C121" i="1"/>
  <c r="AC120" i="1"/>
  <c r="AD120" i="1" s="1"/>
  <c r="AA120" i="1"/>
  <c r="W120" i="1"/>
  <c r="X120" i="1" s="1"/>
  <c r="U120" i="1"/>
  <c r="R120" i="1"/>
  <c r="O120" i="1"/>
  <c r="N120" i="1"/>
  <c r="L120" i="1"/>
  <c r="H120" i="1"/>
  <c r="I120" i="1" s="1"/>
  <c r="F120" i="1"/>
  <c r="C120" i="1"/>
  <c r="AD119" i="1"/>
  <c r="AC119" i="1"/>
  <c r="AA119" i="1"/>
  <c r="X119" i="1"/>
  <c r="W119" i="1"/>
  <c r="U119" i="1"/>
  <c r="R119" i="1"/>
  <c r="N119" i="1"/>
  <c r="O119" i="1" s="1"/>
  <c r="L119" i="1"/>
  <c r="H119" i="1"/>
  <c r="I119" i="1" s="1"/>
  <c r="F119" i="1"/>
  <c r="C119" i="1"/>
  <c r="AD118" i="1"/>
  <c r="AC118" i="1"/>
  <c r="AA118" i="1"/>
  <c r="Z118" i="1"/>
  <c r="T118" i="1"/>
  <c r="U118" i="1" s="1"/>
  <c r="R118" i="1"/>
  <c r="Q118" i="1"/>
  <c r="K118" i="1"/>
  <c r="L118" i="1" s="1"/>
  <c r="E118" i="1"/>
  <c r="H118" i="1" s="1"/>
  <c r="I118" i="1" s="1"/>
  <c r="C118" i="1"/>
  <c r="B118" i="1"/>
  <c r="N118" i="1" s="1"/>
  <c r="O118" i="1" s="1"/>
  <c r="AC117" i="1"/>
  <c r="AD117" i="1" s="1"/>
  <c r="AA117" i="1"/>
  <c r="X117" i="1"/>
  <c r="W117" i="1"/>
  <c r="U117" i="1"/>
  <c r="R117" i="1"/>
  <c r="O117" i="1"/>
  <c r="N117" i="1"/>
  <c r="L117" i="1"/>
  <c r="H117" i="1"/>
  <c r="I117" i="1" s="1"/>
  <c r="F117" i="1"/>
  <c r="C117" i="1"/>
  <c r="AD116" i="1"/>
  <c r="AC116" i="1"/>
  <c r="AA116" i="1"/>
  <c r="X116" i="1"/>
  <c r="W116" i="1"/>
  <c r="U116" i="1"/>
  <c r="R116" i="1"/>
  <c r="N116" i="1"/>
  <c r="O116" i="1" s="1"/>
  <c r="L116" i="1"/>
  <c r="H116" i="1"/>
  <c r="I116" i="1" s="1"/>
  <c r="F116" i="1"/>
  <c r="C116" i="1"/>
  <c r="AD115" i="1"/>
  <c r="AC115" i="1"/>
  <c r="AA115" i="1"/>
  <c r="X115" i="1"/>
  <c r="W115" i="1"/>
  <c r="U115" i="1"/>
  <c r="R115" i="1"/>
  <c r="N115" i="1"/>
  <c r="O115" i="1" s="1"/>
  <c r="L115" i="1"/>
  <c r="I115" i="1"/>
  <c r="H115" i="1"/>
  <c r="F115" i="1"/>
  <c r="C115" i="1"/>
  <c r="AC114" i="1"/>
  <c r="AD114" i="1" s="1"/>
  <c r="AA114" i="1"/>
  <c r="X114" i="1"/>
  <c r="W114" i="1"/>
  <c r="U114" i="1"/>
  <c r="R114" i="1"/>
  <c r="O114" i="1"/>
  <c r="N114" i="1"/>
  <c r="L114" i="1"/>
  <c r="H114" i="1"/>
  <c r="I114" i="1" s="1"/>
  <c r="F114" i="1"/>
  <c r="C114" i="1"/>
  <c r="AC113" i="1"/>
  <c r="AD113" i="1" s="1"/>
  <c r="AA113" i="1"/>
  <c r="X113" i="1"/>
  <c r="W113" i="1"/>
  <c r="U113" i="1"/>
  <c r="R113" i="1"/>
  <c r="O113" i="1"/>
  <c r="N113" i="1"/>
  <c r="L113" i="1"/>
  <c r="H113" i="1"/>
  <c r="I113" i="1" s="1"/>
  <c r="F113" i="1"/>
  <c r="C113" i="1"/>
  <c r="AD112" i="1"/>
  <c r="AC112" i="1"/>
  <c r="AA112" i="1"/>
  <c r="X112" i="1"/>
  <c r="W112" i="1"/>
  <c r="U112" i="1"/>
  <c r="R112" i="1"/>
  <c r="O112" i="1"/>
  <c r="N112" i="1"/>
  <c r="L112" i="1"/>
  <c r="H112" i="1"/>
  <c r="I112" i="1" s="1"/>
  <c r="F112" i="1"/>
  <c r="C112" i="1"/>
  <c r="AC111" i="1"/>
  <c r="AD111" i="1" s="1"/>
  <c r="AA111" i="1"/>
  <c r="X111" i="1"/>
  <c r="W111" i="1"/>
  <c r="U111" i="1"/>
  <c r="R111" i="1"/>
  <c r="N111" i="1"/>
  <c r="O111" i="1" s="1"/>
  <c r="L111" i="1"/>
  <c r="I111" i="1"/>
  <c r="H111" i="1"/>
  <c r="F111" i="1"/>
  <c r="C111" i="1"/>
  <c r="AC110" i="1"/>
  <c r="AD110" i="1" s="1"/>
  <c r="AA110" i="1"/>
  <c r="W110" i="1"/>
  <c r="X110" i="1" s="1"/>
  <c r="U110" i="1"/>
  <c r="R110" i="1"/>
  <c r="O110" i="1"/>
  <c r="N110" i="1"/>
  <c r="L110" i="1"/>
  <c r="H110" i="1"/>
  <c r="I110" i="1" s="1"/>
  <c r="F110" i="1"/>
  <c r="C110" i="1"/>
  <c r="AC109" i="1"/>
  <c r="AD109" i="1" s="1"/>
  <c r="AA109" i="1"/>
  <c r="X109" i="1"/>
  <c r="W109" i="1"/>
  <c r="U109" i="1"/>
  <c r="R109" i="1"/>
  <c r="O109" i="1"/>
  <c r="N109" i="1"/>
  <c r="L109" i="1"/>
  <c r="H109" i="1"/>
  <c r="I109" i="1" s="1"/>
  <c r="F109" i="1"/>
  <c r="C109" i="1"/>
  <c r="AD108" i="1"/>
  <c r="AC108" i="1"/>
  <c r="AA108" i="1"/>
  <c r="X108" i="1"/>
  <c r="W108" i="1"/>
  <c r="U108" i="1"/>
  <c r="R108" i="1"/>
  <c r="N108" i="1"/>
  <c r="O108" i="1" s="1"/>
  <c r="L108" i="1"/>
  <c r="H108" i="1"/>
  <c r="I108" i="1" s="1"/>
  <c r="F108" i="1"/>
  <c r="C108" i="1"/>
  <c r="AD107" i="1"/>
  <c r="AC107" i="1"/>
  <c r="AA107" i="1"/>
  <c r="X107" i="1"/>
  <c r="W107" i="1"/>
  <c r="U107" i="1"/>
  <c r="R107" i="1"/>
  <c r="N107" i="1"/>
  <c r="O107" i="1" s="1"/>
  <c r="L107" i="1"/>
  <c r="I107" i="1"/>
  <c r="H107" i="1"/>
  <c r="F107" i="1"/>
  <c r="C107" i="1"/>
  <c r="AC106" i="1"/>
  <c r="AD106" i="1" s="1"/>
  <c r="AA106" i="1"/>
  <c r="X106" i="1"/>
  <c r="W106" i="1"/>
  <c r="U106" i="1"/>
  <c r="R106" i="1"/>
  <c r="O106" i="1"/>
  <c r="N106" i="1"/>
  <c r="L106" i="1"/>
  <c r="H106" i="1"/>
  <c r="I106" i="1" s="1"/>
  <c r="F106" i="1"/>
  <c r="C106" i="1"/>
  <c r="AC105" i="1"/>
  <c r="AD105" i="1" s="1"/>
  <c r="AA105" i="1"/>
  <c r="X105" i="1"/>
  <c r="W105" i="1"/>
  <c r="U105" i="1"/>
  <c r="R105" i="1"/>
  <c r="O105" i="1"/>
  <c r="N105" i="1"/>
  <c r="L105" i="1"/>
  <c r="H105" i="1"/>
  <c r="I105" i="1" s="1"/>
  <c r="F105" i="1"/>
  <c r="C105" i="1"/>
  <c r="AD104" i="1"/>
  <c r="AC104" i="1"/>
  <c r="AA104" i="1"/>
  <c r="X104" i="1"/>
  <c r="W104" i="1"/>
  <c r="U104" i="1"/>
  <c r="R104" i="1"/>
  <c r="O104" i="1"/>
  <c r="N104" i="1"/>
  <c r="L104" i="1"/>
  <c r="H104" i="1"/>
  <c r="I104" i="1" s="1"/>
  <c r="F104" i="1"/>
  <c r="C104" i="1"/>
  <c r="AC103" i="1"/>
  <c r="AD103" i="1" s="1"/>
  <c r="AA103" i="1"/>
  <c r="X103" i="1"/>
  <c r="W103" i="1"/>
  <c r="U103" i="1"/>
  <c r="R103" i="1"/>
  <c r="N103" i="1"/>
  <c r="O103" i="1" s="1"/>
  <c r="L103" i="1"/>
  <c r="I103" i="1"/>
  <c r="H103" i="1"/>
  <c r="F103" i="1"/>
  <c r="C103" i="1"/>
  <c r="AC102" i="1"/>
  <c r="AD102" i="1" s="1"/>
  <c r="AA102" i="1"/>
  <c r="W102" i="1"/>
  <c r="X102" i="1" s="1"/>
  <c r="U102" i="1"/>
  <c r="R102" i="1"/>
  <c r="O102" i="1"/>
  <c r="N102" i="1"/>
  <c r="L102" i="1"/>
  <c r="H102" i="1"/>
  <c r="I102" i="1" s="1"/>
  <c r="F102" i="1"/>
  <c r="C102" i="1"/>
  <c r="AC101" i="1"/>
  <c r="AD101" i="1" s="1"/>
  <c r="AA101" i="1"/>
  <c r="X101" i="1"/>
  <c r="W101" i="1"/>
  <c r="U101" i="1"/>
  <c r="R101" i="1"/>
  <c r="O101" i="1"/>
  <c r="N101" i="1"/>
  <c r="L101" i="1"/>
  <c r="H101" i="1"/>
  <c r="I101" i="1" s="1"/>
  <c r="F101" i="1"/>
  <c r="C101" i="1"/>
  <c r="AD100" i="1"/>
  <c r="AC100" i="1"/>
  <c r="AA100" i="1"/>
  <c r="X100" i="1"/>
  <c r="W100" i="1"/>
  <c r="U100" i="1"/>
  <c r="R100" i="1"/>
  <c r="N100" i="1"/>
  <c r="O100" i="1" s="1"/>
  <c r="L100" i="1"/>
  <c r="H100" i="1"/>
  <c r="I100" i="1" s="1"/>
  <c r="F100" i="1"/>
  <c r="C100" i="1"/>
  <c r="AD99" i="1"/>
  <c r="AC99" i="1"/>
  <c r="AA99" i="1"/>
  <c r="X99" i="1"/>
  <c r="W99" i="1"/>
  <c r="U99" i="1"/>
  <c r="R99" i="1"/>
  <c r="N99" i="1"/>
  <c r="O99" i="1" s="1"/>
  <c r="L99" i="1"/>
  <c r="I99" i="1"/>
  <c r="H99" i="1"/>
  <c r="F99" i="1"/>
  <c r="C99" i="1"/>
  <c r="AC98" i="1"/>
  <c r="AD98" i="1" s="1"/>
  <c r="AA98" i="1"/>
  <c r="X98" i="1"/>
  <c r="W98" i="1"/>
  <c r="U98" i="1"/>
  <c r="R98" i="1"/>
  <c r="O98" i="1"/>
  <c r="N98" i="1"/>
  <c r="L98" i="1"/>
  <c r="H98" i="1"/>
  <c r="I98" i="1" s="1"/>
  <c r="F98" i="1"/>
  <c r="C98" i="1"/>
  <c r="AC97" i="1"/>
  <c r="AD97" i="1" s="1"/>
  <c r="AA97" i="1"/>
  <c r="X97" i="1"/>
  <c r="W97" i="1"/>
  <c r="U97" i="1"/>
  <c r="R97" i="1"/>
  <c r="O97" i="1"/>
  <c r="N97" i="1"/>
  <c r="L97" i="1"/>
  <c r="H97" i="1"/>
  <c r="I97" i="1" s="1"/>
  <c r="F97" i="1"/>
  <c r="C97" i="1"/>
  <c r="AD96" i="1"/>
  <c r="AC96" i="1"/>
  <c r="AA96" i="1"/>
  <c r="X96" i="1"/>
  <c r="W96" i="1"/>
  <c r="U96" i="1"/>
  <c r="R96" i="1"/>
  <c r="O96" i="1"/>
  <c r="N96" i="1"/>
  <c r="L96" i="1"/>
  <c r="H96" i="1"/>
  <c r="I96" i="1" s="1"/>
  <c r="F96" i="1"/>
  <c r="C96" i="1"/>
  <c r="AC95" i="1"/>
  <c r="AD95" i="1" s="1"/>
  <c r="AA95" i="1"/>
  <c r="X95" i="1"/>
  <c r="W95" i="1"/>
  <c r="U95" i="1"/>
  <c r="R95" i="1"/>
  <c r="N95" i="1"/>
  <c r="O95" i="1" s="1"/>
  <c r="L95" i="1"/>
  <c r="I95" i="1"/>
  <c r="H95" i="1"/>
  <c r="F95" i="1"/>
  <c r="C95" i="1"/>
  <c r="AC94" i="1"/>
  <c r="AD94" i="1" s="1"/>
  <c r="AA94" i="1"/>
  <c r="W94" i="1"/>
  <c r="X94" i="1" s="1"/>
  <c r="U94" i="1"/>
  <c r="R94" i="1"/>
  <c r="O94" i="1"/>
  <c r="N94" i="1"/>
  <c r="L94" i="1"/>
  <c r="H94" i="1"/>
  <c r="I94" i="1" s="1"/>
  <c r="F94" i="1"/>
  <c r="C94" i="1"/>
  <c r="AC92" i="1"/>
  <c r="AD92" i="1" s="1"/>
  <c r="AA92" i="1"/>
  <c r="X92" i="1"/>
  <c r="W92" i="1"/>
  <c r="U92" i="1"/>
  <c r="R92" i="1"/>
  <c r="O92" i="1"/>
  <c r="N92" i="1"/>
  <c r="L92" i="1"/>
  <c r="H92" i="1"/>
  <c r="I92" i="1" s="1"/>
  <c r="F92" i="1"/>
  <c r="C92" i="1"/>
  <c r="AD91" i="1"/>
  <c r="AC91" i="1"/>
  <c r="AA91" i="1"/>
  <c r="X91" i="1"/>
  <c r="W91" i="1"/>
  <c r="U91" i="1"/>
  <c r="R91" i="1"/>
  <c r="N91" i="1"/>
  <c r="O91" i="1" s="1"/>
  <c r="L91" i="1"/>
  <c r="H91" i="1"/>
  <c r="I91" i="1" s="1"/>
  <c r="F91" i="1"/>
  <c r="C91" i="1"/>
  <c r="AD90" i="1"/>
  <c r="AC90" i="1"/>
  <c r="AA90" i="1"/>
  <c r="X90" i="1"/>
  <c r="W90" i="1"/>
  <c r="U90" i="1"/>
  <c r="R90" i="1"/>
  <c r="N90" i="1"/>
  <c r="O90" i="1" s="1"/>
  <c r="L90" i="1"/>
  <c r="I90" i="1"/>
  <c r="H90" i="1"/>
  <c r="F90" i="1"/>
  <c r="C90" i="1"/>
  <c r="AC89" i="1"/>
  <c r="AD89" i="1" s="1"/>
  <c r="AA89" i="1"/>
  <c r="X89" i="1"/>
  <c r="W89" i="1"/>
  <c r="U89" i="1"/>
  <c r="R89" i="1"/>
  <c r="O89" i="1"/>
  <c r="N89" i="1"/>
  <c r="L89" i="1"/>
  <c r="H89" i="1"/>
  <c r="I89" i="1" s="1"/>
  <c r="F89" i="1"/>
  <c r="C89" i="1"/>
  <c r="Z88" i="1"/>
  <c r="AA88" i="1" s="1"/>
  <c r="W88" i="1"/>
  <c r="X88" i="1" s="1"/>
  <c r="U88" i="1"/>
  <c r="T88" i="1"/>
  <c r="Q88" i="1"/>
  <c r="R88" i="1" s="1"/>
  <c r="K88" i="1"/>
  <c r="L88" i="1" s="1"/>
  <c r="E88" i="1"/>
  <c r="F88" i="1" s="1"/>
  <c r="B88" i="1"/>
  <c r="AC87" i="1"/>
  <c r="AD87" i="1" s="1"/>
  <c r="AA87" i="1"/>
  <c r="X87" i="1"/>
  <c r="W87" i="1"/>
  <c r="U87" i="1"/>
  <c r="R87" i="1"/>
  <c r="O87" i="1"/>
  <c r="N87" i="1"/>
  <c r="L87" i="1"/>
  <c r="I87" i="1"/>
  <c r="H87" i="1"/>
  <c r="F87" i="1"/>
  <c r="C87" i="1"/>
  <c r="AC86" i="1"/>
  <c r="AD86" i="1" s="1"/>
  <c r="AA86" i="1"/>
  <c r="W86" i="1"/>
  <c r="X86" i="1" s="1"/>
  <c r="U86" i="1"/>
  <c r="R86" i="1"/>
  <c r="O86" i="1"/>
  <c r="N86" i="1"/>
  <c r="L86" i="1"/>
  <c r="I86" i="1"/>
  <c r="H86" i="1"/>
  <c r="F86" i="1"/>
  <c r="C86" i="1"/>
  <c r="AC85" i="1"/>
  <c r="AD85" i="1" s="1"/>
  <c r="AA85" i="1"/>
  <c r="W85" i="1"/>
  <c r="X85" i="1" s="1"/>
  <c r="U85" i="1"/>
  <c r="R85" i="1"/>
  <c r="O85" i="1"/>
  <c r="N85" i="1"/>
  <c r="L85" i="1"/>
  <c r="H85" i="1"/>
  <c r="I85" i="1" s="1"/>
  <c r="F85" i="1"/>
  <c r="C85" i="1"/>
  <c r="AD84" i="1"/>
  <c r="AC84" i="1"/>
  <c r="AA84" i="1"/>
  <c r="X84" i="1"/>
  <c r="W84" i="1"/>
  <c r="U84" i="1"/>
  <c r="R84" i="1"/>
  <c r="O84" i="1"/>
  <c r="N84" i="1"/>
  <c r="L84" i="1"/>
  <c r="H84" i="1"/>
  <c r="I84" i="1" s="1"/>
  <c r="F84" i="1"/>
  <c r="C84" i="1"/>
  <c r="AD83" i="1"/>
  <c r="AC83" i="1"/>
  <c r="AA83" i="1"/>
  <c r="X83" i="1"/>
  <c r="W83" i="1"/>
  <c r="U83" i="1"/>
  <c r="R83" i="1"/>
  <c r="N83" i="1"/>
  <c r="O83" i="1" s="1"/>
  <c r="L83" i="1"/>
  <c r="I83" i="1"/>
  <c r="H83" i="1"/>
  <c r="F83" i="1"/>
  <c r="C83" i="1"/>
  <c r="AC82" i="1"/>
  <c r="AD82" i="1" s="1"/>
  <c r="AA82" i="1"/>
  <c r="X82" i="1"/>
  <c r="W82" i="1"/>
  <c r="U82" i="1"/>
  <c r="R82" i="1"/>
  <c r="O82" i="1"/>
  <c r="N82" i="1"/>
  <c r="L82" i="1"/>
  <c r="H82" i="1"/>
  <c r="I82" i="1" s="1"/>
  <c r="F82" i="1"/>
  <c r="C82" i="1"/>
  <c r="AC81" i="1"/>
  <c r="AD81" i="1" s="1"/>
  <c r="AA81" i="1"/>
  <c r="X81" i="1"/>
  <c r="W81" i="1"/>
  <c r="U81" i="1"/>
  <c r="R81" i="1"/>
  <c r="O81" i="1"/>
  <c r="N81" i="1"/>
  <c r="L81" i="1"/>
  <c r="H81" i="1"/>
  <c r="I81" i="1" s="1"/>
  <c r="F81" i="1"/>
  <c r="C81" i="1"/>
  <c r="AD80" i="1"/>
  <c r="AC80" i="1"/>
  <c r="AA80" i="1"/>
  <c r="X80" i="1"/>
  <c r="W80" i="1"/>
  <c r="U80" i="1"/>
  <c r="R80" i="1"/>
  <c r="O80" i="1"/>
  <c r="N80" i="1"/>
  <c r="L80" i="1"/>
  <c r="H80" i="1"/>
  <c r="I80" i="1" s="1"/>
  <c r="F80" i="1"/>
  <c r="C80" i="1"/>
  <c r="AC79" i="1"/>
  <c r="AD79" i="1" s="1"/>
  <c r="AA79" i="1"/>
  <c r="X79" i="1"/>
  <c r="W79" i="1"/>
  <c r="U79" i="1"/>
  <c r="R79" i="1"/>
  <c r="O79" i="1"/>
  <c r="N79" i="1"/>
  <c r="L79" i="1"/>
  <c r="I79" i="1"/>
  <c r="H79" i="1"/>
  <c r="F79" i="1"/>
  <c r="C79" i="1"/>
  <c r="AC78" i="1"/>
  <c r="AD78" i="1" s="1"/>
  <c r="AA78" i="1"/>
  <c r="W78" i="1"/>
  <c r="X78" i="1" s="1"/>
  <c r="U78" i="1"/>
  <c r="R78" i="1"/>
  <c r="O78" i="1"/>
  <c r="N78" i="1"/>
  <c r="L78" i="1"/>
  <c r="I78" i="1"/>
  <c r="H78" i="1"/>
  <c r="F78" i="1"/>
  <c r="C78" i="1"/>
  <c r="AC77" i="1"/>
  <c r="AD77" i="1" s="1"/>
  <c r="AA77" i="1"/>
  <c r="W77" i="1"/>
  <c r="X77" i="1" s="1"/>
  <c r="U77" i="1"/>
  <c r="R77" i="1"/>
  <c r="O77" i="1"/>
  <c r="N77" i="1"/>
  <c r="L77" i="1"/>
  <c r="H77" i="1"/>
  <c r="I77" i="1" s="1"/>
  <c r="F77" i="1"/>
  <c r="C77" i="1"/>
  <c r="AD76" i="1"/>
  <c r="AC76" i="1"/>
  <c r="AA76" i="1"/>
  <c r="X76" i="1"/>
  <c r="W76" i="1"/>
  <c r="U76" i="1"/>
  <c r="R76" i="1"/>
  <c r="O76" i="1"/>
  <c r="N76" i="1"/>
  <c r="L76" i="1"/>
  <c r="H76" i="1"/>
  <c r="I76" i="1" s="1"/>
  <c r="F76" i="1"/>
  <c r="C76" i="1"/>
  <c r="AC75" i="1"/>
  <c r="AD75" i="1" s="1"/>
  <c r="AA75" i="1"/>
  <c r="X75" i="1"/>
  <c r="W75" i="1"/>
  <c r="U75" i="1"/>
  <c r="R75" i="1"/>
  <c r="N75" i="1"/>
  <c r="O75" i="1" s="1"/>
  <c r="L75" i="1"/>
  <c r="I75" i="1"/>
  <c r="H75" i="1"/>
  <c r="F75" i="1"/>
  <c r="C75" i="1"/>
  <c r="Z73" i="1"/>
  <c r="AA73" i="1" s="1"/>
  <c r="T73" i="1"/>
  <c r="U73" i="1" s="1"/>
  <c r="Q73" i="1"/>
  <c r="L73" i="1"/>
  <c r="K73" i="1"/>
  <c r="E73" i="1"/>
  <c r="F73" i="1" s="1"/>
  <c r="C73" i="1"/>
  <c r="B73" i="1"/>
  <c r="AD72" i="1"/>
  <c r="AC72" i="1"/>
  <c r="AA72" i="1"/>
  <c r="X72" i="1"/>
  <c r="W72" i="1"/>
  <c r="U72" i="1"/>
  <c r="R72" i="1"/>
  <c r="O72" i="1"/>
  <c r="N72" i="1"/>
  <c r="L72" i="1"/>
  <c r="H72" i="1"/>
  <c r="I72" i="1" s="1"/>
  <c r="F72" i="1"/>
  <c r="C72" i="1"/>
  <c r="AD71" i="1"/>
  <c r="AC71" i="1"/>
  <c r="AA71" i="1"/>
  <c r="X71" i="1"/>
  <c r="W71" i="1"/>
  <c r="U71" i="1"/>
  <c r="R71" i="1"/>
  <c r="N71" i="1"/>
  <c r="O71" i="1" s="1"/>
  <c r="L71" i="1"/>
  <c r="I71" i="1"/>
  <c r="H71" i="1"/>
  <c r="F71" i="1"/>
  <c r="C71" i="1"/>
  <c r="AC70" i="1"/>
  <c r="AD70" i="1" s="1"/>
  <c r="AA70" i="1"/>
  <c r="W70" i="1"/>
  <c r="X70" i="1" s="1"/>
  <c r="U70" i="1"/>
  <c r="R70" i="1"/>
  <c r="O70" i="1"/>
  <c r="N70" i="1"/>
  <c r="L70" i="1"/>
  <c r="H70" i="1"/>
  <c r="I70" i="1" s="1"/>
  <c r="F70" i="1"/>
  <c r="C70" i="1"/>
  <c r="AC69" i="1"/>
  <c r="AD69" i="1" s="1"/>
  <c r="AA69" i="1"/>
  <c r="X69" i="1"/>
  <c r="W69" i="1"/>
  <c r="U69" i="1"/>
  <c r="R69" i="1"/>
  <c r="O69" i="1"/>
  <c r="N69" i="1"/>
  <c r="L69" i="1"/>
  <c r="H69" i="1"/>
  <c r="I69" i="1" s="1"/>
  <c r="F69" i="1"/>
  <c r="C69" i="1"/>
  <c r="AD68" i="1"/>
  <c r="AC68" i="1"/>
  <c r="AA68" i="1"/>
  <c r="X68" i="1"/>
  <c r="W68" i="1"/>
  <c r="U68" i="1"/>
  <c r="R68" i="1"/>
  <c r="O68" i="1"/>
  <c r="N68" i="1"/>
  <c r="L68" i="1"/>
  <c r="H68" i="1"/>
  <c r="I68" i="1" s="1"/>
  <c r="F68" i="1"/>
  <c r="C68" i="1"/>
  <c r="AC67" i="1"/>
  <c r="AD67" i="1" s="1"/>
  <c r="AA67" i="1"/>
  <c r="X67" i="1"/>
  <c r="W67" i="1"/>
  <c r="U67" i="1"/>
  <c r="R67" i="1"/>
  <c r="O67" i="1"/>
  <c r="N67" i="1"/>
  <c r="L67" i="1"/>
  <c r="I67" i="1"/>
  <c r="H67" i="1"/>
  <c r="F67" i="1"/>
  <c r="C67" i="1"/>
  <c r="AC66" i="1"/>
  <c r="AD66" i="1" s="1"/>
  <c r="AA66" i="1"/>
  <c r="W66" i="1"/>
  <c r="X66" i="1" s="1"/>
  <c r="U66" i="1"/>
  <c r="R66" i="1"/>
  <c r="O66" i="1"/>
  <c r="N66" i="1"/>
  <c r="L66" i="1"/>
  <c r="I66" i="1"/>
  <c r="H66" i="1"/>
  <c r="F66" i="1"/>
  <c r="C66" i="1"/>
  <c r="AC65" i="1"/>
  <c r="AD65" i="1" s="1"/>
  <c r="AA65" i="1"/>
  <c r="W65" i="1"/>
  <c r="X65" i="1" s="1"/>
  <c r="U65" i="1"/>
  <c r="R65" i="1"/>
  <c r="O65" i="1"/>
  <c r="N65" i="1"/>
  <c r="L65" i="1"/>
  <c r="H65" i="1"/>
  <c r="I65" i="1" s="1"/>
  <c r="F65" i="1"/>
  <c r="C65" i="1"/>
  <c r="AD64" i="1"/>
  <c r="AC64" i="1"/>
  <c r="AA64" i="1"/>
  <c r="X64" i="1"/>
  <c r="W64" i="1"/>
  <c r="U64" i="1"/>
  <c r="R64" i="1"/>
  <c r="N64" i="1"/>
  <c r="O64" i="1" s="1"/>
  <c r="L64" i="1"/>
  <c r="H64" i="1"/>
  <c r="I64" i="1" s="1"/>
  <c r="F64" i="1"/>
  <c r="C64" i="1"/>
  <c r="AD62" i="1"/>
  <c r="AC62" i="1"/>
  <c r="AA62" i="1"/>
  <c r="Z62" i="1"/>
  <c r="T62" i="1"/>
  <c r="U62" i="1" s="1"/>
  <c r="R62" i="1"/>
  <c r="Q62" i="1"/>
  <c r="W62" i="1" s="1"/>
  <c r="X62" i="1" s="1"/>
  <c r="K62" i="1"/>
  <c r="L62" i="1" s="1"/>
  <c r="E62" i="1"/>
  <c r="H62" i="1" s="1"/>
  <c r="I62" i="1" s="1"/>
  <c r="C62" i="1"/>
  <c r="B62" i="1"/>
  <c r="N62" i="1" s="1"/>
  <c r="O62" i="1" s="1"/>
  <c r="Z61" i="1"/>
  <c r="AA61" i="1" s="1"/>
  <c r="W61" i="1"/>
  <c r="X61" i="1" s="1"/>
  <c r="U61" i="1"/>
  <c r="T61" i="1"/>
  <c r="Q61" i="1"/>
  <c r="R61" i="1" s="1"/>
  <c r="L61" i="1"/>
  <c r="K61" i="1"/>
  <c r="E61" i="1"/>
  <c r="F61" i="1" s="1"/>
  <c r="B61" i="1"/>
  <c r="AC60" i="1"/>
  <c r="AD60" i="1" s="1"/>
  <c r="AA60" i="1"/>
  <c r="X60" i="1"/>
  <c r="W60" i="1"/>
  <c r="U60" i="1"/>
  <c r="R60" i="1"/>
  <c r="O60" i="1"/>
  <c r="N60" i="1"/>
  <c r="L60" i="1"/>
  <c r="I60" i="1"/>
  <c r="H60" i="1"/>
  <c r="F60" i="1"/>
  <c r="C60" i="1"/>
  <c r="AC59" i="1"/>
  <c r="AD59" i="1" s="1"/>
  <c r="AA59" i="1"/>
  <c r="X59" i="1"/>
  <c r="W59" i="1"/>
  <c r="U59" i="1"/>
  <c r="R59" i="1"/>
  <c r="O59" i="1"/>
  <c r="N59" i="1"/>
  <c r="L59" i="1"/>
  <c r="I59" i="1"/>
  <c r="H59" i="1"/>
  <c r="F59" i="1"/>
  <c r="C59" i="1"/>
  <c r="AC58" i="1"/>
  <c r="AD58" i="1" s="1"/>
  <c r="AA58" i="1"/>
  <c r="W58" i="1"/>
  <c r="X58" i="1" s="1"/>
  <c r="U58" i="1"/>
  <c r="R58" i="1"/>
  <c r="O58" i="1"/>
  <c r="N58" i="1"/>
  <c r="L58" i="1"/>
  <c r="H58" i="1"/>
  <c r="I58" i="1" s="1"/>
  <c r="F58" i="1"/>
  <c r="C58" i="1"/>
  <c r="AD57" i="1"/>
  <c r="AC57" i="1"/>
  <c r="AA57" i="1"/>
  <c r="X57" i="1"/>
  <c r="W57" i="1"/>
  <c r="U57" i="1"/>
  <c r="R57" i="1"/>
  <c r="O57" i="1"/>
  <c r="N57" i="1"/>
  <c r="L57" i="1"/>
  <c r="H57" i="1"/>
  <c r="I57" i="1" s="1"/>
  <c r="F57" i="1"/>
  <c r="C57" i="1"/>
  <c r="AD56" i="1"/>
  <c r="AC56" i="1"/>
  <c r="AA56" i="1"/>
  <c r="X56" i="1"/>
  <c r="W56" i="1"/>
  <c r="U56" i="1"/>
  <c r="R56" i="1"/>
  <c r="O56" i="1"/>
  <c r="N56" i="1"/>
  <c r="L56" i="1"/>
  <c r="I56" i="1"/>
  <c r="H56" i="1"/>
  <c r="F56" i="1"/>
  <c r="C56" i="1"/>
  <c r="AC55" i="1"/>
  <c r="AD55" i="1" s="1"/>
  <c r="AA55" i="1"/>
  <c r="X55" i="1"/>
  <c r="W55" i="1"/>
  <c r="U55" i="1"/>
  <c r="R55" i="1"/>
  <c r="O55" i="1"/>
  <c r="N55" i="1"/>
  <c r="L55" i="1"/>
  <c r="I55" i="1"/>
  <c r="H55" i="1"/>
  <c r="F55" i="1"/>
  <c r="C55" i="1"/>
  <c r="AC54" i="1"/>
  <c r="AD54" i="1" s="1"/>
  <c r="AA54" i="1"/>
  <c r="X54" i="1"/>
  <c r="W54" i="1"/>
  <c r="U54" i="1"/>
  <c r="R54" i="1"/>
  <c r="O54" i="1"/>
  <c r="N54" i="1"/>
  <c r="L54" i="1"/>
  <c r="H54" i="1"/>
  <c r="I54" i="1" s="1"/>
  <c r="F54" i="1"/>
  <c r="C54" i="1"/>
  <c r="AD53" i="1"/>
  <c r="AC53" i="1"/>
  <c r="AA53" i="1"/>
  <c r="X53" i="1"/>
  <c r="W53" i="1"/>
  <c r="U53" i="1"/>
  <c r="R53" i="1"/>
  <c r="N53" i="1"/>
  <c r="O53" i="1" s="1"/>
  <c r="L53" i="1"/>
  <c r="H53" i="1"/>
  <c r="I53" i="1" s="1"/>
  <c r="F53" i="1"/>
  <c r="C53" i="1"/>
  <c r="AC52" i="1"/>
  <c r="AD52" i="1" s="1"/>
  <c r="AA52" i="1"/>
  <c r="X52" i="1"/>
  <c r="W52" i="1"/>
  <c r="U52" i="1"/>
  <c r="R52" i="1"/>
  <c r="N52" i="1"/>
  <c r="O52" i="1" s="1"/>
  <c r="L52" i="1"/>
  <c r="I52" i="1"/>
  <c r="H52" i="1"/>
  <c r="F52" i="1"/>
  <c r="C52" i="1"/>
  <c r="AC51" i="1"/>
  <c r="AD51" i="1" s="1"/>
  <c r="AA51" i="1"/>
  <c r="X51" i="1"/>
  <c r="W51" i="1"/>
  <c r="U51" i="1"/>
  <c r="R51" i="1"/>
  <c r="O51" i="1"/>
  <c r="N51" i="1"/>
  <c r="L51" i="1"/>
  <c r="H51" i="1"/>
  <c r="I51" i="1" s="1"/>
  <c r="F51" i="1"/>
  <c r="C51" i="1"/>
  <c r="AC50" i="1"/>
  <c r="AD50" i="1" s="1"/>
  <c r="AA50" i="1"/>
  <c r="W50" i="1"/>
  <c r="X50" i="1" s="1"/>
  <c r="U50" i="1"/>
  <c r="R50" i="1"/>
  <c r="O50" i="1"/>
  <c r="N50" i="1"/>
  <c r="L50" i="1"/>
  <c r="H50" i="1"/>
  <c r="I50" i="1" s="1"/>
  <c r="F50" i="1"/>
  <c r="C50" i="1"/>
  <c r="AD49" i="1"/>
  <c r="AC49" i="1"/>
  <c r="AA49" i="1"/>
  <c r="X49" i="1"/>
  <c r="W49" i="1"/>
  <c r="U49" i="1"/>
  <c r="R49" i="1"/>
  <c r="N49" i="1"/>
  <c r="O49" i="1" s="1"/>
  <c r="L49" i="1"/>
  <c r="H49" i="1"/>
  <c r="I49" i="1" s="1"/>
  <c r="F49" i="1"/>
  <c r="C49" i="1"/>
  <c r="AD48" i="1"/>
  <c r="AC48" i="1"/>
  <c r="AA48" i="1"/>
  <c r="X48" i="1"/>
  <c r="W48" i="1"/>
  <c r="U48" i="1"/>
  <c r="R48" i="1"/>
  <c r="O48" i="1"/>
  <c r="N48" i="1"/>
  <c r="L48" i="1"/>
  <c r="I48" i="1"/>
  <c r="H48" i="1"/>
  <c r="F48" i="1"/>
  <c r="C48" i="1"/>
  <c r="AC47" i="1"/>
  <c r="AD47" i="1" s="1"/>
  <c r="AA47" i="1"/>
  <c r="X47" i="1"/>
  <c r="W47" i="1"/>
  <c r="U47" i="1"/>
  <c r="R47" i="1"/>
  <c r="O47" i="1"/>
  <c r="N47" i="1"/>
  <c r="L47" i="1"/>
  <c r="I47" i="1"/>
  <c r="H47" i="1"/>
  <c r="F47" i="1"/>
  <c r="C47" i="1"/>
  <c r="AC46" i="1"/>
  <c r="AD46" i="1" s="1"/>
  <c r="AA46" i="1"/>
  <c r="X46" i="1"/>
  <c r="W46" i="1"/>
  <c r="U46" i="1"/>
  <c r="R46" i="1"/>
  <c r="O46" i="1"/>
  <c r="N46" i="1"/>
  <c r="L46" i="1"/>
  <c r="H46" i="1"/>
  <c r="I46" i="1" s="1"/>
  <c r="F46" i="1"/>
  <c r="C46" i="1"/>
  <c r="AD44" i="1"/>
  <c r="AC44" i="1"/>
  <c r="AA44" i="1"/>
  <c r="X44" i="1"/>
  <c r="W44" i="1"/>
  <c r="U44" i="1"/>
  <c r="R44" i="1"/>
  <c r="N44" i="1"/>
  <c r="O44" i="1" s="1"/>
  <c r="L44" i="1"/>
  <c r="H44" i="1"/>
  <c r="I44" i="1" s="1"/>
  <c r="F44" i="1"/>
  <c r="C44" i="1"/>
  <c r="AC43" i="1"/>
  <c r="AD43" i="1" s="1"/>
  <c r="AA43" i="1"/>
  <c r="X43" i="1"/>
  <c r="W43" i="1"/>
  <c r="U43" i="1"/>
  <c r="R43" i="1"/>
  <c r="N43" i="1"/>
  <c r="O43" i="1" s="1"/>
  <c r="L43" i="1"/>
  <c r="I43" i="1"/>
  <c r="H43" i="1"/>
  <c r="F43" i="1"/>
  <c r="C43" i="1"/>
  <c r="AC42" i="1"/>
  <c r="AD42" i="1" s="1"/>
  <c r="AA42" i="1"/>
  <c r="W42" i="1"/>
  <c r="X42" i="1" s="1"/>
  <c r="U42" i="1"/>
  <c r="R42" i="1"/>
  <c r="O42" i="1"/>
  <c r="N42" i="1"/>
  <c r="L42" i="1"/>
  <c r="H42" i="1"/>
  <c r="I42" i="1" s="1"/>
  <c r="F42" i="1"/>
  <c r="C42" i="1"/>
  <c r="Z40" i="1"/>
  <c r="AA40" i="1" s="1"/>
  <c r="X40" i="1"/>
  <c r="W40" i="1"/>
  <c r="U40" i="1"/>
  <c r="T40" i="1"/>
  <c r="Q40" i="1"/>
  <c r="R40" i="1" s="1"/>
  <c r="N40" i="1"/>
  <c r="O40" i="1" s="1"/>
  <c r="K40" i="1"/>
  <c r="L40" i="1" s="1"/>
  <c r="E40" i="1"/>
  <c r="F40" i="1" s="1"/>
  <c r="B40" i="1"/>
  <c r="AC39" i="1"/>
  <c r="AD39" i="1" s="1"/>
  <c r="AA39" i="1"/>
  <c r="X39" i="1"/>
  <c r="W39" i="1"/>
  <c r="U39" i="1"/>
  <c r="R39" i="1"/>
  <c r="O39" i="1"/>
  <c r="N39" i="1"/>
  <c r="L39" i="1"/>
  <c r="I39" i="1"/>
  <c r="H39" i="1"/>
  <c r="F39" i="1"/>
  <c r="C39" i="1"/>
  <c r="AC38" i="1"/>
  <c r="AD38" i="1" s="1"/>
  <c r="AA38" i="1"/>
  <c r="W38" i="1"/>
  <c r="X38" i="1" s="1"/>
  <c r="U38" i="1"/>
  <c r="R38" i="1"/>
  <c r="O38" i="1"/>
  <c r="N38" i="1"/>
  <c r="L38" i="1"/>
  <c r="I38" i="1"/>
  <c r="H38" i="1"/>
  <c r="F38" i="1"/>
  <c r="C38" i="1"/>
  <c r="AC37" i="1"/>
  <c r="AD37" i="1" s="1"/>
  <c r="AA37" i="1"/>
  <c r="X37" i="1"/>
  <c r="W37" i="1"/>
  <c r="U37" i="1"/>
  <c r="R37" i="1"/>
  <c r="O37" i="1"/>
  <c r="N37" i="1"/>
  <c r="L37" i="1"/>
  <c r="H37" i="1"/>
  <c r="I37" i="1" s="1"/>
  <c r="F37" i="1"/>
  <c r="C37" i="1"/>
  <c r="AD36" i="1"/>
  <c r="AC36" i="1"/>
  <c r="AA36" i="1"/>
  <c r="X36" i="1"/>
  <c r="W36" i="1"/>
  <c r="U36" i="1"/>
  <c r="R36" i="1"/>
  <c r="N36" i="1"/>
  <c r="O36" i="1" s="1"/>
  <c r="L36" i="1"/>
  <c r="H36" i="1"/>
  <c r="I36" i="1" s="1"/>
  <c r="F36" i="1"/>
  <c r="C36" i="1"/>
  <c r="AD35" i="1"/>
  <c r="AC35" i="1"/>
  <c r="AA35" i="1"/>
  <c r="X35" i="1"/>
  <c r="W35" i="1"/>
  <c r="U35" i="1"/>
  <c r="R35" i="1"/>
  <c r="N35" i="1"/>
  <c r="O35" i="1" s="1"/>
  <c r="L35" i="1"/>
  <c r="I35" i="1"/>
  <c r="H35" i="1"/>
  <c r="F35" i="1"/>
  <c r="C35" i="1"/>
  <c r="AC34" i="1"/>
  <c r="AD34" i="1" s="1"/>
  <c r="AA34" i="1"/>
  <c r="X34" i="1"/>
  <c r="W34" i="1"/>
  <c r="U34" i="1"/>
  <c r="R34" i="1"/>
  <c r="O34" i="1"/>
  <c r="N34" i="1"/>
  <c r="L34" i="1"/>
  <c r="H34" i="1"/>
  <c r="I34" i="1" s="1"/>
  <c r="F34" i="1"/>
  <c r="C34" i="1"/>
  <c r="AC33" i="1"/>
  <c r="AD33" i="1" s="1"/>
  <c r="AA33" i="1"/>
  <c r="X33" i="1"/>
  <c r="W33" i="1"/>
  <c r="U33" i="1"/>
  <c r="R33" i="1"/>
  <c r="O33" i="1"/>
  <c r="N33" i="1"/>
  <c r="L33" i="1"/>
  <c r="H33" i="1"/>
  <c r="I33" i="1" s="1"/>
  <c r="F33" i="1"/>
  <c r="C33" i="1"/>
  <c r="AD32" i="1"/>
  <c r="AC32" i="1"/>
  <c r="AA32" i="1"/>
  <c r="X32" i="1"/>
  <c r="W32" i="1"/>
  <c r="U32" i="1"/>
  <c r="R32" i="1"/>
  <c r="O32" i="1"/>
  <c r="N32" i="1"/>
  <c r="L32" i="1"/>
  <c r="H32" i="1"/>
  <c r="I32" i="1" s="1"/>
  <c r="F32" i="1"/>
  <c r="C32" i="1"/>
  <c r="AD31" i="1"/>
  <c r="AC31" i="1"/>
  <c r="AA31" i="1"/>
  <c r="X31" i="1"/>
  <c r="W31" i="1"/>
  <c r="U31" i="1"/>
  <c r="R31" i="1"/>
  <c r="O31" i="1"/>
  <c r="N31" i="1"/>
  <c r="L31" i="1"/>
  <c r="I31" i="1"/>
  <c r="H31" i="1"/>
  <c r="F31" i="1"/>
  <c r="C31" i="1"/>
  <c r="Z29" i="1"/>
  <c r="AC29" i="1" s="1"/>
  <c r="AD29" i="1" s="1"/>
  <c r="T29" i="1"/>
  <c r="U29" i="1" s="1"/>
  <c r="Q29" i="1"/>
  <c r="L29" i="1"/>
  <c r="K29" i="1"/>
  <c r="E29" i="1"/>
  <c r="F29" i="1" s="1"/>
  <c r="B29" i="1"/>
  <c r="AD28" i="1"/>
  <c r="AC28" i="1"/>
  <c r="AA28" i="1"/>
  <c r="X28" i="1"/>
  <c r="W28" i="1"/>
  <c r="U28" i="1"/>
  <c r="R28" i="1"/>
  <c r="O28" i="1"/>
  <c r="N28" i="1"/>
  <c r="L28" i="1"/>
  <c r="H28" i="1"/>
  <c r="I28" i="1" s="1"/>
  <c r="F28" i="1"/>
  <c r="C28" i="1"/>
  <c r="AC27" i="1"/>
  <c r="AD27" i="1" s="1"/>
  <c r="AA27" i="1"/>
  <c r="X27" i="1"/>
  <c r="W27" i="1"/>
  <c r="U27" i="1"/>
  <c r="R27" i="1"/>
  <c r="O27" i="1"/>
  <c r="N27" i="1"/>
  <c r="L27" i="1"/>
  <c r="I27" i="1"/>
  <c r="H27" i="1"/>
  <c r="F27" i="1"/>
  <c r="C27" i="1"/>
  <c r="AC26" i="1"/>
  <c r="AD26" i="1" s="1"/>
  <c r="AA26" i="1"/>
  <c r="W26" i="1"/>
  <c r="X26" i="1" s="1"/>
  <c r="U26" i="1"/>
  <c r="R26" i="1"/>
  <c r="O26" i="1"/>
  <c r="N26" i="1"/>
  <c r="L26" i="1"/>
  <c r="I26" i="1"/>
  <c r="H26" i="1"/>
  <c r="F26" i="1"/>
  <c r="C26" i="1"/>
  <c r="AC25" i="1"/>
  <c r="AD25" i="1" s="1"/>
  <c r="AA25" i="1"/>
  <c r="X25" i="1"/>
  <c r="W25" i="1"/>
  <c r="U25" i="1"/>
  <c r="R25" i="1"/>
  <c r="O25" i="1"/>
  <c r="N25" i="1"/>
  <c r="L25" i="1"/>
  <c r="H25" i="1"/>
  <c r="I25" i="1" s="1"/>
  <c r="F25" i="1"/>
  <c r="C25" i="1"/>
  <c r="AD24" i="1"/>
  <c r="AC24" i="1"/>
  <c r="AA24" i="1"/>
  <c r="X24" i="1"/>
  <c r="W24" i="1"/>
  <c r="U24" i="1"/>
  <c r="R24" i="1"/>
  <c r="N24" i="1"/>
  <c r="O24" i="1" s="1"/>
  <c r="L24" i="1"/>
  <c r="H24" i="1"/>
  <c r="I24" i="1" s="1"/>
  <c r="F24" i="1"/>
  <c r="C24" i="1"/>
  <c r="AD23" i="1"/>
  <c r="AC23" i="1"/>
  <c r="AA23" i="1"/>
  <c r="X23" i="1"/>
  <c r="W23" i="1"/>
  <c r="U23" i="1"/>
  <c r="R23" i="1"/>
  <c r="N23" i="1"/>
  <c r="O23" i="1" s="1"/>
  <c r="L23" i="1"/>
  <c r="I23" i="1"/>
  <c r="H23" i="1"/>
  <c r="F23" i="1"/>
  <c r="C23" i="1"/>
  <c r="AC22" i="1"/>
  <c r="AD22" i="1" s="1"/>
  <c r="AA22" i="1"/>
  <c r="X22" i="1"/>
  <c r="W22" i="1"/>
  <c r="U22" i="1"/>
  <c r="R22" i="1"/>
  <c r="O22" i="1"/>
  <c r="N22" i="1"/>
  <c r="L22" i="1"/>
  <c r="H22" i="1"/>
  <c r="I22" i="1" s="1"/>
  <c r="F22" i="1"/>
  <c r="C22" i="1"/>
  <c r="AC21" i="1"/>
  <c r="AD21" i="1" s="1"/>
  <c r="AA21" i="1"/>
  <c r="W21" i="1"/>
  <c r="X21" i="1" s="1"/>
  <c r="U21" i="1"/>
  <c r="R21" i="1"/>
  <c r="O21" i="1"/>
  <c r="N21" i="1"/>
  <c r="L21" i="1"/>
  <c r="H21" i="1"/>
  <c r="I21" i="1" s="1"/>
  <c r="F21" i="1"/>
  <c r="C21" i="1"/>
  <c r="AD19" i="1"/>
  <c r="AC19" i="1"/>
  <c r="AA19" i="1"/>
  <c r="X19" i="1"/>
  <c r="W19" i="1"/>
  <c r="U19" i="1"/>
  <c r="R19" i="1"/>
  <c r="O19" i="1"/>
  <c r="N19" i="1"/>
  <c r="L19" i="1"/>
  <c r="H19" i="1"/>
  <c r="I19" i="1" s="1"/>
  <c r="F19" i="1"/>
  <c r="C19" i="1"/>
  <c r="AC18" i="1"/>
  <c r="AD18" i="1" s="1"/>
  <c r="AA18" i="1"/>
  <c r="Z18" i="1"/>
  <c r="T18" i="1"/>
  <c r="U18" i="1" s="1"/>
  <c r="R18" i="1"/>
  <c r="Q18" i="1"/>
  <c r="O18" i="1"/>
  <c r="K18" i="1"/>
  <c r="L18" i="1" s="1"/>
  <c r="H18" i="1"/>
  <c r="I18" i="1" s="1"/>
  <c r="F18" i="1"/>
  <c r="E18" i="1"/>
  <c r="C18" i="1"/>
  <c r="B18" i="1"/>
  <c r="N18" i="1" s="1"/>
  <c r="AC17" i="1"/>
  <c r="AD17" i="1" s="1"/>
  <c r="AA17" i="1"/>
  <c r="W17" i="1"/>
  <c r="X17" i="1" s="1"/>
  <c r="U17" i="1"/>
  <c r="R17" i="1"/>
  <c r="O17" i="1"/>
  <c r="N17" i="1"/>
  <c r="L17" i="1"/>
  <c r="H17" i="1"/>
  <c r="I17" i="1" s="1"/>
  <c r="F17" i="1"/>
  <c r="C17" i="1"/>
  <c r="AD16" i="1"/>
  <c r="AC16" i="1"/>
  <c r="AA16" i="1"/>
  <c r="X16" i="1"/>
  <c r="W16" i="1"/>
  <c r="U16" i="1"/>
  <c r="R16" i="1"/>
  <c r="N16" i="1"/>
  <c r="O16" i="1" s="1"/>
  <c r="L16" i="1"/>
  <c r="H16" i="1"/>
  <c r="I16" i="1" s="1"/>
  <c r="F16" i="1"/>
  <c r="C16" i="1"/>
  <c r="AD15" i="1"/>
  <c r="AC15" i="1"/>
  <c r="AA15" i="1"/>
  <c r="X15" i="1"/>
  <c r="W15" i="1"/>
  <c r="U15" i="1"/>
  <c r="R15" i="1"/>
  <c r="N15" i="1"/>
  <c r="O15" i="1" s="1"/>
  <c r="L15" i="1"/>
  <c r="I15" i="1"/>
  <c r="H15" i="1"/>
  <c r="F15" i="1"/>
  <c r="C15" i="1"/>
  <c r="AC14" i="1"/>
  <c r="AD14" i="1" s="1"/>
  <c r="AA14" i="1"/>
  <c r="W14" i="1"/>
  <c r="X14" i="1" s="1"/>
  <c r="U14" i="1"/>
  <c r="R14" i="1"/>
  <c r="O14" i="1"/>
  <c r="N14" i="1"/>
  <c r="L14" i="1"/>
  <c r="H14" i="1"/>
  <c r="I14" i="1" s="1"/>
  <c r="F14" i="1"/>
  <c r="C14" i="1"/>
  <c r="AC13" i="1"/>
  <c r="AD13" i="1" s="1"/>
  <c r="AA13" i="1"/>
  <c r="X13" i="1"/>
  <c r="W13" i="1"/>
  <c r="U13" i="1"/>
  <c r="R13" i="1"/>
  <c r="O13" i="1"/>
  <c r="N13" i="1"/>
  <c r="L13" i="1"/>
  <c r="H13" i="1"/>
  <c r="I13" i="1" s="1"/>
  <c r="F13" i="1"/>
  <c r="C13" i="1"/>
  <c r="AD12" i="1"/>
  <c r="AC12" i="1"/>
  <c r="AA12" i="1"/>
  <c r="X12" i="1"/>
  <c r="W12" i="1"/>
  <c r="U12" i="1"/>
  <c r="R12" i="1"/>
  <c r="O12" i="1"/>
  <c r="N12" i="1"/>
  <c r="L12" i="1"/>
  <c r="H12" i="1"/>
  <c r="I12" i="1" s="1"/>
  <c r="F12" i="1"/>
  <c r="C12" i="1"/>
  <c r="AC11" i="1"/>
  <c r="AD11" i="1" s="1"/>
  <c r="AA11" i="1"/>
  <c r="X11" i="1"/>
  <c r="W11" i="1"/>
  <c r="U11" i="1"/>
  <c r="R11" i="1"/>
  <c r="O11" i="1"/>
  <c r="N11" i="1"/>
  <c r="L11" i="1"/>
  <c r="I11" i="1"/>
  <c r="H11" i="1"/>
  <c r="F11" i="1"/>
  <c r="C11" i="1"/>
  <c r="AC10" i="1"/>
  <c r="AD10" i="1" s="1"/>
  <c r="AA10" i="1"/>
  <c r="W10" i="1"/>
  <c r="X10" i="1" s="1"/>
  <c r="U10" i="1"/>
  <c r="R10" i="1"/>
  <c r="O10" i="1"/>
  <c r="N10" i="1"/>
  <c r="L10" i="1"/>
  <c r="I10" i="1"/>
  <c r="H10" i="1"/>
  <c r="F10" i="1"/>
  <c r="C10" i="1"/>
  <c r="AC8" i="1"/>
  <c r="AD8" i="1" s="1"/>
  <c r="AA8" i="1"/>
  <c r="W8" i="1"/>
  <c r="X8" i="1" s="1"/>
  <c r="U8" i="1"/>
  <c r="R8" i="1"/>
  <c r="O8" i="1"/>
  <c r="N8" i="1"/>
  <c r="L8" i="1"/>
  <c r="H8" i="1"/>
  <c r="I8" i="1" s="1"/>
  <c r="F8" i="1"/>
  <c r="C8" i="1"/>
  <c r="AA29" i="1" l="1"/>
  <c r="C40" i="1"/>
  <c r="H40" i="1"/>
  <c r="I40" i="1" s="1"/>
  <c r="H73" i="1"/>
  <c r="I73" i="1" s="1"/>
  <c r="N73" i="1"/>
  <c r="O73" i="1" s="1"/>
  <c r="C61" i="1"/>
  <c r="H61" i="1"/>
  <c r="I61" i="1" s="1"/>
  <c r="N61" i="1"/>
  <c r="O61" i="1" s="1"/>
  <c r="H29" i="1"/>
  <c r="I29" i="1" s="1"/>
  <c r="N29" i="1"/>
  <c r="O29" i="1" s="1"/>
  <c r="F62" i="1"/>
  <c r="R73" i="1"/>
  <c r="W73" i="1"/>
  <c r="X73" i="1" s="1"/>
  <c r="AC73" i="1"/>
  <c r="AD73" i="1" s="1"/>
  <c r="C29" i="1"/>
  <c r="R29" i="1"/>
  <c r="W29" i="1"/>
  <c r="X29" i="1" s="1"/>
  <c r="W118" i="1"/>
  <c r="X118" i="1" s="1"/>
  <c r="E172" i="1"/>
  <c r="AC193" i="1"/>
  <c r="AD193" i="1" s="1"/>
  <c r="H325" i="1"/>
  <c r="I325" i="1" s="1"/>
  <c r="I390" i="1"/>
  <c r="I423" i="1"/>
  <c r="I435" i="1"/>
  <c r="I440" i="1"/>
  <c r="C442" i="1"/>
  <c r="H442" i="1"/>
  <c r="I442" i="1" s="1"/>
  <c r="W29" i="2"/>
  <c r="X29" i="2" s="1"/>
  <c r="R88" i="2"/>
  <c r="W88" i="2"/>
  <c r="X88" i="2" s="1"/>
  <c r="U124" i="2"/>
  <c r="C88" i="1"/>
  <c r="H88" i="1"/>
  <c r="I88" i="1" s="1"/>
  <c r="R141" i="1"/>
  <c r="W141" i="1"/>
  <c r="X141" i="1" s="1"/>
  <c r="C148" i="1"/>
  <c r="H148" i="1"/>
  <c r="I148" i="1" s="1"/>
  <c r="AC149" i="1"/>
  <c r="AD149" i="1" s="1"/>
  <c r="C197" i="1"/>
  <c r="H197" i="1"/>
  <c r="I197" i="1" s="1"/>
  <c r="AC295" i="1"/>
  <c r="AD295" i="1" s="1"/>
  <c r="W441" i="1"/>
  <c r="X441" i="1" s="1"/>
  <c r="N40" i="2"/>
  <c r="O40" i="2" s="1"/>
  <c r="R166" i="2"/>
  <c r="W166" i="2"/>
  <c r="X166" i="2" s="1"/>
  <c r="AC166" i="2"/>
  <c r="AD166" i="2" s="1"/>
  <c r="H141" i="1"/>
  <c r="I141" i="1" s="1"/>
  <c r="W166" i="1"/>
  <c r="X166" i="1" s="1"/>
  <c r="W196" i="1"/>
  <c r="X196" i="1" s="1"/>
  <c r="L209" i="1"/>
  <c r="L218" i="1"/>
  <c r="F343" i="1"/>
  <c r="W358" i="1"/>
  <c r="X358" i="1" s="1"/>
  <c r="C396" i="1"/>
  <c r="H396" i="1"/>
  <c r="I396" i="1" s="1"/>
  <c r="R441" i="1"/>
  <c r="U62" i="2"/>
  <c r="R73" i="2"/>
  <c r="C88" i="2"/>
  <c r="L122" i="2"/>
  <c r="R158" i="2"/>
  <c r="AC158" i="2"/>
  <c r="AD158" i="2" s="1"/>
  <c r="C198" i="2"/>
  <c r="B345" i="2"/>
  <c r="C141" i="1"/>
  <c r="R171" i="1"/>
  <c r="W171" i="1"/>
  <c r="X171" i="1" s="1"/>
  <c r="R196" i="1"/>
  <c r="C262" i="1"/>
  <c r="H262" i="1"/>
  <c r="I262" i="1" s="1"/>
  <c r="L273" i="1"/>
  <c r="AA325" i="1"/>
  <c r="C342" i="1"/>
  <c r="H342" i="1"/>
  <c r="I342" i="1" s="1"/>
  <c r="L368" i="1"/>
  <c r="C403" i="1"/>
  <c r="H403" i="1"/>
  <c r="I403" i="1" s="1"/>
  <c r="R40" i="2"/>
  <c r="W40" i="2"/>
  <c r="X40" i="2" s="1"/>
  <c r="R61" i="2"/>
  <c r="W61" i="2"/>
  <c r="X61" i="2" s="1"/>
  <c r="L149" i="2"/>
  <c r="W172" i="4"/>
  <c r="X172" i="4" s="1"/>
  <c r="Q198" i="4"/>
  <c r="R172" i="4"/>
  <c r="F118" i="1"/>
  <c r="B172" i="1"/>
  <c r="H171" i="1"/>
  <c r="I171" i="1" s="1"/>
  <c r="K198" i="1"/>
  <c r="L172" i="1"/>
  <c r="U324" i="1"/>
  <c r="C393" i="1"/>
  <c r="H393" i="1"/>
  <c r="I393" i="1" s="1"/>
  <c r="U429" i="1"/>
  <c r="L442" i="1"/>
  <c r="K172" i="2"/>
  <c r="L124" i="2"/>
  <c r="AC172" i="2"/>
  <c r="AD172" i="2" s="1"/>
  <c r="W18" i="1"/>
  <c r="X18" i="1" s="1"/>
  <c r="W124" i="1"/>
  <c r="X124" i="1" s="1"/>
  <c r="Q172" i="1"/>
  <c r="R149" i="1"/>
  <c r="C171" i="1"/>
  <c r="U182" i="1"/>
  <c r="F227" i="1"/>
  <c r="W267" i="1"/>
  <c r="X267" i="1" s="1"/>
  <c r="R295" i="1"/>
  <c r="C344" i="1"/>
  <c r="H344" i="1"/>
  <c r="I344" i="1" s="1"/>
  <c r="R428" i="1"/>
  <c r="W428" i="1"/>
  <c r="X428" i="1" s="1"/>
  <c r="F441" i="1"/>
  <c r="C40" i="2"/>
  <c r="C61" i="2"/>
  <c r="F73" i="2"/>
  <c r="R141" i="2"/>
  <c r="AA148" i="2"/>
  <c r="R149" i="2"/>
  <c r="W149" i="2"/>
  <c r="X149" i="2" s="1"/>
  <c r="W158" i="2"/>
  <c r="X158" i="2" s="1"/>
  <c r="C166" i="2"/>
  <c r="H166" i="2"/>
  <c r="I166" i="2" s="1"/>
  <c r="N88" i="1"/>
  <c r="O88" i="1" s="1"/>
  <c r="AC141" i="1"/>
  <c r="AD141" i="1" s="1"/>
  <c r="N148" i="1"/>
  <c r="O148" i="1" s="1"/>
  <c r="AA172" i="1"/>
  <c r="Z198" i="1"/>
  <c r="T172" i="1"/>
  <c r="N197" i="1"/>
  <c r="O197" i="1" s="1"/>
  <c r="C209" i="1"/>
  <c r="H209" i="1"/>
  <c r="I209" i="1" s="1"/>
  <c r="C218" i="1"/>
  <c r="H218" i="1"/>
  <c r="I218" i="1" s="1"/>
  <c r="AC227" i="1"/>
  <c r="AD227" i="1" s="1"/>
  <c r="R267" i="1"/>
  <c r="AC441" i="1"/>
  <c r="AD441" i="1" s="1"/>
  <c r="AC73" i="2"/>
  <c r="AD73" i="2" s="1"/>
  <c r="N88" i="2"/>
  <c r="O88" i="2" s="1"/>
  <c r="C122" i="2"/>
  <c r="H122" i="2"/>
  <c r="I122" i="2" s="1"/>
  <c r="C158" i="2"/>
  <c r="N158" i="2"/>
  <c r="O158" i="2" s="1"/>
  <c r="N141" i="1"/>
  <c r="O141" i="1" s="1"/>
  <c r="W158" i="1"/>
  <c r="X158" i="1" s="1"/>
  <c r="AC166" i="1"/>
  <c r="AD166" i="1" s="1"/>
  <c r="AC196" i="1"/>
  <c r="AD196" i="1" s="1"/>
  <c r="C273" i="1"/>
  <c r="H273" i="1"/>
  <c r="I273" i="1" s="1"/>
  <c r="R325" i="1"/>
  <c r="W325" i="1"/>
  <c r="X325" i="1" s="1"/>
  <c r="AC358" i="1"/>
  <c r="AD358" i="1" s="1"/>
  <c r="C368" i="1"/>
  <c r="H368" i="1"/>
  <c r="I368" i="1" s="1"/>
  <c r="N396" i="1"/>
  <c r="O396" i="1" s="1"/>
  <c r="U172" i="2"/>
  <c r="T198" i="2"/>
  <c r="X232" i="1"/>
  <c r="X241" i="1"/>
  <c r="X245" i="1"/>
  <c r="X249" i="1"/>
  <c r="X253" i="1"/>
  <c r="X257" i="1"/>
  <c r="X261" i="1"/>
  <c r="X272" i="1"/>
  <c r="X276" i="1"/>
  <c r="X280" i="1"/>
  <c r="X288" i="1"/>
  <c r="X292" i="1"/>
  <c r="X300" i="1"/>
  <c r="X304" i="1"/>
  <c r="X308" i="1"/>
  <c r="X312" i="1"/>
  <c r="X316" i="1"/>
  <c r="X320" i="1"/>
  <c r="X328" i="1"/>
  <c r="X332" i="1"/>
  <c r="X337" i="1"/>
  <c r="X341" i="1"/>
  <c r="X351" i="1"/>
  <c r="X355" i="1"/>
  <c r="X363" i="1"/>
  <c r="X367" i="1"/>
  <c r="X370" i="1"/>
  <c r="X374" i="1"/>
  <c r="X378" i="1"/>
  <c r="X382" i="1"/>
  <c r="X388" i="1"/>
  <c r="X392" i="1"/>
  <c r="X395" i="1"/>
  <c r="X398" i="1"/>
  <c r="X402" i="1"/>
  <c r="X410" i="1"/>
  <c r="X414" i="1"/>
  <c r="X418" i="1"/>
  <c r="X422" i="1"/>
  <c r="X426" i="1"/>
  <c r="X434" i="1"/>
  <c r="AD143" i="2"/>
  <c r="W148" i="2"/>
  <c r="X148" i="2" s="1"/>
  <c r="R170" i="2"/>
  <c r="W170" i="2"/>
  <c r="X170" i="2" s="1"/>
  <c r="H182" i="2"/>
  <c r="I182" i="2" s="1"/>
  <c r="AC193" i="2"/>
  <c r="AD193" i="2" s="1"/>
  <c r="R197" i="2"/>
  <c r="E198" i="2"/>
  <c r="R218" i="2"/>
  <c r="AD224" i="2"/>
  <c r="AD235" i="2"/>
  <c r="AD240" i="2"/>
  <c r="AD242" i="2"/>
  <c r="AD265" i="2"/>
  <c r="AD289" i="2"/>
  <c r="AD293" i="2"/>
  <c r="AD331" i="2"/>
  <c r="AD335" i="2"/>
  <c r="AD340" i="2"/>
  <c r="H342" i="2"/>
  <c r="I342" i="2" s="1"/>
  <c r="AC342" i="2"/>
  <c r="AD342" i="2" s="1"/>
  <c r="AD347" i="2"/>
  <c r="AD352" i="2"/>
  <c r="AD356" i="2"/>
  <c r="AD394" i="2"/>
  <c r="H396" i="2"/>
  <c r="I396" i="2" s="1"/>
  <c r="AC396" i="2"/>
  <c r="AD396" i="2" s="1"/>
  <c r="AD398" i="2"/>
  <c r="AD402" i="2"/>
  <c r="W403" i="2"/>
  <c r="X403" i="2" s="1"/>
  <c r="AD408" i="2"/>
  <c r="AD412" i="2"/>
  <c r="AD416" i="2"/>
  <c r="AD420" i="2"/>
  <c r="AD424" i="2"/>
  <c r="R429" i="2"/>
  <c r="W429" i="2"/>
  <c r="X429" i="2" s="1"/>
  <c r="X437" i="2"/>
  <c r="X433" i="2"/>
  <c r="X425" i="2"/>
  <c r="X421" i="2"/>
  <c r="X417" i="2"/>
  <c r="X413" i="2"/>
  <c r="X409" i="2"/>
  <c r="X401" i="2"/>
  <c r="X397" i="2"/>
  <c r="X394" i="2"/>
  <c r="X391" i="2"/>
  <c r="X386" i="2"/>
  <c r="X381" i="2"/>
  <c r="X377" i="2"/>
  <c r="X373" i="2"/>
  <c r="X369" i="2"/>
  <c r="X366" i="2"/>
  <c r="X362" i="2"/>
  <c r="X354" i="2"/>
  <c r="X350" i="2"/>
  <c r="X340" i="2"/>
  <c r="X335" i="2"/>
  <c r="X331" i="2"/>
  <c r="X323" i="2"/>
  <c r="X319" i="2"/>
  <c r="X315" i="2"/>
  <c r="X311" i="2"/>
  <c r="X307" i="2"/>
  <c r="X303" i="2"/>
  <c r="X299" i="2"/>
  <c r="X291" i="2"/>
  <c r="X287" i="2"/>
  <c r="X283" i="2"/>
  <c r="X279" i="2"/>
  <c r="X275" i="2"/>
  <c r="X271" i="2"/>
  <c r="X260" i="2"/>
  <c r="X256" i="2"/>
  <c r="X440" i="2"/>
  <c r="X436" i="2"/>
  <c r="X432" i="2"/>
  <c r="X424" i="2"/>
  <c r="X420" i="2"/>
  <c r="X416" i="2"/>
  <c r="X412" i="2"/>
  <c r="X408" i="2"/>
  <c r="X400" i="2"/>
  <c r="X390" i="2"/>
  <c r="X385" i="2"/>
  <c r="X380" i="2"/>
  <c r="X376" i="2"/>
  <c r="X372" i="2"/>
  <c r="X365" i="2"/>
  <c r="X361" i="2"/>
  <c r="X357" i="2"/>
  <c r="X353" i="2"/>
  <c r="X349" i="2"/>
  <c r="X339" i="2"/>
  <c r="X334" i="2"/>
  <c r="X330" i="2"/>
  <c r="X322" i="2"/>
  <c r="X318" i="2"/>
  <c r="X314" i="2"/>
  <c r="X310" i="2"/>
  <c r="X306" i="2"/>
  <c r="X302" i="2"/>
  <c r="X298" i="2"/>
  <c r="X294" i="2"/>
  <c r="X290" i="2"/>
  <c r="X286" i="2"/>
  <c r="X282" i="2"/>
  <c r="X278" i="2"/>
  <c r="X270" i="2"/>
  <c r="X266" i="2"/>
  <c r="X259" i="2"/>
  <c r="X255" i="2"/>
  <c r="X251" i="2"/>
  <c r="X247" i="2"/>
  <c r="X243" i="2"/>
  <c r="X238" i="2"/>
  <c r="X234" i="2"/>
  <c r="X230" i="2"/>
  <c r="X226" i="2"/>
  <c r="X222" i="2"/>
  <c r="X215" i="2"/>
  <c r="X206" i="2"/>
  <c r="X202" i="2"/>
  <c r="X195" i="2"/>
  <c r="X192" i="2"/>
  <c r="X188" i="2"/>
  <c r="X183" i="2"/>
  <c r="X180" i="2"/>
  <c r="X175" i="2"/>
  <c r="X168" i="2"/>
  <c r="X165" i="2"/>
  <c r="X161" i="2"/>
  <c r="N61" i="3"/>
  <c r="O61" i="3" s="1"/>
  <c r="W73" i="3"/>
  <c r="X73" i="3" s="1"/>
  <c r="AC88" i="3"/>
  <c r="AD88" i="3" s="1"/>
  <c r="B198" i="3"/>
  <c r="C172" i="3"/>
  <c r="H172" i="3"/>
  <c r="I172" i="3" s="1"/>
  <c r="N172" i="3"/>
  <c r="O172" i="3" s="1"/>
  <c r="N182" i="3"/>
  <c r="O182" i="3" s="1"/>
  <c r="W209" i="3"/>
  <c r="X209" i="3" s="1"/>
  <c r="U209" i="3"/>
  <c r="O12" i="4"/>
  <c r="O27" i="4"/>
  <c r="O65" i="4"/>
  <c r="O81" i="4"/>
  <c r="O85" i="4"/>
  <c r="O87" i="4"/>
  <c r="O88" i="4"/>
  <c r="O110" i="4"/>
  <c r="H118" i="4"/>
  <c r="I118" i="4" s="1"/>
  <c r="N118" i="4"/>
  <c r="O118" i="4" s="1"/>
  <c r="O133" i="4"/>
  <c r="O135" i="4"/>
  <c r="O137" i="4"/>
  <c r="O161" i="4"/>
  <c r="O163" i="4"/>
  <c r="F198" i="4"/>
  <c r="E345" i="4"/>
  <c r="O223" i="4"/>
  <c r="O438" i="4"/>
  <c r="N172" i="2"/>
  <c r="O172" i="2" s="1"/>
  <c r="R236" i="2"/>
  <c r="W236" i="2"/>
  <c r="X236" i="2" s="1"/>
  <c r="C263" i="2"/>
  <c r="H263" i="2"/>
  <c r="I263" i="2" s="1"/>
  <c r="W368" i="2"/>
  <c r="X368" i="2" s="1"/>
  <c r="H429" i="2"/>
  <c r="I429" i="2" s="1"/>
  <c r="H61" i="5"/>
  <c r="I61" i="5" s="1"/>
  <c r="N61" i="5"/>
  <c r="O61" i="5" s="1"/>
  <c r="R88" i="5"/>
  <c r="W88" i="5"/>
  <c r="X88" i="5" s="1"/>
  <c r="AC88" i="5"/>
  <c r="AD88" i="5" s="1"/>
  <c r="W197" i="2"/>
  <c r="X197" i="2" s="1"/>
  <c r="F209" i="2"/>
  <c r="W218" i="2"/>
  <c r="X218" i="2" s="1"/>
  <c r="W262" i="2"/>
  <c r="X262" i="2" s="1"/>
  <c r="L267" i="2"/>
  <c r="R273" i="2"/>
  <c r="L295" i="2"/>
  <c r="AA324" i="2"/>
  <c r="C343" i="2"/>
  <c r="H343" i="2"/>
  <c r="I343" i="2" s="1"/>
  <c r="C429" i="2"/>
  <c r="C18" i="3"/>
  <c r="H18" i="3"/>
  <c r="I18" i="3" s="1"/>
  <c r="R61" i="3"/>
  <c r="W61" i="3"/>
  <c r="X61" i="3" s="1"/>
  <c r="AC61" i="3"/>
  <c r="AD61" i="3" s="1"/>
  <c r="W149" i="3"/>
  <c r="X149" i="3" s="1"/>
  <c r="U149" i="3"/>
  <c r="W166" i="3"/>
  <c r="X166" i="3" s="1"/>
  <c r="U166" i="3"/>
  <c r="AA284" i="3"/>
  <c r="H358" i="3"/>
  <c r="I358" i="3" s="1"/>
  <c r="N358" i="3"/>
  <c r="O358" i="3" s="1"/>
  <c r="W158" i="4"/>
  <c r="X158" i="4" s="1"/>
  <c r="AC158" i="4"/>
  <c r="AD158" i="4" s="1"/>
  <c r="R158" i="4"/>
  <c r="C61" i="5"/>
  <c r="H170" i="2"/>
  <c r="I170" i="2" s="1"/>
  <c r="R172" i="2"/>
  <c r="W172" i="2"/>
  <c r="X172" i="2" s="1"/>
  <c r="C196" i="2"/>
  <c r="H196" i="2"/>
  <c r="I196" i="2" s="1"/>
  <c r="C227" i="2"/>
  <c r="H227" i="2"/>
  <c r="I227" i="2" s="1"/>
  <c r="R262" i="2"/>
  <c r="R284" i="2"/>
  <c r="W284" i="2"/>
  <c r="X284" i="2" s="1"/>
  <c r="C441" i="2"/>
  <c r="H441" i="2"/>
  <c r="I441" i="2" s="1"/>
  <c r="F73" i="3"/>
  <c r="T172" i="3"/>
  <c r="W124" i="3"/>
  <c r="X124" i="3" s="1"/>
  <c r="U124" i="3"/>
  <c r="Q172" i="3"/>
  <c r="W171" i="3"/>
  <c r="X171" i="3" s="1"/>
  <c r="AC171" i="3"/>
  <c r="AD171" i="3" s="1"/>
  <c r="L172" i="3"/>
  <c r="U193" i="3"/>
  <c r="C218" i="3"/>
  <c r="N218" i="3"/>
  <c r="O218" i="3" s="1"/>
  <c r="H218" i="3"/>
  <c r="I218" i="3" s="1"/>
  <c r="W342" i="3"/>
  <c r="X342" i="3" s="1"/>
  <c r="AC342" i="3"/>
  <c r="AD342" i="3" s="1"/>
  <c r="C358" i="3"/>
  <c r="H429" i="3"/>
  <c r="I429" i="3" s="1"/>
  <c r="C429" i="3"/>
  <c r="W124" i="4"/>
  <c r="X124" i="4" s="1"/>
  <c r="R124" i="4"/>
  <c r="AC124" i="4"/>
  <c r="AD124" i="4" s="1"/>
  <c r="H267" i="4"/>
  <c r="I267" i="4" s="1"/>
  <c r="F267" i="4"/>
  <c r="W295" i="4"/>
  <c r="X295" i="4" s="1"/>
  <c r="R295" i="4"/>
  <c r="AC295" i="4"/>
  <c r="AD295" i="4" s="1"/>
  <c r="AA325" i="4"/>
  <c r="C193" i="2"/>
  <c r="H193" i="2"/>
  <c r="I193" i="2" s="1"/>
  <c r="R342" i="2"/>
  <c r="R396" i="2"/>
  <c r="F403" i="2"/>
  <c r="W141" i="3"/>
  <c r="X141" i="3" s="1"/>
  <c r="AC141" i="3"/>
  <c r="AD141" i="3" s="1"/>
  <c r="R171" i="3"/>
  <c r="Z198" i="3"/>
  <c r="AA172" i="3"/>
  <c r="N267" i="3"/>
  <c r="O267" i="3" s="1"/>
  <c r="L267" i="3"/>
  <c r="R342" i="3"/>
  <c r="H344" i="3"/>
  <c r="I344" i="3" s="1"/>
  <c r="F344" i="3"/>
  <c r="AA18" i="4"/>
  <c r="B172" i="4"/>
  <c r="H124" i="4"/>
  <c r="I124" i="4" s="1"/>
  <c r="N124" i="4"/>
  <c r="O124" i="4" s="1"/>
  <c r="W170" i="4"/>
  <c r="X170" i="4" s="1"/>
  <c r="R170" i="4"/>
  <c r="AC170" i="4"/>
  <c r="AD170" i="4" s="1"/>
  <c r="AD144" i="2"/>
  <c r="AD167" i="2"/>
  <c r="AC170" i="2"/>
  <c r="AD170" i="2" s="1"/>
  <c r="AC171" i="2"/>
  <c r="AD171" i="2" s="1"/>
  <c r="C172" i="2"/>
  <c r="AD178" i="2"/>
  <c r="R182" i="2"/>
  <c r="W182" i="2"/>
  <c r="X182" i="2" s="1"/>
  <c r="W193" i="2"/>
  <c r="X193" i="2" s="1"/>
  <c r="AD194" i="2"/>
  <c r="Q198" i="2"/>
  <c r="AD213" i="2"/>
  <c r="AD223" i="2"/>
  <c r="AD225" i="2"/>
  <c r="AD245" i="2"/>
  <c r="AD269" i="2"/>
  <c r="F273" i="2"/>
  <c r="C284" i="2"/>
  <c r="AD297" i="2"/>
  <c r="AD301" i="2"/>
  <c r="AD305" i="2"/>
  <c r="AD309" i="2"/>
  <c r="AD313" i="2"/>
  <c r="AD317" i="2"/>
  <c r="AD321" i="2"/>
  <c r="U325" i="2"/>
  <c r="W344" i="2"/>
  <c r="X344" i="2" s="1"/>
  <c r="AD360" i="2"/>
  <c r="AD364" i="2"/>
  <c r="F368" i="2"/>
  <c r="AD397" i="2"/>
  <c r="AD401" i="2"/>
  <c r="AC403" i="2"/>
  <c r="AD403" i="2" s="1"/>
  <c r="U428" i="2"/>
  <c r="AC429" i="2"/>
  <c r="AD429" i="2" s="1"/>
  <c r="AD435" i="2"/>
  <c r="AD439" i="2"/>
  <c r="N18" i="3"/>
  <c r="O18" i="3" s="1"/>
  <c r="AA29" i="3"/>
  <c r="N40" i="3"/>
  <c r="O40" i="3" s="1"/>
  <c r="C62" i="3"/>
  <c r="N62" i="3"/>
  <c r="O62" i="3" s="1"/>
  <c r="U62" i="3"/>
  <c r="R141" i="3"/>
  <c r="L170" i="3"/>
  <c r="U196" i="3"/>
  <c r="N209" i="3"/>
  <c r="O209" i="3" s="1"/>
  <c r="L209" i="3"/>
  <c r="L295" i="3"/>
  <c r="O38" i="4"/>
  <c r="O48" i="4"/>
  <c r="O50" i="4"/>
  <c r="O71" i="4"/>
  <c r="L73" i="4"/>
  <c r="O94" i="4"/>
  <c r="O119" i="4"/>
  <c r="O123" i="4"/>
  <c r="C124" i="4"/>
  <c r="H141" i="4"/>
  <c r="I141" i="4" s="1"/>
  <c r="N141" i="4"/>
  <c r="O141" i="4" s="1"/>
  <c r="O166" i="4"/>
  <c r="O177" i="4"/>
  <c r="H193" i="4"/>
  <c r="I193" i="4" s="1"/>
  <c r="F193" i="4"/>
  <c r="W236" i="4"/>
  <c r="X236" i="4" s="1"/>
  <c r="U236" i="4"/>
  <c r="N403" i="4"/>
  <c r="O403" i="4" s="1"/>
  <c r="L403" i="4"/>
  <c r="O408" i="4"/>
  <c r="O410" i="4"/>
  <c r="F29" i="5"/>
  <c r="AC40" i="1"/>
  <c r="AD40" i="1" s="1"/>
  <c r="AC61" i="1"/>
  <c r="AD61" i="1" s="1"/>
  <c r="AC88" i="1"/>
  <c r="AD88" i="1" s="1"/>
  <c r="N122" i="1"/>
  <c r="O122" i="1" s="1"/>
  <c r="AC148" i="1"/>
  <c r="AD148" i="1" s="1"/>
  <c r="N170" i="1"/>
  <c r="O170" i="1" s="1"/>
  <c r="N182" i="1"/>
  <c r="O182" i="1" s="1"/>
  <c r="AC197" i="1"/>
  <c r="AD197" i="1" s="1"/>
  <c r="AC209" i="1"/>
  <c r="AD209" i="1" s="1"/>
  <c r="AC218" i="1"/>
  <c r="AD218" i="1" s="1"/>
  <c r="N236" i="1"/>
  <c r="O236" i="1" s="1"/>
  <c r="AC262" i="1"/>
  <c r="AD262" i="1" s="1"/>
  <c r="AC273" i="1"/>
  <c r="AD273" i="1" s="1"/>
  <c r="N284" i="1"/>
  <c r="O284" i="1" s="1"/>
  <c r="N324" i="1"/>
  <c r="O324" i="1" s="1"/>
  <c r="AC342" i="1"/>
  <c r="AD342" i="1" s="1"/>
  <c r="AC344" i="1"/>
  <c r="AD344" i="1" s="1"/>
  <c r="AC368" i="1"/>
  <c r="AD368" i="1" s="1"/>
  <c r="AC393" i="1"/>
  <c r="AD393" i="1" s="1"/>
  <c r="AC396" i="1"/>
  <c r="AD396" i="1" s="1"/>
  <c r="AC403" i="1"/>
  <c r="AD403" i="1" s="1"/>
  <c r="N429" i="1"/>
  <c r="O429" i="1" s="1"/>
  <c r="AC442" i="1"/>
  <c r="AD442" i="1" s="1"/>
  <c r="N18" i="2"/>
  <c r="O18" i="2" s="1"/>
  <c r="N62" i="2"/>
  <c r="O62" i="2" s="1"/>
  <c r="N118" i="2"/>
  <c r="O118" i="2" s="1"/>
  <c r="AC122" i="2"/>
  <c r="AD122" i="2" s="1"/>
  <c r="N124" i="2"/>
  <c r="O124" i="2" s="1"/>
  <c r="AD155" i="2"/>
  <c r="AD162" i="2"/>
  <c r="AD164" i="2"/>
  <c r="Z172" i="2"/>
  <c r="AD189" i="2"/>
  <c r="AD191" i="2"/>
  <c r="AD206" i="2"/>
  <c r="AD208" i="2"/>
  <c r="AD220" i="2"/>
  <c r="AD231" i="2"/>
  <c r="AD233" i="2"/>
  <c r="AC236" i="2"/>
  <c r="AD236" i="2" s="1"/>
  <c r="AD252" i="2"/>
  <c r="AD254" i="2"/>
  <c r="AD258" i="2"/>
  <c r="N263" i="2"/>
  <c r="O263" i="2" s="1"/>
  <c r="C267" i="2"/>
  <c r="H267" i="2"/>
  <c r="I267" i="2" s="1"/>
  <c r="AD271" i="2"/>
  <c r="AC273" i="2"/>
  <c r="AD273" i="2" s="1"/>
  <c r="AD276" i="2"/>
  <c r="AD280" i="2"/>
  <c r="C295" i="2"/>
  <c r="H295" i="2"/>
  <c r="I295" i="2" s="1"/>
  <c r="AD299" i="2"/>
  <c r="AD303" i="2"/>
  <c r="AD307" i="2"/>
  <c r="AD311" i="2"/>
  <c r="AD315" i="2"/>
  <c r="AD319" i="2"/>
  <c r="AD323" i="2"/>
  <c r="R324" i="2"/>
  <c r="W324" i="2"/>
  <c r="X324" i="2" s="1"/>
  <c r="C358" i="2"/>
  <c r="H358" i="2"/>
  <c r="I358" i="2" s="1"/>
  <c r="AD362" i="2"/>
  <c r="AD366" i="2"/>
  <c r="AC368" i="2"/>
  <c r="AD368" i="2" s="1"/>
  <c r="AD370" i="2"/>
  <c r="AD374" i="2"/>
  <c r="AD378" i="2"/>
  <c r="AD382" i="2"/>
  <c r="AD388" i="2"/>
  <c r="AD392" i="2"/>
  <c r="N429" i="2"/>
  <c r="O429" i="2" s="1"/>
  <c r="AD433" i="2"/>
  <c r="AD437" i="2"/>
  <c r="W18" i="3"/>
  <c r="X18" i="3" s="1"/>
  <c r="AC18" i="3"/>
  <c r="AD18" i="3" s="1"/>
  <c r="C122" i="3"/>
  <c r="H122" i="3"/>
  <c r="I122" i="3" s="1"/>
  <c r="N122" i="3"/>
  <c r="O122" i="3" s="1"/>
  <c r="W158" i="3"/>
  <c r="X158" i="3" s="1"/>
  <c r="U158" i="3"/>
  <c r="AC236" i="3"/>
  <c r="AD236" i="3" s="1"/>
  <c r="AA236" i="3"/>
  <c r="K345" i="3"/>
  <c r="N429" i="3"/>
  <c r="O429" i="3" s="1"/>
  <c r="O407" i="4"/>
  <c r="O379" i="4"/>
  <c r="O347" i="4"/>
  <c r="O329" i="4"/>
  <c r="O309" i="4"/>
  <c r="O439" i="4"/>
  <c r="O418" i="4"/>
  <c r="O392" i="4"/>
  <c r="O375" i="4"/>
  <c r="O355" i="4"/>
  <c r="O435" i="4"/>
  <c r="O371" i="4"/>
  <c r="O321" i="4"/>
  <c r="O305" i="4"/>
  <c r="O269" i="4"/>
  <c r="O221" i="4"/>
  <c r="O191" i="4"/>
  <c r="O426" i="4"/>
  <c r="O411" i="4"/>
  <c r="O398" i="4"/>
  <c r="O383" i="4"/>
  <c r="O367" i="4"/>
  <c r="O293" i="4"/>
  <c r="O277" i="4"/>
  <c r="O261" i="4"/>
  <c r="O254" i="4"/>
  <c r="O245" i="4"/>
  <c r="O225" i="4"/>
  <c r="O220" i="4"/>
  <c r="O214" i="4"/>
  <c r="O201" i="4"/>
  <c r="O194" i="4"/>
  <c r="O190" i="4"/>
  <c r="O313" i="4"/>
  <c r="O229" i="4"/>
  <c r="O187" i="4"/>
  <c r="O37" i="4"/>
  <c r="O21" i="4"/>
  <c r="O17" i="4"/>
  <c r="O434" i="4"/>
  <c r="O364" i="4"/>
  <c r="O317" i="4"/>
  <c r="O179" i="4"/>
  <c r="O165" i="4"/>
  <c r="O160" i="4"/>
  <c r="O153" i="4"/>
  <c r="O129" i="4"/>
  <c r="O105" i="4"/>
  <c r="O92" i="4"/>
  <c r="O84" i="4"/>
  <c r="O77" i="4"/>
  <c r="O68" i="4"/>
  <c r="O62" i="4"/>
  <c r="O54" i="4"/>
  <c r="O415" i="4"/>
  <c r="O281" i="4"/>
  <c r="O241" i="4"/>
  <c r="O208" i="4"/>
  <c r="O33" i="4"/>
  <c r="O402" i="4"/>
  <c r="O360" i="4"/>
  <c r="O356" i="4"/>
  <c r="O341" i="4"/>
  <c r="O304" i="4"/>
  <c r="O289" i="4"/>
  <c r="O257" i="4"/>
  <c r="O253" i="4"/>
  <c r="O249" i="4"/>
  <c r="O233" i="4"/>
  <c r="O217" i="4"/>
  <c r="O213" i="4"/>
  <c r="O205" i="4"/>
  <c r="O175" i="4"/>
  <c r="O168" i="4"/>
  <c r="O109" i="4"/>
  <c r="O72" i="4"/>
  <c r="O58" i="4"/>
  <c r="O32" i="4"/>
  <c r="O13" i="4"/>
  <c r="O8" i="4"/>
  <c r="O427" i="4"/>
  <c r="O423" i="4"/>
  <c r="O399" i="4"/>
  <c r="O393" i="4"/>
  <c r="O292" i="4"/>
  <c r="O265" i="4"/>
  <c r="O157" i="4"/>
  <c r="O148" i="4"/>
  <c r="O145" i="4"/>
  <c r="O132" i="4"/>
  <c r="O127" i="4"/>
  <c r="O120" i="4"/>
  <c r="O18" i="4"/>
  <c r="O389" i="4"/>
  <c r="O370" i="4"/>
  <c r="O250" i="4"/>
  <c r="O204" i="4"/>
  <c r="O117" i="4"/>
  <c r="O113" i="4"/>
  <c r="O104" i="4"/>
  <c r="O76" i="4"/>
  <c r="O232" i="4"/>
  <c r="O197" i="4"/>
  <c r="O164" i="4"/>
  <c r="O97" i="4"/>
  <c r="O53" i="4"/>
  <c r="U118" i="5"/>
  <c r="W118" i="5"/>
  <c r="X118" i="5" s="1"/>
  <c r="AC158" i="5"/>
  <c r="AD158" i="5" s="1"/>
  <c r="W158" i="5"/>
  <c r="X158" i="5" s="1"/>
  <c r="W170" i="5"/>
  <c r="X170" i="5" s="1"/>
  <c r="U170" i="5"/>
  <c r="H149" i="2"/>
  <c r="I149" i="2" s="1"/>
  <c r="AD151" i="2"/>
  <c r="AD169" i="2"/>
  <c r="H172" i="2"/>
  <c r="I172" i="2" s="1"/>
  <c r="AD186" i="2"/>
  <c r="AC196" i="2"/>
  <c r="AD196" i="2" s="1"/>
  <c r="AD201" i="2"/>
  <c r="N209" i="2"/>
  <c r="O209" i="2" s="1"/>
  <c r="AD217" i="2"/>
  <c r="AC227" i="2"/>
  <c r="AD227" i="2" s="1"/>
  <c r="AD249" i="2"/>
  <c r="AD256" i="2"/>
  <c r="AC262" i="2"/>
  <c r="AD262" i="2" s="1"/>
  <c r="H324" i="2"/>
  <c r="I324" i="2" s="1"/>
  <c r="AD329" i="2"/>
  <c r="AD333" i="2"/>
  <c r="AD338" i="2"/>
  <c r="N343" i="2"/>
  <c r="O343" i="2" s="1"/>
  <c r="R393" i="2"/>
  <c r="AD410" i="2"/>
  <c r="AD414" i="2"/>
  <c r="AD418" i="2"/>
  <c r="AD422" i="2"/>
  <c r="AD426" i="2"/>
  <c r="R442" i="2"/>
  <c r="O439" i="2"/>
  <c r="O435" i="2"/>
  <c r="O427" i="2"/>
  <c r="O423" i="2"/>
  <c r="O419" i="2"/>
  <c r="O415" i="2"/>
  <c r="O411" i="2"/>
  <c r="O407" i="2"/>
  <c r="O399" i="2"/>
  <c r="O389" i="2"/>
  <c r="O383" i="2"/>
  <c r="O379" i="2"/>
  <c r="O375" i="2"/>
  <c r="O371" i="2"/>
  <c r="O364" i="2"/>
  <c r="O360" i="2"/>
  <c r="O356" i="2"/>
  <c r="O352" i="2"/>
  <c r="O347" i="2"/>
  <c r="O338" i="2"/>
  <c r="O333" i="2"/>
  <c r="O329" i="2"/>
  <c r="O321" i="2"/>
  <c r="O317" i="2"/>
  <c r="O313" i="2"/>
  <c r="O309" i="2"/>
  <c r="O305" i="2"/>
  <c r="O301" i="2"/>
  <c r="O297" i="2"/>
  <c r="O293" i="2"/>
  <c r="O289" i="2"/>
  <c r="O281" i="2"/>
  <c r="O277" i="2"/>
  <c r="O269" i="2"/>
  <c r="O265" i="2"/>
  <c r="O258" i="2"/>
  <c r="O438" i="2"/>
  <c r="O434" i="2"/>
  <c r="O426" i="2"/>
  <c r="O422" i="2"/>
  <c r="O418" i="2"/>
  <c r="O414" i="2"/>
  <c r="O410" i="2"/>
  <c r="O402" i="2"/>
  <c r="O398" i="2"/>
  <c r="O395" i="2"/>
  <c r="O392" i="2"/>
  <c r="O388" i="2"/>
  <c r="O382" i="2"/>
  <c r="O378" i="2"/>
  <c r="O374" i="2"/>
  <c r="O370" i="2"/>
  <c r="O367" i="2"/>
  <c r="O363" i="2"/>
  <c r="O355" i="2"/>
  <c r="O351" i="2"/>
  <c r="O341" i="2"/>
  <c r="O337" i="2"/>
  <c r="O332" i="2"/>
  <c r="O328" i="2"/>
  <c r="O320" i="2"/>
  <c r="O316" i="2"/>
  <c r="O312" i="2"/>
  <c r="O308" i="2"/>
  <c r="O304" i="2"/>
  <c r="O300" i="2"/>
  <c r="O292" i="2"/>
  <c r="O288" i="2"/>
  <c r="O280" i="2"/>
  <c r="O276" i="2"/>
  <c r="O272" i="2"/>
  <c r="O261" i="2"/>
  <c r="O257" i="2"/>
  <c r="O253" i="2"/>
  <c r="O249" i="2"/>
  <c r="O245" i="2"/>
  <c r="O241" i="2"/>
  <c r="O232" i="2"/>
  <c r="O224" i="2"/>
  <c r="O220" i="2"/>
  <c r="O217" i="2"/>
  <c r="O213" i="2"/>
  <c r="O208" i="2"/>
  <c r="O204" i="2"/>
  <c r="O190" i="2"/>
  <c r="O186" i="2"/>
  <c r="O178" i="2"/>
  <c r="O163" i="2"/>
  <c r="R18" i="3"/>
  <c r="R40" i="3"/>
  <c r="W40" i="3"/>
  <c r="X40" i="3" s="1"/>
  <c r="W218" i="3"/>
  <c r="X218" i="3" s="1"/>
  <c r="AC218" i="3"/>
  <c r="AD218" i="3" s="1"/>
  <c r="O25" i="4"/>
  <c r="O29" i="4"/>
  <c r="O83" i="4"/>
  <c r="W88" i="4"/>
  <c r="X88" i="4" s="1"/>
  <c r="U88" i="4"/>
  <c r="O116" i="4"/>
  <c r="O167" i="4"/>
  <c r="W227" i="4"/>
  <c r="X227" i="4" s="1"/>
  <c r="R227" i="4"/>
  <c r="AC227" i="4"/>
  <c r="AD227" i="4" s="1"/>
  <c r="O242" i="4"/>
  <c r="O244" i="4"/>
  <c r="O246" i="4"/>
  <c r="O378" i="4"/>
  <c r="O433" i="4"/>
  <c r="F441" i="4"/>
  <c r="H442" i="4"/>
  <c r="I442" i="4" s="1"/>
  <c r="N442" i="4"/>
  <c r="O442" i="4" s="1"/>
  <c r="C442" i="4"/>
  <c r="U18" i="5"/>
  <c r="F172" i="5"/>
  <c r="E198" i="5"/>
  <c r="R141" i="5"/>
  <c r="W141" i="5"/>
  <c r="X141" i="5" s="1"/>
  <c r="AC141" i="5"/>
  <c r="AD141" i="5" s="1"/>
  <c r="R158" i="5"/>
  <c r="W236" i="3"/>
  <c r="X236" i="3" s="1"/>
  <c r="H273" i="3"/>
  <c r="I273" i="3" s="1"/>
  <c r="H343" i="3"/>
  <c r="I343" i="3" s="1"/>
  <c r="N343" i="3"/>
  <c r="O343" i="3" s="1"/>
  <c r="AD426" i="3"/>
  <c r="AD410" i="3"/>
  <c r="AD398" i="3"/>
  <c r="AD395" i="3"/>
  <c r="AD392" i="3"/>
  <c r="AD374" i="3"/>
  <c r="AD337" i="3"/>
  <c r="AD276" i="3"/>
  <c r="AD272" i="3"/>
  <c r="AD249" i="3"/>
  <c r="AD424" i="3"/>
  <c r="AD415" i="3"/>
  <c r="AD408" i="3"/>
  <c r="AD396" i="3"/>
  <c r="AD393" i="3"/>
  <c r="AD390" i="3"/>
  <c r="AD379" i="3"/>
  <c r="AD372" i="3"/>
  <c r="AD360" i="3"/>
  <c r="AD351" i="3"/>
  <c r="AD334" i="3"/>
  <c r="AD312" i="3"/>
  <c r="AD294" i="3"/>
  <c r="AD281" i="3"/>
  <c r="AD273" i="3"/>
  <c r="AD270" i="3"/>
  <c r="AD254" i="3"/>
  <c r="AD247" i="3"/>
  <c r="AD208" i="3"/>
  <c r="AD205" i="3"/>
  <c r="AD422" i="3"/>
  <c r="AD388" i="3"/>
  <c r="AD370" i="3"/>
  <c r="AD367" i="3"/>
  <c r="AD332" i="3"/>
  <c r="AD292" i="3"/>
  <c r="AD261" i="3"/>
  <c r="AD434" i="3"/>
  <c r="AD419" i="3"/>
  <c r="AD412" i="3"/>
  <c r="AD400" i="3"/>
  <c r="AD383" i="3"/>
  <c r="AD376" i="3"/>
  <c r="AD364" i="3"/>
  <c r="AD355" i="3"/>
  <c r="AD339" i="3"/>
  <c r="AD329" i="3"/>
  <c r="AD316" i="3"/>
  <c r="AD300" i="3"/>
  <c r="AD289" i="3"/>
  <c r="AD278" i="3"/>
  <c r="AD258" i="3"/>
  <c r="AD251" i="3"/>
  <c r="AD234" i="3"/>
  <c r="AD225" i="3"/>
  <c r="AD217" i="3"/>
  <c r="AD214" i="3"/>
  <c r="AD204" i="3"/>
  <c r="O42" i="4"/>
  <c r="O49" i="4"/>
  <c r="O75" i="4"/>
  <c r="O103" i="4"/>
  <c r="O112" i="4"/>
  <c r="W118" i="4"/>
  <c r="X118" i="4" s="1"/>
  <c r="AC118" i="4"/>
  <c r="AD118" i="4" s="1"/>
  <c r="O136" i="4"/>
  <c r="O154" i="4"/>
  <c r="O310" i="4"/>
  <c r="O330" i="4"/>
  <c r="O369" i="4"/>
  <c r="O414" i="4"/>
  <c r="O440" i="4"/>
  <c r="F172" i="3"/>
  <c r="E198" i="3"/>
  <c r="R197" i="3"/>
  <c r="W197" i="3"/>
  <c r="X197" i="3" s="1"/>
  <c r="H441" i="3"/>
  <c r="I441" i="3" s="1"/>
  <c r="C441" i="3"/>
  <c r="O55" i="4"/>
  <c r="O82" i="4"/>
  <c r="O100" i="4"/>
  <c r="O115" i="4"/>
  <c r="O130" i="4"/>
  <c r="W149" i="4"/>
  <c r="X149" i="4" s="1"/>
  <c r="R149" i="4"/>
  <c r="O169" i="4"/>
  <c r="O170" i="4"/>
  <c r="O188" i="4"/>
  <c r="O218" i="4"/>
  <c r="O279" i="4"/>
  <c r="O290" i="4"/>
  <c r="O294" i="4"/>
  <c r="O295" i="4"/>
  <c r="O401" i="4"/>
  <c r="AC263" i="2"/>
  <c r="AD263" i="2" s="1"/>
  <c r="AC267" i="2"/>
  <c r="AD267" i="2" s="1"/>
  <c r="AC295" i="2"/>
  <c r="AD295" i="2" s="1"/>
  <c r="N325" i="2"/>
  <c r="O325" i="2" s="1"/>
  <c r="AC343" i="2"/>
  <c r="AD343" i="2" s="1"/>
  <c r="AC358" i="2"/>
  <c r="AD358" i="2" s="1"/>
  <c r="N428" i="2"/>
  <c r="O428" i="2" s="1"/>
  <c r="AC441" i="2"/>
  <c r="AD441" i="2" s="1"/>
  <c r="R88" i="3"/>
  <c r="W88" i="3"/>
  <c r="X88" i="3" s="1"/>
  <c r="R148" i="3"/>
  <c r="W148" i="3"/>
  <c r="X148" i="3" s="1"/>
  <c r="C182" i="3"/>
  <c r="H182" i="3"/>
  <c r="I182" i="3" s="1"/>
  <c r="AC227" i="3"/>
  <c r="AD227" i="3" s="1"/>
  <c r="AA227" i="3"/>
  <c r="AC324" i="3"/>
  <c r="AD324" i="3" s="1"/>
  <c r="AA324" i="3"/>
  <c r="W429" i="3"/>
  <c r="X429" i="3" s="1"/>
  <c r="R429" i="3"/>
  <c r="O28" i="4"/>
  <c r="O31" i="4"/>
  <c r="O90" i="4"/>
  <c r="O178" i="4"/>
  <c r="O186" i="4"/>
  <c r="O216" i="4"/>
  <c r="O224" i="4"/>
  <c r="O234" i="4"/>
  <c r="H273" i="4"/>
  <c r="I273" i="4" s="1"/>
  <c r="N273" i="4"/>
  <c r="O273" i="4" s="1"/>
  <c r="O307" i="4"/>
  <c r="O316" i="4"/>
  <c r="O353" i="4"/>
  <c r="O397" i="4"/>
  <c r="O425" i="4"/>
  <c r="O429" i="4"/>
  <c r="H148" i="3"/>
  <c r="I148" i="3" s="1"/>
  <c r="C170" i="3"/>
  <c r="H170" i="3"/>
  <c r="I170" i="3" s="1"/>
  <c r="H171" i="3"/>
  <c r="I171" i="3" s="1"/>
  <c r="C197" i="3"/>
  <c r="W403" i="3"/>
  <c r="X403" i="3" s="1"/>
  <c r="AC403" i="3"/>
  <c r="AD403" i="3" s="1"/>
  <c r="AD432" i="3"/>
  <c r="X423" i="3"/>
  <c r="X407" i="3"/>
  <c r="X389" i="3"/>
  <c r="X371" i="3"/>
  <c r="X333" i="3"/>
  <c r="X293" i="3"/>
  <c r="X269" i="3"/>
  <c r="X246" i="3"/>
  <c r="X221" i="3"/>
  <c r="X414" i="3"/>
  <c r="X402" i="3"/>
  <c r="X378" i="3"/>
  <c r="X358" i="3"/>
  <c r="X347" i="3"/>
  <c r="X341" i="3"/>
  <c r="X309" i="3"/>
  <c r="X280" i="3"/>
  <c r="X265" i="3"/>
  <c r="X253" i="3"/>
  <c r="X207" i="3"/>
  <c r="X190" i="3"/>
  <c r="X186" i="3"/>
  <c r="X178" i="3"/>
  <c r="X163" i="3"/>
  <c r="X155" i="3"/>
  <c r="X147" i="3"/>
  <c r="X143" i="3"/>
  <c r="X139" i="3"/>
  <c r="X135" i="3"/>
  <c r="X131" i="3"/>
  <c r="X115" i="3"/>
  <c r="X419" i="3"/>
  <c r="X383" i="3"/>
  <c r="X364" i="3"/>
  <c r="X329" i="3"/>
  <c r="X289" i="3"/>
  <c r="X258" i="3"/>
  <c r="X225" i="3"/>
  <c r="X214" i="3"/>
  <c r="X441" i="3"/>
  <c r="X418" i="3"/>
  <c r="X382" i="3"/>
  <c r="X363" i="3"/>
  <c r="X352" i="3"/>
  <c r="X328" i="3"/>
  <c r="X313" i="3"/>
  <c r="X297" i="3"/>
  <c r="X288" i="3"/>
  <c r="X257" i="3"/>
  <c r="X233" i="3"/>
  <c r="X216" i="3"/>
  <c r="X206" i="3"/>
  <c r="X203" i="3"/>
  <c r="X189" i="3"/>
  <c r="X184" i="3"/>
  <c r="X181" i="3"/>
  <c r="X177" i="3"/>
  <c r="X169" i="3"/>
  <c r="X162" i="3"/>
  <c r="X154" i="3"/>
  <c r="X146" i="3"/>
  <c r="X138" i="3"/>
  <c r="X134" i="3"/>
  <c r="X130" i="3"/>
  <c r="X121" i="3"/>
  <c r="X114" i="3"/>
  <c r="X110" i="3"/>
  <c r="X106" i="3"/>
  <c r="X102" i="3"/>
  <c r="X98" i="3"/>
  <c r="X94" i="3"/>
  <c r="X89" i="3"/>
  <c r="X86" i="3"/>
  <c r="X82" i="3"/>
  <c r="X78" i="3"/>
  <c r="X70" i="3"/>
  <c r="X66" i="3"/>
  <c r="X59" i="3"/>
  <c r="X55" i="3"/>
  <c r="O11" i="4"/>
  <c r="O44" i="4"/>
  <c r="O61" i="4"/>
  <c r="O66" i="4"/>
  <c r="O147" i="4"/>
  <c r="O183" i="4"/>
  <c r="W193" i="4"/>
  <c r="X193" i="4" s="1"/>
  <c r="AC193" i="4"/>
  <c r="AD193" i="4" s="1"/>
  <c r="F196" i="4"/>
  <c r="H196" i="4"/>
  <c r="I196" i="4" s="1"/>
  <c r="O238" i="4"/>
  <c r="O270" i="4"/>
  <c r="C273" i="4"/>
  <c r="O282" i="4"/>
  <c r="O312" i="4"/>
  <c r="N342" i="4"/>
  <c r="O342" i="4" s="1"/>
  <c r="L342" i="4"/>
  <c r="N344" i="4"/>
  <c r="O344" i="4" s="1"/>
  <c r="L344" i="4"/>
  <c r="O376" i="4"/>
  <c r="O395" i="4"/>
  <c r="O421" i="4"/>
  <c r="AD207" i="3"/>
  <c r="X248" i="3"/>
  <c r="AD260" i="3"/>
  <c r="X271" i="3"/>
  <c r="X275" i="3"/>
  <c r="AD291" i="3"/>
  <c r="X306" i="3"/>
  <c r="X322" i="3"/>
  <c r="H324" i="3"/>
  <c r="I324" i="3" s="1"/>
  <c r="X324" i="3"/>
  <c r="AD325" i="3"/>
  <c r="AD331" i="3"/>
  <c r="X335" i="3"/>
  <c r="W344" i="3"/>
  <c r="X344" i="3" s="1"/>
  <c r="AD366" i="3"/>
  <c r="AD369" i="3"/>
  <c r="X373" i="3"/>
  <c r="AD386" i="3"/>
  <c r="X391" i="3"/>
  <c r="X394" i="3"/>
  <c r="X397" i="3"/>
  <c r="X409" i="3"/>
  <c r="AD421" i="3"/>
  <c r="X425" i="3"/>
  <c r="W428" i="3"/>
  <c r="X428" i="3" s="1"/>
  <c r="X440" i="3"/>
  <c r="O14" i="4"/>
  <c r="O34" i="4"/>
  <c r="O43" i="4"/>
  <c r="O60" i="4"/>
  <c r="O111" i="4"/>
  <c r="K172" i="4"/>
  <c r="Z172" i="4"/>
  <c r="AC172" i="4" s="1"/>
  <c r="AD172" i="4" s="1"/>
  <c r="O138" i="4"/>
  <c r="H158" i="4"/>
  <c r="I158" i="4" s="1"/>
  <c r="H170" i="4"/>
  <c r="I170" i="4" s="1"/>
  <c r="O189" i="4"/>
  <c r="O195" i="4"/>
  <c r="O196" i="4"/>
  <c r="O207" i="4"/>
  <c r="O209" i="4"/>
  <c r="F227" i="4"/>
  <c r="H227" i="4"/>
  <c r="I227" i="4" s="1"/>
  <c r="O240" i="4"/>
  <c r="O259" i="4"/>
  <c r="O271" i="4"/>
  <c r="O278" i="4"/>
  <c r="O300" i="4"/>
  <c r="O322" i="4"/>
  <c r="O332" i="4"/>
  <c r="O337" i="4"/>
  <c r="O354" i="4"/>
  <c r="O385" i="4"/>
  <c r="O394" i="4"/>
  <c r="O416" i="4"/>
  <c r="H428" i="4"/>
  <c r="I428" i="4" s="1"/>
  <c r="N428" i="4"/>
  <c r="O428" i="4" s="1"/>
  <c r="O441" i="4"/>
  <c r="I439" i="4"/>
  <c r="I435" i="4"/>
  <c r="I427" i="4"/>
  <c r="I423" i="4"/>
  <c r="I419" i="4"/>
  <c r="I415" i="4"/>
  <c r="I411" i="4"/>
  <c r="I407" i="4"/>
  <c r="I399" i="4"/>
  <c r="I389" i="4"/>
  <c r="I383" i="4"/>
  <c r="I379" i="4"/>
  <c r="I375" i="4"/>
  <c r="I371" i="4"/>
  <c r="I364" i="4"/>
  <c r="I360" i="4"/>
  <c r="I356" i="4"/>
  <c r="I352" i="4"/>
  <c r="I347" i="4"/>
  <c r="I338" i="4"/>
  <c r="I333" i="4"/>
  <c r="I329" i="4"/>
  <c r="I321" i="4"/>
  <c r="I317" i="4"/>
  <c r="I313" i="4"/>
  <c r="I309" i="4"/>
  <c r="I305" i="4"/>
  <c r="I301" i="4"/>
  <c r="I297" i="4"/>
  <c r="I293" i="4"/>
  <c r="I289" i="4"/>
  <c r="I281" i="4"/>
  <c r="I277" i="4"/>
  <c r="I269" i="4"/>
  <c r="I265" i="4"/>
  <c r="I258" i="4"/>
  <c r="I254" i="4"/>
  <c r="I250" i="4"/>
  <c r="I246" i="4"/>
  <c r="I242" i="4"/>
  <c r="I438" i="4"/>
  <c r="I434" i="4"/>
  <c r="I426" i="4"/>
  <c r="I422" i="4"/>
  <c r="I418" i="4"/>
  <c r="I414" i="4"/>
  <c r="I410" i="4"/>
  <c r="I402" i="4"/>
  <c r="I398" i="4"/>
  <c r="I395" i="4"/>
  <c r="I392" i="4"/>
  <c r="I388" i="4"/>
  <c r="I382" i="4"/>
  <c r="I378" i="4"/>
  <c r="I374" i="4"/>
  <c r="I370" i="4"/>
  <c r="I367" i="4"/>
  <c r="I363" i="4"/>
  <c r="I355" i="4"/>
  <c r="I351" i="4"/>
  <c r="I341" i="4"/>
  <c r="I337" i="4"/>
  <c r="I332" i="4"/>
  <c r="I328" i="4"/>
  <c r="I320" i="4"/>
  <c r="I316" i="4"/>
  <c r="I312" i="4"/>
  <c r="I308" i="4"/>
  <c r="I304" i="4"/>
  <c r="I300" i="4"/>
  <c r="I292" i="4"/>
  <c r="I288" i="4"/>
  <c r="I280" i="4"/>
  <c r="I276" i="4"/>
  <c r="I272" i="4"/>
  <c r="I261" i="4"/>
  <c r="I257" i="4"/>
  <c r="I253" i="4"/>
  <c r="I249" i="4"/>
  <c r="I245" i="4"/>
  <c r="I241" i="4"/>
  <c r="I232" i="4"/>
  <c r="I224" i="4"/>
  <c r="I220" i="4"/>
  <c r="I217" i="4"/>
  <c r="I213" i="4"/>
  <c r="I208" i="4"/>
  <c r="I204" i="4"/>
  <c r="I190" i="4"/>
  <c r="I186" i="4"/>
  <c r="I187" i="4"/>
  <c r="I436" i="4"/>
  <c r="I413" i="4"/>
  <c r="I386" i="4"/>
  <c r="I372" i="4"/>
  <c r="I350" i="4"/>
  <c r="I331" i="4"/>
  <c r="I225" i="4"/>
  <c r="I214" i="4"/>
  <c r="I201" i="4"/>
  <c r="I194" i="4"/>
  <c r="I421" i="4"/>
  <c r="I408" i="4"/>
  <c r="I394" i="4"/>
  <c r="I380" i="4"/>
  <c r="I362" i="4"/>
  <c r="I335" i="4"/>
  <c r="I315" i="4"/>
  <c r="I299" i="4"/>
  <c r="I290" i="4"/>
  <c r="I284" i="4"/>
  <c r="I251" i="4"/>
  <c r="I234" i="4"/>
  <c r="I229" i="4"/>
  <c r="I205" i="4"/>
  <c r="I179" i="4"/>
  <c r="I167" i="4"/>
  <c r="I164" i="4"/>
  <c r="I160" i="4"/>
  <c r="I156" i="4"/>
  <c r="I151" i="4"/>
  <c r="I144" i="4"/>
  <c r="I140" i="4"/>
  <c r="I136" i="4"/>
  <c r="I132" i="4"/>
  <c r="I127" i="4"/>
  <c r="I100" i="4"/>
  <c r="I96" i="4"/>
  <c r="I91" i="4"/>
  <c r="I76" i="4"/>
  <c r="I24" i="4"/>
  <c r="I19" i="4"/>
  <c r="I16" i="4"/>
  <c r="W61" i="5"/>
  <c r="X61" i="5" s="1"/>
  <c r="AC61" i="5"/>
  <c r="AD61" i="5" s="1"/>
  <c r="N227" i="3"/>
  <c r="O227" i="3" s="1"/>
  <c r="AD235" i="3"/>
  <c r="N236" i="3"/>
  <c r="O236" i="3" s="1"/>
  <c r="X251" i="3"/>
  <c r="AC263" i="3"/>
  <c r="AD263" i="3" s="1"/>
  <c r="X278" i="3"/>
  <c r="AD303" i="3"/>
  <c r="X307" i="3"/>
  <c r="AD319" i="3"/>
  <c r="X323" i="3"/>
  <c r="X339" i="3"/>
  <c r="X376" i="3"/>
  <c r="X400" i="3"/>
  <c r="X412" i="3"/>
  <c r="N428" i="3"/>
  <c r="O428" i="3" s="1"/>
  <c r="AD428" i="3"/>
  <c r="AD437" i="3"/>
  <c r="O10" i="4"/>
  <c r="O15" i="4"/>
  <c r="O26" i="4"/>
  <c r="O35" i="4"/>
  <c r="O47" i="4"/>
  <c r="O98" i="4"/>
  <c r="O114" i="4"/>
  <c r="O134" i="4"/>
  <c r="O139" i="4"/>
  <c r="O146" i="4"/>
  <c r="AC171" i="4"/>
  <c r="AD171" i="4" s="1"/>
  <c r="U345" i="4"/>
  <c r="T404" i="4"/>
  <c r="O243" i="4"/>
  <c r="O260" i="4"/>
  <c r="F295" i="4"/>
  <c r="H295" i="4"/>
  <c r="I295" i="4" s="1"/>
  <c r="O306" i="4"/>
  <c r="O351" i="4"/>
  <c r="O390" i="4"/>
  <c r="W429" i="4"/>
  <c r="X429" i="4" s="1"/>
  <c r="U429" i="4"/>
  <c r="AC40" i="5"/>
  <c r="AD40" i="5" s="1"/>
  <c r="AA40" i="5"/>
  <c r="L124" i="5"/>
  <c r="K172" i="5"/>
  <c r="AC171" i="5"/>
  <c r="AD171" i="5" s="1"/>
  <c r="Z172" i="5"/>
  <c r="N118" i="3"/>
  <c r="O118" i="3" s="1"/>
  <c r="AC122" i="3"/>
  <c r="AD122" i="3" s="1"/>
  <c r="N124" i="3"/>
  <c r="O124" i="3" s="1"/>
  <c r="N149" i="3"/>
  <c r="O149" i="3" s="1"/>
  <c r="N158" i="3"/>
  <c r="O158" i="3" s="1"/>
  <c r="N166" i="3"/>
  <c r="O166" i="3" s="1"/>
  <c r="AC170" i="3"/>
  <c r="AD170" i="3" s="1"/>
  <c r="AC182" i="3"/>
  <c r="AD182" i="3" s="1"/>
  <c r="N193" i="3"/>
  <c r="O193" i="3" s="1"/>
  <c r="N196" i="3"/>
  <c r="O196" i="3" s="1"/>
  <c r="AD219" i="3"/>
  <c r="AD256" i="3"/>
  <c r="X260" i="3"/>
  <c r="AC267" i="3"/>
  <c r="AD267" i="3" s="1"/>
  <c r="AD283" i="3"/>
  <c r="AD287" i="3"/>
  <c r="X291" i="3"/>
  <c r="X302" i="3"/>
  <c r="X318" i="3"/>
  <c r="X331" i="3"/>
  <c r="X357" i="3"/>
  <c r="AD362" i="3"/>
  <c r="X366" i="3"/>
  <c r="X369" i="3"/>
  <c r="AD381" i="3"/>
  <c r="X386" i="3"/>
  <c r="AD417" i="3"/>
  <c r="X421" i="3"/>
  <c r="X436" i="3"/>
  <c r="AC29" i="4"/>
  <c r="AD29" i="4" s="1"/>
  <c r="O56" i="4"/>
  <c r="O70" i="4"/>
  <c r="O86" i="4"/>
  <c r="O107" i="4"/>
  <c r="W196" i="4"/>
  <c r="X196" i="4" s="1"/>
  <c r="R196" i="4"/>
  <c r="O226" i="4"/>
  <c r="O227" i="4"/>
  <c r="O283" i="4"/>
  <c r="N284" i="4"/>
  <c r="O284" i="4" s="1"/>
  <c r="O319" i="4"/>
  <c r="O366" i="4"/>
  <c r="O388" i="4"/>
  <c r="W428" i="4"/>
  <c r="X428" i="4" s="1"/>
  <c r="AC428" i="4"/>
  <c r="AD428" i="4" s="1"/>
  <c r="W441" i="4"/>
  <c r="X441" i="4" s="1"/>
  <c r="AC441" i="4"/>
  <c r="AD441" i="4" s="1"/>
  <c r="L122" i="5"/>
  <c r="N122" i="5"/>
  <c r="O122" i="5" s="1"/>
  <c r="H149" i="5"/>
  <c r="I149" i="5" s="1"/>
  <c r="F149" i="5"/>
  <c r="R197" i="5"/>
  <c r="W197" i="5"/>
  <c r="X197" i="5" s="1"/>
  <c r="AC197" i="5"/>
  <c r="AD197" i="5" s="1"/>
  <c r="AD231" i="3"/>
  <c r="AD244" i="3"/>
  <c r="X255" i="3"/>
  <c r="C267" i="3"/>
  <c r="W273" i="3"/>
  <c r="X273" i="3" s="1"/>
  <c r="X282" i="3"/>
  <c r="H284" i="3"/>
  <c r="I284" i="3" s="1"/>
  <c r="X284" i="3"/>
  <c r="X286" i="3"/>
  <c r="AC295" i="3"/>
  <c r="AD295" i="3" s="1"/>
  <c r="AD307" i="3"/>
  <c r="X311" i="3"/>
  <c r="AD323" i="3"/>
  <c r="X350" i="3"/>
  <c r="X361" i="3"/>
  <c r="X380" i="3"/>
  <c r="W393" i="3"/>
  <c r="X393" i="3" s="1"/>
  <c r="W396" i="3"/>
  <c r="X396" i="3" s="1"/>
  <c r="X416" i="3"/>
  <c r="O23" i="4"/>
  <c r="C29" i="4"/>
  <c r="O39" i="4"/>
  <c r="N40" i="4"/>
  <c r="O40" i="4" s="1"/>
  <c r="O51" i="4"/>
  <c r="H62" i="4"/>
  <c r="I62" i="4" s="1"/>
  <c r="AC73" i="4"/>
  <c r="AD73" i="4" s="1"/>
  <c r="O79" i="4"/>
  <c r="O89" i="4"/>
  <c r="O95" i="4"/>
  <c r="O102" i="4"/>
  <c r="O121" i="4"/>
  <c r="O122" i="4"/>
  <c r="R122" i="4"/>
  <c r="O131" i="4"/>
  <c r="O143" i="4"/>
  <c r="O155" i="4"/>
  <c r="N158" i="4"/>
  <c r="O158" i="4" s="1"/>
  <c r="O162" i="4"/>
  <c r="R166" i="4"/>
  <c r="O203" i="4"/>
  <c r="O215" i="4"/>
  <c r="O222" i="4"/>
  <c r="O231" i="4"/>
  <c r="O251" i="4"/>
  <c r="O255" i="4"/>
  <c r="O315" i="4"/>
  <c r="O325" i="4"/>
  <c r="O349" i="4"/>
  <c r="O362" i="4"/>
  <c r="O396" i="4"/>
  <c r="O422" i="4"/>
  <c r="R428" i="4"/>
  <c r="I440" i="4"/>
  <c r="R441" i="4"/>
  <c r="AA118" i="5"/>
  <c r="H171" i="5"/>
  <c r="I171" i="5" s="1"/>
  <c r="H172" i="5"/>
  <c r="I172" i="5" s="1"/>
  <c r="C262" i="3"/>
  <c r="C273" i="3"/>
  <c r="R325" i="3"/>
  <c r="C342" i="3"/>
  <c r="C344" i="3"/>
  <c r="C368" i="3"/>
  <c r="C393" i="3"/>
  <c r="C396" i="3"/>
  <c r="C403" i="3"/>
  <c r="R428" i="3"/>
  <c r="C442" i="3"/>
  <c r="R40" i="4"/>
  <c r="R61" i="4"/>
  <c r="R88" i="4"/>
  <c r="C122" i="4"/>
  <c r="O180" i="4"/>
  <c r="O184" i="4"/>
  <c r="I209" i="4"/>
  <c r="AC209" i="4"/>
  <c r="AD209" i="4" s="1"/>
  <c r="O247" i="4"/>
  <c r="O266" i="4"/>
  <c r="O267" i="4"/>
  <c r="W267" i="4"/>
  <c r="X267" i="4" s="1"/>
  <c r="O286" i="4"/>
  <c r="O311" i="4"/>
  <c r="O331" i="4"/>
  <c r="I342" i="4"/>
  <c r="AC342" i="4"/>
  <c r="AD342" i="4" s="1"/>
  <c r="O343" i="4"/>
  <c r="W343" i="4"/>
  <c r="X343" i="4" s="1"/>
  <c r="I344" i="4"/>
  <c r="AC344" i="4"/>
  <c r="AD344" i="4" s="1"/>
  <c r="O350" i="4"/>
  <c r="O372" i="4"/>
  <c r="O386" i="4"/>
  <c r="I403" i="4"/>
  <c r="AC403" i="4"/>
  <c r="AD403" i="4" s="1"/>
  <c r="O413" i="4"/>
  <c r="O436" i="4"/>
  <c r="N18" i="5"/>
  <c r="O18" i="5" s="1"/>
  <c r="W29" i="5"/>
  <c r="X29" i="5" s="1"/>
  <c r="H40" i="5"/>
  <c r="I40" i="5" s="1"/>
  <c r="H158" i="5"/>
  <c r="I158" i="5" s="1"/>
  <c r="F158" i="5"/>
  <c r="H209" i="5"/>
  <c r="I209" i="5" s="1"/>
  <c r="C209" i="5"/>
  <c r="H218" i="5"/>
  <c r="I218" i="5" s="1"/>
  <c r="N218" i="5"/>
  <c r="O218" i="5" s="1"/>
  <c r="L172" i="6"/>
  <c r="K198" i="6"/>
  <c r="O181" i="4"/>
  <c r="N182" i="4"/>
  <c r="O182" i="4" s="1"/>
  <c r="I197" i="4"/>
  <c r="AC197" i="4"/>
  <c r="AD197" i="4" s="1"/>
  <c r="I218" i="4"/>
  <c r="AC218" i="4"/>
  <c r="AD218" i="4" s="1"/>
  <c r="O248" i="4"/>
  <c r="N262" i="4"/>
  <c r="O262" i="4" s="1"/>
  <c r="O287" i="4"/>
  <c r="O298" i="4"/>
  <c r="O314" i="4"/>
  <c r="O334" i="4"/>
  <c r="O357" i="4"/>
  <c r="O358" i="4"/>
  <c r="W358" i="4"/>
  <c r="X358" i="4" s="1"/>
  <c r="O361" i="4"/>
  <c r="N368" i="4"/>
  <c r="O368" i="4" s="1"/>
  <c r="O373" i="4"/>
  <c r="I393" i="4"/>
  <c r="AC393" i="4"/>
  <c r="AD393" i="4" s="1"/>
  <c r="O420" i="4"/>
  <c r="O437" i="4"/>
  <c r="R73" i="5"/>
  <c r="W73" i="5"/>
  <c r="X73" i="5" s="1"/>
  <c r="Q198" i="5"/>
  <c r="W166" i="5"/>
  <c r="X166" i="5" s="1"/>
  <c r="R166" i="5"/>
  <c r="W227" i="5"/>
  <c r="X227" i="5" s="1"/>
  <c r="AC227" i="5"/>
  <c r="AD227" i="5" s="1"/>
  <c r="O323" i="4"/>
  <c r="N324" i="4"/>
  <c r="O324" i="4" s="1"/>
  <c r="I325" i="4"/>
  <c r="O365" i="4"/>
  <c r="O377" i="4"/>
  <c r="I396" i="4"/>
  <c r="AC396" i="4"/>
  <c r="AD396" i="4" s="1"/>
  <c r="O424" i="4"/>
  <c r="L118" i="5"/>
  <c r="N118" i="5"/>
  <c r="O118" i="5" s="1"/>
  <c r="AC122" i="5"/>
  <c r="AD122" i="5" s="1"/>
  <c r="H141" i="5"/>
  <c r="I141" i="5" s="1"/>
  <c r="C141" i="5"/>
  <c r="C148" i="5"/>
  <c r="H148" i="5"/>
  <c r="I148" i="5" s="1"/>
  <c r="N148" i="5"/>
  <c r="O148" i="5" s="1"/>
  <c r="C170" i="5"/>
  <c r="H170" i="5"/>
  <c r="I170" i="5" s="1"/>
  <c r="N170" i="5"/>
  <c r="O170" i="5" s="1"/>
  <c r="O206" i="4"/>
  <c r="O230" i="4"/>
  <c r="O235" i="4"/>
  <c r="O236" i="4"/>
  <c r="O252" i="4"/>
  <c r="I262" i="4"/>
  <c r="O263" i="4"/>
  <c r="W263" i="4"/>
  <c r="X263" i="4" s="1"/>
  <c r="O275" i="4"/>
  <c r="O291" i="4"/>
  <c r="O302" i="4"/>
  <c r="O318" i="4"/>
  <c r="C325" i="4"/>
  <c r="R325" i="4"/>
  <c r="O339" i="4"/>
  <c r="I368" i="4"/>
  <c r="O381" i="4"/>
  <c r="C396" i="4"/>
  <c r="O400" i="4"/>
  <c r="O409" i="4"/>
  <c r="O432" i="4"/>
  <c r="H73" i="5"/>
  <c r="I73" i="5" s="1"/>
  <c r="C73" i="5"/>
  <c r="N182" i="5"/>
  <c r="O182" i="5" s="1"/>
  <c r="U218" i="5"/>
  <c r="W218" i="5"/>
  <c r="X218" i="5" s="1"/>
  <c r="AD352" i="4"/>
  <c r="AD356" i="4"/>
  <c r="AD360" i="4"/>
  <c r="AD364" i="4"/>
  <c r="AD371" i="4"/>
  <c r="AD375" i="4"/>
  <c r="AD379" i="4"/>
  <c r="AD383" i="4"/>
  <c r="AD389" i="4"/>
  <c r="AD399" i="4"/>
  <c r="AD407" i="4"/>
  <c r="AD411" i="4"/>
  <c r="AD415" i="4"/>
  <c r="AD419" i="4"/>
  <c r="AD423" i="4"/>
  <c r="AD427" i="4"/>
  <c r="AD435" i="4"/>
  <c r="AD11" i="5"/>
  <c r="AD15" i="5"/>
  <c r="AD23" i="5"/>
  <c r="AD27" i="5"/>
  <c r="AD31" i="5"/>
  <c r="AD35" i="5"/>
  <c r="AD39" i="5"/>
  <c r="AD43" i="5"/>
  <c r="AD48" i="5"/>
  <c r="AD52" i="5"/>
  <c r="AD56" i="5"/>
  <c r="AD60" i="5"/>
  <c r="AD67" i="5"/>
  <c r="AD70" i="5"/>
  <c r="X72" i="5"/>
  <c r="AD75" i="5"/>
  <c r="X82" i="5"/>
  <c r="AD83" i="5"/>
  <c r="X97" i="5"/>
  <c r="X105" i="5"/>
  <c r="X113" i="5"/>
  <c r="X119" i="5"/>
  <c r="H122" i="5"/>
  <c r="I122" i="5" s="1"/>
  <c r="W122" i="5"/>
  <c r="X122" i="5" s="1"/>
  <c r="AD131" i="5"/>
  <c r="AD136" i="5"/>
  <c r="X140" i="5"/>
  <c r="X144" i="5"/>
  <c r="AD155" i="5"/>
  <c r="AD164" i="5"/>
  <c r="AD167" i="5"/>
  <c r="R171" i="5"/>
  <c r="W171" i="5"/>
  <c r="X171" i="5" s="1"/>
  <c r="X177" i="5"/>
  <c r="AD180" i="5"/>
  <c r="X188" i="5"/>
  <c r="X201" i="5"/>
  <c r="AD223" i="5"/>
  <c r="AD225" i="5"/>
  <c r="AD230" i="5"/>
  <c r="X235" i="5"/>
  <c r="X240" i="5"/>
  <c r="X248" i="5"/>
  <c r="X256" i="5"/>
  <c r="W263" i="5"/>
  <c r="X263" i="5" s="1"/>
  <c r="AC263" i="5"/>
  <c r="AD263" i="5" s="1"/>
  <c r="X288" i="5"/>
  <c r="X290" i="5"/>
  <c r="AD300" i="5"/>
  <c r="AD302" i="5"/>
  <c r="AD308" i="5"/>
  <c r="AD310" i="5"/>
  <c r="AD316" i="5"/>
  <c r="AD318" i="5"/>
  <c r="X325" i="5"/>
  <c r="X328" i="5"/>
  <c r="X330" i="5"/>
  <c r="X332" i="5"/>
  <c r="X337" i="5"/>
  <c r="X339" i="5"/>
  <c r="X341" i="5"/>
  <c r="X342" i="5"/>
  <c r="AD350" i="5"/>
  <c r="AD363" i="5"/>
  <c r="AD407" i="5"/>
  <c r="AD415" i="5"/>
  <c r="AD417" i="5"/>
  <c r="AD434" i="5"/>
  <c r="F88" i="6"/>
  <c r="H88" i="6"/>
  <c r="I88" i="6" s="1"/>
  <c r="H118" i="6"/>
  <c r="I118" i="6" s="1"/>
  <c r="N118" i="6"/>
  <c r="O118" i="6" s="1"/>
  <c r="U118" i="6"/>
  <c r="W118" i="6"/>
  <c r="X118" i="6" s="1"/>
  <c r="X407" i="5"/>
  <c r="X424" i="5"/>
  <c r="X415" i="5"/>
  <c r="X366" i="5"/>
  <c r="X323" i="5"/>
  <c r="X315" i="5"/>
  <c r="X307" i="5"/>
  <c r="X299" i="5"/>
  <c r="X271" i="5"/>
  <c r="X223" i="5"/>
  <c r="X435" i="5"/>
  <c r="X420" i="5"/>
  <c r="X408" i="5"/>
  <c r="X395" i="5"/>
  <c r="X391" i="5"/>
  <c r="X381" i="5"/>
  <c r="X373" i="5"/>
  <c r="X361" i="5"/>
  <c r="X351" i="5"/>
  <c r="X318" i="5"/>
  <c r="X310" i="5"/>
  <c r="X302" i="5"/>
  <c r="X292" i="5"/>
  <c r="X279" i="5"/>
  <c r="X226" i="5"/>
  <c r="X208" i="5"/>
  <c r="X433" i="5"/>
  <c r="X427" i="5"/>
  <c r="X413" i="5"/>
  <c r="X354" i="5"/>
  <c r="X287" i="5"/>
  <c r="X231" i="5"/>
  <c r="X439" i="5"/>
  <c r="X401" i="5"/>
  <c r="X363" i="5"/>
  <c r="X353" i="5"/>
  <c r="X335" i="5"/>
  <c r="X320" i="5"/>
  <c r="X312" i="5"/>
  <c r="X304" i="5"/>
  <c r="X294" i="5"/>
  <c r="X286" i="5"/>
  <c r="X266" i="5"/>
  <c r="X260" i="5"/>
  <c r="X252" i="5"/>
  <c r="X244" i="5"/>
  <c r="X230" i="5"/>
  <c r="X220" i="5"/>
  <c r="X216" i="5"/>
  <c r="X204" i="5"/>
  <c r="X190" i="5"/>
  <c r="X186" i="5"/>
  <c r="X178" i="5"/>
  <c r="X163" i="5"/>
  <c r="X155" i="5"/>
  <c r="X147" i="5"/>
  <c r="X143" i="5"/>
  <c r="X139" i="5"/>
  <c r="X135" i="5"/>
  <c r="X131" i="5"/>
  <c r="W218" i="6"/>
  <c r="X218" i="6" s="1"/>
  <c r="U218" i="6"/>
  <c r="C263" i="5"/>
  <c r="H263" i="5"/>
  <c r="I263" i="5" s="1"/>
  <c r="C325" i="5"/>
  <c r="H403" i="5"/>
  <c r="I403" i="5" s="1"/>
  <c r="N403" i="5"/>
  <c r="O403" i="5" s="1"/>
  <c r="U403" i="5"/>
  <c r="W403" i="5"/>
  <c r="X403" i="5" s="1"/>
  <c r="F441" i="5"/>
  <c r="N442" i="5"/>
  <c r="O442" i="5" s="1"/>
  <c r="AD423" i="5"/>
  <c r="AD440" i="5"/>
  <c r="AD416" i="5"/>
  <c r="AD357" i="5"/>
  <c r="AD349" i="5"/>
  <c r="AD290" i="5"/>
  <c r="AD234" i="5"/>
  <c r="AD441" i="5"/>
  <c r="AD438" i="5"/>
  <c r="AD429" i="5"/>
  <c r="AD411" i="5"/>
  <c r="AD400" i="5"/>
  <c r="AD392" i="5"/>
  <c r="AD382" i="5"/>
  <c r="AD374" i="5"/>
  <c r="AD362" i="5"/>
  <c r="AD334" i="5"/>
  <c r="AD319" i="5"/>
  <c r="AD311" i="5"/>
  <c r="AD303" i="5"/>
  <c r="AD280" i="5"/>
  <c r="AD259" i="5"/>
  <c r="AD251" i="5"/>
  <c r="AD243" i="5"/>
  <c r="AD219" i="5"/>
  <c r="AD215" i="5"/>
  <c r="AD419" i="5"/>
  <c r="AD414" i="5"/>
  <c r="AD365" i="5"/>
  <c r="AD322" i="5"/>
  <c r="AD314" i="5"/>
  <c r="AD306" i="5"/>
  <c r="AD298" i="5"/>
  <c r="AD270" i="5"/>
  <c r="AD222" i="5"/>
  <c r="AD427" i="5"/>
  <c r="AD402" i="5"/>
  <c r="AD385" i="5"/>
  <c r="AD376" i="5"/>
  <c r="AD354" i="5"/>
  <c r="AD337" i="5"/>
  <c r="AD328" i="5"/>
  <c r="AD287" i="5"/>
  <c r="AD282" i="5"/>
  <c r="AD261" i="5"/>
  <c r="AD253" i="5"/>
  <c r="AD245" i="5"/>
  <c r="AD231" i="5"/>
  <c r="AD217" i="5"/>
  <c r="W236" i="6"/>
  <c r="X236" i="6" s="1"/>
  <c r="AC236" i="6"/>
  <c r="AD236" i="6" s="1"/>
  <c r="N263" i="6"/>
  <c r="O263" i="6" s="1"/>
  <c r="C263" i="6"/>
  <c r="H263" i="6"/>
  <c r="I263" i="6" s="1"/>
  <c r="C284" i="6"/>
  <c r="H284" i="6"/>
  <c r="I284" i="6" s="1"/>
  <c r="N284" i="6"/>
  <c r="O284" i="6" s="1"/>
  <c r="R393" i="6"/>
  <c r="W393" i="6"/>
  <c r="X393" i="6" s="1"/>
  <c r="AC393" i="6"/>
  <c r="AD393" i="6" s="1"/>
  <c r="W295" i="5"/>
  <c r="X295" i="5" s="1"/>
  <c r="R295" i="5"/>
  <c r="N393" i="5"/>
  <c r="O393" i="5" s="1"/>
  <c r="L393" i="5"/>
  <c r="C403" i="5"/>
  <c r="C172" i="6"/>
  <c r="H172" i="6"/>
  <c r="I172" i="6" s="1"/>
  <c r="N172" i="6"/>
  <c r="O172" i="6" s="1"/>
  <c r="B198" i="6"/>
  <c r="T172" i="6"/>
  <c r="W124" i="6"/>
  <c r="X124" i="6" s="1"/>
  <c r="U124" i="6"/>
  <c r="L171" i="6"/>
  <c r="H193" i="6"/>
  <c r="I193" i="6" s="1"/>
  <c r="N193" i="6"/>
  <c r="O193" i="6" s="1"/>
  <c r="C193" i="6"/>
  <c r="U196" i="6"/>
  <c r="W196" i="6"/>
  <c r="X196" i="6" s="1"/>
  <c r="R236" i="6"/>
  <c r="AA403" i="6"/>
  <c r="W267" i="5"/>
  <c r="X267" i="5" s="1"/>
  <c r="R267" i="5"/>
  <c r="R324" i="5"/>
  <c r="W324" i="5"/>
  <c r="X324" i="5" s="1"/>
  <c r="H40" i="6"/>
  <c r="I40" i="6" s="1"/>
  <c r="C40" i="6"/>
  <c r="N40" i="6"/>
  <c r="O40" i="6" s="1"/>
  <c r="AC170" i="6"/>
  <c r="AD170" i="6" s="1"/>
  <c r="R171" i="6"/>
  <c r="AC171" i="6"/>
  <c r="AD171" i="6" s="1"/>
  <c r="Q172" i="6"/>
  <c r="W171" i="6"/>
  <c r="X171" i="6" s="1"/>
  <c r="AA172" i="6"/>
  <c r="Z198" i="6"/>
  <c r="W182" i="6"/>
  <c r="X182" i="6" s="1"/>
  <c r="AC182" i="6"/>
  <c r="AD182" i="6" s="1"/>
  <c r="N209" i="6"/>
  <c r="O209" i="6" s="1"/>
  <c r="H209" i="6"/>
  <c r="I209" i="6" s="1"/>
  <c r="H403" i="6"/>
  <c r="I403" i="6" s="1"/>
  <c r="C403" i="6"/>
  <c r="N403" i="6"/>
  <c r="O403" i="6" s="1"/>
  <c r="X75" i="5"/>
  <c r="AD81" i="5"/>
  <c r="X83" i="5"/>
  <c r="AD132" i="5"/>
  <c r="X136" i="5"/>
  <c r="AD156" i="5"/>
  <c r="AD160" i="5"/>
  <c r="X164" i="5"/>
  <c r="N166" i="5"/>
  <c r="O166" i="5" s="1"/>
  <c r="X167" i="5"/>
  <c r="T172" i="5"/>
  <c r="AD175" i="5"/>
  <c r="AD181" i="5"/>
  <c r="AC182" i="5"/>
  <c r="AD182" i="5" s="1"/>
  <c r="AD192" i="5"/>
  <c r="AD195" i="5"/>
  <c r="C197" i="5"/>
  <c r="H197" i="5"/>
  <c r="I197" i="5" s="1"/>
  <c r="AD211" i="5"/>
  <c r="X219" i="5"/>
  <c r="C227" i="5"/>
  <c r="H227" i="5"/>
  <c r="I227" i="5" s="1"/>
  <c r="AD266" i="5"/>
  <c r="X293" i="5"/>
  <c r="C295" i="5"/>
  <c r="H295" i="5"/>
  <c r="I295" i="5" s="1"/>
  <c r="X331" i="5"/>
  <c r="X340" i="5"/>
  <c r="X343" i="5"/>
  <c r="X350" i="5"/>
  <c r="AD353" i="5"/>
  <c r="AD360" i="5"/>
  <c r="C396" i="5"/>
  <c r="X409" i="5"/>
  <c r="X411" i="5"/>
  <c r="X423" i="5"/>
  <c r="R428" i="5"/>
  <c r="W428" i="5"/>
  <c r="X428" i="5" s="1"/>
  <c r="AC428" i="5"/>
  <c r="AD428" i="5" s="1"/>
  <c r="X432" i="5"/>
  <c r="X438" i="5"/>
  <c r="C122" i="6"/>
  <c r="H122" i="6"/>
  <c r="I122" i="6" s="1"/>
  <c r="N122" i="6"/>
  <c r="O122" i="6" s="1"/>
  <c r="N171" i="6"/>
  <c r="O171" i="6" s="1"/>
  <c r="R182" i="6"/>
  <c r="C209" i="6"/>
  <c r="W295" i="6"/>
  <c r="X295" i="6" s="1"/>
  <c r="U295" i="6"/>
  <c r="H393" i="6"/>
  <c r="I393" i="6" s="1"/>
  <c r="N393" i="6"/>
  <c r="O393" i="6" s="1"/>
  <c r="AD12" i="5"/>
  <c r="AD16" i="5"/>
  <c r="AD19" i="5"/>
  <c r="AD24" i="5"/>
  <c r="AD28" i="5"/>
  <c r="AD32" i="5"/>
  <c r="AD36" i="5"/>
  <c r="AD44" i="5"/>
  <c r="AD49" i="5"/>
  <c r="AD53" i="5"/>
  <c r="AD57" i="5"/>
  <c r="AD64" i="5"/>
  <c r="AD68" i="5"/>
  <c r="X70" i="5"/>
  <c r="AD71" i="5"/>
  <c r="AD78" i="5"/>
  <c r="X80" i="5"/>
  <c r="AD86" i="5"/>
  <c r="AD92" i="5"/>
  <c r="X95" i="5"/>
  <c r="AD96" i="5"/>
  <c r="AD101" i="5"/>
  <c r="X103" i="5"/>
  <c r="AD104" i="5"/>
  <c r="AD109" i="5"/>
  <c r="X111" i="5"/>
  <c r="AD112" i="5"/>
  <c r="AD117" i="5"/>
  <c r="AD123" i="5"/>
  <c r="AC172" i="5"/>
  <c r="AD172" i="5" s="1"/>
  <c r="AD129" i="5"/>
  <c r="AD134" i="5"/>
  <c r="AD139" i="5"/>
  <c r="AD143" i="5"/>
  <c r="AD148" i="5"/>
  <c r="AD153" i="5"/>
  <c r="AD162" i="5"/>
  <c r="C172" i="5"/>
  <c r="B198" i="5"/>
  <c r="X180" i="5"/>
  <c r="AD187" i="5"/>
  <c r="X191" i="5"/>
  <c r="N193" i="5"/>
  <c r="O193" i="5" s="1"/>
  <c r="X194" i="5"/>
  <c r="N196" i="5"/>
  <c r="O196" i="5" s="1"/>
  <c r="X209" i="5"/>
  <c r="X213" i="5"/>
  <c r="X217" i="5"/>
  <c r="X225" i="5"/>
  <c r="AD232" i="5"/>
  <c r="AD238" i="5"/>
  <c r="AD241" i="5"/>
  <c r="AD247" i="5"/>
  <c r="AD249" i="5"/>
  <c r="AD255" i="5"/>
  <c r="AD257" i="5"/>
  <c r="H262" i="5"/>
  <c r="I262" i="5" s="1"/>
  <c r="N262" i="5"/>
  <c r="O262" i="5" s="1"/>
  <c r="U262" i="5"/>
  <c r="W262" i="5"/>
  <c r="X262" i="5" s="1"/>
  <c r="X265" i="5"/>
  <c r="C267" i="5"/>
  <c r="H267" i="5"/>
  <c r="I267" i="5" s="1"/>
  <c r="AD278" i="5"/>
  <c r="AD289" i="5"/>
  <c r="AC295" i="5"/>
  <c r="AD295" i="5" s="1"/>
  <c r="X298" i="5"/>
  <c r="X300" i="5"/>
  <c r="X306" i="5"/>
  <c r="X308" i="5"/>
  <c r="X314" i="5"/>
  <c r="X316" i="5"/>
  <c r="X322" i="5"/>
  <c r="N325" i="5"/>
  <c r="O325" i="5" s="1"/>
  <c r="AD329" i="5"/>
  <c r="AD338" i="5"/>
  <c r="X352" i="5"/>
  <c r="AD372" i="5"/>
  <c r="AD380" i="5"/>
  <c r="AD390" i="5"/>
  <c r="AD397" i="5"/>
  <c r="AD401" i="5"/>
  <c r="X417" i="5"/>
  <c r="X419" i="5"/>
  <c r="AD421" i="5"/>
  <c r="H158" i="6"/>
  <c r="I158" i="6" s="1"/>
  <c r="N158" i="6"/>
  <c r="O158" i="6" s="1"/>
  <c r="C182" i="6"/>
  <c r="H182" i="6"/>
  <c r="I182" i="6" s="1"/>
  <c r="H88" i="5"/>
  <c r="I88" i="5" s="1"/>
  <c r="AD89" i="5"/>
  <c r="X91" i="5"/>
  <c r="AD98" i="5"/>
  <c r="X100" i="5"/>
  <c r="AD106" i="5"/>
  <c r="X108" i="5"/>
  <c r="AD114" i="5"/>
  <c r="X116" i="5"/>
  <c r="AD120" i="5"/>
  <c r="N124" i="5"/>
  <c r="O124" i="5" s="1"/>
  <c r="R124" i="5"/>
  <c r="X127" i="5"/>
  <c r="AD145" i="5"/>
  <c r="N149" i="5"/>
  <c r="O149" i="5" s="1"/>
  <c r="X151" i="5"/>
  <c r="W172" i="5"/>
  <c r="X172" i="5" s="1"/>
  <c r="AD183" i="5"/>
  <c r="AD189" i="5"/>
  <c r="AD202" i="5"/>
  <c r="X246" i="5"/>
  <c r="X254" i="5"/>
  <c r="C262" i="5"/>
  <c r="N263" i="5"/>
  <c r="O263" i="5" s="1"/>
  <c r="AC267" i="5"/>
  <c r="AD267" i="5" s="1"/>
  <c r="X275" i="5"/>
  <c r="X277" i="5"/>
  <c r="X283" i="5"/>
  <c r="AD331" i="5"/>
  <c r="AD340" i="5"/>
  <c r="AC343" i="5"/>
  <c r="AD343" i="5" s="1"/>
  <c r="AD347" i="5"/>
  <c r="AD356" i="5"/>
  <c r="X369" i="5"/>
  <c r="X371" i="5"/>
  <c r="X377" i="5"/>
  <c r="X379" i="5"/>
  <c r="X386" i="5"/>
  <c r="X389" i="5"/>
  <c r="W393" i="5"/>
  <c r="X393" i="5" s="1"/>
  <c r="X396" i="5"/>
  <c r="X398" i="5"/>
  <c r="X402" i="5"/>
  <c r="AD409" i="5"/>
  <c r="H428" i="5"/>
  <c r="I428" i="5" s="1"/>
  <c r="N428" i="5"/>
  <c r="O428" i="5" s="1"/>
  <c r="AD436" i="5"/>
  <c r="X442" i="5"/>
  <c r="F73" i="6"/>
  <c r="H73" i="6"/>
  <c r="I73" i="6" s="1"/>
  <c r="U141" i="6"/>
  <c r="W141" i="6"/>
  <c r="X141" i="6" s="1"/>
  <c r="C158" i="6"/>
  <c r="AD205" i="5"/>
  <c r="AD214" i="5"/>
  <c r="W236" i="5"/>
  <c r="X236" i="5" s="1"/>
  <c r="AD242" i="5"/>
  <c r="AD250" i="5"/>
  <c r="AD258" i="5"/>
  <c r="X281" i="5"/>
  <c r="AD333" i="5"/>
  <c r="W358" i="5"/>
  <c r="X358" i="5" s="1"/>
  <c r="X375" i="5"/>
  <c r="X383" i="5"/>
  <c r="AD399" i="5"/>
  <c r="AD408" i="5"/>
  <c r="AD410" i="5"/>
  <c r="AD420" i="5"/>
  <c r="W122" i="6"/>
  <c r="X122" i="6" s="1"/>
  <c r="AC122" i="6"/>
  <c r="AD122" i="6" s="1"/>
  <c r="R148" i="6"/>
  <c r="W148" i="6"/>
  <c r="X148" i="6" s="1"/>
  <c r="F273" i="6"/>
  <c r="H273" i="6"/>
  <c r="I273" i="6" s="1"/>
  <c r="N324" i="6"/>
  <c r="O324" i="6" s="1"/>
  <c r="R325" i="6"/>
  <c r="AC325" i="6"/>
  <c r="AD325" i="6" s="1"/>
  <c r="W325" i="6"/>
  <c r="X325" i="6" s="1"/>
  <c r="H343" i="6"/>
  <c r="I343" i="6" s="1"/>
  <c r="N343" i="6"/>
  <c r="O343" i="6" s="1"/>
  <c r="U343" i="6"/>
  <c r="W343" i="6"/>
  <c r="X343" i="6" s="1"/>
  <c r="N442" i="6"/>
  <c r="O442" i="6" s="1"/>
  <c r="X221" i="5"/>
  <c r="AD229" i="5"/>
  <c r="N236" i="5"/>
  <c r="O236" i="5" s="1"/>
  <c r="AD265" i="5"/>
  <c r="X269" i="5"/>
  <c r="AC284" i="5"/>
  <c r="AD284" i="5" s="1"/>
  <c r="AD293" i="5"/>
  <c r="X297" i="5"/>
  <c r="X305" i="5"/>
  <c r="X313" i="5"/>
  <c r="X321" i="5"/>
  <c r="N343" i="5"/>
  <c r="O343" i="5" s="1"/>
  <c r="N344" i="5"/>
  <c r="O344" i="5" s="1"/>
  <c r="AD352" i="5"/>
  <c r="X364" i="5"/>
  <c r="N429" i="5"/>
  <c r="O429" i="5" s="1"/>
  <c r="W73" i="6"/>
  <c r="X73" i="6" s="1"/>
  <c r="R73" i="6"/>
  <c r="AC148" i="6"/>
  <c r="AD148" i="6" s="1"/>
  <c r="AC149" i="6"/>
  <c r="AD149" i="6" s="1"/>
  <c r="N196" i="6"/>
  <c r="O196" i="6" s="1"/>
  <c r="H197" i="6"/>
  <c r="I197" i="6" s="1"/>
  <c r="C197" i="6"/>
  <c r="R209" i="6"/>
  <c r="W209" i="6"/>
  <c r="X209" i="6" s="1"/>
  <c r="C236" i="6"/>
  <c r="N236" i="6"/>
  <c r="O236" i="6" s="1"/>
  <c r="H236" i="6"/>
  <c r="I236" i="6" s="1"/>
  <c r="W284" i="6"/>
  <c r="X284" i="6" s="1"/>
  <c r="AC284" i="6"/>
  <c r="AD284" i="6" s="1"/>
  <c r="W429" i="6"/>
  <c r="X429" i="6" s="1"/>
  <c r="R429" i="6"/>
  <c r="X214" i="5"/>
  <c r="X242" i="5"/>
  <c r="X250" i="5"/>
  <c r="X258" i="5"/>
  <c r="AD277" i="5"/>
  <c r="N284" i="5"/>
  <c r="O284" i="5" s="1"/>
  <c r="X333" i="5"/>
  <c r="AC342" i="5"/>
  <c r="AD342" i="5" s="1"/>
  <c r="AD371" i="5"/>
  <c r="AD379" i="5"/>
  <c r="AD389" i="5"/>
  <c r="X399" i="5"/>
  <c r="X410" i="5"/>
  <c r="X422" i="5"/>
  <c r="AD425" i="5"/>
  <c r="L18" i="6"/>
  <c r="N18" i="6"/>
  <c r="O18" i="6" s="1"/>
  <c r="C170" i="6"/>
  <c r="H170" i="6"/>
  <c r="I170" i="6" s="1"/>
  <c r="E345" i="6"/>
  <c r="AD221" i="5"/>
  <c r="X233" i="5"/>
  <c r="AD269" i="5"/>
  <c r="X289" i="5"/>
  <c r="AD297" i="5"/>
  <c r="AD305" i="5"/>
  <c r="AD313" i="5"/>
  <c r="AD321" i="5"/>
  <c r="R343" i="5"/>
  <c r="AC344" i="5"/>
  <c r="AD344" i="5" s="1"/>
  <c r="X347" i="5"/>
  <c r="X356" i="5"/>
  <c r="N358" i="5"/>
  <c r="O358" i="5" s="1"/>
  <c r="AD364" i="5"/>
  <c r="X412" i="5"/>
  <c r="AD433" i="5"/>
  <c r="X437" i="5"/>
  <c r="AC18" i="6"/>
  <c r="AD18" i="6" s="1"/>
  <c r="N73" i="6"/>
  <c r="O73" i="6" s="1"/>
  <c r="AC88" i="6"/>
  <c r="AD88" i="6" s="1"/>
  <c r="C149" i="6"/>
  <c r="U149" i="6"/>
  <c r="W149" i="6"/>
  <c r="X149" i="6" s="1"/>
  <c r="AC196" i="6"/>
  <c r="AD196" i="6" s="1"/>
  <c r="H218" i="6"/>
  <c r="I218" i="6" s="1"/>
  <c r="W267" i="6"/>
  <c r="X267" i="6" s="1"/>
  <c r="U267" i="6"/>
  <c r="AD413" i="5"/>
  <c r="X418" i="5"/>
  <c r="I424" i="5"/>
  <c r="X426" i="5"/>
  <c r="C442" i="5"/>
  <c r="H442" i="5"/>
  <c r="I442" i="5" s="1"/>
  <c r="AD27" i="6"/>
  <c r="I34" i="6"/>
  <c r="AD37" i="6"/>
  <c r="R61" i="6"/>
  <c r="W61" i="6"/>
  <c r="X61" i="6" s="1"/>
  <c r="AC62" i="6"/>
  <c r="AD62" i="6" s="1"/>
  <c r="AD65" i="6"/>
  <c r="I70" i="6"/>
  <c r="R88" i="6"/>
  <c r="W88" i="6"/>
  <c r="X88" i="6" s="1"/>
  <c r="I96" i="6"/>
  <c r="I104" i="6"/>
  <c r="I112" i="6"/>
  <c r="I121" i="6"/>
  <c r="C124" i="6"/>
  <c r="AC124" i="6"/>
  <c r="AD124" i="6" s="1"/>
  <c r="AD129" i="6"/>
  <c r="I134" i="6"/>
  <c r="AD137" i="6"/>
  <c r="N141" i="6"/>
  <c r="O141" i="6" s="1"/>
  <c r="I154" i="6"/>
  <c r="AD157" i="6"/>
  <c r="I164" i="6"/>
  <c r="AC166" i="6"/>
  <c r="AD166" i="6" s="1"/>
  <c r="AD168" i="6"/>
  <c r="I179" i="6"/>
  <c r="AD183" i="6"/>
  <c r="I189" i="6"/>
  <c r="AD192" i="6"/>
  <c r="I208" i="6"/>
  <c r="I215" i="6"/>
  <c r="AD215" i="6"/>
  <c r="I225" i="6"/>
  <c r="I231" i="6"/>
  <c r="I251" i="6"/>
  <c r="AD251" i="6"/>
  <c r="W263" i="6"/>
  <c r="X263" i="6" s="1"/>
  <c r="AD275" i="6"/>
  <c r="I279" i="6"/>
  <c r="AD279" i="6"/>
  <c r="I289" i="6"/>
  <c r="AD289" i="6"/>
  <c r="I291" i="6"/>
  <c r="AD300" i="6"/>
  <c r="I304" i="6"/>
  <c r="AD311" i="6"/>
  <c r="AD319" i="6"/>
  <c r="I325" i="6"/>
  <c r="AD329" i="6"/>
  <c r="AD338" i="6"/>
  <c r="H344" i="6"/>
  <c r="I344" i="6" s="1"/>
  <c r="R344" i="6"/>
  <c r="W344" i="6"/>
  <c r="X344" i="6" s="1"/>
  <c r="I347" i="6"/>
  <c r="I356" i="6"/>
  <c r="AD360" i="6"/>
  <c r="AD362" i="6"/>
  <c r="I364" i="6"/>
  <c r="I366" i="6"/>
  <c r="C368" i="6"/>
  <c r="AD369" i="6"/>
  <c r="AD392" i="6"/>
  <c r="AD394" i="6"/>
  <c r="AD416" i="6"/>
  <c r="N441" i="6"/>
  <c r="O441" i="6" s="1"/>
  <c r="I442" i="6"/>
  <c r="AC442" i="6"/>
  <c r="AD442" i="6" s="1"/>
  <c r="I425" i="6"/>
  <c r="I417" i="6"/>
  <c r="I409" i="6"/>
  <c r="I362" i="6"/>
  <c r="I394" i="6"/>
  <c r="I350" i="6"/>
  <c r="I335" i="6"/>
  <c r="I271" i="6"/>
  <c r="I434" i="6"/>
  <c r="I397" i="6"/>
  <c r="I319" i="6"/>
  <c r="I311" i="6"/>
  <c r="I303" i="6"/>
  <c r="I283" i="6"/>
  <c r="I275" i="6"/>
  <c r="N40" i="7"/>
  <c r="O40" i="7" s="1"/>
  <c r="R61" i="7"/>
  <c r="W61" i="7"/>
  <c r="X61" i="7" s="1"/>
  <c r="AC61" i="7"/>
  <c r="AD61" i="7" s="1"/>
  <c r="U18" i="7"/>
  <c r="H88" i="7"/>
  <c r="I88" i="7" s="1"/>
  <c r="C88" i="7"/>
  <c r="N88" i="7"/>
  <c r="O88" i="7" s="1"/>
  <c r="E345" i="7"/>
  <c r="F198" i="7"/>
  <c r="AD440" i="6"/>
  <c r="AD398" i="6"/>
  <c r="AD320" i="6"/>
  <c r="AD438" i="6"/>
  <c r="AD388" i="6"/>
  <c r="AD378" i="6"/>
  <c r="AD370" i="6"/>
  <c r="AD292" i="6"/>
  <c r="AD261" i="6"/>
  <c r="AD253" i="6"/>
  <c r="AD245" i="6"/>
  <c r="AD355" i="6"/>
  <c r="AD341" i="6"/>
  <c r="AD332" i="6"/>
  <c r="H61" i="7"/>
  <c r="I61" i="7" s="1"/>
  <c r="N61" i="7"/>
  <c r="O61" i="7" s="1"/>
  <c r="C61" i="7"/>
  <c r="I432" i="5"/>
  <c r="X434" i="5"/>
  <c r="I440" i="5"/>
  <c r="I12" i="6"/>
  <c r="I22" i="6"/>
  <c r="AD25" i="6"/>
  <c r="N29" i="6"/>
  <c r="O29" i="6" s="1"/>
  <c r="R40" i="6"/>
  <c r="W40" i="6"/>
  <c r="X40" i="6" s="1"/>
  <c r="I49" i="6"/>
  <c r="I57" i="6"/>
  <c r="I76" i="6"/>
  <c r="I84" i="6"/>
  <c r="AD95" i="6"/>
  <c r="AD103" i="6"/>
  <c r="AD111" i="6"/>
  <c r="AD163" i="6"/>
  <c r="AD178" i="6"/>
  <c r="R197" i="6"/>
  <c r="W197" i="6"/>
  <c r="X197" i="6" s="1"/>
  <c r="I201" i="6"/>
  <c r="AD216" i="6"/>
  <c r="AD224" i="6"/>
  <c r="AD230" i="6"/>
  <c r="I243" i="6"/>
  <c r="AD243" i="6"/>
  <c r="I265" i="6"/>
  <c r="AD288" i="6"/>
  <c r="I294" i="6"/>
  <c r="N295" i="6"/>
  <c r="O295" i="6" s="1"/>
  <c r="AD303" i="6"/>
  <c r="I307" i="6"/>
  <c r="AD307" i="6"/>
  <c r="AD323" i="6"/>
  <c r="AD361" i="6"/>
  <c r="AD363" i="6"/>
  <c r="AD372" i="6"/>
  <c r="I376" i="6"/>
  <c r="AD376" i="6"/>
  <c r="I380" i="6"/>
  <c r="I382" i="6"/>
  <c r="AD395" i="6"/>
  <c r="R396" i="6"/>
  <c r="W396" i="6"/>
  <c r="X396" i="6" s="1"/>
  <c r="I412" i="6"/>
  <c r="I414" i="6"/>
  <c r="AD423" i="6"/>
  <c r="AD425" i="6"/>
  <c r="I427" i="6"/>
  <c r="I432" i="6"/>
  <c r="F29" i="7"/>
  <c r="H29" i="7"/>
  <c r="I29" i="7" s="1"/>
  <c r="AA40" i="7"/>
  <c r="AC40" i="7"/>
  <c r="AD40" i="7" s="1"/>
  <c r="H73" i="7"/>
  <c r="I73" i="7" s="1"/>
  <c r="F73" i="7"/>
  <c r="I232" i="6"/>
  <c r="AD241" i="6"/>
  <c r="I245" i="6"/>
  <c r="I247" i="6"/>
  <c r="AD254" i="6"/>
  <c r="I256" i="6"/>
  <c r="AD256" i="6"/>
  <c r="R262" i="6"/>
  <c r="W262" i="6"/>
  <c r="X262" i="6" s="1"/>
  <c r="AC262" i="6"/>
  <c r="AD262" i="6" s="1"/>
  <c r="AD265" i="6"/>
  <c r="I270" i="6"/>
  <c r="I272" i="6"/>
  <c r="AD280" i="6"/>
  <c r="I282" i="6"/>
  <c r="AD294" i="6"/>
  <c r="AD295" i="6"/>
  <c r="I300" i="6"/>
  <c r="I309" i="6"/>
  <c r="AD315" i="6"/>
  <c r="I321" i="6"/>
  <c r="AD321" i="6"/>
  <c r="I323" i="6"/>
  <c r="C324" i="6"/>
  <c r="H324" i="6"/>
  <c r="I324" i="6" s="1"/>
  <c r="AD328" i="6"/>
  <c r="I332" i="6"/>
  <c r="I334" i="6"/>
  <c r="AD334" i="6"/>
  <c r="AD337" i="6"/>
  <c r="I341" i="6"/>
  <c r="AD352" i="6"/>
  <c r="AD367" i="6"/>
  <c r="AD374" i="6"/>
  <c r="AD380" i="6"/>
  <c r="I385" i="6"/>
  <c r="AD385" i="6"/>
  <c r="I388" i="6"/>
  <c r="I390" i="6"/>
  <c r="I392" i="6"/>
  <c r="AD397" i="6"/>
  <c r="AD408" i="6"/>
  <c r="AD410" i="6"/>
  <c r="C429" i="6"/>
  <c r="H429" i="6"/>
  <c r="I429" i="6" s="1"/>
  <c r="I438" i="6"/>
  <c r="H40" i="7"/>
  <c r="I40" i="7" s="1"/>
  <c r="AD8" i="6"/>
  <c r="I14" i="6"/>
  <c r="AD17" i="6"/>
  <c r="I24" i="6"/>
  <c r="AD35" i="6"/>
  <c r="I42" i="6"/>
  <c r="AD46" i="6"/>
  <c r="I51" i="6"/>
  <c r="AD54" i="6"/>
  <c r="I59" i="6"/>
  <c r="AD71" i="6"/>
  <c r="I78" i="6"/>
  <c r="AD81" i="6"/>
  <c r="I86" i="6"/>
  <c r="AD135" i="6"/>
  <c r="AD145" i="6"/>
  <c r="AD155" i="6"/>
  <c r="AD190" i="6"/>
  <c r="I203" i="6"/>
  <c r="AD206" i="6"/>
  <c r="AD213" i="6"/>
  <c r="AD221" i="6"/>
  <c r="I223" i="6"/>
  <c r="AD223" i="6"/>
  <c r="H227" i="6"/>
  <c r="I227" i="6" s="1"/>
  <c r="N227" i="6"/>
  <c r="O227" i="6" s="1"/>
  <c r="AD232" i="6"/>
  <c r="I234" i="6"/>
  <c r="AD234" i="6"/>
  <c r="AD247" i="6"/>
  <c r="I258" i="6"/>
  <c r="AD258" i="6"/>
  <c r="I260" i="6"/>
  <c r="C262" i="6"/>
  <c r="I267" i="6"/>
  <c r="AD270" i="6"/>
  <c r="AD272" i="6"/>
  <c r="R273" i="6"/>
  <c r="W273" i="6"/>
  <c r="X273" i="6" s="1"/>
  <c r="I277" i="6"/>
  <c r="AD282" i="6"/>
  <c r="I287" i="6"/>
  <c r="I313" i="6"/>
  <c r="I315" i="6"/>
  <c r="I317" i="6"/>
  <c r="AD317" i="6"/>
  <c r="R342" i="6"/>
  <c r="W342" i="6"/>
  <c r="X342" i="6" s="1"/>
  <c r="AC342" i="6"/>
  <c r="AD342" i="6" s="1"/>
  <c r="AD350" i="6"/>
  <c r="I354" i="6"/>
  <c r="R368" i="6"/>
  <c r="W368" i="6"/>
  <c r="X368" i="6" s="1"/>
  <c r="AD382" i="6"/>
  <c r="AD390" i="6"/>
  <c r="I400" i="6"/>
  <c r="I402" i="6"/>
  <c r="AD414" i="6"/>
  <c r="I420" i="6"/>
  <c r="I422" i="6"/>
  <c r="Q345" i="7"/>
  <c r="R198" i="7"/>
  <c r="I214" i="6"/>
  <c r="AD226" i="6"/>
  <c r="I246" i="6"/>
  <c r="I254" i="6"/>
  <c r="AD278" i="6"/>
  <c r="I293" i="6"/>
  <c r="AD298" i="6"/>
  <c r="AD306" i="6"/>
  <c r="AD314" i="6"/>
  <c r="AD322" i="6"/>
  <c r="I371" i="6"/>
  <c r="I379" i="6"/>
  <c r="I389" i="6"/>
  <c r="AD400" i="6"/>
  <c r="AD432" i="6"/>
  <c r="AD434" i="6"/>
  <c r="R88" i="7"/>
  <c r="W88" i="7"/>
  <c r="X88" i="7" s="1"/>
  <c r="T172" i="7"/>
  <c r="W124" i="7"/>
  <c r="X124" i="7" s="1"/>
  <c r="R148" i="7"/>
  <c r="W148" i="7"/>
  <c r="X148" i="7" s="1"/>
  <c r="N166" i="7"/>
  <c r="O166" i="7" s="1"/>
  <c r="K198" i="7"/>
  <c r="L172" i="7"/>
  <c r="R227" i="7"/>
  <c r="W227" i="7"/>
  <c r="X227" i="7" s="1"/>
  <c r="AC227" i="7"/>
  <c r="AD227" i="7" s="1"/>
  <c r="W172" i="7"/>
  <c r="X172" i="7" s="1"/>
  <c r="N218" i="7"/>
  <c r="O218" i="7" s="1"/>
  <c r="C218" i="7"/>
  <c r="W141" i="7"/>
  <c r="X141" i="7" s="1"/>
  <c r="AC141" i="7"/>
  <c r="AD141" i="7" s="1"/>
  <c r="C148" i="7"/>
  <c r="R267" i="7"/>
  <c r="W267" i="7"/>
  <c r="X267" i="7" s="1"/>
  <c r="AC267" i="7"/>
  <c r="AD267" i="7" s="1"/>
  <c r="Z198" i="7"/>
  <c r="AC198" i="7" s="1"/>
  <c r="AD198" i="7" s="1"/>
  <c r="AA172" i="7"/>
  <c r="H218" i="7"/>
  <c r="I218" i="7" s="1"/>
  <c r="H263" i="7"/>
  <c r="I263" i="7" s="1"/>
  <c r="C263" i="7"/>
  <c r="N263" i="7"/>
  <c r="O263" i="7" s="1"/>
  <c r="I229" i="6"/>
  <c r="AD330" i="6"/>
  <c r="AD339" i="6"/>
  <c r="AD353" i="6"/>
  <c r="I360" i="6"/>
  <c r="R403" i="6"/>
  <c r="W403" i="6"/>
  <c r="X403" i="6" s="1"/>
  <c r="I407" i="6"/>
  <c r="I415" i="6"/>
  <c r="I423" i="6"/>
  <c r="I440" i="6"/>
  <c r="U29" i="7"/>
  <c r="W29" i="7"/>
  <c r="X29" i="7" s="1"/>
  <c r="C170" i="7"/>
  <c r="H170" i="7"/>
  <c r="I170" i="7" s="1"/>
  <c r="N170" i="7"/>
  <c r="O170" i="7" s="1"/>
  <c r="C172" i="7"/>
  <c r="H172" i="7"/>
  <c r="I172" i="7" s="1"/>
  <c r="B198" i="7"/>
  <c r="N172" i="7"/>
  <c r="O172" i="7" s="1"/>
  <c r="H196" i="7"/>
  <c r="I196" i="7" s="1"/>
  <c r="W197" i="7"/>
  <c r="X197" i="7" s="1"/>
  <c r="U197" i="7"/>
  <c r="W209" i="7"/>
  <c r="X209" i="7" s="1"/>
  <c r="U209" i="7"/>
  <c r="H267" i="7"/>
  <c r="I267" i="7" s="1"/>
  <c r="C267" i="7"/>
  <c r="N267" i="7"/>
  <c r="O267" i="7" s="1"/>
  <c r="AC172" i="7"/>
  <c r="AD172" i="7" s="1"/>
  <c r="R172" i="7"/>
  <c r="F172" i="7"/>
  <c r="H197" i="7"/>
  <c r="I197" i="7" s="1"/>
  <c r="N197" i="7"/>
  <c r="O197" i="7" s="1"/>
  <c r="C197" i="7"/>
  <c r="H209" i="7"/>
  <c r="I209" i="7" s="1"/>
  <c r="N209" i="7"/>
  <c r="O209" i="7" s="1"/>
  <c r="C209" i="7"/>
  <c r="W236" i="7"/>
  <c r="X236" i="7" s="1"/>
  <c r="AC236" i="7"/>
  <c r="AD236" i="7" s="1"/>
  <c r="I329" i="6"/>
  <c r="I338" i="6"/>
  <c r="I352" i="6"/>
  <c r="AD365" i="6"/>
  <c r="AD412" i="6"/>
  <c r="AD420" i="6"/>
  <c r="I428" i="6"/>
  <c r="R442" i="6"/>
  <c r="W442" i="6"/>
  <c r="X442" i="6" s="1"/>
  <c r="AC18" i="7"/>
  <c r="AD18" i="7" s="1"/>
  <c r="W73" i="7"/>
  <c r="X73" i="7" s="1"/>
  <c r="AC73" i="7"/>
  <c r="AD73" i="7" s="1"/>
  <c r="F141" i="7"/>
  <c r="W149" i="7"/>
  <c r="X149" i="7" s="1"/>
  <c r="U149" i="7"/>
  <c r="W171" i="7"/>
  <c r="X171" i="7" s="1"/>
  <c r="AC171" i="7"/>
  <c r="AD171" i="7" s="1"/>
  <c r="R236" i="7"/>
  <c r="AD437" i="6"/>
  <c r="F284" i="7"/>
  <c r="C295" i="7"/>
  <c r="W324" i="7"/>
  <c r="X324" i="7" s="1"/>
  <c r="F393" i="7"/>
  <c r="H393" i="7"/>
  <c r="I393" i="7" s="1"/>
  <c r="R368" i="7"/>
  <c r="W368" i="7"/>
  <c r="X368" i="7" s="1"/>
  <c r="AC368" i="7"/>
  <c r="AD368" i="7" s="1"/>
  <c r="H295" i="7"/>
  <c r="I295" i="7" s="1"/>
  <c r="F324" i="7"/>
  <c r="H358" i="7"/>
  <c r="I358" i="7" s="1"/>
  <c r="C358" i="7"/>
  <c r="N358" i="7"/>
  <c r="O358" i="7" s="1"/>
  <c r="N29" i="7"/>
  <c r="O29" i="7" s="1"/>
  <c r="R40" i="7"/>
  <c r="W40" i="7"/>
  <c r="X40" i="7" s="1"/>
  <c r="C122" i="7"/>
  <c r="H122" i="7"/>
  <c r="I122" i="7" s="1"/>
  <c r="R344" i="7"/>
  <c r="W344" i="7"/>
  <c r="X344" i="7" s="1"/>
  <c r="AC344" i="7"/>
  <c r="AD344" i="7" s="1"/>
  <c r="AC182" i="7"/>
  <c r="AD182" i="7" s="1"/>
  <c r="R182" i="7"/>
  <c r="R193" i="7"/>
  <c r="W193" i="7"/>
  <c r="X193" i="7" s="1"/>
  <c r="AC193" i="7"/>
  <c r="AD193" i="7" s="1"/>
  <c r="R196" i="7"/>
  <c r="W196" i="7"/>
  <c r="X196" i="7" s="1"/>
  <c r="AC196" i="7"/>
  <c r="AD196" i="7" s="1"/>
  <c r="R263" i="7"/>
  <c r="W263" i="7"/>
  <c r="X263" i="7" s="1"/>
  <c r="C273" i="7"/>
  <c r="H273" i="7"/>
  <c r="I273" i="7" s="1"/>
  <c r="R295" i="7"/>
  <c r="W295" i="7"/>
  <c r="X295" i="7" s="1"/>
  <c r="AC295" i="7"/>
  <c r="AD295" i="7" s="1"/>
  <c r="F325" i="7"/>
  <c r="H325" i="7"/>
  <c r="I325" i="7" s="1"/>
  <c r="N441" i="7"/>
  <c r="O441" i="7" s="1"/>
  <c r="AC124" i="7"/>
  <c r="AD124" i="7" s="1"/>
  <c r="R324" i="7"/>
  <c r="AC262" i="7"/>
  <c r="AD262" i="7" s="1"/>
  <c r="H343" i="7"/>
  <c r="I343" i="7" s="1"/>
  <c r="C343" i="7"/>
  <c r="N343" i="7"/>
  <c r="O343" i="7" s="1"/>
  <c r="R393" i="7"/>
  <c r="W393" i="7"/>
  <c r="X393" i="7" s="1"/>
  <c r="R442" i="7"/>
  <c r="W442" i="7"/>
  <c r="X442" i="7" s="1"/>
  <c r="N325" i="7"/>
  <c r="O325" i="7" s="1"/>
  <c r="F344" i="7"/>
  <c r="H344" i="7"/>
  <c r="I344" i="7" s="1"/>
  <c r="W429" i="7"/>
  <c r="X429" i="7" s="1"/>
  <c r="R429" i="7"/>
  <c r="AC429" i="7"/>
  <c r="AD429" i="7" s="1"/>
  <c r="W325" i="7"/>
  <c r="X325" i="7" s="1"/>
  <c r="AC343" i="7"/>
  <c r="AD343" i="7" s="1"/>
  <c r="R396" i="7"/>
  <c r="W396" i="7"/>
  <c r="X396" i="7" s="1"/>
  <c r="C429" i="7"/>
  <c r="H429" i="7"/>
  <c r="I429" i="7" s="1"/>
  <c r="R403" i="7"/>
  <c r="W403" i="7"/>
  <c r="X403" i="7" s="1"/>
  <c r="R342" i="7"/>
  <c r="W342" i="7"/>
  <c r="X342" i="7" s="1"/>
  <c r="H441" i="7"/>
  <c r="I441" i="7" s="1"/>
  <c r="C441" i="7"/>
  <c r="X381" i="7"/>
  <c r="X386" i="7"/>
  <c r="X391" i="7"/>
  <c r="X394" i="7"/>
  <c r="X397" i="7"/>
  <c r="X401" i="7"/>
  <c r="X409" i="7"/>
  <c r="X413" i="7"/>
  <c r="X417" i="7"/>
  <c r="X421" i="7"/>
  <c r="X425" i="7"/>
  <c r="N428" i="7"/>
  <c r="O428" i="7" s="1"/>
  <c r="X433" i="7"/>
  <c r="X437" i="7"/>
  <c r="AC441" i="7"/>
  <c r="AD441" i="7" s="1"/>
  <c r="N342" i="7"/>
  <c r="O342" i="7" s="1"/>
  <c r="N344" i="7"/>
  <c r="O344" i="7" s="1"/>
  <c r="X349" i="7"/>
  <c r="X353" i="7"/>
  <c r="X357" i="7"/>
  <c r="X361" i="7"/>
  <c r="X365" i="7"/>
  <c r="N368" i="7"/>
  <c r="O368" i="7" s="1"/>
  <c r="X372" i="7"/>
  <c r="X376" i="7"/>
  <c r="X380" i="7"/>
  <c r="X385" i="7"/>
  <c r="X390" i="7"/>
  <c r="N393" i="7"/>
  <c r="O393" i="7" s="1"/>
  <c r="N396" i="7"/>
  <c r="O396" i="7" s="1"/>
  <c r="X400" i="7"/>
  <c r="N403" i="7"/>
  <c r="O403" i="7" s="1"/>
  <c r="X408" i="7"/>
  <c r="X412" i="7"/>
  <c r="X416" i="7"/>
  <c r="X420" i="7"/>
  <c r="X424" i="7"/>
  <c r="AC428" i="7"/>
  <c r="AD428" i="7" s="1"/>
  <c r="X432" i="7"/>
  <c r="X436" i="7"/>
  <c r="N442" i="7"/>
  <c r="O442" i="7" s="1"/>
  <c r="T198" i="7" l="1"/>
  <c r="U172" i="7"/>
  <c r="E404" i="6"/>
  <c r="F345" i="6"/>
  <c r="U172" i="5"/>
  <c r="T198" i="5"/>
  <c r="E345" i="3"/>
  <c r="F198" i="3"/>
  <c r="R198" i="2"/>
  <c r="Q345" i="2"/>
  <c r="W198" i="2"/>
  <c r="X198" i="2" s="1"/>
  <c r="B198" i="4"/>
  <c r="N172" i="4"/>
  <c r="O172" i="4" s="1"/>
  <c r="C172" i="4"/>
  <c r="H172" i="4"/>
  <c r="I172" i="4" s="1"/>
  <c r="AA198" i="3"/>
  <c r="Z345" i="3"/>
  <c r="E404" i="4"/>
  <c r="F345" i="4"/>
  <c r="F198" i="2"/>
  <c r="E345" i="2"/>
  <c r="AC172" i="1"/>
  <c r="AD172" i="1" s="1"/>
  <c r="R172" i="1"/>
  <c r="Q198" i="1"/>
  <c r="W172" i="1"/>
  <c r="X172" i="1" s="1"/>
  <c r="H198" i="2"/>
  <c r="I198" i="2" s="1"/>
  <c r="B345" i="5"/>
  <c r="N198" i="5"/>
  <c r="O198" i="5" s="1"/>
  <c r="H198" i="5"/>
  <c r="I198" i="5" s="1"/>
  <c r="C198" i="5"/>
  <c r="U172" i="3"/>
  <c r="T198" i="3"/>
  <c r="T345" i="2"/>
  <c r="U198" i="2"/>
  <c r="Z345" i="6"/>
  <c r="AA198" i="6"/>
  <c r="T198" i="6"/>
  <c r="U172" i="6"/>
  <c r="Z198" i="4"/>
  <c r="AA172" i="4"/>
  <c r="E345" i="5"/>
  <c r="F198" i="5"/>
  <c r="W198" i="4"/>
  <c r="X198" i="4" s="1"/>
  <c r="AC198" i="4"/>
  <c r="AD198" i="4" s="1"/>
  <c r="Q345" i="4"/>
  <c r="R198" i="4"/>
  <c r="K345" i="7"/>
  <c r="L198" i="7"/>
  <c r="H198" i="6"/>
  <c r="I198" i="6" s="1"/>
  <c r="B345" i="6"/>
  <c r="C198" i="6"/>
  <c r="N198" i="6"/>
  <c r="O198" i="6" s="1"/>
  <c r="Q345" i="5"/>
  <c r="W198" i="5"/>
  <c r="X198" i="5" s="1"/>
  <c r="R198" i="5"/>
  <c r="K198" i="4"/>
  <c r="L172" i="4"/>
  <c r="F345" i="7"/>
  <c r="E404" i="7"/>
  <c r="K345" i="6"/>
  <c r="L198" i="6"/>
  <c r="T443" i="4"/>
  <c r="U443" i="4" s="1"/>
  <c r="U404" i="4"/>
  <c r="AA172" i="2"/>
  <c r="Z198" i="2"/>
  <c r="AC198" i="2" s="1"/>
  <c r="AD198" i="2" s="1"/>
  <c r="L198" i="1"/>
  <c r="K345" i="1"/>
  <c r="B345" i="7"/>
  <c r="H198" i="7"/>
  <c r="I198" i="7" s="1"/>
  <c r="N198" i="7"/>
  <c r="O198" i="7" s="1"/>
  <c r="C198" i="7"/>
  <c r="Z345" i="7"/>
  <c r="AA198" i="7"/>
  <c r="Q198" i="6"/>
  <c r="R172" i="6"/>
  <c r="W172" i="6"/>
  <c r="X172" i="6" s="1"/>
  <c r="AC172" i="6"/>
  <c r="AD172" i="6" s="1"/>
  <c r="AA172" i="5"/>
  <c r="Z198" i="5"/>
  <c r="U172" i="1"/>
  <c r="T198" i="1"/>
  <c r="K198" i="2"/>
  <c r="L172" i="2"/>
  <c r="E198" i="1"/>
  <c r="F172" i="1"/>
  <c r="R345" i="7"/>
  <c r="Q404" i="7"/>
  <c r="AC345" i="7"/>
  <c r="AD345" i="7" s="1"/>
  <c r="R172" i="3"/>
  <c r="AC172" i="3"/>
  <c r="AD172" i="3" s="1"/>
  <c r="Q198" i="3"/>
  <c r="W172" i="3"/>
  <c r="X172" i="3" s="1"/>
  <c r="Z345" i="1"/>
  <c r="AA198" i="1"/>
  <c r="C172" i="1"/>
  <c r="N172" i="1"/>
  <c r="O172" i="1" s="1"/>
  <c r="B198" i="1"/>
  <c r="H172" i="1"/>
  <c r="I172" i="1" s="1"/>
  <c r="L172" i="5"/>
  <c r="K198" i="5"/>
  <c r="N172" i="5"/>
  <c r="O172" i="5" s="1"/>
  <c r="K404" i="3"/>
  <c r="L345" i="3"/>
  <c r="C198" i="3"/>
  <c r="N198" i="3"/>
  <c r="O198" i="3" s="1"/>
  <c r="B345" i="3"/>
  <c r="H198" i="3"/>
  <c r="I198" i="3" s="1"/>
  <c r="C345" i="2"/>
  <c r="H345" i="2"/>
  <c r="I345" i="2" s="1"/>
  <c r="B404" i="2"/>
  <c r="T345" i="3" l="1"/>
  <c r="U198" i="3"/>
  <c r="Z404" i="1"/>
  <c r="AA345" i="1"/>
  <c r="Z345" i="4"/>
  <c r="AC345" i="4" s="1"/>
  <c r="AD345" i="4" s="1"/>
  <c r="AA198" i="4"/>
  <c r="E404" i="5"/>
  <c r="F345" i="5"/>
  <c r="C404" i="2"/>
  <c r="B443" i="2"/>
  <c r="K443" i="3"/>
  <c r="L443" i="3" s="1"/>
  <c r="L404" i="3"/>
  <c r="R404" i="7"/>
  <c r="Q443" i="7"/>
  <c r="Z345" i="5"/>
  <c r="AA198" i="5"/>
  <c r="L345" i="7"/>
  <c r="K404" i="7"/>
  <c r="K345" i="5"/>
  <c r="L198" i="5"/>
  <c r="AC198" i="5"/>
  <c r="AD198" i="5" s="1"/>
  <c r="E404" i="3"/>
  <c r="F345" i="3"/>
  <c r="T404" i="2"/>
  <c r="U345" i="2"/>
  <c r="Q345" i="3"/>
  <c r="AC198" i="3"/>
  <c r="AD198" i="3" s="1"/>
  <c r="R198" i="3"/>
  <c r="W198" i="3"/>
  <c r="X198" i="3" s="1"/>
  <c r="F198" i="1"/>
  <c r="E345" i="1"/>
  <c r="H345" i="7"/>
  <c r="I345" i="7" s="1"/>
  <c r="C345" i="7"/>
  <c r="N345" i="7"/>
  <c r="O345" i="7" s="1"/>
  <c r="B404" i="7"/>
  <c r="L345" i="6"/>
  <c r="K404" i="6"/>
  <c r="W345" i="5"/>
  <c r="X345" i="5" s="1"/>
  <c r="R345" i="5"/>
  <c r="AC345" i="5"/>
  <c r="AD345" i="5" s="1"/>
  <c r="Q404" i="5"/>
  <c r="W345" i="4"/>
  <c r="X345" i="4" s="1"/>
  <c r="R345" i="4"/>
  <c r="Q404" i="4"/>
  <c r="U198" i="6"/>
  <c r="T345" i="6"/>
  <c r="F345" i="2"/>
  <c r="E404" i="2"/>
  <c r="U198" i="5"/>
  <c r="T345" i="5"/>
  <c r="AA345" i="7"/>
  <c r="Z404" i="7"/>
  <c r="AC404" i="7" s="1"/>
  <c r="AD404" i="7" s="1"/>
  <c r="H345" i="3"/>
  <c r="I345" i="3" s="1"/>
  <c r="N345" i="3"/>
  <c r="O345" i="3" s="1"/>
  <c r="C345" i="3"/>
  <c r="B404" i="3"/>
  <c r="L345" i="1"/>
  <c r="K404" i="1"/>
  <c r="F404" i="7"/>
  <c r="E443" i="7"/>
  <c r="F443" i="7" s="1"/>
  <c r="B345" i="4"/>
  <c r="N198" i="4"/>
  <c r="O198" i="4" s="1"/>
  <c r="C198" i="4"/>
  <c r="H198" i="4"/>
  <c r="I198" i="4" s="1"/>
  <c r="B345" i="1"/>
  <c r="N198" i="1"/>
  <c r="O198" i="1" s="1"/>
  <c r="C198" i="1"/>
  <c r="H198" i="1"/>
  <c r="I198" i="1" s="1"/>
  <c r="K345" i="2"/>
  <c r="L198" i="2"/>
  <c r="N198" i="2"/>
  <c r="O198" i="2" s="1"/>
  <c r="Q345" i="6"/>
  <c r="AC198" i="6"/>
  <c r="AD198" i="6" s="1"/>
  <c r="W198" i="6"/>
  <c r="X198" i="6" s="1"/>
  <c r="R198" i="6"/>
  <c r="AA345" i="6"/>
  <c r="Z404" i="6"/>
  <c r="C345" i="5"/>
  <c r="N345" i="5"/>
  <c r="O345" i="5" s="1"/>
  <c r="B404" i="5"/>
  <c r="H345" i="5"/>
  <c r="I345" i="5" s="1"/>
  <c r="U198" i="1"/>
  <c r="T345" i="1"/>
  <c r="AA198" i="2"/>
  <c r="Z345" i="2"/>
  <c r="H345" i="6"/>
  <c r="I345" i="6" s="1"/>
  <c r="N345" i="6"/>
  <c r="O345" i="6" s="1"/>
  <c r="C345" i="6"/>
  <c r="B404" i="6"/>
  <c r="E443" i="4"/>
  <c r="F443" i="4" s="1"/>
  <c r="F404" i="4"/>
  <c r="E443" i="6"/>
  <c r="F443" i="6" s="1"/>
  <c r="F404" i="6"/>
  <c r="K345" i="4"/>
  <c r="L198" i="4"/>
  <c r="AA345" i="3"/>
  <c r="Z404" i="3"/>
  <c r="R345" i="2"/>
  <c r="Q404" i="2"/>
  <c r="AC345" i="2"/>
  <c r="AD345" i="2" s="1"/>
  <c r="W345" i="2"/>
  <c r="X345" i="2" s="1"/>
  <c r="W198" i="1"/>
  <c r="X198" i="1" s="1"/>
  <c r="Q345" i="1"/>
  <c r="AC198" i="1"/>
  <c r="AD198" i="1" s="1"/>
  <c r="R198" i="1"/>
  <c r="T345" i="7"/>
  <c r="U198" i="7"/>
  <c r="W198" i="7"/>
  <c r="X198" i="7" s="1"/>
  <c r="L345" i="4" l="1"/>
  <c r="K404" i="4"/>
  <c r="T404" i="3"/>
  <c r="U345" i="3"/>
  <c r="R404" i="2"/>
  <c r="Q443" i="2"/>
  <c r="W404" i="2"/>
  <c r="X404" i="2" s="1"/>
  <c r="U345" i="1"/>
  <c r="T404" i="1"/>
  <c r="R443" i="7"/>
  <c r="W404" i="4"/>
  <c r="X404" i="4" s="1"/>
  <c r="Q443" i="4"/>
  <c r="R404" i="4"/>
  <c r="U345" i="7"/>
  <c r="T404" i="7"/>
  <c r="W345" i="7"/>
  <c r="X345" i="7" s="1"/>
  <c r="L404" i="1"/>
  <c r="K443" i="1"/>
  <c r="L443" i="1" s="1"/>
  <c r="T404" i="5"/>
  <c r="U345" i="5"/>
  <c r="H404" i="7"/>
  <c r="I404" i="7" s="1"/>
  <c r="C404" i="7"/>
  <c r="B443" i="7"/>
  <c r="N404" i="7"/>
  <c r="O404" i="7" s="1"/>
  <c r="K404" i="5"/>
  <c r="L345" i="5"/>
  <c r="E443" i="5"/>
  <c r="F443" i="5" s="1"/>
  <c r="F404" i="5"/>
  <c r="B443" i="6"/>
  <c r="H404" i="6"/>
  <c r="I404" i="6" s="1"/>
  <c r="C404" i="6"/>
  <c r="N404" i="6"/>
  <c r="O404" i="6" s="1"/>
  <c r="B404" i="1"/>
  <c r="N345" i="1"/>
  <c r="O345" i="1" s="1"/>
  <c r="H345" i="1"/>
  <c r="I345" i="1" s="1"/>
  <c r="C345" i="1"/>
  <c r="Q404" i="3"/>
  <c r="AC345" i="3"/>
  <c r="AD345" i="3" s="1"/>
  <c r="R345" i="3"/>
  <c r="W345" i="3"/>
  <c r="X345" i="3" s="1"/>
  <c r="L404" i="7"/>
  <c r="K443" i="7"/>
  <c r="L443" i="7" s="1"/>
  <c r="B443" i="5"/>
  <c r="C404" i="5"/>
  <c r="H404" i="5"/>
  <c r="I404" i="5" s="1"/>
  <c r="H404" i="3"/>
  <c r="I404" i="3" s="1"/>
  <c r="N404" i="3"/>
  <c r="O404" i="3" s="1"/>
  <c r="B443" i="3"/>
  <c r="C404" i="3"/>
  <c r="F404" i="2"/>
  <c r="E443" i="2"/>
  <c r="F443" i="2" s="1"/>
  <c r="Q443" i="5"/>
  <c r="W404" i="5"/>
  <c r="X404" i="5" s="1"/>
  <c r="AC404" i="5"/>
  <c r="AD404" i="5" s="1"/>
  <c r="R404" i="5"/>
  <c r="Z404" i="4"/>
  <c r="AA345" i="4"/>
  <c r="T443" i="2"/>
  <c r="U443" i="2" s="1"/>
  <c r="U404" i="2"/>
  <c r="Z443" i="3"/>
  <c r="AA443" i="3" s="1"/>
  <c r="AA404" i="3"/>
  <c r="W345" i="1"/>
  <c r="X345" i="1" s="1"/>
  <c r="R345" i="1"/>
  <c r="Q404" i="1"/>
  <c r="AC345" i="1"/>
  <c r="AD345" i="1" s="1"/>
  <c r="C443" i="2"/>
  <c r="H443" i="2"/>
  <c r="I443" i="2" s="1"/>
  <c r="Z443" i="1"/>
  <c r="AA443" i="1" s="1"/>
  <c r="AA404" i="1"/>
  <c r="Q404" i="6"/>
  <c r="AC345" i="6"/>
  <c r="AD345" i="6" s="1"/>
  <c r="W345" i="6"/>
  <c r="X345" i="6" s="1"/>
  <c r="R345" i="6"/>
  <c r="F345" i="1"/>
  <c r="E404" i="1"/>
  <c r="AA345" i="5"/>
  <c r="Z404" i="5"/>
  <c r="AA345" i="2"/>
  <c r="Z404" i="2"/>
  <c r="AC404" i="2" s="1"/>
  <c r="AD404" i="2" s="1"/>
  <c r="Z443" i="6"/>
  <c r="AA443" i="6" s="1"/>
  <c r="AA404" i="6"/>
  <c r="L345" i="2"/>
  <c r="K404" i="2"/>
  <c r="N345" i="2"/>
  <c r="O345" i="2" s="1"/>
  <c r="B404" i="4"/>
  <c r="N345" i="4"/>
  <c r="O345" i="4" s="1"/>
  <c r="C345" i="4"/>
  <c r="H345" i="4"/>
  <c r="I345" i="4" s="1"/>
  <c r="E443" i="3"/>
  <c r="F443" i="3" s="1"/>
  <c r="F404" i="3"/>
  <c r="H404" i="2"/>
  <c r="I404" i="2" s="1"/>
  <c r="T404" i="6"/>
  <c r="U345" i="6"/>
  <c r="AA404" i="7"/>
  <c r="Z443" i="7"/>
  <c r="AA443" i="7" s="1"/>
  <c r="L404" i="6"/>
  <c r="K443" i="6"/>
  <c r="L443" i="6" s="1"/>
  <c r="Z443" i="4" l="1"/>
  <c r="AA443" i="4" s="1"/>
  <c r="AA404" i="4"/>
  <c r="H443" i="3"/>
  <c r="I443" i="3" s="1"/>
  <c r="N443" i="3"/>
  <c r="O443" i="3" s="1"/>
  <c r="C443" i="3"/>
  <c r="B443" i="1"/>
  <c r="N404" i="1"/>
  <c r="O404" i="1" s="1"/>
  <c r="C404" i="1"/>
  <c r="H404" i="1"/>
  <c r="I404" i="1" s="1"/>
  <c r="L404" i="5"/>
  <c r="K443" i="5"/>
  <c r="L443" i="5" s="1"/>
  <c r="T443" i="3"/>
  <c r="U443" i="3" s="1"/>
  <c r="U404" i="3"/>
  <c r="T443" i="6"/>
  <c r="U443" i="6" s="1"/>
  <c r="U404" i="6"/>
  <c r="L404" i="4"/>
  <c r="K443" i="4"/>
  <c r="L443" i="4" s="1"/>
  <c r="K443" i="2"/>
  <c r="L404" i="2"/>
  <c r="N404" i="2"/>
  <c r="O404" i="2" s="1"/>
  <c r="AC443" i="5"/>
  <c r="AD443" i="5" s="1"/>
  <c r="R443" i="5"/>
  <c r="Q443" i="3"/>
  <c r="AC404" i="3"/>
  <c r="AD404" i="3" s="1"/>
  <c r="R404" i="3"/>
  <c r="W404" i="3"/>
  <c r="X404" i="3" s="1"/>
  <c r="AC443" i="7"/>
  <c r="AD443" i="7" s="1"/>
  <c r="B443" i="4"/>
  <c r="N404" i="4"/>
  <c r="O404" i="4" s="1"/>
  <c r="C404" i="4"/>
  <c r="H404" i="4"/>
  <c r="I404" i="4" s="1"/>
  <c r="Z443" i="5"/>
  <c r="AA443" i="5" s="1"/>
  <c r="AA404" i="5"/>
  <c r="H443" i="7"/>
  <c r="I443" i="7" s="1"/>
  <c r="C443" i="7"/>
  <c r="N443" i="7"/>
  <c r="O443" i="7" s="1"/>
  <c r="U404" i="1"/>
  <c r="T443" i="1"/>
  <c r="U443" i="1" s="1"/>
  <c r="E443" i="1"/>
  <c r="F443" i="1" s="1"/>
  <c r="F404" i="1"/>
  <c r="C443" i="5"/>
  <c r="H443" i="5"/>
  <c r="I443" i="5" s="1"/>
  <c r="T443" i="5"/>
  <c r="U443" i="5" s="1"/>
  <c r="U404" i="5"/>
  <c r="W443" i="4"/>
  <c r="X443" i="4" s="1"/>
  <c r="R443" i="4"/>
  <c r="AC443" i="4"/>
  <c r="AD443" i="4" s="1"/>
  <c r="R443" i="2"/>
  <c r="W443" i="2"/>
  <c r="X443" i="2" s="1"/>
  <c r="AA404" i="2"/>
  <c r="Z443" i="2"/>
  <c r="AA443" i="2" s="1"/>
  <c r="W404" i="1"/>
  <c r="X404" i="1" s="1"/>
  <c r="R404" i="1"/>
  <c r="Q443" i="1"/>
  <c r="AC404" i="1"/>
  <c r="AD404" i="1" s="1"/>
  <c r="AC404" i="6"/>
  <c r="AD404" i="6" s="1"/>
  <c r="W404" i="6"/>
  <c r="X404" i="6" s="1"/>
  <c r="Q443" i="6"/>
  <c r="R404" i="6"/>
  <c r="U404" i="7"/>
  <c r="T443" i="7"/>
  <c r="W404" i="7"/>
  <c r="X404" i="7" s="1"/>
  <c r="N404" i="5"/>
  <c r="O404" i="5" s="1"/>
  <c r="H443" i="6"/>
  <c r="I443" i="6" s="1"/>
  <c r="N443" i="6"/>
  <c r="O443" i="6" s="1"/>
  <c r="C443" i="6"/>
  <c r="AC404" i="4"/>
  <c r="AD404" i="4" s="1"/>
  <c r="W443" i="1" l="1"/>
  <c r="X443" i="1" s="1"/>
  <c r="AC443" i="1"/>
  <c r="AD443" i="1" s="1"/>
  <c r="R443" i="1"/>
  <c r="U443" i="7"/>
  <c r="W443" i="7"/>
  <c r="X443" i="7" s="1"/>
  <c r="AC443" i="3"/>
  <c r="AD443" i="3" s="1"/>
  <c r="W443" i="3"/>
  <c r="X443" i="3" s="1"/>
  <c r="R443" i="3"/>
  <c r="W443" i="5"/>
  <c r="X443" i="5" s="1"/>
  <c r="N443" i="1"/>
  <c r="O443" i="1" s="1"/>
  <c r="H443" i="1"/>
  <c r="I443" i="1" s="1"/>
  <c r="C443" i="1"/>
  <c r="N443" i="4"/>
  <c r="O443" i="4" s="1"/>
  <c r="C443" i="4"/>
  <c r="H443" i="4"/>
  <c r="I443" i="4" s="1"/>
  <c r="N443" i="5"/>
  <c r="O443" i="5" s="1"/>
  <c r="L443" i="2"/>
  <c r="N443" i="2"/>
  <c r="O443" i="2" s="1"/>
  <c r="AC443" i="6"/>
  <c r="AD443" i="6" s="1"/>
  <c r="R443" i="6"/>
  <c r="W443" i="6"/>
  <c r="X443" i="6" s="1"/>
  <c r="AC443" i="2"/>
  <c r="AD443" i="2" s="1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<sst xmlns="http://schemas.openxmlformats.org/spreadsheetml/2006/main" count="3934" uniqueCount="417">
  <si>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</si>
  <si>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04/26/2026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</si>
  <si>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</si>
  <si>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</si>
  <si>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</si>
  <si>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</si>
  <si>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</si>
  <si>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</si>
  <si>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</si>
  <si>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</si>
  <si>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</si>
  <si>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</si>
  <si>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</si>
  <si>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</si>
  <si>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</si>
  <si>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</si>
  <si>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</si>
  <si>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</si>
  <si>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</si>
  <si>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</si>
  <si>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</si>
  <si>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</si>
  <si>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</si>
  <si>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</si>
  <si>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</si>
  <si>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</si>
  <si>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</si>
  <si>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</si>
  <si>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</si>
  <si>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</si>
  <si>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</si>
  <si>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</si>
  <si>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</si>
  <si>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</si>
  <si>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</si>
  <si>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</si>
  <si>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</si>
  <si>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</si>
  <si>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</si>
  <si>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</si>
  <si>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</si>
  <si>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</si>
  <si>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</si>
  <si>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</si>
  <si>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</si>
  <si>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</si>
  <si>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</si>
  <si>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</si>
  <si>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</si>
  <si>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</si>
  <si>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</si>
  <si>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</si>
  <si>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</si>
  <si>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</si>
  <si>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</si>
  <si>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</si>
  <si>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</si>
  <si>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</si>
  <si>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</si>
  <si>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</si>
  <si>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</si>
  <si>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</si>
  <si>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</si>
  <si>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</si>
  <si>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</si>
  <si>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</si>
  <si>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</si>
  <si>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</si>
  <si>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</si>
  <si>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</si>
  <si>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</si>
  <si>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</si>
  <si>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</si>
  <si>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</si>
  <si>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</si>
  <si>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</si>
  <si>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</si>
  <si>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</si>
  <si>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</si>
  <si>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</si>
  <si>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</si>
  <si>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</si>
  <si>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</si>
  <si>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</si>
  <si>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</si>
  <si>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</si>
  <si>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</si>
  <si>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</si>
  <si>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</si>
  <si>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</si>
  <si>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</si>
  <si>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</si>
  <si>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</si>
  <si>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</si>
  <si>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</si>
  <si>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</si>
  <si>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</si>
  <si>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</si>
  <si>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</si>
  <si>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</si>
  <si>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</si>
  <si>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</si>
  <si>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</si>
  <si>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</si>
  <si>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</si>
  <si>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</si>
  <si>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</si>
  <si>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</si>
  <si>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</si>
  <si>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</si>
  <si>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</si>
  <si>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</si>
  <si>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</si>
  <si>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</si>
  <si>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</si>
  <si>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</si>
  <si>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</si>
  <si>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</si>
  <si>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</si>
  <si>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</si>
  <si>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</si>
  <si>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</si>
  <si>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</si>
  <si>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</si>
  <si>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</si>
  <si>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</si>
  <si>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</si>
  <si>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</si>
  <si>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</si>
  <si>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</si>
  <si>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</si>
  <si>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</si>
  <si>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</si>
  <si>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</si>
  <si>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</si>
  <si>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</si>
  <si>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</si>
  <si>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</si>
  <si>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</si>
  <si>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</si>
  <si>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</si>
  <si>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</si>
  <si>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</si>
  <si>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</si>
  <si>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</si>
  <si>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</si>
  <si>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</si>
  <si>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</si>
  <si>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</si>
  <si>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</si>
  <si>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</si>
  <si>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</si>
  <si>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</si>
  <si>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</si>
  <si>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</si>
  <si>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</si>
  <si>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</si>
  <si>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</si>
  <si>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</si>
  <si>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</si>
  <si>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</si>
  <si>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</si>
  <si>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</si>
  <si>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</si>
  <si>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</si>
  <si>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</si>
  <si>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</si>
  <si>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</si>
  <si>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</si>
  <si>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</si>
  <si>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</si>
  <si>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</si>
  <si>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</si>
  <si>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</si>
  <si>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</si>
  <si>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</si>
  <si>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</si>
  <si>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</si>
  <si>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</si>
  <si>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</si>
  <si>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</si>
  <si>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</si>
  <si>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</si>
  <si>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</si>
  <si>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</si>
  <si>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</si>
  <si>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</si>
  <si>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</si>
  <si>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</si>
  <si>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</si>
  <si>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</si>
  <si>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</si>
  <si>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</si>
  <si>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</si>
  <si>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</si>
  <si>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</si>
  <si>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</si>
  <si>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</si>
  <si>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</si>
  <si>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</si>
  <si>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</si>
  <si>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</si>
  <si>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</si>
  <si>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</si>
  <si>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</si>
  <si>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</si>
  <si>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</si>
  <si>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</si>
  <si>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</si>
  <si>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</si>
  <si>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</si>
  <si>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</si>
  <si>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First Delivery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</si>
  <si>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</si>
  <si>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</si>
  <si>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</si>
  <si>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</si>
  <si>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</si>
  <si>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</si>
  <si>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</si>
  <si>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</si>
  <si>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</si>
  <si>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</si>
  <si>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</si>
  <si>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</si>
  <si>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</si>
  <si>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</si>
  <si>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</si>
  <si>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</si>
  <si>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</si>
  <si>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</si>
  <si>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</si>
  <si>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</si>
  <si>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</si>
  <si>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</si>
  <si>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</si>
  <si>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</si>
  <si>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</si>
  <si>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</si>
  <si>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</si>
  <si>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</si>
  <si>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</si>
  <si>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</si>
  <si>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</si>
  <si>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</si>
  <si>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</si>
  <si>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</si>
  <si>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</si>
  <si>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</si>
  <si>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</si>
  <si>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</si>
  <si>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</si>
  <si>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</si>
  <si>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</si>
  <si>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</si>
  <si>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</si>
  <si>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</si>
  <si>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</si>
  <si>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</si>
  <si>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</si>
  <si>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</si>
  <si>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</si>
  <si>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</si>
  <si>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</si>
  <si>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</si>
  <si>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</si>
  <si>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</si>
  <si>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</si>
  <si>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</si>
  <si>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</si>
  <si>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</si>
  <si>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</si>
  <si>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</si>
  <si>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</si>
  <si>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</si>
  <si>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</si>
  <si>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</si>
  <si>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</si>
  <si>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</si>
  <si>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</si>
  <si>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</si>
  <si>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</si>
  <si>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</si>
  <si>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</si>
  <si>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</si>
  <si>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</si>
  <si>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</si>
  <si>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</si>
  <si>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</si>
  <si>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</si>
  <si>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</si>
  <si>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</si>
  <si>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</si>
  <si>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</si>
  <si>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</si>
  <si>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</si>
  <si>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</si>
  <si>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</si>
  <si>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</si>
  <si>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</si>
  <si>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</si>
  <si>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</si>
  <si>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</si>
  <si>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</si>
  <si>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</si>
  <si>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</si>
  <si>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</si>
  <si>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</si>
  <si>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</si>
  <si>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</si>
  <si>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</si>
  <si>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</si>
  <si>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</si>
  <si>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</si>
  <si>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</si>
  <si>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</si>
  <si>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</si>
  <si>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</si>
  <si>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</si>
  <si>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</si>
  <si>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</si>
  <si>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</si>
  <si>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</si>
  <si>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</si>
  <si>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</si>
  <si>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</si>
  <si>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</si>
  <si>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</si>
  <si>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</si>
  <si>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</si>
  <si>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</si>
  <si>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</si>
  <si>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</si>
  <si>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</si>
  <si>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</si>
  <si>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</si>
  <si>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</si>
  <si>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</si>
  <si>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</si>
  <si>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</si>
  <si>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</si>
  <si>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</si>
  <si>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</si>
  <si>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</si>
  <si>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</si>
  <si>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</si>
  <si>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</si>
  <si>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</si>
  <si>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</si>
  <si>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</si>
  <si>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</si>
  <si>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</si>
  <si>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</si>
  <si>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</si>
  <si>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</si>
  <si>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</si>
  <si>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</si>
  <si>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</si>
  <si>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</si>
  <si>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</si>
  <si>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</si>
  <si>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</si>
  <si>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</si>
  <si>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</si>
  <si>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</si>
  <si>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</si>
  <si>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</si>
  <si>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</si>
  <si>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</si>
  <si>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</si>
  <si>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</si>
  <si>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</si>
  <si>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</si>
  <si>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</si>
  <si>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</si>
  <si>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</si>
  <si>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</si>
  <si>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</si>
  <si>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</si>
  <si>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</si>
  <si>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</si>
  <si>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</si>
  <si>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</si>
  <si>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</si>
  <si>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</si>
  <si>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</si>
  <si>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</si>
  <si>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</si>
  <si>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</si>
  <si>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</si>
  <si>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</si>
  <si>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</si>
  <si>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</si>
  <si>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</si>
  <si>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</si>
  <si>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</si>
  <si>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</si>
  <si>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</si>
  <si>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</si>
  <si>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</si>
  <si>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</si>
  <si>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</si>
  <si>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</si>
  <si>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</si>
  <si>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</si>
  <si>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</si>
  <si>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</si>
  <si>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</si>
  <si>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</si>
  <si>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</si>
  <si>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05/08/2026 03:16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</si>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</sst>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274184.86</v>
      </c>
      <c r="F10" s="8">
        <f>IFERROR(E10/E444, "NA")</f>
        <v>0.41445647161825394</v>
      </c>
      <c r="G10" s="9"/>
      <c r="H10" s="10">
        <f t="shared" ref="H10:H19" si="0">IFERROR(B10-E10, "NA")</f>
        <v>-274184.86</v>
      </c>
      <c r="I10" s="8">
        <f>IFERROR(H10/H444, "NA")</f>
        <v>9.3394911978439765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1011180.78</v>
      </c>
      <c r="U10" s="8">
        <f>IFERROR(T10/T444, "NA")</f>
        <v>0.4179912681568253</v>
      </c>
      <c r="V10" s="9"/>
      <c r="W10" s="10">
        <f t="shared" ref="W10:W19" si="2">IFERROR(Q10-T10, "NA")</f>
        <v>-1011180.78</v>
      </c>
      <c r="X10" s="8">
        <f>IFERROR(W10/W444, "NA")</f>
        <v>12.539119211816086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242036.36000000002</v>
      </c>
      <c r="C11" s="8">
        <f>IFERROR(B11/B444, "NA")</f>
        <v>0.3828506341086671</v>
      </c>
      <c r="D11" s="9"/>
      <c r="E11" s="7">
        <v>0</v>
      </c>
      <c r="F11" s="8">
        <f>IFERROR(E11/E444, "NA")</f>
        <v>0</v>
      </c>
      <c r="G11" s="9"/>
      <c r="H11" s="10">
        <f t="shared" si="0"/>
        <v>242036.36000000002</v>
      </c>
      <c r="I11" s="8">
        <f>IFERROR(H11/H444, "NA")</f>
        <v>-8.2444247788816512</v>
      </c>
      <c r="J11" s="9"/>
      <c r="K11" s="7">
        <v>255514.45999999996</v>
      </c>
      <c r="L11" s="8">
        <f>IFERROR(K11/K444, "NA")</f>
        <v>0.42340378721622585</v>
      </c>
      <c r="M11" s="9"/>
      <c r="N11" s="10">
        <f t="shared" si="1"/>
        <v>-13478.099999999948</v>
      </c>
      <c r="O11" s="8">
        <f>IFERROR(N11/N444, "NA")</f>
        <v>-0.46932193616321727</v>
      </c>
      <c r="P11" s="9"/>
      <c r="Q11" s="7">
        <v>838105.72</v>
      </c>
      <c r="R11" s="8">
        <f>IFERROR(Q11/Q444, "NA")</f>
        <v>0.35839439074571017</v>
      </c>
      <c r="S11" s="9"/>
      <c r="T11" s="7">
        <v>0</v>
      </c>
      <c r="U11" s="8">
        <f>IFERROR(T11/T444, "NA")</f>
        <v>0</v>
      </c>
      <c r="V11" s="9"/>
      <c r="W11" s="10">
        <f t="shared" si="2"/>
        <v>838105.72</v>
      </c>
      <c r="X11" s="8">
        <f>IFERROR(W11/W444, "NA")</f>
        <v>-10.392906731459981</v>
      </c>
      <c r="Y11" s="9"/>
      <c r="Z11" s="7">
        <v>896951.94</v>
      </c>
      <c r="AA11" s="8">
        <f>IFERROR(Z11/Z444, "NA")</f>
        <v>0.39643038666749342</v>
      </c>
      <c r="AB11" s="9"/>
      <c r="AC11" s="10">
        <f t="shared" si="3"/>
        <v>-58846.219999999972</v>
      </c>
      <c r="AD11" s="8">
        <f>IFERROR(AC11/AC444, "NA")</f>
        <v>-0.77500506715978779</v>
      </c>
    </row>
    <row r="12" spans="1:30" ht="16.5" customHeight="1" x14ac:dyDescent="0.45">
      <c r="A12" s="12" t="s">
        <v>14</v>
      </c>
      <c r="B12" s="7">
        <v>26490.25</v>
      </c>
      <c r="C12" s="8">
        <f>IFERROR(B12/B444, "NA")</f>
        <v>4.1902006005201525E-2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26490.25</v>
      </c>
      <c r="I12" s="8">
        <f>IFERROR(H12/H444, "NA")</f>
        <v>-0.90233084607110114</v>
      </c>
      <c r="J12" s="9"/>
      <c r="K12" s="7">
        <v>28274.7</v>
      </c>
      <c r="L12" s="8">
        <f>IFERROR(K12/K444, "NA")</f>
        <v>4.6852984611526968E-2</v>
      </c>
      <c r="M12" s="9"/>
      <c r="N12" s="10">
        <f t="shared" si="1"/>
        <v>-1784.4500000000007</v>
      </c>
      <c r="O12" s="8">
        <f>IFERROR(N12/N444, "NA")</f>
        <v>-6.2136467972967749E-2</v>
      </c>
      <c r="P12" s="9"/>
      <c r="Q12" s="7">
        <v>85550</v>
      </c>
      <c r="R12" s="8">
        <f>IFERROR(Q12/Q444, "NA")</f>
        <v>3.6583260794706786E-2</v>
      </c>
      <c r="S12" s="9"/>
      <c r="T12" s="7">
        <v>0</v>
      </c>
      <c r="U12" s="8">
        <f>IFERROR(T12/T444, "NA")</f>
        <v>0</v>
      </c>
      <c r="V12" s="9"/>
      <c r="W12" s="10">
        <f t="shared" si="2"/>
        <v>85550</v>
      </c>
      <c r="X12" s="8">
        <f>IFERROR(W12/W444, "NA")</f>
        <v>-1.0608604018075445</v>
      </c>
      <c r="Y12" s="9"/>
      <c r="Z12" s="7">
        <v>94125.59</v>
      </c>
      <c r="AA12" s="8">
        <f>IFERROR(Z12/Z444, "NA")</f>
        <v>4.1601163200567864E-2</v>
      </c>
      <c r="AB12" s="9"/>
      <c r="AC12" s="10">
        <f t="shared" si="3"/>
        <v>-8575.5899999999965</v>
      </c>
      <c r="AD12" s="8">
        <f>IFERROR(AC12/AC444, "NA")</f>
        <v>-0.11294057127007996</v>
      </c>
    </row>
    <row r="13" spans="1:30" ht="16.5" customHeight="1" x14ac:dyDescent="0.45">
      <c r="A13" s="12" t="s">
        <v>15</v>
      </c>
      <c r="B13" s="7">
        <v>960</v>
      </c>
      <c r="C13" s="8">
        <f>IFERROR(B13/B444, "NA")</f>
        <v>1.5185181629087481E-3</v>
      </c>
      <c r="D13" s="9"/>
      <c r="E13" s="7">
        <v>0</v>
      </c>
      <c r="F13" s="8">
        <f>IFERROR(E13/E444, "NA")</f>
        <v>0</v>
      </c>
      <c r="G13" s="9"/>
      <c r="H13" s="10">
        <f t="shared" si="0"/>
        <v>960</v>
      </c>
      <c r="I13" s="8">
        <f>IFERROR(H13/H444, "NA")</f>
        <v>-3.2700243003680865E-2</v>
      </c>
      <c r="J13" s="9"/>
      <c r="K13" s="7">
        <v>2503.5</v>
      </c>
      <c r="L13" s="8">
        <f>IFERROR(K13/K444, "NA")</f>
        <v>4.1484594699486739E-3</v>
      </c>
      <c r="M13" s="9"/>
      <c r="N13" s="10">
        <f t="shared" si="1"/>
        <v>-1543.5</v>
      </c>
      <c r="O13" s="8">
        <f>IFERROR(N13/N444, "NA")</f>
        <v>-5.374632985865431E-2</v>
      </c>
      <c r="P13" s="9"/>
      <c r="Q13" s="7">
        <v>2821.5</v>
      </c>
      <c r="R13" s="8">
        <f>IFERROR(Q13/Q444, "NA")</f>
        <v>1.2065420260931059E-3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2821.5</v>
      </c>
      <c r="X13" s="8">
        <f>IFERROR(W13/W444, "NA")</f>
        <v>-3.4987932480420647E-2</v>
      </c>
      <c r="Y13" s="9"/>
      <c r="Z13" s="7">
        <v>5106</v>
      </c>
      <c r="AA13" s="8">
        <f>IFERROR(Z13/Z444, "NA")</f>
        <v>2.2567246516287391E-3</v>
      </c>
      <c r="AB13" s="9"/>
      <c r="AC13" s="10">
        <f t="shared" si="3"/>
        <v>-2284.5</v>
      </c>
      <c r="AD13" s="8">
        <f>IFERROR(AC13/AC444, "NA")</f>
        <v>-3.0086878578208354E-2</v>
      </c>
    </row>
    <row r="14" spans="1:30" ht="16.5" customHeight="1" x14ac:dyDescent="0.45">
      <c r="A14" s="12" t="s">
        <v>16</v>
      </c>
      <c r="B14" s="7">
        <v>215</v>
      </c>
      <c r="C14" s="8">
        <f>IFERROR(B14/B444, "NA")</f>
        <v>3.4008479690143838E-4</v>
      </c>
      <c r="D14" s="9"/>
      <c r="E14" s="7">
        <v>0</v>
      </c>
      <c r="F14" s="8">
        <f>IFERROR(E14/E444, "NA")</f>
        <v>0</v>
      </c>
      <c r="G14" s="9"/>
      <c r="H14" s="10">
        <f t="shared" si="0"/>
        <v>215</v>
      </c>
      <c r="I14" s="8">
        <f>IFERROR(H14/H444, "NA")</f>
        <v>-7.323491922699361E-3</v>
      </c>
      <c r="J14" s="9"/>
      <c r="K14" s="7">
        <v>3085</v>
      </c>
      <c r="L14" s="8">
        <f>IFERROR(K14/K444, "NA")</f>
        <v>5.1120421269389487E-3</v>
      </c>
      <c r="M14" s="9"/>
      <c r="N14" s="10">
        <f t="shared" si="1"/>
        <v>-2870</v>
      </c>
      <c r="O14" s="8">
        <f>IFERROR(N14/N444, "NA")</f>
        <v>-9.9936486358495544E-2</v>
      </c>
      <c r="P14" s="9"/>
      <c r="Q14" s="7">
        <v>591</v>
      </c>
      <c r="R14" s="8">
        <f>IFERROR(Q14/Q444, "NA")</f>
        <v>2.5272597463087913E-4</v>
      </c>
      <c r="S14" s="9"/>
      <c r="T14" s="7">
        <v>0</v>
      </c>
      <c r="U14" s="8">
        <f>IFERROR(T14/T444, "NA")</f>
        <v>0</v>
      </c>
      <c r="V14" s="9"/>
      <c r="W14" s="10">
        <f t="shared" si="2"/>
        <v>591</v>
      </c>
      <c r="X14" s="8">
        <f>IFERROR(W14/W444, "NA")</f>
        <v>-7.3286791054150641E-3</v>
      </c>
      <c r="Y14" s="9"/>
      <c r="Z14" s="7">
        <v>7970</v>
      </c>
      <c r="AA14" s="8">
        <f>IFERROR(Z14/Z444, "NA")</f>
        <v>3.5225412208149333E-3</v>
      </c>
      <c r="AB14" s="9"/>
      <c r="AC14" s="10">
        <f t="shared" si="3"/>
        <v>-7379</v>
      </c>
      <c r="AD14" s="8">
        <f>IFERROR(AC14/AC444, "NA")</f>
        <v>-9.7181473857999315E-2</v>
      </c>
    </row>
    <row r="15" spans="1:30" ht="16.5" customHeight="1" x14ac:dyDescent="0.45">
      <c r="A15" s="12" t="s">
        <v>17</v>
      </c>
      <c r="B15" s="7">
        <v>173</v>
      </c>
      <c r="C15" s="8">
        <f>IFERROR(B15/B444, "NA")</f>
        <v>2.7364962727418062E-4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173</v>
      </c>
      <c r="I15" s="8">
        <f>IFERROR(H15/H444, "NA")</f>
        <v>-5.8928562912883235E-3</v>
      </c>
      <c r="J15" s="9"/>
      <c r="K15" s="7">
        <v>345</v>
      </c>
      <c r="L15" s="8">
        <f>IFERROR(K15/K444, "NA")</f>
        <v>5.7168704498993103E-4</v>
      </c>
      <c r="M15" s="9"/>
      <c r="N15" s="10">
        <f t="shared" si="1"/>
        <v>-172</v>
      </c>
      <c r="O15" s="8">
        <f>IFERROR(N15/N444, "NA")</f>
        <v>-5.9892249664324848E-3</v>
      </c>
      <c r="P15" s="9"/>
      <c r="Q15" s="7">
        <v>812</v>
      </c>
      <c r="R15" s="8">
        <f>IFERROR(Q15/Q444, "NA")</f>
        <v>3.4723094991586105E-4</v>
      </c>
      <c r="S15" s="9"/>
      <c r="T15" s="7">
        <v>0</v>
      </c>
      <c r="U15" s="8">
        <f>IFERROR(T15/T444, "NA")</f>
        <v>0</v>
      </c>
      <c r="V15" s="9"/>
      <c r="W15" s="10">
        <f t="shared" si="2"/>
        <v>812</v>
      </c>
      <c r="X15" s="8">
        <f>IFERROR(W15/W444, "NA")</f>
        <v>-1.0069183474783472E-2</v>
      </c>
      <c r="Y15" s="9"/>
      <c r="Z15" s="7">
        <v>1014</v>
      </c>
      <c r="AA15" s="8">
        <f>IFERROR(Z15/Z444, "NA")</f>
        <v>4.4816270990041937E-4</v>
      </c>
      <c r="AB15" s="9"/>
      <c r="AC15" s="10">
        <f t="shared" si="3"/>
        <v>-202</v>
      </c>
      <c r="AD15" s="8">
        <f>IFERROR(AC15/AC444, "NA")</f>
        <v>-2.6603412006119885E-3</v>
      </c>
    </row>
    <row r="16" spans="1:30" ht="16.5" customHeight="1" x14ac:dyDescent="0.45">
      <c r="A16" s="12" t="s">
        <v>18</v>
      </c>
      <c r="B16" s="7">
        <v>0.47000000000000003</v>
      </c>
      <c r="C16" s="8">
        <f>IFERROR(B16/B444, "NA")</f>
        <v>7.4344118392407467E-7</v>
      </c>
      <c r="D16" s="9"/>
      <c r="E16" s="7">
        <v>0</v>
      </c>
      <c r="F16" s="8">
        <f>IFERROR(E16/E444, "NA")</f>
        <v>0</v>
      </c>
      <c r="G16" s="9"/>
      <c r="H16" s="10">
        <f t="shared" si="0"/>
        <v>0.47000000000000003</v>
      </c>
      <c r="I16" s="8">
        <f>IFERROR(H16/H444, "NA")</f>
        <v>-1.6009493970552093E-5</v>
      </c>
      <c r="J16" s="9"/>
      <c r="K16" s="7">
        <v>0</v>
      </c>
      <c r="L16" s="8">
        <f>IFERROR(K16/K444, "NA")</f>
        <v>0</v>
      </c>
      <c r="M16" s="9"/>
      <c r="N16" s="10">
        <f t="shared" si="1"/>
        <v>0.47000000000000003</v>
      </c>
      <c r="O16" s="8">
        <f>IFERROR(N16/N444, "NA")</f>
        <v>1.6365905431530631E-5</v>
      </c>
      <c r="P16" s="9"/>
      <c r="Q16" s="7">
        <v>4.01</v>
      </c>
      <c r="R16" s="8">
        <f>IFERROR(Q16/Q444, "NA")</f>
        <v>1.7147735334514812E-6</v>
      </c>
      <c r="S16" s="9"/>
      <c r="T16" s="7">
        <v>0</v>
      </c>
      <c r="U16" s="8">
        <f>IFERROR(T16/T444, "NA")</f>
        <v>0</v>
      </c>
      <c r="V16" s="9"/>
      <c r="W16" s="10">
        <f t="shared" si="2"/>
        <v>4.01</v>
      </c>
      <c r="X16" s="8">
        <f>IFERROR(W16/W444, "NA")</f>
        <v>-4.9725893760938078E-5</v>
      </c>
      <c r="Y16" s="9"/>
      <c r="Z16" s="7">
        <v>3.0500000000000003</v>
      </c>
      <c r="AA16" s="8">
        <f>IFERROR(Z16/Z444, "NA")</f>
        <v>1.3480239301738453E-6</v>
      </c>
      <c r="AB16" s="9"/>
      <c r="AC16" s="10">
        <f t="shared" si="3"/>
        <v>0.95999999999999952</v>
      </c>
      <c r="AD16" s="8">
        <f>IFERROR(AC16/AC444, "NA")</f>
        <v>1.264320570587875E-5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269875.07999999996</v>
      </c>
      <c r="C18" s="15">
        <f>IFERROR(B18/B444, "NA")</f>
        <v>0.42688563614213682</v>
      </c>
      <c r="D18" s="2"/>
      <c r="E18" s="14">
        <f>IFERROR(E10+E11+E12+E13+E14+E15+E16+E17, "NA")</f>
        <v>274184.86</v>
      </c>
      <c r="F18" s="15">
        <f>IFERROR(E18/E444, "NA")</f>
        <v>0.41445647161825394</v>
      </c>
      <c r="G18" s="2"/>
      <c r="H18" s="14">
        <f t="shared" si="0"/>
        <v>-4309.7800000000279</v>
      </c>
      <c r="I18" s="15">
        <f>IFERROR(H18/H444, "NA")</f>
        <v>0.14680297217958818</v>
      </c>
      <c r="J18" s="2"/>
      <c r="K18" s="14">
        <f>IFERROR(K10+K11+K12+K13+K14+K15+K16+K17, "NA")</f>
        <v>289722.65999999997</v>
      </c>
      <c r="L18" s="15">
        <f>IFERROR(K18/K444, "NA")</f>
        <v>0.4800889604696304</v>
      </c>
      <c r="M18" s="2"/>
      <c r="N18" s="14">
        <f t="shared" si="1"/>
        <v>-19847.580000000016</v>
      </c>
      <c r="O18" s="15">
        <f>IFERROR(N18/N444, "NA")</f>
        <v>-0.69111407941433811</v>
      </c>
      <c r="P18" s="2"/>
      <c r="Q18" s="14">
        <f>IFERROR(Q10+Q11+Q12+Q13+Q14+Q15+Q16+Q17, "NA")</f>
        <v>927884.23</v>
      </c>
      <c r="R18" s="15">
        <f>IFERROR(Q18/Q444, "NA")</f>
        <v>0.39678586526459025</v>
      </c>
      <c r="S18" s="2"/>
      <c r="T18" s="14">
        <f>IFERROR(T10+T11+T12+T13+T14+T15+T16+T17, "NA")</f>
        <v>1011180.78</v>
      </c>
      <c r="U18" s="15">
        <f>IFERROR(T18/T444, "NA")</f>
        <v>0.4179912681568253</v>
      </c>
      <c r="V18" s="2"/>
      <c r="W18" s="14">
        <f t="shared" si="2"/>
        <v>-83296.550000000047</v>
      </c>
      <c r="X18" s="15">
        <f>IFERROR(W18/W444, "NA")</f>
        <v>1.0329165575941819</v>
      </c>
      <c r="Y18" s="2"/>
      <c r="Z18" s="14">
        <f>IFERROR(Z10+Z11+Z12+Z13+Z14+Z15+Z16+Z17, "NA")</f>
        <v>1005170.58</v>
      </c>
      <c r="AA18" s="15">
        <f>IFERROR(Z18/Z444, "NA")</f>
        <v>0.44426032647433555</v>
      </c>
      <c r="AB18" s="2"/>
      <c r="AC18" s="14">
        <f t="shared" si="3"/>
        <v>-77286.349999999977</v>
      </c>
      <c r="AD18" s="15">
        <f>IFERROR(AC18/AC444, "NA")</f>
        <v>-1.0178616888609817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61233.37</v>
      </c>
      <c r="F21" s="8">
        <f>IFERROR(E21/E444, "NA")</f>
        <v>9.2560057748976521E-2</v>
      </c>
      <c r="G21" s="9"/>
      <c r="H21" s="10">
        <f t="shared" ref="H21:H29" si="4">IFERROR(B21-E21, "NA")</f>
        <v>-61233.37</v>
      </c>
      <c r="I21" s="8">
        <f>IFERROR(H21/H444, "NA")</f>
        <v>2.0857771655565647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225475.15999999997</v>
      </c>
      <c r="U21" s="8">
        <f>IFERROR(T21/T444, "NA")</f>
        <v>9.3204548514325081E-2</v>
      </c>
      <c r="V21" s="9"/>
      <c r="W21" s="10">
        <f t="shared" ref="W21:W29" si="6">IFERROR(Q21-T21, "NA")</f>
        <v>-225475.15999999997</v>
      </c>
      <c r="X21" s="8">
        <f>IFERROR(W21/W444, "NA")</f>
        <v>2.7959984668056146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IFERROR(B22/B444, "NA")</f>
        <v>0</v>
      </c>
      <c r="D22" s="9"/>
      <c r="E22" s="7">
        <v>0</v>
      </c>
      <c r="F22" s="8">
        <f>IFERROR(E22/E444, "NA")</f>
        <v>0</v>
      </c>
      <c r="G22" s="9"/>
      <c r="H22" s="10">
        <f t="shared" si="4"/>
        <v>0</v>
      </c>
      <c r="I22" s="8">
        <f>IFERROR(H22/H444, "NA")</f>
        <v>0</v>
      </c>
      <c r="J22" s="9"/>
      <c r="K22" s="7">
        <v>37354.15</v>
      </c>
      <c r="L22" s="8">
        <f>IFERROR(K22/K444, "NA")</f>
        <v>6.1898213424958361E-2</v>
      </c>
      <c r="M22" s="9"/>
      <c r="N22" s="10">
        <f t="shared" si="5"/>
        <v>-37354.15</v>
      </c>
      <c r="O22" s="8">
        <f>IFERROR(N22/N444, "NA")</f>
        <v>-1.3007116731387443</v>
      </c>
      <c r="P22" s="9"/>
      <c r="Q22" s="7">
        <v>16536.61</v>
      </c>
      <c r="R22" s="8">
        <f>IFERROR(Q22/Q444, "NA")</f>
        <v>7.071456648630698E-3</v>
      </c>
      <c r="S22" s="9"/>
      <c r="T22" s="7">
        <v>0</v>
      </c>
      <c r="U22" s="8">
        <f>IFERROR(T22/T444, "NA")</f>
        <v>0</v>
      </c>
      <c r="V22" s="9"/>
      <c r="W22" s="10">
        <f t="shared" si="6"/>
        <v>16536.61</v>
      </c>
      <c r="X22" s="8">
        <f>IFERROR(W22/W444, "NA")</f>
        <v>-0.20506177357258512</v>
      </c>
      <c r="Y22" s="9"/>
      <c r="Z22" s="7">
        <v>142631.1</v>
      </c>
      <c r="AA22" s="8">
        <f>IFERROR(Z22/Z444, "NA")</f>
        <v>6.3039388848202871E-2</v>
      </c>
      <c r="AB22" s="9"/>
      <c r="AC22" s="10">
        <f t="shared" si="7"/>
        <v>-126094.49</v>
      </c>
      <c r="AD22" s="8">
        <f>IFERROR(AC22/AC444, "NA")</f>
        <v>-1.6606651827582</v>
      </c>
    </row>
    <row r="23" spans="1:30" ht="16.5" customHeight="1" x14ac:dyDescent="0.45">
      <c r="A23" s="12" t="s">
        <v>24</v>
      </c>
      <c r="B23" s="7">
        <v>32227.22</v>
      </c>
      <c r="C23" s="8">
        <f>IFERROR(B23/B444, "NA")</f>
        <v>5.0976686364641734E-2</v>
      </c>
      <c r="D23" s="9"/>
      <c r="E23" s="7">
        <v>0</v>
      </c>
      <c r="F23" s="8">
        <f>IFERROR(E23/E444, "NA")</f>
        <v>0</v>
      </c>
      <c r="G23" s="9"/>
      <c r="H23" s="10">
        <f t="shared" si="4"/>
        <v>32227.22</v>
      </c>
      <c r="I23" s="8">
        <f>IFERROR(H23/H444, "NA")</f>
        <v>-1.0977478388886293</v>
      </c>
      <c r="J23" s="9"/>
      <c r="K23" s="7">
        <v>0</v>
      </c>
      <c r="L23" s="8">
        <f>IFERROR(K23/K444, "NA")</f>
        <v>0</v>
      </c>
      <c r="M23" s="9"/>
      <c r="N23" s="10">
        <f t="shared" si="5"/>
        <v>32227.22</v>
      </c>
      <c r="O23" s="8">
        <f>IFERROR(N23/N444, "NA")</f>
        <v>1.1221864571087925</v>
      </c>
      <c r="P23" s="9"/>
      <c r="Q23" s="7">
        <v>106587.04999999999</v>
      </c>
      <c r="R23" s="8">
        <f>IFERROR(Q23/Q444, "NA")</f>
        <v>4.5579215049543563E-2</v>
      </c>
      <c r="S23" s="9"/>
      <c r="T23" s="7">
        <v>0</v>
      </c>
      <c r="U23" s="8">
        <f>IFERROR(T23/T444, "NA")</f>
        <v>0</v>
      </c>
      <c r="V23" s="9"/>
      <c r="W23" s="10">
        <f t="shared" si="6"/>
        <v>106587.04999999999</v>
      </c>
      <c r="X23" s="8">
        <f>IFERROR(W23/W444, "NA")</f>
        <v>-1.3217297567560586</v>
      </c>
      <c r="Y23" s="9"/>
      <c r="Z23" s="7">
        <v>0</v>
      </c>
      <c r="AA23" s="8">
        <f>IFERROR(Z23/Z444, "NA")</f>
        <v>0</v>
      </c>
      <c r="AB23" s="9"/>
      <c r="AC23" s="10">
        <f t="shared" si="7"/>
        <v>106587.04999999999</v>
      </c>
      <c r="AD23" s="8">
        <f>IFERROR(AC23/AC444, "NA")</f>
        <v>1.4037520820133169</v>
      </c>
    </row>
    <row r="24" spans="1:30" ht="16.5" customHeight="1" x14ac:dyDescent="0.45">
      <c r="A24" s="12" t="s">
        <v>25</v>
      </c>
      <c r="B24" s="7">
        <v>4297.8500000000004</v>
      </c>
      <c r="C24" s="8">
        <f>IFERROR(B24/B444, "NA")</f>
        <v>6.7982950900597533E-3</v>
      </c>
      <c r="D24" s="9"/>
      <c r="E24" s="7">
        <v>0</v>
      </c>
      <c r="F24" s="8">
        <f>IFERROR(E24/E444, "NA")</f>
        <v>0</v>
      </c>
      <c r="G24" s="9"/>
      <c r="H24" s="10">
        <f t="shared" si="4"/>
        <v>4297.8500000000004</v>
      </c>
      <c r="I24" s="8">
        <f>IFERROR(H24/H444, "NA")</f>
        <v>-0.14639660353476025</v>
      </c>
      <c r="J24" s="9"/>
      <c r="K24" s="7">
        <v>4849.5599999999995</v>
      </c>
      <c r="L24" s="8">
        <f>IFERROR(K24/K444, "NA")</f>
        <v>8.0360307997141157E-3</v>
      </c>
      <c r="M24" s="9"/>
      <c r="N24" s="10">
        <f t="shared" si="5"/>
        <v>-551.70999999999913</v>
      </c>
      <c r="O24" s="8">
        <f>IFERROR(N24/N444, "NA")</f>
        <v>-1.921113550133989E-2</v>
      </c>
      <c r="P24" s="9"/>
      <c r="Q24" s="7">
        <v>17667.100000000002</v>
      </c>
      <c r="R24" s="8">
        <f>IFERROR(Q24/Q444, "NA")</f>
        <v>7.554881669037573E-3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17667.100000000002</v>
      </c>
      <c r="X24" s="8">
        <f>IFERROR(W24/W444, "NA")</f>
        <v>-0.21908038345732403</v>
      </c>
      <c r="Y24" s="9"/>
      <c r="Z24" s="7">
        <v>23371.070000000003</v>
      </c>
      <c r="AA24" s="8">
        <f>IFERROR(Z24/Z444, "NA")</f>
        <v>1.0329430043858378E-2</v>
      </c>
      <c r="AB24" s="9"/>
      <c r="AC24" s="10">
        <f t="shared" si="7"/>
        <v>-5703.9700000000012</v>
      </c>
      <c r="AD24" s="8">
        <f>IFERROR(AC24/AC444, "NA")</f>
        <v>-7.5121318802251313E-2</v>
      </c>
    </row>
    <row r="25" spans="1:30" ht="16.5" customHeight="1" x14ac:dyDescent="0.45">
      <c r="A25" s="12" t="s">
        <v>26</v>
      </c>
      <c r="B25" s="7">
        <v>888.48</v>
      </c>
      <c r="C25" s="8">
        <f>IFERROR(B25/B444, "NA")</f>
        <v>1.4053885597720465E-3</v>
      </c>
      <c r="D25" s="9"/>
      <c r="E25" s="7">
        <v>0</v>
      </c>
      <c r="F25" s="8">
        <f>IFERROR(E25/E444, "NA")</f>
        <v>0</v>
      </c>
      <c r="G25" s="9"/>
      <c r="H25" s="10">
        <f t="shared" si="4"/>
        <v>888.48</v>
      </c>
      <c r="I25" s="8">
        <f>IFERROR(H25/H444, "NA")</f>
        <v>-3.0264074899906644E-2</v>
      </c>
      <c r="J25" s="9"/>
      <c r="K25" s="7">
        <v>0</v>
      </c>
      <c r="L25" s="8">
        <f>IFERROR(K25/K444, "NA")</f>
        <v>0</v>
      </c>
      <c r="M25" s="9"/>
      <c r="N25" s="10">
        <f t="shared" si="5"/>
        <v>888.48</v>
      </c>
      <c r="O25" s="8">
        <f>IFERROR(N25/N444, "NA")</f>
        <v>3.0937829059162411E-2</v>
      </c>
      <c r="P25" s="9"/>
      <c r="Q25" s="7">
        <v>3236.37</v>
      </c>
      <c r="R25" s="8">
        <f>IFERROR(Q25/Q444, "NA")</f>
        <v>1.3839505287921122E-3</v>
      </c>
      <c r="S25" s="9"/>
      <c r="T25" s="7">
        <v>0</v>
      </c>
      <c r="U25" s="8">
        <f>IFERROR(T25/T444, "NA")</f>
        <v>0</v>
      </c>
      <c r="V25" s="9"/>
      <c r="W25" s="10">
        <f t="shared" si="6"/>
        <v>3236.37</v>
      </c>
      <c r="X25" s="8">
        <f>IFERROR(W25/W444, "NA")</f>
        <v>-4.0132516406754908E-2</v>
      </c>
      <c r="Y25" s="9"/>
      <c r="Z25" s="7">
        <v>0</v>
      </c>
      <c r="AA25" s="8">
        <f>IFERROR(Z25/Z444, "NA")</f>
        <v>0</v>
      </c>
      <c r="AB25" s="9"/>
      <c r="AC25" s="10">
        <f t="shared" si="7"/>
        <v>3236.37</v>
      </c>
      <c r="AD25" s="8">
        <f>IFERROR(AC25/AC444, "NA")</f>
        <v>4.2623012135765449E-2</v>
      </c>
    </row>
    <row r="26" spans="1:30" ht="16.5" customHeight="1" x14ac:dyDescent="0.45">
      <c r="A26" s="12" t="s">
        <v>27</v>
      </c>
      <c r="B26" s="7">
        <v>11377.88</v>
      </c>
      <c r="C26" s="8">
        <f>IFERROR(B26/B444, "NA")</f>
        <v>1.799741399520436E-2</v>
      </c>
      <c r="D26" s="9"/>
      <c r="E26" s="7">
        <v>0</v>
      </c>
      <c r="F26" s="8">
        <f>IFERROR(E26/E444, "NA")</f>
        <v>0</v>
      </c>
      <c r="G26" s="9"/>
      <c r="H26" s="10">
        <f t="shared" si="4"/>
        <v>11377.88</v>
      </c>
      <c r="I26" s="8">
        <f>IFERROR(H26/H444, "NA")</f>
        <v>-0.38756191756950048</v>
      </c>
      <c r="J26" s="9"/>
      <c r="K26" s="7">
        <v>1535.57</v>
      </c>
      <c r="L26" s="8">
        <f>IFERROR(K26/K444, "NA")</f>
        <v>2.5445376106527202E-3</v>
      </c>
      <c r="M26" s="9"/>
      <c r="N26" s="10">
        <f t="shared" si="5"/>
        <v>9842.31</v>
      </c>
      <c r="O26" s="8">
        <f>IFERROR(N26/N444, "NA")</f>
        <v>0.34271981848469835</v>
      </c>
      <c r="P26" s="9"/>
      <c r="Q26" s="7">
        <v>38214.47</v>
      </c>
      <c r="R26" s="8">
        <f>IFERROR(Q26/Q444, "NA")</f>
        <v>1.6341436845604896E-2</v>
      </c>
      <c r="S26" s="9"/>
      <c r="T26" s="7">
        <v>0</v>
      </c>
      <c r="U26" s="8">
        <f>IFERROR(T26/T444, "NA")</f>
        <v>0</v>
      </c>
      <c r="V26" s="9"/>
      <c r="W26" s="10">
        <f t="shared" si="6"/>
        <v>38214.47</v>
      </c>
      <c r="X26" s="8">
        <f>IFERROR(W26/W444, "NA")</f>
        <v>-0.47387747514976447</v>
      </c>
      <c r="Y26" s="9"/>
      <c r="Z26" s="7">
        <v>11530.31</v>
      </c>
      <c r="AA26" s="8">
        <f>IFERROR(Z26/Z444, "NA")</f>
        <v>5.0961094433845206E-3</v>
      </c>
      <c r="AB26" s="9"/>
      <c r="AC26" s="10">
        <f t="shared" si="7"/>
        <v>26684.160000000003</v>
      </c>
      <c r="AD26" s="8">
        <f>IFERROR(AC26/AC444, "NA")</f>
        <v>0.35143054580060595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4210.97</v>
      </c>
      <c r="C28" s="8">
        <f>IFERROR(B28/B444, "NA")</f>
        <v>6.6608691963165115E-3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4210.97</v>
      </c>
      <c r="I28" s="8">
        <f>IFERROR(H28/H444, "NA")</f>
        <v>-0.14343723154292712</v>
      </c>
      <c r="J28" s="9"/>
      <c r="K28" s="7">
        <v>4300.82</v>
      </c>
      <c r="L28" s="8">
        <f>IFERROR(K28/K444, "NA")</f>
        <v>7.126733556039406E-3</v>
      </c>
      <c r="M28" s="9"/>
      <c r="N28" s="10">
        <f t="shared" si="5"/>
        <v>-89.849999999999454</v>
      </c>
      <c r="O28" s="8">
        <f>IFERROR(N28/N444, "NA")</f>
        <v>-3.1286736234532298E-3</v>
      </c>
      <c r="P28" s="9"/>
      <c r="Q28" s="7">
        <v>16310.77</v>
      </c>
      <c r="R28" s="8">
        <f>IFERROR(Q28/Q444, "NA")</f>
        <v>6.9748819716245426E-3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16310.77</v>
      </c>
      <c r="X28" s="8">
        <f>IFERROR(W28/W444, "NA")</f>
        <v>-0.20226125091748032</v>
      </c>
      <c r="Y28" s="9"/>
      <c r="Z28" s="7">
        <v>16734.739999999998</v>
      </c>
      <c r="AA28" s="8">
        <f>IFERROR(Z28/Z444, "NA")</f>
        <v>7.3963377000778536E-3</v>
      </c>
      <c r="AB28" s="9"/>
      <c r="AC28" s="10">
        <f t="shared" si="7"/>
        <v>-423.96999999999753</v>
      </c>
      <c r="AD28" s="8">
        <f>IFERROR(AC28/AC444, "NA")</f>
        <v>-5.5836874199181093E-3</v>
      </c>
    </row>
    <row r="29" spans="1:30" ht="16.5" customHeight="1" x14ac:dyDescent="0.45">
      <c r="A29" s="13" t="s">
        <v>30</v>
      </c>
      <c r="B29" s="14">
        <f>IFERROR(B21+B22+B23+B24+B25+B26+B27+B28, "NA")</f>
        <v>53002.400000000001</v>
      </c>
      <c r="C29" s="15">
        <f>IFERROR(B29/B444, "NA")</f>
        <v>8.3838653205994401E-2</v>
      </c>
      <c r="D29" s="2"/>
      <c r="E29" s="14">
        <f>IFERROR(E21+E22+E23+E24+E25+E26+E27+E28, "NA")</f>
        <v>61233.37</v>
      </c>
      <c r="F29" s="15">
        <f>IFERROR(E29/E444, "NA")</f>
        <v>9.2560057748976521E-2</v>
      </c>
      <c r="G29" s="2"/>
      <c r="H29" s="14">
        <f t="shared" si="4"/>
        <v>-8230.9700000000012</v>
      </c>
      <c r="I29" s="15">
        <f>IFERROR(H29/H444, "NA")</f>
        <v>0.2803694991208408</v>
      </c>
      <c r="J29" s="2"/>
      <c r="K29" s="14">
        <f>IFERROR(K21+K22+K23+K24+K25+K26+K27+K28, "NA")</f>
        <v>48040.1</v>
      </c>
      <c r="L29" s="15">
        <f>IFERROR(K29/K444, "NA")</f>
        <v>7.9605515391364595E-2</v>
      </c>
      <c r="M29" s="2"/>
      <c r="N29" s="14">
        <f t="shared" si="5"/>
        <v>4962.3000000000029</v>
      </c>
      <c r="O29" s="15">
        <f>IFERROR(N29/N444, "NA")</f>
        <v>0.17279262238911591</v>
      </c>
      <c r="P29" s="2"/>
      <c r="Q29" s="14">
        <f>IFERROR(Q21+Q22+Q23+Q24+Q25+Q26+Q27+Q28, "NA")</f>
        <v>198552.36999999997</v>
      </c>
      <c r="R29" s="15">
        <f>IFERROR(Q29/Q444, "NA")</f>
        <v>8.4905822713233367E-2</v>
      </c>
      <c r="S29" s="2"/>
      <c r="T29" s="14">
        <f>IFERROR(T21+T22+T23+T24+T25+T26+T27+T28, "NA")</f>
        <v>225475.15999999997</v>
      </c>
      <c r="U29" s="15">
        <f>IFERROR(T29/T444, "NA")</f>
        <v>9.3204548514325081E-2</v>
      </c>
      <c r="V29" s="2"/>
      <c r="W29" s="14">
        <f t="shared" si="6"/>
        <v>-26922.790000000008</v>
      </c>
      <c r="X29" s="15">
        <f>IFERROR(W29/W444, "NA")</f>
        <v>0.33385531054564754</v>
      </c>
      <c r="Y29" s="2"/>
      <c r="Z29" s="14">
        <f>IFERROR(Z21+Z22+Z23+Z24+Z25+Z26+Z27+Z28, "NA")</f>
        <v>194267.22</v>
      </c>
      <c r="AA29" s="15">
        <f>IFERROR(Z29/Z444, "NA")</f>
        <v>8.5861266035523617E-2</v>
      </c>
      <c r="AB29" s="2"/>
      <c r="AC29" s="14">
        <f t="shared" si="7"/>
        <v>4285.1499999999651</v>
      </c>
      <c r="AD29" s="15">
        <f>IFERROR(AC29/AC444, "NA")</f>
        <v>5.6435450969318658E-2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135139.29999999999</v>
      </c>
      <c r="F31" s="8">
        <f>IFERROR(E31/E444, "NA")</f>
        <v>0.20427589420860329</v>
      </c>
      <c r="G31" s="9"/>
      <c r="H31" s="10">
        <f t="shared" ref="H31:H40" si="8">IFERROR(B31-E31, "NA")</f>
        <v>-135139.29999999999</v>
      </c>
      <c r="I31" s="8">
        <f>IFERROR(H31/H444, "NA")</f>
        <v>4.6032166139034683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492759.18</v>
      </c>
      <c r="U31" s="8">
        <f>IFERROR(T31/T444, "NA")</f>
        <v>0.20369160353712157</v>
      </c>
      <c r="V31" s="9"/>
      <c r="W31" s="10">
        <f t="shared" ref="W31:W40" si="10">IFERROR(Q31-T31, "NA")</f>
        <v>-492759.18</v>
      </c>
      <c r="X31" s="8">
        <f>IFERROR(W31/W444, "NA")</f>
        <v>6.1104465422461258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55353.560000000005</v>
      </c>
      <c r="C33" s="8">
        <f>IFERROR(B33/B444, "NA")</f>
        <v>8.7557694001728303E-2</v>
      </c>
      <c r="D33" s="9"/>
      <c r="E33" s="7">
        <v>0</v>
      </c>
      <c r="F33" s="8">
        <f>IFERROR(E33/E444, "NA")</f>
        <v>0</v>
      </c>
      <c r="G33" s="9"/>
      <c r="H33" s="10">
        <f t="shared" si="8"/>
        <v>55353.560000000005</v>
      </c>
      <c r="I33" s="8">
        <f>IFERROR(H33/H444, "NA")</f>
        <v>-1.8854946490821138</v>
      </c>
      <c r="J33" s="9"/>
      <c r="K33" s="7">
        <v>51682.259999999995</v>
      </c>
      <c r="L33" s="8">
        <f>IFERROR(K33/K444, "NA")</f>
        <v>8.5640807240003808E-2</v>
      </c>
      <c r="M33" s="9"/>
      <c r="N33" s="10">
        <f t="shared" si="9"/>
        <v>3671.3000000000102</v>
      </c>
      <c r="O33" s="8">
        <f>IFERROR(N33/N444, "NA")</f>
        <v>0.1278386140654863</v>
      </c>
      <c r="P33" s="9"/>
      <c r="Q33" s="7">
        <v>236411.30000000002</v>
      </c>
      <c r="R33" s="8">
        <f>IFERROR(Q33/Q444, "NA")</f>
        <v>0.10109522200719656</v>
      </c>
      <c r="S33" s="9"/>
      <c r="T33" s="7">
        <v>0</v>
      </c>
      <c r="U33" s="8">
        <f>IFERROR(T33/T444, "NA")</f>
        <v>0</v>
      </c>
      <c r="V33" s="9"/>
      <c r="W33" s="10">
        <f t="shared" si="10"/>
        <v>236411.30000000002</v>
      </c>
      <c r="X33" s="8">
        <f>IFERROR(W33/W444, "NA")</f>
        <v>-2.931611767502559</v>
      </c>
      <c r="Y33" s="9"/>
      <c r="Z33" s="7">
        <v>218540.13</v>
      </c>
      <c r="AA33" s="8">
        <f>IFERROR(Z33/Z444, "NA")</f>
        <v>9.6589286866656743E-2</v>
      </c>
      <c r="AB33" s="9"/>
      <c r="AC33" s="10">
        <f t="shared" si="11"/>
        <v>17871.170000000013</v>
      </c>
      <c r="AD33" s="8">
        <f>IFERROR(AC33/AC444, "NA")</f>
        <v>0.23536341511950981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3806.3199999999997</v>
      </c>
      <c r="C35" s="8">
        <f>IFERROR(B35/B444, "NA")</f>
        <v>6.0207979727529429E-3</v>
      </c>
      <c r="D35" s="9"/>
      <c r="E35" s="7">
        <v>0</v>
      </c>
      <c r="F35" s="8">
        <f>IFERROR(E35/E444, "NA")</f>
        <v>0</v>
      </c>
      <c r="G35" s="9"/>
      <c r="H35" s="10">
        <f t="shared" si="8"/>
        <v>3806.3199999999997</v>
      </c>
      <c r="I35" s="8">
        <f>IFERROR(H35/H444, "NA")</f>
        <v>-0.12965373848934433</v>
      </c>
      <c r="J35" s="9"/>
      <c r="K35" s="7">
        <v>7272.67</v>
      </c>
      <c r="L35" s="8">
        <f>IFERROR(K35/K444, "NA")</f>
        <v>1.2051278902860644E-2</v>
      </c>
      <c r="M35" s="9"/>
      <c r="N35" s="10">
        <f t="shared" si="9"/>
        <v>-3466.3500000000004</v>
      </c>
      <c r="O35" s="8">
        <f>IFERROR(N35/N444, "NA")</f>
        <v>-0.12070203466507702</v>
      </c>
      <c r="P35" s="9"/>
      <c r="Q35" s="7">
        <v>16092.339999999998</v>
      </c>
      <c r="R35" s="8">
        <f>IFERROR(Q35/Q444, "NA")</f>
        <v>6.8814759908485306E-3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16092.339999999998</v>
      </c>
      <c r="X35" s="8">
        <f>IFERROR(W35/W444, "NA")</f>
        <v>-0.19955261576181901</v>
      </c>
      <c r="Y35" s="9"/>
      <c r="Z35" s="7">
        <v>26866.339999999997</v>
      </c>
      <c r="AA35" s="8">
        <f>IFERROR(Z35/Z444, "NA")</f>
        <v>1.1874252208585829E-2</v>
      </c>
      <c r="AB35" s="9"/>
      <c r="AC35" s="10">
        <f t="shared" si="11"/>
        <v>-10773.999999999998</v>
      </c>
      <c r="AD35" s="8">
        <f>IFERROR(AC35/AC444, "NA")</f>
        <v>-0.14189364403660176</v>
      </c>
    </row>
    <row r="36" spans="1:30" ht="16.5" customHeight="1" x14ac:dyDescent="0.45">
      <c r="A36" s="12" t="s">
        <v>36</v>
      </c>
      <c r="B36" s="7">
        <v>76187.09</v>
      </c>
      <c r="C36" s="8">
        <f>IFERROR(B36/B444, "NA")</f>
        <v>0.12051195827517025</v>
      </c>
      <c r="D36" s="9"/>
      <c r="E36" s="7">
        <v>0</v>
      </c>
      <c r="F36" s="8">
        <f>IFERROR(E36/E444, "NA")</f>
        <v>0</v>
      </c>
      <c r="G36" s="9"/>
      <c r="H36" s="10">
        <f t="shared" si="8"/>
        <v>76187.09</v>
      </c>
      <c r="I36" s="8">
        <f>IFERROR(H36/H444, "NA")</f>
        <v>-2.5951420382742754</v>
      </c>
      <c r="J36" s="9"/>
      <c r="K36" s="7">
        <v>59534.42</v>
      </c>
      <c r="L36" s="8">
        <f>IFERROR(K36/K444, "NA")</f>
        <v>9.8652338101418699E-2</v>
      </c>
      <c r="M36" s="9"/>
      <c r="N36" s="10">
        <f t="shared" si="9"/>
        <v>16652.669999999998</v>
      </c>
      <c r="O36" s="8">
        <f>IFERROR(N36/N444, "NA")</f>
        <v>0.57986387745210022</v>
      </c>
      <c r="P36" s="9"/>
      <c r="Q36" s="7">
        <v>279788.27999999997</v>
      </c>
      <c r="R36" s="8">
        <f>IFERROR(Q36/Q444, "NA")</f>
        <v>0.11964427369424248</v>
      </c>
      <c r="S36" s="9"/>
      <c r="T36" s="7">
        <v>0</v>
      </c>
      <c r="U36" s="8">
        <f>IFERROR(T36/T444, "NA")</f>
        <v>0</v>
      </c>
      <c r="V36" s="9"/>
      <c r="W36" s="10">
        <f t="shared" si="10"/>
        <v>279788.27999999997</v>
      </c>
      <c r="X36" s="8">
        <f>IFERROR(W36/W444, "NA")</f>
        <v>-3.469506804697156</v>
      </c>
      <c r="Y36" s="9"/>
      <c r="Z36" s="7">
        <v>287508.59999999998</v>
      </c>
      <c r="AA36" s="8">
        <f>IFERROR(Z36/Z444, "NA")</f>
        <v>0.12707163046910819</v>
      </c>
      <c r="AB36" s="9"/>
      <c r="AC36" s="10">
        <f t="shared" si="11"/>
        <v>-7720.320000000007</v>
      </c>
      <c r="AD36" s="8">
        <f>IFERROR(AC36/AC444, "NA")</f>
        <v>-0.10167666028667706</v>
      </c>
    </row>
    <row r="37" spans="1:30" ht="16.5" customHeight="1" x14ac:dyDescent="0.45">
      <c r="A37" s="12" t="s">
        <v>37</v>
      </c>
      <c r="B37" s="7">
        <v>4141.8600000000006</v>
      </c>
      <c r="C37" s="8">
        <f>IFERROR(B37/B444, "NA")</f>
        <v>6.5515517064846131E-3</v>
      </c>
      <c r="D37" s="9"/>
      <c r="E37" s="7">
        <v>0</v>
      </c>
      <c r="F37" s="8">
        <f>IFERROR(E37/E444, "NA")</f>
        <v>0</v>
      </c>
      <c r="G37" s="9"/>
      <c r="H37" s="10">
        <f t="shared" si="8"/>
        <v>4141.8600000000006</v>
      </c>
      <c r="I37" s="8">
        <f>IFERROR(H37/H444, "NA")</f>
        <v>-0.14108315467419338</v>
      </c>
      <c r="J37" s="9"/>
      <c r="K37" s="7">
        <v>0</v>
      </c>
      <c r="L37" s="8">
        <f>IFERROR(K37/K444, "NA")</f>
        <v>0</v>
      </c>
      <c r="M37" s="9"/>
      <c r="N37" s="10">
        <f t="shared" si="9"/>
        <v>4141.8600000000006</v>
      </c>
      <c r="O37" s="8">
        <f>IFERROR(N37/N444, "NA")</f>
        <v>0.1442240192992329</v>
      </c>
      <c r="P37" s="9"/>
      <c r="Q37" s="7">
        <v>17403.349999999999</v>
      </c>
      <c r="R37" s="8">
        <f>IFERROR(Q37/Q444, "NA")</f>
        <v>7.4420957539632999E-3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17403.349999999999</v>
      </c>
      <c r="X37" s="8">
        <f>IFERROR(W37/W444, "NA")</f>
        <v>-0.21580975889885828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17403.349999999999</v>
      </c>
      <c r="AD37" s="8">
        <f>IFERROR(AC37/AC444, "NA")</f>
        <v>0.22920222293896358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6777.7499999999991</v>
      </c>
      <c r="L39" s="8">
        <f>IFERROR(K39/K444, "NA")</f>
        <v>1.1231164838204362E-2</v>
      </c>
      <c r="M39" s="9"/>
      <c r="N39" s="10">
        <f t="shared" si="9"/>
        <v>-6777.7499999999991</v>
      </c>
      <c r="O39" s="8">
        <f>IFERROR(N39/N444, "NA")</f>
        <v>-0.2360085436990568</v>
      </c>
      <c r="P39" s="9"/>
      <c r="Q39" s="7">
        <v>1679.9900000000002</v>
      </c>
      <c r="R39" s="8">
        <f>IFERROR(Q39/Q444, "NA")</f>
        <v>7.184045856516594E-4</v>
      </c>
      <c r="S39" s="9"/>
      <c r="T39" s="7">
        <v>0</v>
      </c>
      <c r="U39" s="8">
        <f>IFERROR(T39/T444, "NA")</f>
        <v>0</v>
      </c>
      <c r="V39" s="9"/>
      <c r="W39" s="10">
        <f t="shared" si="10"/>
        <v>1679.9900000000002</v>
      </c>
      <c r="X39" s="8">
        <f>IFERROR(W39/W444, "NA")</f>
        <v>-2.0832669391381144E-2</v>
      </c>
      <c r="Y39" s="9"/>
      <c r="Z39" s="7">
        <v>22971.23</v>
      </c>
      <c r="AA39" s="8">
        <f>IFERROR(Z39/Z444, "NA")</f>
        <v>1.0152710736238472E-2</v>
      </c>
      <c r="AB39" s="9"/>
      <c r="AC39" s="10">
        <f t="shared" si="11"/>
        <v>-21291.239999999998</v>
      </c>
      <c r="AD39" s="8">
        <f>IFERROR(AC39/AC444, "NA")</f>
        <v>-0.28040575734711876</v>
      </c>
    </row>
    <row r="40" spans="1:30" ht="16.5" customHeight="1" x14ac:dyDescent="0.45">
      <c r="A40" s="13" t="s">
        <v>40</v>
      </c>
      <c r="B40" s="14">
        <f>IFERROR(B31+B32+B33+B34+B35+B36+B37+B38+B39, "NA")</f>
        <v>139488.83000000002</v>
      </c>
      <c r="C40" s="15">
        <f>IFERROR(B40/B444, "NA")</f>
        <v>0.22064200195613615</v>
      </c>
      <c r="D40" s="2"/>
      <c r="E40" s="14">
        <f>IFERROR(E31+E32+E33+E34+E35+E36+E37+E38+E39, "NA")</f>
        <v>135139.29999999999</v>
      </c>
      <c r="F40" s="15">
        <f>IFERROR(E40/E444, "NA")</f>
        <v>0.20427589420860329</v>
      </c>
      <c r="G40" s="2"/>
      <c r="H40" s="14">
        <f t="shared" si="8"/>
        <v>4349.5300000000279</v>
      </c>
      <c r="I40" s="15">
        <f>IFERROR(H40/H444, "NA")</f>
        <v>-0.14815696661645933</v>
      </c>
      <c r="J40" s="2"/>
      <c r="K40" s="14">
        <f>IFERROR(K31+K32+K33+K34+K35+K36+K37+K38+K39, "NA")</f>
        <v>125267.09999999999</v>
      </c>
      <c r="L40" s="15">
        <f>IFERROR(K40/K444, "NA")</f>
        <v>0.20757558908248749</v>
      </c>
      <c r="M40" s="2"/>
      <c r="N40" s="14">
        <f t="shared" si="9"/>
        <v>14221.730000000025</v>
      </c>
      <c r="O40" s="15">
        <f>IFERROR(N40/N444, "NA")</f>
        <v>0.49521593245268614</v>
      </c>
      <c r="P40" s="2"/>
      <c r="Q40" s="14">
        <f>IFERROR(Q31+Q32+Q33+Q34+Q35+Q36+Q37+Q38+Q39, "NA")</f>
        <v>551375.25999999989</v>
      </c>
      <c r="R40" s="15">
        <f>IFERROR(Q40/Q444, "NA")</f>
        <v>0.2357814720319025</v>
      </c>
      <c r="S40" s="2"/>
      <c r="T40" s="14">
        <f>IFERROR(T31+T32+T33+T34+T35+T36+T37+T38+T39, "NA")</f>
        <v>492759.18</v>
      </c>
      <c r="U40" s="15">
        <f>IFERROR(T40/T444, "NA")</f>
        <v>0.20369160353712157</v>
      </c>
      <c r="V40" s="2"/>
      <c r="W40" s="14">
        <f t="shared" si="10"/>
        <v>58616.0799999999</v>
      </c>
      <c r="X40" s="15">
        <f>IFERROR(W40/W444, "NA")</f>
        <v>-0.72686707400564654</v>
      </c>
      <c r="Y40" s="2"/>
      <c r="Z40" s="14">
        <f>IFERROR(Z31+Z32+Z33+Z34+Z35+Z36+Z37+Z38+Z39, "NA")</f>
        <v>555886.29999999993</v>
      </c>
      <c r="AA40" s="15">
        <f>IFERROR(Z40/Z444, "NA")</f>
        <v>0.24568788028058922</v>
      </c>
      <c r="AB40" s="2"/>
      <c r="AC40" s="14">
        <f t="shared" si="11"/>
        <v>-4511.0400000000373</v>
      </c>
      <c r="AD40" s="15">
        <f>IFERROR(AC40/AC444, "NA")</f>
        <v>-5.9410423611924772E-2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160843.44000000003</v>
      </c>
      <c r="F42" s="8">
        <f>IFERROR(E42/E444, "NA")</f>
        <v>0.2431301444774972</v>
      </c>
      <c r="G42" s="9"/>
      <c r="H42" s="10">
        <f>IFERROR(B42-E42, "NA")</f>
        <v>-160843.44000000003</v>
      </c>
      <c r="I42" s="8">
        <f>IFERROR(H42/H444, "NA")</f>
        <v>5.4787703891124631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579322.37000000011</v>
      </c>
      <c r="U42" s="8">
        <f>IFERROR(T42/T444, "NA")</f>
        <v>0.2394741839415872</v>
      </c>
      <c r="V42" s="9"/>
      <c r="W42" s="10">
        <f>IFERROR(Q42-T42, "NA")</f>
        <v>-579322.37000000011</v>
      </c>
      <c r="X42" s="8">
        <f>IFERROR(W42/W444, "NA")</f>
        <v>7.1838709785423616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23617.589999999997</v>
      </c>
      <c r="C43" s="8">
        <f>IFERROR(B43/B444, "NA")</f>
        <v>3.7358061853262514E-2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23617.589999999997</v>
      </c>
      <c r="I43" s="8">
        <f>IFERROR(H43/H444, "NA")</f>
        <v>-0.80448013766802406</v>
      </c>
      <c r="J43" s="9"/>
      <c r="K43" s="7">
        <v>31668.98</v>
      </c>
      <c r="L43" s="8">
        <f>IFERROR(K43/K444, "NA")</f>
        <v>5.2477523461000659E-2</v>
      </c>
      <c r="M43" s="9"/>
      <c r="N43" s="10">
        <f>IFERROR(B43-K43, "NA")</f>
        <v>-8051.3900000000031</v>
      </c>
      <c r="O43" s="8">
        <f>IFERROR(N43/N444, "NA")</f>
        <v>-0.28035805815398179</v>
      </c>
      <c r="P43" s="9"/>
      <c r="Q43" s="7">
        <v>89566.26999999999</v>
      </c>
      <c r="R43" s="8">
        <f>IFERROR(Q43/Q444, "NA")</f>
        <v>3.8300715532660692E-2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89566.26999999999</v>
      </c>
      <c r="X43" s="8">
        <f>IFERROR(W43/W444, "NA")</f>
        <v>-1.1106640465295499</v>
      </c>
      <c r="Y43" s="9"/>
      <c r="Z43" s="7">
        <v>117276.05</v>
      </c>
      <c r="AA43" s="8">
        <f>IFERROR(Z43/Z444, "NA")</f>
        <v>5.1833089126644062E-2</v>
      </c>
      <c r="AB43" s="9"/>
      <c r="AC43" s="10">
        <f>IFERROR(Q43-Z43, "NA")</f>
        <v>-27709.780000000013</v>
      </c>
      <c r="AD43" s="8">
        <f>IFERROR(AC43/AC444, "NA")</f>
        <v>-0.36493796729650546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1096.45</v>
      </c>
      <c r="L47" s="8">
        <f>IFERROR(K47/K444, "NA")</f>
        <v>1.8168877115339419E-3</v>
      </c>
      <c r="M47" s="9"/>
      <c r="N47" s="10">
        <f t="shared" si="13"/>
        <v>-1096.45</v>
      </c>
      <c r="O47" s="8">
        <f>IFERROR(N47/N444, "NA")</f>
        <v>-3.8179568107237785E-2</v>
      </c>
      <c r="P47" s="9"/>
      <c r="Q47" s="7">
        <v>1100.2</v>
      </c>
      <c r="R47" s="8">
        <f>IFERROR(Q47/Q444, "NA")</f>
        <v>4.7047227967663834E-4</v>
      </c>
      <c r="S47" s="9"/>
      <c r="T47" s="7">
        <v>0</v>
      </c>
      <c r="U47" s="8">
        <f>IFERROR(T47/T444, "NA")</f>
        <v>0</v>
      </c>
      <c r="V47" s="9"/>
      <c r="W47" s="10">
        <f t="shared" si="14"/>
        <v>1100.2</v>
      </c>
      <c r="X47" s="8">
        <f>IFERROR(W47/W444, "NA")</f>
        <v>-1.364299957999603E-2</v>
      </c>
      <c r="Y47" s="9"/>
      <c r="Z47" s="7">
        <v>4551.24</v>
      </c>
      <c r="AA47" s="8">
        <f>IFERROR(Z47/Z444, "NA")</f>
        <v>2.0115345678571842E-3</v>
      </c>
      <c r="AB47" s="9"/>
      <c r="AC47" s="10">
        <f t="shared" si="15"/>
        <v>-3451.04</v>
      </c>
      <c r="AD47" s="8">
        <f>IFERROR(AC47/AC444, "NA")</f>
        <v>-4.5450217311683153E-2</v>
      </c>
    </row>
    <row r="48" spans="1:30" ht="16.5" customHeight="1" x14ac:dyDescent="0.45">
      <c r="A48" s="17" t="s">
        <v>46</v>
      </c>
      <c r="B48" s="7">
        <v>91080.75</v>
      </c>
      <c r="C48" s="8">
        <f>IFERROR(B48/B444, "NA")</f>
        <v>0.14407059704828223</v>
      </c>
      <c r="D48" s="9"/>
      <c r="E48" s="7">
        <v>0</v>
      </c>
      <c r="F48" s="8">
        <f>IFERROR(E48/E444, "NA")</f>
        <v>0</v>
      </c>
      <c r="G48" s="9"/>
      <c r="H48" s="10">
        <f t="shared" si="12"/>
        <v>91080.75</v>
      </c>
      <c r="I48" s="8">
        <f>IFERROR(H48/H444, "NA")</f>
        <v>-3.1024611020390691</v>
      </c>
      <c r="J48" s="9"/>
      <c r="K48" s="7">
        <v>79616.5</v>
      </c>
      <c r="L48" s="8">
        <f>IFERROR(K48/K444, "NA")</f>
        <v>0.13192962787664014</v>
      </c>
      <c r="M48" s="9"/>
      <c r="N48" s="10">
        <f t="shared" si="13"/>
        <v>11464.25</v>
      </c>
      <c r="O48" s="8">
        <f>IFERROR(N48/N444, "NA")</f>
        <v>0.39919751349664895</v>
      </c>
      <c r="P48" s="9"/>
      <c r="Q48" s="7">
        <v>338725.12</v>
      </c>
      <c r="R48" s="8">
        <f>IFERROR(Q48/Q444, "NA")</f>
        <v>0.1448470999728621</v>
      </c>
      <c r="S48" s="9"/>
      <c r="T48" s="7">
        <v>0</v>
      </c>
      <c r="U48" s="8">
        <f>IFERROR(T48/T444, "NA")</f>
        <v>0</v>
      </c>
      <c r="V48" s="9"/>
      <c r="W48" s="10">
        <f t="shared" si="14"/>
        <v>338725.12</v>
      </c>
      <c r="X48" s="8">
        <f>IFERROR(W48/W444, "NA")</f>
        <v>-4.2003514541847888</v>
      </c>
      <c r="Y48" s="9"/>
      <c r="Z48" s="7">
        <v>337499.94999999995</v>
      </c>
      <c r="AA48" s="8">
        <f>IFERROR(Z48/Z444, "NA")</f>
        <v>0.14916656033851677</v>
      </c>
      <c r="AB48" s="9"/>
      <c r="AC48" s="10">
        <f t="shared" si="15"/>
        <v>1225.1700000000419</v>
      </c>
      <c r="AD48" s="8">
        <f>IFERROR(AC48/AC444, "NA")</f>
        <v>1.6135496181950006E-2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2177.5299999999997</v>
      </c>
      <c r="L49" s="8">
        <f>IFERROR(K49/K444, "NA")</f>
        <v>3.6083063509476073E-3</v>
      </c>
      <c r="M49" s="9"/>
      <c r="N49" s="10">
        <f t="shared" si="13"/>
        <v>-2177.5299999999997</v>
      </c>
      <c r="O49" s="8">
        <f>IFERROR(N49/N444, "NA")</f>
        <v>-7.5823936285789123E-2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2177.5299999999997</v>
      </c>
      <c r="AA49" s="8">
        <f>IFERROR(Z49/Z444, "NA")</f>
        <v>9.6241395038408292E-4</v>
      </c>
      <c r="AB49" s="9"/>
      <c r="AC49" s="10">
        <f t="shared" si="15"/>
        <v>-2177.5299999999997</v>
      </c>
      <c r="AD49" s="8">
        <f>IFERROR(AC49/AC444, "NA")</f>
        <v>-2.8678083042418923E-2</v>
      </c>
    </row>
    <row r="50" spans="1:30" ht="16.5" customHeight="1" x14ac:dyDescent="0.45">
      <c r="A50" s="17" t="s">
        <v>48</v>
      </c>
      <c r="B50" s="7">
        <v>4113.5</v>
      </c>
      <c r="C50" s="8">
        <f>IFERROR(B50/B444, "NA")</f>
        <v>6.5066921490886821E-3</v>
      </c>
      <c r="D50" s="9"/>
      <c r="E50" s="7">
        <v>0</v>
      </c>
      <c r="F50" s="8">
        <f>IFERROR(E50/E444, "NA")</f>
        <v>0</v>
      </c>
      <c r="G50" s="9"/>
      <c r="H50" s="10">
        <f t="shared" si="12"/>
        <v>4113.5</v>
      </c>
      <c r="I50" s="8">
        <f>IFERROR(H50/H444, "NA")</f>
        <v>-0.14011713499545964</v>
      </c>
      <c r="J50" s="9"/>
      <c r="K50" s="7">
        <v>905.25</v>
      </c>
      <c r="L50" s="8">
        <f>IFERROR(K50/K444, "NA")</f>
        <v>1.5000570941366236E-3</v>
      </c>
      <c r="M50" s="9"/>
      <c r="N50" s="10">
        <f t="shared" si="13"/>
        <v>3208.25</v>
      </c>
      <c r="O50" s="8">
        <f>IFERROR(N50/N444, "NA")</f>
        <v>0.11171471510788966</v>
      </c>
      <c r="P50" s="9"/>
      <c r="Q50" s="7">
        <v>11917.5</v>
      </c>
      <c r="R50" s="8">
        <f>IFERROR(Q50/Q444, "NA")</f>
        <v>5.0962128640668399E-3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11917.5</v>
      </c>
      <c r="X50" s="8">
        <f>IFERROR(W50/W444, "NA")</f>
        <v>-0.14778262815361087</v>
      </c>
      <c r="Y50" s="9"/>
      <c r="Z50" s="7">
        <v>6549.92</v>
      </c>
      <c r="AA50" s="8">
        <f>IFERROR(Z50/Z444, "NA")</f>
        <v>2.8949012789259909E-3</v>
      </c>
      <c r="AB50" s="9"/>
      <c r="AC50" s="10">
        <f t="shared" si="15"/>
        <v>5367.58</v>
      </c>
      <c r="AD50" s="8">
        <f>IFERROR(AC50/AC444, "NA")</f>
        <v>7.0691060502875727E-2</v>
      </c>
    </row>
    <row r="51" spans="1:30" ht="16.5" customHeight="1" x14ac:dyDescent="0.45">
      <c r="A51" s="17" t="s">
        <v>49</v>
      </c>
      <c r="B51" s="7">
        <v>2079.3200000000002</v>
      </c>
      <c r="C51" s="8">
        <f>IFERROR(B51/B444, "NA")</f>
        <v>3.2890470692702274E-3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2079.3200000000002</v>
      </c>
      <c r="I51" s="8">
        <f>IFERROR(H51/H444, "NA")</f>
        <v>-7.0827363835847618E-2</v>
      </c>
      <c r="J51" s="9"/>
      <c r="K51" s="7">
        <v>2657.79</v>
      </c>
      <c r="L51" s="8">
        <f>IFERROR(K51/K444, "NA")</f>
        <v>4.4041278588515618E-3</v>
      </c>
      <c r="M51" s="9"/>
      <c r="N51" s="10">
        <f t="shared" si="13"/>
        <v>-578.4699999999998</v>
      </c>
      <c r="O51" s="8">
        <f>IFERROR(N51/N444, "NA")</f>
        <v>-2.0142947478675573E-2</v>
      </c>
      <c r="P51" s="9"/>
      <c r="Q51" s="7">
        <v>8991.06</v>
      </c>
      <c r="R51" s="8">
        <f>IFERROR(Q51/Q444, "NA")</f>
        <v>3.8447959415646568E-3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8991.06</v>
      </c>
      <c r="X51" s="8">
        <f>IFERROR(W51/W444, "NA")</f>
        <v>-0.11149339011426931</v>
      </c>
      <c r="Y51" s="9"/>
      <c r="Z51" s="7">
        <v>13224.87</v>
      </c>
      <c r="AA51" s="8">
        <f>IFERROR(Z51/Z444, "NA")</f>
        <v>5.8450626994879283E-3</v>
      </c>
      <c r="AB51" s="9"/>
      <c r="AC51" s="10">
        <f t="shared" si="15"/>
        <v>-4233.8100000000013</v>
      </c>
      <c r="AD51" s="8">
        <f>IFERROR(AC51/AC444, "NA")</f>
        <v>-5.5759302864173493E-2</v>
      </c>
    </row>
    <row r="52" spans="1:30" ht="16.5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28300</v>
      </c>
      <c r="R52" s="8">
        <f>IFERROR(Q52/Q444, "NA")</f>
        <v>1.210176832834836E-2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28300</v>
      </c>
      <c r="X52" s="8">
        <f>IFERROR(W52/W444, "NA")</f>
        <v>-0.35093336494627125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28300</v>
      </c>
      <c r="AD52" s="8">
        <f>IFERROR(AC52/AC444, "NA")</f>
        <v>0.37271116820455086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62.45</v>
      </c>
      <c r="L54" s="8">
        <f>IFERROR(K54/K444, "NA")</f>
        <v>1.0348364046267013E-4</v>
      </c>
      <c r="M54" s="9"/>
      <c r="N54" s="10">
        <f t="shared" si="13"/>
        <v>-62.45</v>
      </c>
      <c r="O54" s="8">
        <f>IFERROR(N54/N444, "NA")</f>
        <v>-2.1745761578703996E-3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62.45</v>
      </c>
      <c r="AA54" s="8">
        <f>IFERROR(Z54/Z444, "NA")</f>
        <v>2.7601342439133326E-5</v>
      </c>
      <c r="AB54" s="9"/>
      <c r="AC54" s="10">
        <f t="shared" si="15"/>
        <v>-62.45</v>
      </c>
      <c r="AD54" s="8">
        <f>IFERROR(AC54/AC444, "NA")</f>
        <v>-8.2246687117930046E-4</v>
      </c>
    </row>
    <row r="55" spans="1:30" ht="16.5" customHeight="1" x14ac:dyDescent="0.45">
      <c r="A55" s="17" t="s">
        <v>53</v>
      </c>
      <c r="B55" s="7">
        <v>129.07</v>
      </c>
      <c r="C55" s="8">
        <f>IFERROR(B55/B444, "NA")</f>
        <v>2.0416160342357512E-4</v>
      </c>
      <c r="D55" s="9"/>
      <c r="E55" s="7">
        <v>0</v>
      </c>
      <c r="F55" s="8">
        <f>IFERROR(E55/E444, "NA")</f>
        <v>0</v>
      </c>
      <c r="G55" s="9"/>
      <c r="H55" s="10">
        <f t="shared" si="12"/>
        <v>129.07</v>
      </c>
      <c r="I55" s="8">
        <f>IFERROR(H55/H444, "NA")</f>
        <v>-4.3964795463386349E-3</v>
      </c>
      <c r="J55" s="9"/>
      <c r="K55" s="7">
        <v>720.01</v>
      </c>
      <c r="L55" s="8">
        <f>IFERROR(K55/K444, "NA")</f>
        <v>1.1931025775744936E-3</v>
      </c>
      <c r="M55" s="9"/>
      <c r="N55" s="10">
        <f t="shared" si="13"/>
        <v>-590.94000000000005</v>
      </c>
      <c r="O55" s="8">
        <f>IFERROR(N55/N444, "NA")</f>
        <v>-2.0577166288741938E-2</v>
      </c>
      <c r="P55" s="9"/>
      <c r="Q55" s="7">
        <v>6107.71</v>
      </c>
      <c r="R55" s="8">
        <f>IFERROR(Q55/Q444, "NA")</f>
        <v>2.6118053511214332E-3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6107.71</v>
      </c>
      <c r="X55" s="8">
        <f>IFERROR(W55/W444, "NA")</f>
        <v>-7.5738488424593298E-2</v>
      </c>
      <c r="Y55" s="9"/>
      <c r="Z55" s="7">
        <v>1713.18</v>
      </c>
      <c r="AA55" s="8">
        <f>IFERROR(Z55/Z444, "NA")</f>
        <v>7.5718283170335356E-4</v>
      </c>
      <c r="AB55" s="9"/>
      <c r="AC55" s="10">
        <f t="shared" si="15"/>
        <v>4394.53</v>
      </c>
      <c r="AD55" s="8">
        <f>IFERROR(AC55/AC444, "NA")</f>
        <v>5.7875986219432678E-2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139.60000000000002</v>
      </c>
      <c r="L56" s="8">
        <f>IFERROR(K56/K444, "NA")</f>
        <v>2.3132612023360694E-4</v>
      </c>
      <c r="M56" s="9"/>
      <c r="N56" s="10">
        <f t="shared" si="13"/>
        <v>-139.60000000000002</v>
      </c>
      <c r="O56" s="8">
        <f>IFERROR(N56/N444, "NA")</f>
        <v>-4.8610221239184601E-3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139.60000000000002</v>
      </c>
      <c r="AA56" s="8">
        <f>IFERROR(Z56/Z444, "NA")</f>
        <v>6.1699718246645516E-5</v>
      </c>
      <c r="AB56" s="9"/>
      <c r="AC56" s="10">
        <f t="shared" si="15"/>
        <v>-139.60000000000002</v>
      </c>
      <c r="AD56" s="8">
        <f>IFERROR(AC56/AC444, "NA")</f>
        <v>-1.8385328297298696E-3</v>
      </c>
    </row>
    <row r="57" spans="1:30" ht="16.5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1372.11</v>
      </c>
      <c r="L57" s="8">
        <f>IFERROR(K57/K444, "NA")</f>
        <v>2.2736739458003893E-3</v>
      </c>
      <c r="M57" s="9"/>
      <c r="N57" s="10">
        <f t="shared" si="13"/>
        <v>-1372.11</v>
      </c>
      <c r="O57" s="8">
        <f>IFERROR(N57/N444, "NA")</f>
        <v>-4.7778345748207426E-2</v>
      </c>
      <c r="P57" s="9"/>
      <c r="Q57" s="7">
        <v>3735.79</v>
      </c>
      <c r="R57" s="8">
        <f>IFERROR(Q57/Q444, "NA")</f>
        <v>1.5975146679632691E-3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3735.79</v>
      </c>
      <c r="X57" s="8">
        <f>IFERROR(W57/W444, "NA")</f>
        <v>-4.6325560262637129E-2</v>
      </c>
      <c r="Y57" s="9"/>
      <c r="Z57" s="7">
        <v>3139.49</v>
      </c>
      <c r="AA57" s="8">
        <f>IFERROR(Z57/Z444, "NA")</f>
        <v>1.387576278210323E-3</v>
      </c>
      <c r="AB57" s="9"/>
      <c r="AC57" s="10">
        <f t="shared" si="15"/>
        <v>596.30000000000018</v>
      </c>
      <c r="AD57" s="8">
        <f>IFERROR(AC57/AC444, "NA")</f>
        <v>7.8532745441828172E-3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87.5</v>
      </c>
      <c r="L58" s="8">
        <f>IFERROR(K58/K444, "NA")</f>
        <v>1.4499309112063469E-4</v>
      </c>
      <c r="M58" s="9"/>
      <c r="N58" s="10">
        <f t="shared" si="13"/>
        <v>-87.5</v>
      </c>
      <c r="O58" s="8">
        <f>IFERROR(N58/N444, "NA")</f>
        <v>-3.0468440962955956E-3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135</v>
      </c>
      <c r="AA58" s="8">
        <f>IFERROR(Z58/Z444, "NA")</f>
        <v>5.9666632974907902E-5</v>
      </c>
      <c r="AB58" s="9"/>
      <c r="AC58" s="10">
        <f t="shared" si="15"/>
        <v>-135</v>
      </c>
      <c r="AD58" s="8">
        <f>IFERROR(AC58/AC444, "NA")</f>
        <v>-1.7779508023892002E-3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customHeight="1" x14ac:dyDescent="0.45">
      <c r="A60" s="17" t="s">
        <v>58</v>
      </c>
      <c r="B60" s="7">
        <v>668.42</v>
      </c>
      <c r="C60" s="8">
        <f>IFERROR(B60/B444, "NA")</f>
        <v>1.0572999067202764E-3</v>
      </c>
      <c r="D60" s="9"/>
      <c r="E60" s="7">
        <v>0</v>
      </c>
      <c r="F60" s="8">
        <f>IFERROR(E60/E444, "NA")</f>
        <v>0</v>
      </c>
      <c r="G60" s="9"/>
      <c r="H60" s="10">
        <f t="shared" si="12"/>
        <v>668.42</v>
      </c>
      <c r="I60" s="8">
        <f>IFERROR(H60/H444, "NA")</f>
        <v>-2.2768225446375381E-2</v>
      </c>
      <c r="J60" s="9"/>
      <c r="K60" s="7">
        <v>0</v>
      </c>
      <c r="L60" s="8">
        <f>IFERROR(K60/K444, "NA")</f>
        <v>0</v>
      </c>
      <c r="M60" s="9"/>
      <c r="N60" s="10">
        <f t="shared" si="13"/>
        <v>668.42</v>
      </c>
      <c r="O60" s="8">
        <f>IFERROR(N60/N444, "NA")</f>
        <v>2.3275103209667452E-2</v>
      </c>
      <c r="P60" s="9"/>
      <c r="Q60" s="7">
        <v>1329.49</v>
      </c>
      <c r="R60" s="8">
        <f>IFERROR(Q60/Q444, "NA")</f>
        <v>5.6852226059561346E-4</v>
      </c>
      <c r="S60" s="9"/>
      <c r="T60" s="7">
        <v>0</v>
      </c>
      <c r="U60" s="8">
        <f>IFERROR(T60/T444, "NA")</f>
        <v>0</v>
      </c>
      <c r="V60" s="9"/>
      <c r="W60" s="10">
        <f t="shared" si="14"/>
        <v>1329.49</v>
      </c>
      <c r="X60" s="8">
        <f>IFERROR(W60/W444, "NA")</f>
        <v>-1.6486303864396402E-2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1329.49</v>
      </c>
      <c r="AD60" s="8">
        <f>IFERROR(AC60/AC444, "NA")</f>
        <v>1.7509391201988279E-2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98071.060000000012</v>
      </c>
      <c r="C61" s="15">
        <f>IFERROR(B61/B444, "NA")</f>
        <v>0.15512779777678504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98071.060000000012</v>
      </c>
      <c r="I61" s="15">
        <f>IFERROR(H61/H444, "NA")</f>
        <v>-3.3405703058630905</v>
      </c>
      <c r="J61" s="2"/>
      <c r="K61" s="14">
        <f>IFERROR(K46+K47+K48+K49+K50+K51+K52+K53+K54+K55+K56+K57+K58+K59+K60, "NA")</f>
        <v>88835.189999999988</v>
      </c>
      <c r="L61" s="15">
        <f>IFERROR(K61/K444, "NA")</f>
        <v>0.14720558626730165</v>
      </c>
      <c r="M61" s="2"/>
      <c r="N61" s="14">
        <f t="shared" si="13"/>
        <v>9235.8700000000244</v>
      </c>
      <c r="O61" s="15">
        <f>IFERROR(N61/N444, "NA")</f>
        <v>0.32160292552747061</v>
      </c>
      <c r="P61" s="2"/>
      <c r="Q61" s="14">
        <f>IFERROR(Q46+Q47+Q48+Q49+Q50+Q51+Q52+Q53+Q54+Q55+Q56+Q57+Q58+Q59+Q60, "NA")</f>
        <v>400206.87</v>
      </c>
      <c r="R61" s="15">
        <f>IFERROR(Q61/Q444, "NA")</f>
        <v>0.1711381916661989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400206.87</v>
      </c>
      <c r="X61" s="15">
        <f>IFERROR(W61/W444, "NA")</f>
        <v>-4.9627541895305631</v>
      </c>
      <c r="Y61" s="2"/>
      <c r="Z61" s="14">
        <f>IFERROR(Z46+Z47+Z48+Z49+Z50+Z51+Z52+Z53+Z54+Z55+Z56+Z57+Z58+Z59+Z60, "NA")</f>
        <v>369193.22999999992</v>
      </c>
      <c r="AA61" s="15">
        <f>IFERROR(Z61/Z444, "NA")</f>
        <v>0.16317419963874633</v>
      </c>
      <c r="AB61" s="2"/>
      <c r="AC61" s="14">
        <f t="shared" si="15"/>
        <v>31013.640000000072</v>
      </c>
      <c r="AD61" s="15">
        <f>IFERROR(AC61/AC444, "NA")</f>
        <v>0.40844982313340683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121688.65000000001</v>
      </c>
      <c r="C62" s="15">
        <f>IFERROR(B62/B444, "NA")</f>
        <v>0.19248585963004755</v>
      </c>
      <c r="D62" s="2"/>
      <c r="E62" s="14">
        <f>IFERROR(E42+E43+E44+E46+E47+E48+E49+E50+E51+E52+E53+E54+E55+E56+E57+E58+E59+E60, "NA")</f>
        <v>160843.44000000003</v>
      </c>
      <c r="F62" s="15">
        <f>IFERROR(E62/E444, "NA")</f>
        <v>0.2431301444774972</v>
      </c>
      <c r="G62" s="2"/>
      <c r="H62" s="14">
        <f t="shared" si="12"/>
        <v>-39154.790000000023</v>
      </c>
      <c r="I62" s="15">
        <f>IFERROR(H62/H444, "NA")</f>
        <v>1.3337199455813482</v>
      </c>
      <c r="J62" s="2"/>
      <c r="K62" s="14">
        <f>IFERROR(K42+K43+K44+K46+K47+K48+K49+K50+K51+K52+K53+K54+K55+K56+K57+K58+K59+K60, "NA")</f>
        <v>120504.16999999998</v>
      </c>
      <c r="L62" s="15">
        <f>IFERROR(K62/K444, "NA")</f>
        <v>0.1996831097283023</v>
      </c>
      <c r="M62" s="2"/>
      <c r="N62" s="14">
        <f t="shared" si="13"/>
        <v>1184.480000000025</v>
      </c>
      <c r="O62" s="15">
        <f>IFERROR(N62/N444, "NA")</f>
        <v>4.1244867373488953E-2</v>
      </c>
      <c r="P62" s="2"/>
      <c r="Q62" s="14">
        <f>IFERROR(Q42+Q43+Q44+Q46+Q47+Q48+Q49+Q50+Q51+Q52+Q53+Q54+Q55+Q56+Q57+Q58+Q59+Q60, "NA")</f>
        <v>489773.13999999996</v>
      </c>
      <c r="R62" s="15">
        <f>IFERROR(Q62/Q444, "NA")</f>
        <v>0.20943890719885958</v>
      </c>
      <c r="S62" s="2"/>
      <c r="T62" s="14">
        <f>IFERROR(T42+T43+T44+T46+T47+T48+T49+T50+T51+T52+T53+T54+T55+T56+T57+T58+T59+T60, "NA")</f>
        <v>579322.37000000011</v>
      </c>
      <c r="U62" s="15">
        <f>IFERROR(T62/T444, "NA")</f>
        <v>0.2394741839415872</v>
      </c>
      <c r="V62" s="2"/>
      <c r="W62" s="14">
        <f t="shared" si="14"/>
        <v>-89549.230000000156</v>
      </c>
      <c r="X62" s="15">
        <f>IFERROR(W62/W444, "NA")</f>
        <v>1.1104527424822488</v>
      </c>
      <c r="Y62" s="2"/>
      <c r="Z62" s="14">
        <f>IFERROR(Z42+Z43+Z44+Z46+Z47+Z48+Z49+Z50+Z51+Z52+Z53+Z54+Z55+Z56+Z57+Z58+Z59+Z60, "NA")</f>
        <v>486469.27999999997</v>
      </c>
      <c r="AA62" s="15">
        <f>IFERROR(Z62/Z444, "NA")</f>
        <v>0.21500728876539041</v>
      </c>
      <c r="AB62" s="2"/>
      <c r="AC62" s="14">
        <f t="shared" si="15"/>
        <v>3303.859999999986</v>
      </c>
      <c r="AD62" s="15">
        <f>IFERROR(AC62/AC444, "NA")</f>
        <v>4.3511855836900433E-2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51418.200000000004</v>
      </c>
      <c r="F64" s="8">
        <f>IFERROR(E64/E444, "NA")</f>
        <v>7.7723495560483191E-2</v>
      </c>
      <c r="G64" s="9"/>
      <c r="H64" s="10">
        <f t="shared" ref="H64:H73" si="16">IFERROR(B64-E64, "NA")</f>
        <v>-51418.200000000004</v>
      </c>
      <c r="I64" s="8">
        <f>IFERROR(H64/H444, "NA")</f>
        <v>1.7514454529290246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189361.96999999997</v>
      </c>
      <c r="U64" s="8">
        <f>IFERROR(T64/T444, "NA")</f>
        <v>7.8276458123516454E-2</v>
      </c>
      <c r="V64" s="9"/>
      <c r="W64" s="10">
        <f t="shared" ref="W64:W73" si="18">IFERROR(Q64-T64, "NA")</f>
        <v>-189361.96999999997</v>
      </c>
      <c r="X64" s="8">
        <f>IFERROR(W64/W444, "NA")</f>
        <v>2.348177856005472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23997.23</v>
      </c>
      <c r="C65" s="8">
        <f>IFERROR(B65/B444, "NA")</f>
        <v>3.7958572515102811E-2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23997.23</v>
      </c>
      <c r="I65" s="8">
        <f>IFERROR(H65/H444, "NA")</f>
        <v>-0.81741172126585482</v>
      </c>
      <c r="J65" s="9"/>
      <c r="K65" s="7">
        <v>10130.929999999998</v>
      </c>
      <c r="L65" s="8">
        <f>IFERROR(K65/K444, "NA")</f>
        <v>1.6787598361448816E-2</v>
      </c>
      <c r="M65" s="9"/>
      <c r="N65" s="10">
        <f t="shared" si="17"/>
        <v>13866.300000000001</v>
      </c>
      <c r="O65" s="8">
        <f>IFERROR(N65/N444, "NA")</f>
        <v>0.48283947762815566</v>
      </c>
      <c r="P65" s="9"/>
      <c r="Q65" s="7">
        <v>82761.16</v>
      </c>
      <c r="R65" s="8">
        <f>IFERROR(Q65/Q444, "NA")</f>
        <v>3.5390684978988375E-2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82761.16</v>
      </c>
      <c r="X65" s="8">
        <f>IFERROR(W65/W444, "NA")</f>
        <v>-1.0262774687511218</v>
      </c>
      <c r="Y65" s="9"/>
      <c r="Z65" s="7">
        <v>16798.91</v>
      </c>
      <c r="AA65" s="8">
        <f>IFERROR(Z65/Z444, "NA")</f>
        <v>7.4246992396185939E-3</v>
      </c>
      <c r="AB65" s="9"/>
      <c r="AC65" s="10">
        <f t="shared" si="19"/>
        <v>65962.25</v>
      </c>
      <c r="AD65" s="8">
        <f>IFERROR(AC65/AC444, "NA")</f>
        <v>0.86872322455479278</v>
      </c>
    </row>
    <row r="66" spans="1:30" ht="16.5" customHeight="1" x14ac:dyDescent="0.45">
      <c r="A66" s="12" t="s">
        <v>63</v>
      </c>
      <c r="B66" s="7">
        <v>14687.72</v>
      </c>
      <c r="C66" s="8">
        <f>IFERROR(B66/B444, "NA")</f>
        <v>2.3232884991372996E-2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14687.72</v>
      </c>
      <c r="I66" s="8">
        <f>IFERROR(H66/H444, "NA")</f>
        <v>-0.50030418038544122</v>
      </c>
      <c r="J66" s="9"/>
      <c r="K66" s="7">
        <v>29778.210000000003</v>
      </c>
      <c r="L66" s="8">
        <f>IFERROR(K66/K444, "NA")</f>
        <v>4.9344396753593089E-2</v>
      </c>
      <c r="M66" s="9"/>
      <c r="N66" s="10">
        <f t="shared" si="17"/>
        <v>-15090.490000000003</v>
      </c>
      <c r="O66" s="8">
        <f>IFERROR(N66/N444, "NA")</f>
        <v>-0.52546708990523128</v>
      </c>
      <c r="P66" s="9"/>
      <c r="Q66" s="7">
        <v>64844.42</v>
      </c>
      <c r="R66" s="8">
        <f>IFERROR(Q66/Q444, "NA")</f>
        <v>2.7729051174067803E-2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64844.42</v>
      </c>
      <c r="X66" s="8">
        <f>IFERROR(W66/W444, "NA")</f>
        <v>-0.80410143139891488</v>
      </c>
      <c r="Y66" s="9"/>
      <c r="Z66" s="7">
        <v>70801.94</v>
      </c>
      <c r="AA66" s="8">
        <f>IFERROR(Z66/Z444, "NA")</f>
        <v>3.1292691614010749E-2</v>
      </c>
      <c r="AB66" s="9"/>
      <c r="AC66" s="10">
        <f t="shared" si="19"/>
        <v>-5957.5200000000041</v>
      </c>
      <c r="AD66" s="8">
        <f>IFERROR(AC66/AC444, "NA")</f>
        <v>-7.8460573809257153E-2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9882.75</v>
      </c>
      <c r="AA67" s="8">
        <f>IFERROR(Z67/Z444, "NA")</f>
        <v>4.3679290150575633E-3</v>
      </c>
      <c r="AB67" s="9"/>
      <c r="AC67" s="10">
        <f t="shared" si="19"/>
        <v>-9882.75</v>
      </c>
      <c r="AD67" s="8">
        <f>IFERROR(AC67/AC444, "NA")</f>
        <v>-0.13015587623934716</v>
      </c>
    </row>
    <row r="68" spans="1:30" ht="16.5" customHeight="1" x14ac:dyDescent="0.45">
      <c r="A68" s="12" t="s">
        <v>65</v>
      </c>
      <c r="B68" s="7">
        <v>8818.75</v>
      </c>
      <c r="C68" s="8">
        <f>IFERROR(B68/B444, "NA")</f>
        <v>1.3949408384532836E-2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8818.75</v>
      </c>
      <c r="I68" s="8">
        <f>IFERROR(H68/H444, "NA")</f>
        <v>-0.30039090415490693</v>
      </c>
      <c r="J68" s="9"/>
      <c r="K68" s="7">
        <v>0</v>
      </c>
      <c r="L68" s="8">
        <f>IFERROR(K68/K444, "NA")</f>
        <v>0</v>
      </c>
      <c r="M68" s="9"/>
      <c r="N68" s="10">
        <f t="shared" si="17"/>
        <v>8818.75</v>
      </c>
      <c r="O68" s="8">
        <f>IFERROR(N68/N444, "NA")</f>
        <v>0.30707835856236326</v>
      </c>
      <c r="P68" s="9"/>
      <c r="Q68" s="7">
        <v>18428.41</v>
      </c>
      <c r="R68" s="8">
        <f>IFERROR(Q68/Q444, "NA")</f>
        <v>7.8804363420430443E-3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18428.41</v>
      </c>
      <c r="X68" s="8">
        <f>IFERROR(W68/W444, "NA")</f>
        <v>-0.22852098699326906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18428.41</v>
      </c>
      <c r="AD68" s="8">
        <f>IFERROR(AC68/AC444, "NA")</f>
        <v>0.24270226923153451</v>
      </c>
    </row>
    <row r="69" spans="1:30" ht="16.5" customHeight="1" x14ac:dyDescent="0.45">
      <c r="A69" s="12" t="s">
        <v>66</v>
      </c>
      <c r="B69" s="7">
        <v>3040</v>
      </c>
      <c r="C69" s="8">
        <f>IFERROR(B69/B444, "NA")</f>
        <v>4.8086408492110351E-3</v>
      </c>
      <c r="D69" s="9"/>
      <c r="E69" s="7">
        <v>0</v>
      </c>
      <c r="F69" s="8">
        <f>IFERROR(E69/E444, "NA")</f>
        <v>0</v>
      </c>
      <c r="G69" s="9"/>
      <c r="H69" s="10">
        <f t="shared" si="16"/>
        <v>3040</v>
      </c>
      <c r="I69" s="8">
        <f>IFERROR(H69/H444, "NA")</f>
        <v>-0.10355076951165608</v>
      </c>
      <c r="J69" s="9"/>
      <c r="K69" s="7">
        <v>0</v>
      </c>
      <c r="L69" s="8">
        <f>IFERROR(K69/K444, "NA")</f>
        <v>0</v>
      </c>
      <c r="M69" s="9"/>
      <c r="N69" s="10">
        <f t="shared" si="17"/>
        <v>3040</v>
      </c>
      <c r="O69" s="8">
        <f>IFERROR(N69/N444, "NA")</f>
        <v>0.10585606917415555</v>
      </c>
      <c r="P69" s="9"/>
      <c r="Q69" s="7">
        <v>20847.150000000001</v>
      </c>
      <c r="R69" s="8">
        <f>IFERROR(Q69/Q444, "NA")</f>
        <v>8.9147483959833036E-3</v>
      </c>
      <c r="S69" s="9"/>
      <c r="T69" s="7">
        <v>0</v>
      </c>
      <c r="U69" s="8">
        <f>IFERROR(T69/T444, "NA")</f>
        <v>0</v>
      </c>
      <c r="V69" s="9"/>
      <c r="W69" s="10">
        <f t="shared" si="18"/>
        <v>20847.150000000001</v>
      </c>
      <c r="X69" s="8">
        <f>IFERROR(W69/W444, "NA")</f>
        <v>-0.25851450526641906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20847.150000000001</v>
      </c>
      <c r="AD69" s="8">
        <f>IFERROR(AC69/AC444, "NA")</f>
        <v>0.27455708940761492</v>
      </c>
    </row>
    <row r="70" spans="1:30" ht="16.5" customHeight="1" x14ac:dyDescent="0.45">
      <c r="A70" s="12" t="s">
        <v>67</v>
      </c>
      <c r="B70" s="7">
        <v>3693</v>
      </c>
      <c r="C70" s="8">
        <f>IFERROR(B70/B444, "NA")</f>
        <v>5.8415495579395901E-3</v>
      </c>
      <c r="D70" s="9"/>
      <c r="E70" s="7">
        <v>0</v>
      </c>
      <c r="F70" s="8">
        <f>IFERROR(E70/E444, "NA")</f>
        <v>0</v>
      </c>
      <c r="G70" s="9"/>
      <c r="H70" s="10">
        <f t="shared" si="16"/>
        <v>3693</v>
      </c>
      <c r="I70" s="8">
        <f>IFERROR(H70/H444, "NA")</f>
        <v>-0.12579374730478485</v>
      </c>
      <c r="J70" s="9"/>
      <c r="K70" s="7">
        <v>0</v>
      </c>
      <c r="L70" s="8">
        <f>IFERROR(K70/K444, "NA")</f>
        <v>0</v>
      </c>
      <c r="M70" s="9"/>
      <c r="N70" s="10">
        <f t="shared" si="17"/>
        <v>3693</v>
      </c>
      <c r="O70" s="8">
        <f>IFERROR(N70/N444, "NA")</f>
        <v>0.12859423140136725</v>
      </c>
      <c r="P70" s="9"/>
      <c r="Q70" s="7">
        <v>17793.5</v>
      </c>
      <c r="R70" s="8">
        <f>IFERROR(Q70/Q444, "NA")</f>
        <v>7.608933383408711E-3</v>
      </c>
      <c r="S70" s="9"/>
      <c r="T70" s="7">
        <v>0</v>
      </c>
      <c r="U70" s="8">
        <f>IFERROR(T70/T444, "NA")</f>
        <v>0</v>
      </c>
      <c r="V70" s="9"/>
      <c r="W70" s="10">
        <f t="shared" si="18"/>
        <v>17793.5</v>
      </c>
      <c r="X70" s="8">
        <f>IFERROR(W70/W444, "NA")</f>
        <v>-0.2206478031509356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17793.5</v>
      </c>
      <c r="AD70" s="8">
        <f>IFERROR(AC70/AC444, "NA")</f>
        <v>0.23434050075786839</v>
      </c>
    </row>
    <row r="71" spans="1:30" ht="16.5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7267.89</v>
      </c>
      <c r="R71" s="8">
        <f>IFERROR(Q71/Q444, "NA")</f>
        <v>3.1079265376650089E-3</v>
      </c>
      <c r="S71" s="9"/>
      <c r="T71" s="7">
        <v>0</v>
      </c>
      <c r="U71" s="8">
        <f>IFERROR(T71/T444, "NA")</f>
        <v>0</v>
      </c>
      <c r="V71" s="9"/>
      <c r="W71" s="10">
        <f t="shared" si="18"/>
        <v>7267.89</v>
      </c>
      <c r="X71" s="8">
        <f>IFERROR(W71/W444, "NA")</f>
        <v>-9.012526833071928E-2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7267.89</v>
      </c>
      <c r="AD71" s="8">
        <f>IFERROR(AC71/AC444, "NA")</f>
        <v>9.5718154497603292E-2</v>
      </c>
    </row>
    <row r="72" spans="1:30" ht="16.5" customHeight="1" x14ac:dyDescent="0.45">
      <c r="A72" s="12" t="s">
        <v>69</v>
      </c>
      <c r="B72" s="7">
        <v>2815</v>
      </c>
      <c r="C72" s="8">
        <f>IFERROR(B72/B444, "NA")</f>
        <v>4.4527381547792974E-3</v>
      </c>
      <c r="D72" s="9"/>
      <c r="E72" s="7">
        <v>0</v>
      </c>
      <c r="F72" s="8">
        <f>IFERROR(E72/E444, "NA")</f>
        <v>0</v>
      </c>
      <c r="G72" s="9"/>
      <c r="H72" s="10">
        <f t="shared" si="16"/>
        <v>2815</v>
      </c>
      <c r="I72" s="8">
        <f>IFERROR(H72/H444, "NA")</f>
        <v>-9.5886650057668374E-2</v>
      </c>
      <c r="J72" s="9"/>
      <c r="K72" s="7">
        <v>0</v>
      </c>
      <c r="L72" s="8">
        <f>IFERROR(K72/K444, "NA")</f>
        <v>0</v>
      </c>
      <c r="M72" s="9"/>
      <c r="N72" s="10">
        <f t="shared" si="17"/>
        <v>2815</v>
      </c>
      <c r="O72" s="8">
        <f>IFERROR(N72/N444, "NA")</f>
        <v>9.8021327212252596E-2</v>
      </c>
      <c r="P72" s="9"/>
      <c r="Q72" s="7">
        <v>5522.6</v>
      </c>
      <c r="R72" s="8">
        <f>IFERROR(Q72/Q444, "NA")</f>
        <v>2.3615980837504115E-3</v>
      </c>
      <c r="S72" s="9"/>
      <c r="T72" s="7">
        <v>0</v>
      </c>
      <c r="U72" s="8">
        <f>IFERROR(T72/T444, "NA")</f>
        <v>0</v>
      </c>
      <c r="V72" s="9"/>
      <c r="W72" s="10">
        <f t="shared" si="18"/>
        <v>5522.6</v>
      </c>
      <c r="X72" s="8">
        <f>IFERROR(W72/W444, "NA")</f>
        <v>-6.8482848100787197E-2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5522.6</v>
      </c>
      <c r="AD72" s="8">
        <f>IFERROR(AC72/AC444, "NA")</f>
        <v>7.2732674824256272E-2</v>
      </c>
    </row>
    <row r="73" spans="1:30" ht="16.5" customHeight="1" x14ac:dyDescent="0.45">
      <c r="A73" s="13" t="s">
        <v>70</v>
      </c>
      <c r="B73" s="14">
        <f>IFERROR(B64+B65+B66+B67+B68+B69+B70+B71+B72, "NA")</f>
        <v>57051.7</v>
      </c>
      <c r="C73" s="15">
        <f>IFERROR(B73/B444, "NA")</f>
        <v>9.0243794452938564E-2</v>
      </c>
      <c r="D73" s="2"/>
      <c r="E73" s="14">
        <f>IFERROR(E64+E65+E66+E67+E68+E69+E70+E71+E72, "NA")</f>
        <v>51418.200000000004</v>
      </c>
      <c r="F73" s="15">
        <f>IFERROR(E73/E444, "NA")</f>
        <v>7.7723495560483191E-2</v>
      </c>
      <c r="G73" s="2"/>
      <c r="H73" s="14">
        <f t="shared" si="16"/>
        <v>5633.4999999999927</v>
      </c>
      <c r="I73" s="15">
        <f>IFERROR(H73/H444, "NA")</f>
        <v>-0.19189251975128743</v>
      </c>
      <c r="J73" s="2"/>
      <c r="K73" s="14">
        <f>IFERROR(K64+K65+K66+K67+K68+K69+K70+K71+K72, "NA")</f>
        <v>39909.14</v>
      </c>
      <c r="L73" s="15">
        <f>IFERROR(K73/K444, "NA")</f>
        <v>6.6131995115041906E-2</v>
      </c>
      <c r="M73" s="2"/>
      <c r="N73" s="14">
        <f t="shared" si="17"/>
        <v>17142.559999999998</v>
      </c>
      <c r="O73" s="15">
        <f>IFERROR(N73/N444, "NA")</f>
        <v>0.59692237407306303</v>
      </c>
      <c r="P73" s="2"/>
      <c r="Q73" s="14">
        <f>IFERROR(Q64+Q65+Q66+Q67+Q68+Q69+Q70+Q71+Q72, "NA")</f>
        <v>217465.13000000003</v>
      </c>
      <c r="R73" s="15">
        <f>IFERROR(Q73/Q444, "NA")</f>
        <v>9.299337889590667E-2</v>
      </c>
      <c r="S73" s="2"/>
      <c r="T73" s="14">
        <f>IFERROR(T64+T65+T66+T67+T68+T69+T70+T71+T72, "NA")</f>
        <v>189361.96999999997</v>
      </c>
      <c r="U73" s="15">
        <f>IFERROR(T73/T444, "NA")</f>
        <v>7.8276458123516454E-2</v>
      </c>
      <c r="V73" s="2"/>
      <c r="W73" s="14">
        <f t="shared" si="18"/>
        <v>28103.160000000062</v>
      </c>
      <c r="X73" s="15">
        <f>IFERROR(W73/W444, "NA")</f>
        <v>-0.3484924559866952</v>
      </c>
      <c r="Y73" s="2"/>
      <c r="Z73" s="14">
        <f>IFERROR(Z64+Z65+Z66+Z67+Z68+Z69+Z70+Z71+Z72, "NA")</f>
        <v>97483.6</v>
      </c>
      <c r="AA73" s="15">
        <f>IFERROR(Z73/Z444, "NA")</f>
        <v>4.3085319868686911E-2</v>
      </c>
      <c r="AB73" s="2"/>
      <c r="AC73" s="14">
        <f t="shared" si="19"/>
        <v>119981.53000000003</v>
      </c>
      <c r="AD73" s="15">
        <f>IFERROR(AC73/AC444, "NA")</f>
        <v>1.5801574632250663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12113.98</v>
      </c>
      <c r="F75" s="8">
        <f>IFERROR(E75/E444, "NA")</f>
        <v>1.8311431958913032E-2</v>
      </c>
      <c r="G75" s="9"/>
      <c r="H75" s="10">
        <f t="shared" ref="H75:H92" si="20">IFERROR(B75-E75, "NA")</f>
        <v>-12113.98</v>
      </c>
      <c r="I75" s="8">
        <f>IFERROR(H75/H444, "NA")</f>
        <v>0.41263551014763533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43377.53</v>
      </c>
      <c r="U75" s="8">
        <f>IFERROR(T75/T444, "NA")</f>
        <v>1.7930946802816736E-2</v>
      </c>
      <c r="V75" s="9"/>
      <c r="W75" s="10">
        <f t="shared" ref="W75:W92" si="22">IFERROR(Q75-T75, "NA")</f>
        <v>-43377.53</v>
      </c>
      <c r="X75" s="8">
        <f>IFERROR(W75/W444, "NA")</f>
        <v>0.53790185745434027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1795.67</v>
      </c>
      <c r="C77" s="8">
        <f>IFERROR(B77/B444, "NA")</f>
        <v>2.8403724058232833E-3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1795.67</v>
      </c>
      <c r="I77" s="8">
        <f>IFERROR(H77/H444, "NA")</f>
        <v>-6.1165463910853778E-2</v>
      </c>
      <c r="J77" s="9"/>
      <c r="K77" s="7">
        <v>2649.3700000000003</v>
      </c>
      <c r="L77" s="8">
        <f>IFERROR(K77/K444, "NA")</f>
        <v>4.390175380826011E-3</v>
      </c>
      <c r="M77" s="9"/>
      <c r="N77" s="10">
        <f t="shared" si="21"/>
        <v>-853.70000000000027</v>
      </c>
      <c r="O77" s="8">
        <f>IFERROR(N77/N444, "NA")</f>
        <v>-2.9726752057229154E-2</v>
      </c>
      <c r="P77" s="9"/>
      <c r="Q77" s="7">
        <v>7333.79</v>
      </c>
      <c r="R77" s="8">
        <f>IFERROR(Q77/Q444, "NA")</f>
        <v>3.1361069805214809E-3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7333.79</v>
      </c>
      <c r="X77" s="8">
        <f>IFERROR(W77/W444, "NA")</f>
        <v>-9.0942459452625968E-2</v>
      </c>
      <c r="Y77" s="9"/>
      <c r="Z77" s="7">
        <v>9506.2000000000007</v>
      </c>
      <c r="AA77" s="8">
        <f>IFERROR(Z77/Z444, "NA")</f>
        <v>4.2015033065634783E-3</v>
      </c>
      <c r="AB77" s="9"/>
      <c r="AC77" s="10">
        <f t="shared" si="23"/>
        <v>-2172.4100000000008</v>
      </c>
      <c r="AD77" s="8">
        <f>IFERROR(AC77/AC444, "NA")</f>
        <v>-2.8610652611987582E-2</v>
      </c>
    </row>
    <row r="78" spans="1:30" ht="16.5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25</v>
      </c>
      <c r="L78" s="8">
        <f>IFERROR(K78/K444, "NA")</f>
        <v>4.1426597463038481E-5</v>
      </c>
      <c r="M78" s="9"/>
      <c r="N78" s="10">
        <f t="shared" si="21"/>
        <v>-25</v>
      </c>
      <c r="O78" s="8">
        <f>IFERROR(N78/N444, "NA")</f>
        <v>-8.7052688465588451E-4</v>
      </c>
      <c r="P78" s="9"/>
      <c r="Q78" s="7">
        <v>50</v>
      </c>
      <c r="R78" s="8">
        <f>IFERROR(Q78/Q444, "NA")</f>
        <v>2.1381216127823955E-5</v>
      </c>
      <c r="S78" s="9"/>
      <c r="T78" s="7">
        <v>0</v>
      </c>
      <c r="U78" s="8">
        <f>IFERROR(T78/T444, "NA")</f>
        <v>0</v>
      </c>
      <c r="V78" s="9"/>
      <c r="W78" s="10">
        <f t="shared" si="22"/>
        <v>50</v>
      </c>
      <c r="X78" s="8">
        <f>IFERROR(W78/W444, "NA")</f>
        <v>-6.2002361297927783E-4</v>
      </c>
      <c r="Y78" s="9"/>
      <c r="Z78" s="7">
        <v>225</v>
      </c>
      <c r="AA78" s="8">
        <f>IFERROR(Z78/Z444, "NA")</f>
        <v>9.9444388291513179E-5</v>
      </c>
      <c r="AB78" s="9"/>
      <c r="AC78" s="10">
        <f t="shared" si="23"/>
        <v>-175</v>
      </c>
      <c r="AD78" s="8">
        <f>IFERROR(AC78/AC444, "NA")</f>
        <v>-2.3047510401341485E-3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9132.15</v>
      </c>
      <c r="C80" s="8">
        <f>IFERROR(B80/B444, "NA")</f>
        <v>1.4445141293132419E-2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9132.15</v>
      </c>
      <c r="I80" s="8">
        <f>IFERROR(H80/H444, "NA")</f>
        <v>-0.31106617098548356</v>
      </c>
      <c r="J80" s="9"/>
      <c r="K80" s="7">
        <v>7107.4600000000009</v>
      </c>
      <c r="L80" s="8">
        <f>IFERROR(K80/K444, "NA")</f>
        <v>1.1777515376185902E-2</v>
      </c>
      <c r="M80" s="9"/>
      <c r="N80" s="10">
        <f t="shared" si="21"/>
        <v>2024.6899999999987</v>
      </c>
      <c r="O80" s="8">
        <f>IFERROR(N80/N444, "NA")</f>
        <v>7.0501883123756867E-2</v>
      </c>
      <c r="P80" s="9"/>
      <c r="Q80" s="7">
        <v>33578.5</v>
      </c>
      <c r="R80" s="8">
        <f>IFERROR(Q80/Q444, "NA")</f>
        <v>1.4358983314962733E-2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33578.5</v>
      </c>
      <c r="X80" s="8">
        <f>IFERROR(W80/W444, "NA")</f>
        <v>-0.41638925776849361</v>
      </c>
      <c r="Y80" s="9"/>
      <c r="Z80" s="7">
        <v>29913.180000000004</v>
      </c>
      <c r="AA80" s="8">
        <f>IFERROR(Z80/Z444, "NA")</f>
        <v>1.3220879497573007E-2</v>
      </c>
      <c r="AB80" s="9"/>
      <c r="AC80" s="10">
        <f t="shared" si="23"/>
        <v>3665.3199999999961</v>
      </c>
      <c r="AD80" s="8">
        <f>IFERROR(AC80/AC444, "NA")</f>
        <v>4.8272286185282787E-2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25</v>
      </c>
      <c r="AA82" s="8">
        <f>IFERROR(Z82/Z444, "NA")</f>
        <v>1.1049376476834798E-5</v>
      </c>
      <c r="AB82" s="9"/>
      <c r="AC82" s="10">
        <f t="shared" si="23"/>
        <v>-25</v>
      </c>
      <c r="AD82" s="8">
        <f>IFERROR(AC82/AC444, "NA")</f>
        <v>-3.2925014859059264E-4</v>
      </c>
    </row>
    <row r="83" spans="1:30" ht="16.5" customHeight="1" x14ac:dyDescent="0.45">
      <c r="A83" s="12" t="s">
        <v>79</v>
      </c>
      <c r="B83" s="7">
        <v>123</v>
      </c>
      <c r="C83" s="8">
        <f>IFERROR(B83/B444, "NA")</f>
        <v>1.9456013962268335E-4</v>
      </c>
      <c r="D83" s="9"/>
      <c r="E83" s="7">
        <v>0</v>
      </c>
      <c r="F83" s="8">
        <f>IFERROR(E83/E444, "NA")</f>
        <v>0</v>
      </c>
      <c r="G83" s="9"/>
      <c r="H83" s="10">
        <f t="shared" si="20"/>
        <v>123</v>
      </c>
      <c r="I83" s="8">
        <f>IFERROR(H83/H444, "NA")</f>
        <v>-4.1897186348466113E-3</v>
      </c>
      <c r="J83" s="9"/>
      <c r="K83" s="7">
        <v>0</v>
      </c>
      <c r="L83" s="8">
        <f>IFERROR(K83/K444, "NA")</f>
        <v>0</v>
      </c>
      <c r="M83" s="9"/>
      <c r="N83" s="10">
        <f t="shared" si="21"/>
        <v>123</v>
      </c>
      <c r="O83" s="8">
        <f>IFERROR(N83/N444, "NA")</f>
        <v>4.2829922725069513E-3</v>
      </c>
      <c r="P83" s="9"/>
      <c r="Q83" s="7">
        <v>525.97</v>
      </c>
      <c r="R83" s="8">
        <f>IFERROR(Q83/Q444, "NA")</f>
        <v>2.2491756493503133E-4</v>
      </c>
      <c r="S83" s="9"/>
      <c r="T83" s="7">
        <v>0</v>
      </c>
      <c r="U83" s="8">
        <f>IFERROR(T83/T444, "NA")</f>
        <v>0</v>
      </c>
      <c r="V83" s="9"/>
      <c r="W83" s="10">
        <f t="shared" si="22"/>
        <v>525.97</v>
      </c>
      <c r="X83" s="8">
        <f>IFERROR(W83/W444, "NA")</f>
        <v>-6.522276394374216E-3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525.97</v>
      </c>
      <c r="AD83" s="8">
        <f>IFERROR(AC83/AC444, "NA")</f>
        <v>6.9270280261677607E-3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25</v>
      </c>
      <c r="L86" s="8">
        <f>IFERROR(K86/K444, "NA")</f>
        <v>4.1426597463038481E-5</v>
      </c>
      <c r="M86" s="9"/>
      <c r="N86" s="10">
        <f t="shared" si="21"/>
        <v>-25</v>
      </c>
      <c r="O86" s="8">
        <f>IFERROR(N86/N444, "NA")</f>
        <v>-8.7052688465588451E-4</v>
      </c>
      <c r="P86" s="9"/>
      <c r="Q86" s="7">
        <v>50</v>
      </c>
      <c r="R86" s="8">
        <f>IFERROR(Q86/Q444, "NA")</f>
        <v>2.1381216127823955E-5</v>
      </c>
      <c r="S86" s="9"/>
      <c r="T86" s="7">
        <v>0</v>
      </c>
      <c r="U86" s="8">
        <f>IFERROR(T86/T444, "NA")</f>
        <v>0</v>
      </c>
      <c r="V86" s="9"/>
      <c r="W86" s="10">
        <f t="shared" si="22"/>
        <v>50</v>
      </c>
      <c r="X86" s="8">
        <f>IFERROR(W86/W444, "NA")</f>
        <v>-6.2002361297927783E-4</v>
      </c>
      <c r="Y86" s="9"/>
      <c r="Z86" s="7">
        <v>50</v>
      </c>
      <c r="AA86" s="8">
        <f>IFERROR(Z86/Z444, "NA")</f>
        <v>2.2098752953669596E-5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988.28</v>
      </c>
      <c r="AA87" s="8">
        <f>IFERROR(Z87/Z444, "NA")</f>
        <v>4.367951113810517E-4</v>
      </c>
      <c r="AB87" s="9"/>
      <c r="AC87" s="10">
        <f t="shared" si="23"/>
        <v>-988.28</v>
      </c>
      <c r="AD87" s="8">
        <f>IFERROR(AC87/AC444, "NA")</f>
        <v>-1.3015653473964434E-2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11050.82</v>
      </c>
      <c r="C88" s="15">
        <f>IFERROR(B88/B444, "NA")</f>
        <v>1.7480073838578386E-2</v>
      </c>
      <c r="D88" s="2"/>
      <c r="E88" s="14">
        <f>IFERROR(E75+E76+E77+E78+E79+E80+E81+E82+E83+E84+E85+E86+E87, "NA")</f>
        <v>12113.98</v>
      </c>
      <c r="F88" s="15">
        <f>IFERROR(E88/E444, "NA")</f>
        <v>1.8311431958913032E-2</v>
      </c>
      <c r="G88" s="2"/>
      <c r="H88" s="14">
        <f t="shared" si="20"/>
        <v>-1063.1599999999999</v>
      </c>
      <c r="I88" s="15">
        <f>IFERROR(H88/H444, "NA")</f>
        <v>3.6214156616451401E-2</v>
      </c>
      <c r="J88" s="2"/>
      <c r="K88" s="14">
        <f>IFERROR(K75+K76+K77+K78+K79+K80+K81+K82+K83+K84+K85+K86+K87, "NA")</f>
        <v>9806.8300000000017</v>
      </c>
      <c r="L88" s="15">
        <f>IFERROR(K88/K444, "NA")</f>
        <v>1.6250543951937989E-2</v>
      </c>
      <c r="M88" s="2"/>
      <c r="N88" s="14">
        <f t="shared" si="21"/>
        <v>1243.989999999998</v>
      </c>
      <c r="O88" s="15">
        <f>IFERROR(N88/N444, "NA")</f>
        <v>4.331706956972288E-2</v>
      </c>
      <c r="P88" s="2"/>
      <c r="Q88" s="14">
        <f>IFERROR(Q75+Q76+Q77+Q78+Q79+Q80+Q81+Q82+Q83+Q84+Q85+Q86+Q87, "NA")</f>
        <v>41538.26</v>
      </c>
      <c r="R88" s="15">
        <f>IFERROR(Q88/Q444, "NA")</f>
        <v>1.7762770292674895E-2</v>
      </c>
      <c r="S88" s="2"/>
      <c r="T88" s="14">
        <f>IFERROR(T75+T76+T77+T78+T79+T80+T81+T82+T83+T84+T85+T86+T87, "NA")</f>
        <v>43377.53</v>
      </c>
      <c r="U88" s="15">
        <f>IFERROR(T88/T444, "NA")</f>
        <v>1.7930946802816736E-2</v>
      </c>
      <c r="V88" s="2"/>
      <c r="W88" s="14">
        <f t="shared" si="22"/>
        <v>-1839.2699999999968</v>
      </c>
      <c r="X88" s="15">
        <f>IFERROR(W88/W444, "NA")</f>
        <v>2.2807816612887888E-2</v>
      </c>
      <c r="Y88" s="2"/>
      <c r="Z88" s="14">
        <f>IFERROR(Z75+Z76+Z77+Z78+Z79+Z80+Z81+Z82+Z83+Z84+Z85+Z86+Z87, "NA")</f>
        <v>40707.660000000003</v>
      </c>
      <c r="AA88" s="15">
        <f>IFERROR(Z88/Z444, "NA")</f>
        <v>1.7991770433239553E-2</v>
      </c>
      <c r="AB88" s="2"/>
      <c r="AC88" s="14">
        <f t="shared" si="23"/>
        <v>830.59999999999854</v>
      </c>
      <c r="AD88" s="15">
        <f>IFERROR(AC88/AC444, "NA")</f>
        <v>1.093900693677383E-2</v>
      </c>
    </row>
    <row r="89" spans="1:30" ht="16.5" customHeight="1" x14ac:dyDescent="0.45">
      <c r="A89" s="6" t="s">
        <v>85</v>
      </c>
      <c r="B89" s="7">
        <v>-114.83000000000001</v>
      </c>
      <c r="C89" s="8">
        <f>IFERROR(B89/B444, "NA")</f>
        <v>-1.8163691734042871E-4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-114.83000000000001</v>
      </c>
      <c r="I89" s="8">
        <f>IFERROR(H89/H444, "NA")</f>
        <v>3.9114259417840358E-3</v>
      </c>
      <c r="J89" s="9"/>
      <c r="K89" s="7">
        <v>-32.61</v>
      </c>
      <c r="L89" s="8">
        <f>IFERROR(K89/K444, "NA")</f>
        <v>-5.4036853730787395E-5</v>
      </c>
      <c r="M89" s="9"/>
      <c r="N89" s="10">
        <f t="shared" si="21"/>
        <v>-82.220000000000013</v>
      </c>
      <c r="O89" s="8">
        <f>IFERROR(N89/N444, "NA")</f>
        <v>-2.8629888182562734E-3</v>
      </c>
      <c r="P89" s="9"/>
      <c r="Q89" s="7">
        <v>-170.06</v>
      </c>
      <c r="R89" s="8">
        <f>IFERROR(Q89/Q444, "NA")</f>
        <v>-7.2721792293954833E-5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-170.06</v>
      </c>
      <c r="X89" s="8">
        <f>IFERROR(W89/W444, "NA")</f>
        <v>2.1088243124651198E-3</v>
      </c>
      <c r="Y89" s="9"/>
      <c r="Z89" s="7">
        <v>-299.28000000000003</v>
      </c>
      <c r="AA89" s="8">
        <f>IFERROR(Z89/Z444, "NA")</f>
        <v>-1.3227429567948474E-4</v>
      </c>
      <c r="AB89" s="9"/>
      <c r="AC89" s="10">
        <f t="shared" si="23"/>
        <v>129.22000000000003</v>
      </c>
      <c r="AD89" s="8">
        <f>IFERROR(AC89/AC444, "NA")</f>
        <v>1.7018281680350556E-3</v>
      </c>
    </row>
    <row r="90" spans="1:30" ht="16.5" customHeight="1" x14ac:dyDescent="0.45">
      <c r="A90" s="6" t="s">
        <v>86</v>
      </c>
      <c r="B90" s="7">
        <v>-323.25</v>
      </c>
      <c r="C90" s="8">
        <f>IFERROR(B90/B444, "NA")</f>
        <v>-5.1131353766692997E-4</v>
      </c>
      <c r="D90" s="9"/>
      <c r="E90" s="7">
        <v>0</v>
      </c>
      <c r="F90" s="8">
        <f>IFERROR(E90/E444, "NA")</f>
        <v>0</v>
      </c>
      <c r="G90" s="9"/>
      <c r="H90" s="10">
        <f t="shared" si="20"/>
        <v>-323.25</v>
      </c>
      <c r="I90" s="8">
        <f>IFERROR(H90/H444, "NA")</f>
        <v>1.1010784948895668E-2</v>
      </c>
      <c r="J90" s="9"/>
      <c r="K90" s="7">
        <v>0</v>
      </c>
      <c r="L90" s="8">
        <f>IFERROR(K90/K444, "NA")</f>
        <v>0</v>
      </c>
      <c r="M90" s="9"/>
      <c r="N90" s="10">
        <f t="shared" si="21"/>
        <v>-323.25</v>
      </c>
      <c r="O90" s="8">
        <f>IFERROR(N90/N444, "NA")</f>
        <v>-1.1255912618600587E-2</v>
      </c>
      <c r="P90" s="9"/>
      <c r="Q90" s="7">
        <v>-2079.48</v>
      </c>
      <c r="R90" s="8">
        <f>IFERROR(Q90/Q444, "NA")</f>
        <v>-8.8923622626974714E-4</v>
      </c>
      <c r="S90" s="9"/>
      <c r="T90" s="7">
        <v>0</v>
      </c>
      <c r="U90" s="8">
        <f>IFERROR(T90/T444, "NA")</f>
        <v>0</v>
      </c>
      <c r="V90" s="9"/>
      <c r="W90" s="10">
        <f t="shared" si="22"/>
        <v>-2079.48</v>
      </c>
      <c r="X90" s="8">
        <f>IFERROR(W90/W444, "NA")</f>
        <v>2.5786534054362976E-2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-2079.48</v>
      </c>
      <c r="AD90" s="8">
        <f>IFERROR(AC90/AC444, "NA")</f>
        <v>-2.7386763959646621E-2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-33380.299999999996</v>
      </c>
      <c r="F94" s="8">
        <f>IFERROR(E94/E444, "NA")</f>
        <v>-5.04574955727271E-2</v>
      </c>
      <c r="G94" s="9"/>
      <c r="H94" s="10">
        <f t="shared" ref="H94:H124" si="24">IFERROR(B94-E94, "NA")</f>
        <v>33380.299999999996</v>
      </c>
      <c r="I94" s="8">
        <f>IFERROR(H94/H444, "NA")</f>
        <v>-1.1370249182664254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-122333.68</v>
      </c>
      <c r="U94" s="8">
        <f>IFERROR(T94/T444, "NA")</f>
        <v>-5.0569009076192342E-2</v>
      </c>
      <c r="V94" s="9"/>
      <c r="W94" s="10">
        <f t="shared" ref="W94:W124" si="26">IFERROR(Q94-T94, "NA")</f>
        <v>122333.68</v>
      </c>
      <c r="X94" s="8">
        <f>IFERROR(W94/W444, "NA")</f>
        <v>-1.5169954052530163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-5892.4600000000009</v>
      </c>
      <c r="C96" s="8">
        <f>IFERROR(B96/B444, "NA")</f>
        <v>-9.3206328481388358E-3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-5892.4600000000009</v>
      </c>
      <c r="I96" s="8">
        <f>IFERROR(H96/H444, "NA")</f>
        <v>0.20071341030153061</v>
      </c>
      <c r="J96" s="9"/>
      <c r="K96" s="7">
        <v>-7722.0500000000011</v>
      </c>
      <c r="L96" s="8">
        <f>IFERROR(K96/K444, "NA")</f>
        <v>-1.2795930277578254E-2</v>
      </c>
      <c r="M96" s="9"/>
      <c r="N96" s="10">
        <f t="shared" si="25"/>
        <v>1829.5900000000001</v>
      </c>
      <c r="O96" s="8">
        <f>IFERROR(N96/N444, "NA")</f>
        <v>6.3708291315902388E-2</v>
      </c>
      <c r="P96" s="9"/>
      <c r="Q96" s="7">
        <v>-25373.43</v>
      </c>
      <c r="R96" s="8">
        <f>IFERROR(Q96/Q444, "NA")</f>
        <v>-1.0850295814684243E-2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-25373.43</v>
      </c>
      <c r="X96" s="8">
        <f>IFERROR(W96/W444, "NA")</f>
        <v>0.31464251484553596</v>
      </c>
      <c r="Y96" s="9"/>
      <c r="Z96" s="7">
        <v>-33058.759999999995</v>
      </c>
      <c r="AA96" s="8">
        <f>IFERROR(Z96/Z444, "NA")</f>
        <v>-1.4611147403893082E-2</v>
      </c>
      <c r="AB96" s="9"/>
      <c r="AC96" s="10">
        <f t="shared" si="27"/>
        <v>7685.3299999999945</v>
      </c>
      <c r="AD96" s="8">
        <f>IFERROR(AC96/AC444, "NA")</f>
        <v>0.1012158417787095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-5556.87</v>
      </c>
      <c r="C98" s="8">
        <f>IFERROR(B98/B444, "NA")</f>
        <v>-8.7898000249195148E-3</v>
      </c>
      <c r="D98" s="9"/>
      <c r="E98" s="7">
        <v>0</v>
      </c>
      <c r="F98" s="8">
        <f>IFERROR(E98/E444, "NA")</f>
        <v>0</v>
      </c>
      <c r="G98" s="9"/>
      <c r="H98" s="10">
        <f t="shared" si="24"/>
        <v>-5556.87</v>
      </c>
      <c r="I98" s="8">
        <f>IFERROR(H98/H444, "NA")</f>
        <v>0.1892822909790251</v>
      </c>
      <c r="J98" s="9"/>
      <c r="K98" s="7">
        <v>-10479.549999999999</v>
      </c>
      <c r="L98" s="8">
        <f>IFERROR(K98/K444, "NA")</f>
        <v>-1.7365283977751396E-2</v>
      </c>
      <c r="M98" s="9"/>
      <c r="N98" s="10">
        <f t="shared" si="25"/>
        <v>4922.6799999999994</v>
      </c>
      <c r="O98" s="8">
        <f>IFERROR(N98/N444, "NA")</f>
        <v>0.17141301138231316</v>
      </c>
      <c r="P98" s="9"/>
      <c r="Q98" s="7">
        <v>-26977.119999999999</v>
      </c>
      <c r="R98" s="8">
        <f>IFERROR(Q98/Q444, "NA")</f>
        <v>-1.1536072664524843E-2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-26977.119999999999</v>
      </c>
      <c r="X98" s="8">
        <f>IFERROR(W98/W444, "NA")</f>
        <v>0.33452902820351071</v>
      </c>
      <c r="Y98" s="9"/>
      <c r="Z98" s="7">
        <v>-38387.479999999996</v>
      </c>
      <c r="AA98" s="8">
        <f>IFERROR(Z98/Z444, "NA")</f>
        <v>-1.6966308740678646E-2</v>
      </c>
      <c r="AB98" s="9"/>
      <c r="AC98" s="10">
        <f t="shared" si="27"/>
        <v>11410.359999999997</v>
      </c>
      <c r="AD98" s="8">
        <f>IFERROR(AC98/AC444, "NA")</f>
        <v>0.15027450901888614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-712.7399999999999</v>
      </c>
      <c r="C100" s="8">
        <f>IFERROR(B100/B444, "NA")</f>
        <v>-1.1274048285745634E-3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-712.7399999999999</v>
      </c>
      <c r="I100" s="8">
        <f>IFERROR(H100/H444, "NA")</f>
        <v>2.4277886665045309E-2</v>
      </c>
      <c r="J100" s="9"/>
      <c r="K100" s="7">
        <v>-2336.04</v>
      </c>
      <c r="L100" s="8">
        <f>IFERROR(K100/K444, "NA")</f>
        <v>-3.8709675495022565E-3</v>
      </c>
      <c r="M100" s="9"/>
      <c r="N100" s="10">
        <f t="shared" si="25"/>
        <v>1623.3000000000002</v>
      </c>
      <c r="O100" s="8">
        <f>IFERROR(N100/N444, "NA")</f>
        <v>5.6525051674475899E-2</v>
      </c>
      <c r="P100" s="9"/>
      <c r="Q100" s="7">
        <v>-3647.88</v>
      </c>
      <c r="R100" s="8">
        <f>IFERROR(Q100/Q444, "NA")</f>
        <v>-1.559922213767329E-3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-3647.88</v>
      </c>
      <c r="X100" s="8">
        <f>IFERROR(W100/W444, "NA")</f>
        <v>4.523543474629696E-2</v>
      </c>
      <c r="Y100" s="9"/>
      <c r="Z100" s="7">
        <v>-7832.09</v>
      </c>
      <c r="AA100" s="8">
        <f>IFERROR(Z100/Z444, "NA")</f>
        <v>-3.4615884404181219E-3</v>
      </c>
      <c r="AB100" s="9"/>
      <c r="AC100" s="10">
        <f t="shared" si="27"/>
        <v>4184.21</v>
      </c>
      <c r="AD100" s="8">
        <f>IFERROR(AC100/AC444, "NA")</f>
        <v>5.5106070569369746E-2</v>
      </c>
    </row>
    <row r="101" spans="1:30" ht="16.5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-394.36</v>
      </c>
      <c r="R101" s="8">
        <f>IFERROR(Q101/Q444, "NA")</f>
        <v>-1.6863792784337312E-4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-394.36</v>
      </c>
      <c r="X101" s="8">
        <f>IFERROR(W101/W444, "NA")</f>
        <v>4.8902502402901607E-3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-394.36</v>
      </c>
      <c r="AD101" s="8">
        <f>IFERROR(AC101/AC444, "NA")</f>
        <v>-5.1937235439274447E-3</v>
      </c>
    </row>
    <row r="102" spans="1:30" ht="16.5" customHeight="1" x14ac:dyDescent="0.45">
      <c r="A102" s="12" t="s">
        <v>97</v>
      </c>
      <c r="B102" s="7">
        <v>-4093.5099999999998</v>
      </c>
      <c r="C102" s="8">
        <f>IFERROR(B102/B444, "NA")</f>
        <v>-6.4750721719256136E-3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-4093.5099999999998</v>
      </c>
      <c r="I102" s="8">
        <f>IFERROR(H102/H444, "NA")</f>
        <v>0.13943622056041424</v>
      </c>
      <c r="J102" s="9"/>
      <c r="K102" s="7">
        <v>-4704.8500000000004</v>
      </c>
      <c r="L102" s="8">
        <f>IFERROR(K102/K444, "NA")</f>
        <v>-7.7962370829590651E-3</v>
      </c>
      <c r="M102" s="9"/>
      <c r="N102" s="10">
        <f t="shared" si="25"/>
        <v>611.3400000000006</v>
      </c>
      <c r="O102" s="8">
        <f>IFERROR(N102/N444, "NA")</f>
        <v>2.1287516226621159E-2</v>
      </c>
      <c r="P102" s="9"/>
      <c r="Q102" s="7">
        <v>-18616.399999999998</v>
      </c>
      <c r="R102" s="8">
        <f>IFERROR(Q102/Q444, "NA")</f>
        <v>-7.9608254384404362E-3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-18616.399999999998</v>
      </c>
      <c r="X102" s="8">
        <f>IFERROR(W102/W444, "NA")</f>
        <v>0.23085215177334853</v>
      </c>
      <c r="Y102" s="9"/>
      <c r="Z102" s="7">
        <v>-20841.460000000003</v>
      </c>
      <c r="AA102" s="8">
        <f>IFERROR(Z102/Z444, "NA")</f>
        <v>-9.211405514675735E-3</v>
      </c>
      <c r="AB102" s="9"/>
      <c r="AC102" s="10">
        <f t="shared" si="27"/>
        <v>2225.0600000000049</v>
      </c>
      <c r="AD102" s="8">
        <f>IFERROR(AC102/AC444, "NA")</f>
        <v>2.9304053424919426E-2</v>
      </c>
    </row>
    <row r="103" spans="1:30" ht="16.5" customHeight="1" x14ac:dyDescent="0.45">
      <c r="A103" s="12" t="s">
        <v>98</v>
      </c>
      <c r="B103" s="7">
        <v>-12</v>
      </c>
      <c r="C103" s="8">
        <f>IFERROR(B103/B444, "NA")</f>
        <v>-1.8981477036359352E-5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-12</v>
      </c>
      <c r="I103" s="8">
        <f>IFERROR(H103/H444, "NA")</f>
        <v>4.0875303754601082E-4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-12</v>
      </c>
      <c r="O103" s="8">
        <f>IFERROR(N103/N444, "NA")</f>
        <v>-4.1785290463482454E-4</v>
      </c>
      <c r="P103" s="9"/>
      <c r="Q103" s="7">
        <v>-296</v>
      </c>
      <c r="R103" s="8">
        <f>IFERROR(Q103/Q444, "NA")</f>
        <v>-1.2657679947671781E-4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-296</v>
      </c>
      <c r="X103" s="8">
        <f>IFERROR(W103/W444, "NA")</f>
        <v>3.6705397888373249E-3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-296</v>
      </c>
      <c r="AD103" s="8">
        <f>IFERROR(AC103/AC444, "NA")</f>
        <v>-3.8983217593126169E-3</v>
      </c>
    </row>
    <row r="104" spans="1:30" ht="16.5" customHeight="1" x14ac:dyDescent="0.45">
      <c r="A104" s="12" t="s">
        <v>99</v>
      </c>
      <c r="B104" s="7">
        <v>-2784.84</v>
      </c>
      <c r="C104" s="8">
        <f>IFERROR(B104/B444, "NA")</f>
        <v>-4.405031375827915E-3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-2784.84</v>
      </c>
      <c r="I104" s="8">
        <f>IFERROR(H104/H444, "NA")</f>
        <v>9.4859317423302739E-2</v>
      </c>
      <c r="J104" s="9"/>
      <c r="K104" s="7">
        <v>-4497.87</v>
      </c>
      <c r="L104" s="8">
        <f>IFERROR(K104/K444, "NA")</f>
        <v>-7.4532579972430759E-3</v>
      </c>
      <c r="M104" s="9"/>
      <c r="N104" s="10">
        <f t="shared" si="25"/>
        <v>1713.0299999999997</v>
      </c>
      <c r="O104" s="8">
        <f>IFERROR(N104/N444, "NA")</f>
        <v>5.9649546768882782E-2</v>
      </c>
      <c r="P104" s="9"/>
      <c r="Q104" s="7">
        <v>-9167.7199999999993</v>
      </c>
      <c r="R104" s="8">
        <f>IFERROR(Q104/Q444, "NA")</f>
        <v>-3.9203400543874846E-3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-9167.7199999999993</v>
      </c>
      <c r="X104" s="8">
        <f>IFERROR(W104/W444, "NA")</f>
        <v>0.11368405754364769</v>
      </c>
      <c r="Y104" s="9"/>
      <c r="Z104" s="7">
        <v>-14086.689999999999</v>
      </c>
      <c r="AA104" s="8">
        <f>IFERROR(Z104/Z444, "NA")</f>
        <v>-6.2259656448985581E-3</v>
      </c>
      <c r="AB104" s="9"/>
      <c r="AC104" s="10">
        <f t="shared" si="27"/>
        <v>4918.9699999999993</v>
      </c>
      <c r="AD104" s="8">
        <f>IFERROR(AC104/AC444, "NA")</f>
        <v>6.478286413650669E-2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-471.71000000000004</v>
      </c>
      <c r="C106" s="8">
        <f>IFERROR(B106/B444, "NA")</f>
        <v>-7.4614604440175587E-4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-471.71000000000004</v>
      </c>
      <c r="I106" s="8">
        <f>IFERROR(H106/H444, "NA")</f>
        <v>1.6067741278402398E-2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-471.71000000000004</v>
      </c>
      <c r="O106" s="8">
        <f>IFERROR(N106/N444, "NA")</f>
        <v>-1.6425449470441091E-2</v>
      </c>
      <c r="P106" s="9"/>
      <c r="Q106" s="7">
        <v>-1364.72</v>
      </c>
      <c r="R106" s="8">
        <f>IFERROR(Q106/Q444, "NA")</f>
        <v>-5.8358746547927816E-4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-1364.72</v>
      </c>
      <c r="X106" s="8">
        <f>IFERROR(W106/W444, "NA")</f>
        <v>1.69231725021016E-2</v>
      </c>
      <c r="Y106" s="9"/>
      <c r="Z106" s="7">
        <v>-2907.77</v>
      </c>
      <c r="AA106" s="8">
        <f>IFERROR(Z106/Z444, "NA")</f>
        <v>-1.2851618175218366E-3</v>
      </c>
      <c r="AB106" s="9"/>
      <c r="AC106" s="10">
        <f t="shared" si="27"/>
        <v>1543.05</v>
      </c>
      <c r="AD106" s="8">
        <f>IFERROR(AC106/AC444, "NA")</f>
        <v>2.0321977671308559E-2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-19524.13</v>
      </c>
      <c r="C118" s="15">
        <f>IFERROR(B118/B444, "NA")</f>
        <v>-3.088306877082456E-2</v>
      </c>
      <c r="D118" s="2"/>
      <c r="E118" s="14">
        <f>IFERROR(E94+E95+E96+E97+E98+E99+E100+E101+E102+E103+E104+E105+E106+E107+E108+E109+E110+E111+E112+E113+E114+E115+E116+E117, "NA")</f>
        <v>-33380.299999999996</v>
      </c>
      <c r="F118" s="15">
        <f>IFERROR(E118/E444, "NA")</f>
        <v>-5.04574955727271E-2</v>
      </c>
      <c r="G118" s="2"/>
      <c r="H118" s="14">
        <f t="shared" si="24"/>
        <v>13856.169999999995</v>
      </c>
      <c r="I118" s="15">
        <f>IFERROR(H118/H444, "NA")</f>
        <v>-0.4719792980211589</v>
      </c>
      <c r="J118" s="2"/>
      <c r="K118" s="14">
        <f>IFERROR(K94+K95+K96+K97+K98+K99+K100+K101+K102+K103+K104+K105+K106+K107+K108+K109+K110+K111+K112+K113+K114+K115+K116+K117, "NA")</f>
        <v>-29740.359999999997</v>
      </c>
      <c r="L118" s="15">
        <f>IFERROR(K118/K444, "NA")</f>
        <v>-4.9281676885034043E-2</v>
      </c>
      <c r="M118" s="2"/>
      <c r="N118" s="14">
        <f t="shared" si="25"/>
        <v>10216.229999999996</v>
      </c>
      <c r="O118" s="15">
        <f>IFERROR(N118/N444, "NA")</f>
        <v>0.35574011499311931</v>
      </c>
      <c r="P118" s="2"/>
      <c r="Q118" s="14">
        <f>IFERROR(Q94+Q95+Q96+Q97+Q98+Q99+Q100+Q101+Q102+Q103+Q104+Q105+Q106+Q107+Q108+Q109+Q110+Q111+Q112+Q113+Q114+Q115+Q116+Q117, "NA")</f>
        <v>-85837.63</v>
      </c>
      <c r="R118" s="15">
        <f>IFERROR(Q118/Q444, "NA")</f>
        <v>-3.6706258378603709E-2</v>
      </c>
      <c r="S118" s="2"/>
      <c r="T118" s="14">
        <f>IFERROR(T94+T95+T96+T97+T98+T99+T100+T101+T102+T103+T104+T105+T106+T107+T108+T109+T110+T111+T112+T113+T114+T115+T116+T117, "NA")</f>
        <v>-122333.68</v>
      </c>
      <c r="U118" s="15">
        <f>IFERROR(T118/T444, "NA")</f>
        <v>-5.0569009076192342E-2</v>
      </c>
      <c r="V118" s="2"/>
      <c r="W118" s="14">
        <f t="shared" si="26"/>
        <v>36496.049999999988</v>
      </c>
      <c r="X118" s="15">
        <f>IFERROR(W118/W444, "NA")</f>
        <v>-0.4525682556094473</v>
      </c>
      <c r="Y118" s="2"/>
      <c r="Z118" s="14">
        <f>IFERROR(Z94+Z95+Z96+Z97+Z98+Z99+Z100+Z101+Z102+Z103+Z104+Z105+Z106+Z107+Z108+Z109+Z110+Z111+Z112+Z113+Z114+Z115+Z116+Z117, "NA")</f>
        <v>-117114.25</v>
      </c>
      <c r="AA118" s="15">
        <f>IFERROR(Z118/Z444, "NA")</f>
        <v>-5.1761577562085985E-2</v>
      </c>
      <c r="AB118" s="2"/>
      <c r="AC118" s="14">
        <f t="shared" si="27"/>
        <v>31276.619999999995</v>
      </c>
      <c r="AD118" s="15">
        <f>IFERROR(AC118/AC444, "NA")</f>
        <v>0.41191327129645999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632195.2699999999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661552.84999999986</v>
      </c>
      <c r="F122" s="15">
        <f>IFERROR(E122/E444, "NA")</f>
        <v>0.99999999999999978</v>
      </c>
      <c r="G122" s="2"/>
      <c r="H122" s="14">
        <f t="shared" si="24"/>
        <v>-29357.579999999958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603477.02999999991</v>
      </c>
      <c r="L122" s="15">
        <f>IFERROR(K122/K444, "NA")</f>
        <v>0.99999999999999978</v>
      </c>
      <c r="M122" s="2"/>
      <c r="N122" s="14">
        <f t="shared" si="25"/>
        <v>28718.239999999991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2338501.2200000007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2419143.3099999996</v>
      </c>
      <c r="U122" s="15">
        <f>IFERROR(T122/T444, "NA")</f>
        <v>0.99999999999999978</v>
      </c>
      <c r="V122" s="2"/>
      <c r="W122" s="14">
        <f t="shared" si="26"/>
        <v>-80642.08999999892</v>
      </c>
      <c r="X122" s="15">
        <f>IFERROR(W122/W444, "NA")</f>
        <v>0.99999999999998845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2262571.1100000013</v>
      </c>
      <c r="AA122" s="15">
        <f>IFERROR(Z122/Z444, "NA")</f>
        <v>1.0000000000000004</v>
      </c>
      <c r="AB122" s="2"/>
      <c r="AC122" s="14">
        <f t="shared" si="27"/>
        <v>75930.109999999404</v>
      </c>
      <c r="AD122" s="15">
        <f>IFERROR(AC122/AC444, "NA")</f>
        <v>0.99999999999999389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632195.2699999999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661552.84999999986</v>
      </c>
      <c r="F124" s="15">
        <f>IFERROR(E124/E444, "NA")</f>
        <v>0.99999999999999978</v>
      </c>
      <c r="G124" s="2"/>
      <c r="H124" s="14">
        <f t="shared" si="24"/>
        <v>-29357.579999999958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603477.02999999991</v>
      </c>
      <c r="L124" s="15">
        <f>IFERROR(K124/K444, "NA")</f>
        <v>0.99999999999999978</v>
      </c>
      <c r="M124" s="2"/>
      <c r="N124" s="14">
        <f t="shared" si="25"/>
        <v>28718.239999999991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2338501.2200000007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2419143.3099999996</v>
      </c>
      <c r="U124" s="15">
        <f>IFERROR(T124/T444, "NA")</f>
        <v>0.99999999999999978</v>
      </c>
      <c r="V124" s="2"/>
      <c r="W124" s="14">
        <f t="shared" si="26"/>
        <v>-80642.08999999892</v>
      </c>
      <c r="X124" s="15">
        <f>IFERROR(W124/W444, "NA")</f>
        <v>0.99999999999998845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2262571.1100000013</v>
      </c>
      <c r="AA124" s="15">
        <f>IFERROR(Z124/Z444, "NA")</f>
        <v>1.0000000000000004</v>
      </c>
      <c r="AB124" s="2"/>
      <c r="AC124" s="14">
        <f t="shared" si="27"/>
        <v>75930.109999999404</v>
      </c>
      <c r="AD124" s="15">
        <f>IFERROR(AC124/AC444, "NA")</f>
        <v>0.99999999999999389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138941.71</v>
      </c>
      <c r="F129" s="8">
        <f>IFERROR(E129/E444, "NA")</f>
        <v>0.21002359826580749</v>
      </c>
      <c r="G129" s="9"/>
      <c r="H129" s="10">
        <f t="shared" ref="H129:H141" si="28">IFERROR(-(B129-E129), "NA")</f>
        <v>138941.71</v>
      </c>
      <c r="I129" s="8">
        <f>IFERROR(H129/H444, "NA")</f>
        <v>-4.7327371670280787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513431.03999999998</v>
      </c>
      <c r="U129" s="8">
        <f>IFERROR(T129/T444, "NA")</f>
        <v>0.21223671945255693</v>
      </c>
      <c r="V129" s="9"/>
      <c r="W129" s="10">
        <f t="shared" ref="W129:W141" si="30">IFERROR(-(Q129-T129), "NA")</f>
        <v>513431.03999999998</v>
      </c>
      <c r="X129" s="8">
        <f>IFERROR(W129/W444, "NA")</f>
        <v>-6.3667873687301624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30596.259999999995</v>
      </c>
      <c r="C130" s="8">
        <f>IFERROR(B130/B444, "NA")</f>
        <v>4.8396850549040006E-2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-30596.259999999995</v>
      </c>
      <c r="I130" s="8">
        <f>IFERROR(H130/H444, "NA")</f>
        <v>1.0421928510456255</v>
      </c>
      <c r="J130" s="9"/>
      <c r="K130" s="7">
        <v>35202.730000000003</v>
      </c>
      <c r="L130" s="8">
        <f>IFERROR(K130/K444, "NA")</f>
        <v>5.8333173012401152E-2</v>
      </c>
      <c r="M130" s="9"/>
      <c r="N130" s="10">
        <f t="shared" si="29"/>
        <v>4606.4700000000084</v>
      </c>
      <c r="O130" s="8">
        <f>IFERROR(N130/N444, "NA")</f>
        <v>0.160402239134432</v>
      </c>
      <c r="P130" s="9"/>
      <c r="Q130" s="7">
        <v>113247.08000000002</v>
      </c>
      <c r="R130" s="8">
        <f>IFERROR(Q130/Q444, "NA")</f>
        <v>4.8427205866499401E-2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-113247.08000000002</v>
      </c>
      <c r="X130" s="8">
        <f>IFERROR(W130/W444, "NA")</f>
        <v>1.4043172740190666</v>
      </c>
      <c r="Y130" s="9"/>
      <c r="Z130" s="7">
        <v>128980.42999999998</v>
      </c>
      <c r="AA130" s="8">
        <f>IFERROR(Z130/Z444, "NA")</f>
        <v>5.7006133168561478E-2</v>
      </c>
      <c r="AB130" s="9"/>
      <c r="AC130" s="10">
        <f t="shared" si="31"/>
        <v>15733.349999999962</v>
      </c>
      <c r="AD130" s="8">
        <f>IFERROR(AC130/AC444, "NA")</f>
        <v>0.20720831301311152</v>
      </c>
    </row>
    <row r="131" spans="1:30" ht="16.5" customHeight="1" x14ac:dyDescent="0.45">
      <c r="A131" s="12" t="s">
        <v>123</v>
      </c>
      <c r="B131" s="7">
        <v>16836.219999999998</v>
      </c>
      <c r="C131" s="8">
        <f>IFERROR(B131/B444, "NA")</f>
        <v>2.6631360275757833E-2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-16836.219999999998</v>
      </c>
      <c r="I131" s="8">
        <f>IFERROR(H131/H444, "NA")</f>
        <v>0.57348800548274148</v>
      </c>
      <c r="J131" s="9"/>
      <c r="K131" s="7">
        <v>17787.5</v>
      </c>
      <c r="L131" s="8">
        <f>IFERROR(K131/K444, "NA")</f>
        <v>2.9475024094951882E-2</v>
      </c>
      <c r="M131" s="9"/>
      <c r="N131" s="10">
        <f t="shared" si="29"/>
        <v>951.28000000000247</v>
      </c>
      <c r="O131" s="8">
        <f>IFERROR(N131/N444, "NA")</f>
        <v>3.312459259341808E-2</v>
      </c>
      <c r="P131" s="9"/>
      <c r="Q131" s="7">
        <v>63805.33</v>
      </c>
      <c r="R131" s="8">
        <f>IFERROR(Q131/Q444, "NA")</f>
        <v>2.7284711016742593E-2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-63805.33</v>
      </c>
      <c r="X131" s="8">
        <f>IFERROR(W131/W444, "NA")</f>
        <v>0.79121622467870212</v>
      </c>
      <c r="Y131" s="9"/>
      <c r="Z131" s="7">
        <v>69691.13</v>
      </c>
      <c r="AA131" s="8">
        <f>IFERROR(Z131/Z444, "NA")</f>
        <v>3.0801741298641435E-2</v>
      </c>
      <c r="AB131" s="9"/>
      <c r="AC131" s="10">
        <f t="shared" si="31"/>
        <v>5885.8000000000029</v>
      </c>
      <c r="AD131" s="8">
        <f>IFERROR(AC131/AC444, "NA")</f>
        <v>7.7516020982980438E-2</v>
      </c>
    </row>
    <row r="132" spans="1:30" ht="16.5" customHeight="1" x14ac:dyDescent="0.45">
      <c r="A132" s="12" t="s">
        <v>124</v>
      </c>
      <c r="B132" s="7">
        <v>25621.360000000001</v>
      </c>
      <c r="C132" s="8">
        <f>IFERROR(B132/B444, "NA")</f>
        <v>4.0527604706691339E-2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-25621.360000000001</v>
      </c>
      <c r="I132" s="8">
        <f>IFERROR(H132/H444, "NA")</f>
        <v>0.87273406050498836</v>
      </c>
      <c r="J132" s="9"/>
      <c r="K132" s="7">
        <v>25437.78</v>
      </c>
      <c r="L132" s="8">
        <f>IFERROR(K132/K444, "NA")</f>
        <v>4.2152026896533239E-2</v>
      </c>
      <c r="M132" s="9"/>
      <c r="N132" s="10">
        <f t="shared" si="29"/>
        <v>-183.58000000000175</v>
      </c>
      <c r="O132" s="8">
        <f>IFERROR(N132/N444, "NA")</f>
        <v>-6.3924530194051522E-3</v>
      </c>
      <c r="P132" s="9"/>
      <c r="Q132" s="7">
        <v>85149.56</v>
      </c>
      <c r="R132" s="8">
        <f>IFERROR(Q132/Q444, "NA")</f>
        <v>3.6412022910982271E-2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-85149.56</v>
      </c>
      <c r="X132" s="8">
        <f>IFERROR(W132/W444, "NA")</f>
        <v>1.055894756695916</v>
      </c>
      <c r="Y132" s="9"/>
      <c r="Z132" s="7">
        <v>86506.950000000012</v>
      </c>
      <c r="AA132" s="8">
        <f>IFERROR(Z132/Z444, "NA")</f>
        <v>3.823391433650896E-2</v>
      </c>
      <c r="AB132" s="9"/>
      <c r="AC132" s="10">
        <f t="shared" si="31"/>
        <v>1357.390000000014</v>
      </c>
      <c r="AD132" s="8">
        <f>IFERROR(AC132/AC444, "NA")</f>
        <v>1.7876834367815564E-2</v>
      </c>
    </row>
    <row r="133" spans="1:30" ht="16.5" customHeight="1" x14ac:dyDescent="0.45">
      <c r="A133" s="12" t="s">
        <v>125</v>
      </c>
      <c r="B133" s="7">
        <v>14244.17</v>
      </c>
      <c r="C133" s="8">
        <f>IFERROR(B133/B444, "NA")</f>
        <v>2.2531282146416566E-2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-14244.17</v>
      </c>
      <c r="I133" s="8">
        <f>IFERROR(H133/H444, "NA")</f>
        <v>0.48519564623514677</v>
      </c>
      <c r="J133" s="9"/>
      <c r="K133" s="7">
        <v>13785.87</v>
      </c>
      <c r="L133" s="8">
        <f>IFERROR(K133/K444, "NA")</f>
        <v>2.2844067486711136E-2</v>
      </c>
      <c r="M133" s="9"/>
      <c r="N133" s="10">
        <f t="shared" si="29"/>
        <v>-458.29999999999927</v>
      </c>
      <c r="O133" s="8">
        <f>IFERROR(N133/N444, "NA")</f>
        <v>-1.595849884951165E-2</v>
      </c>
      <c r="P133" s="9"/>
      <c r="Q133" s="7">
        <v>52058.84</v>
      </c>
      <c r="R133" s="8">
        <f>IFERROR(Q133/Q444, "NA")</f>
        <v>2.2261626188076134E-2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-52058.84</v>
      </c>
      <c r="X133" s="8">
        <f>IFERROR(W133/W444, "NA")</f>
        <v>0.64555420128620289</v>
      </c>
      <c r="Y133" s="9"/>
      <c r="Z133" s="7">
        <v>52104.74</v>
      </c>
      <c r="AA133" s="8">
        <f>IFERROR(Z133/Z444, "NA")</f>
        <v>2.3028995539503723E-2</v>
      </c>
      <c r="AB133" s="9"/>
      <c r="AC133" s="10">
        <f t="shared" si="31"/>
        <v>45.900000000001455</v>
      </c>
      <c r="AD133" s="8">
        <f>IFERROR(AC133/AC444, "NA")</f>
        <v>6.045032728123472E-4</v>
      </c>
    </row>
    <row r="134" spans="1:30" ht="16.5" customHeight="1" x14ac:dyDescent="0.45">
      <c r="A134" s="12" t="s">
        <v>126</v>
      </c>
      <c r="B134" s="7">
        <v>6755.9400000000005</v>
      </c>
      <c r="C134" s="8">
        <f>IFERROR(B134/B444, "NA")</f>
        <v>1.0686476664085134E-2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-6755.9400000000005</v>
      </c>
      <c r="I134" s="8">
        <f>IFERROR(H134/H444, "NA")</f>
        <v>0.23012591637321639</v>
      </c>
      <c r="J134" s="9"/>
      <c r="K134" s="7">
        <v>4613.87</v>
      </c>
      <c r="L134" s="8">
        <f>IFERROR(K134/K444, "NA")</f>
        <v>7.6454774094715742E-3</v>
      </c>
      <c r="M134" s="9"/>
      <c r="N134" s="10">
        <f t="shared" si="29"/>
        <v>-2142.0700000000006</v>
      </c>
      <c r="O134" s="8">
        <f>IFERROR(N134/N444, "NA")</f>
        <v>-7.4589180952593245E-2</v>
      </c>
      <c r="P134" s="9"/>
      <c r="Q134" s="7">
        <v>25205.520000000004</v>
      </c>
      <c r="R134" s="8">
        <f>IFERROR(Q134/Q444, "NA")</f>
        <v>1.0778493414683787E-2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-25205.520000000004</v>
      </c>
      <c r="X134" s="8">
        <f>IFERROR(W134/W444, "NA")</f>
        <v>0.31256035154842898</v>
      </c>
      <c r="Y134" s="9"/>
      <c r="Z134" s="7">
        <v>19110.810000000001</v>
      </c>
      <c r="AA134" s="8">
        <f>IFERROR(Z134/Z444, "NA")</f>
        <v>8.4465013786903693E-3</v>
      </c>
      <c r="AB134" s="9"/>
      <c r="AC134" s="10">
        <f t="shared" si="31"/>
        <v>-6094.7100000000028</v>
      </c>
      <c r="AD134" s="8">
        <f>IFERROR(AC134/AC444, "NA")</f>
        <v>-8.0267366924662867E-2</v>
      </c>
    </row>
    <row r="135" spans="1:30" ht="16.5" customHeight="1" x14ac:dyDescent="0.45">
      <c r="A135" s="12" t="s">
        <v>127</v>
      </c>
      <c r="B135" s="7">
        <v>5114.6900000000005</v>
      </c>
      <c r="C135" s="8">
        <f>IFERROR(B135/B444, "NA")</f>
        <v>8.0903642319247356E-3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-5114.6900000000005</v>
      </c>
      <c r="I135" s="8">
        <f>IFERROR(H135/H444, "NA")</f>
        <v>0.17422042280051719</v>
      </c>
      <c r="J135" s="9"/>
      <c r="K135" s="7">
        <v>4896.2</v>
      </c>
      <c r="L135" s="8">
        <f>IFERROR(K135/K444, "NA")</f>
        <v>8.1133162599411612E-3</v>
      </c>
      <c r="M135" s="9"/>
      <c r="N135" s="10">
        <f t="shared" si="29"/>
        <v>-218.49000000000069</v>
      </c>
      <c r="O135" s="8">
        <f>IFERROR(N135/N444, "NA")</f>
        <v>-7.6080567611385925E-3</v>
      </c>
      <c r="P135" s="9"/>
      <c r="Q135" s="7">
        <v>18975.25</v>
      </c>
      <c r="R135" s="8">
        <f>IFERROR(Q135/Q444, "NA")</f>
        <v>8.1142784265898302E-3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-18975.25</v>
      </c>
      <c r="X135" s="8">
        <f>IFERROR(W135/W444, "NA")</f>
        <v>0.23530206124370084</v>
      </c>
      <c r="Y135" s="9"/>
      <c r="Z135" s="7">
        <v>19254.55</v>
      </c>
      <c r="AA135" s="8">
        <f>IFERROR(Z135/Z444, "NA")</f>
        <v>8.5100308736815768E-3</v>
      </c>
      <c r="AB135" s="9"/>
      <c r="AC135" s="10">
        <f t="shared" si="31"/>
        <v>279.29999999999927</v>
      </c>
      <c r="AD135" s="8">
        <f>IFERROR(AC135/AC444, "NA")</f>
        <v>3.6783826600540913E-3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7137.5100000000011</v>
      </c>
      <c r="L136" s="8">
        <f>IFERROR(K136/K444, "NA")</f>
        <v>1.1827310146336475E-2</v>
      </c>
      <c r="M136" s="9"/>
      <c r="N136" s="10">
        <f t="shared" si="29"/>
        <v>7137.5100000000011</v>
      </c>
      <c r="O136" s="8">
        <f>IFERROR(N136/N444, "NA")</f>
        <v>0.24853577378000893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21042.47</v>
      </c>
      <c r="AA136" s="8">
        <f>IFERROR(Z136/Z444, "NA")</f>
        <v>9.3002469213000778E-3</v>
      </c>
      <c r="AB136" s="9"/>
      <c r="AC136" s="10">
        <f t="shared" si="31"/>
        <v>21042.47</v>
      </c>
      <c r="AD136" s="8">
        <f>IFERROR(AC136/AC444, "NA")</f>
        <v>0.27712945496852354</v>
      </c>
    </row>
    <row r="137" spans="1:30" ht="16.5" customHeight="1" x14ac:dyDescent="0.45">
      <c r="A137" s="12" t="s">
        <v>129</v>
      </c>
      <c r="B137" s="7">
        <v>2858.0199999999995</v>
      </c>
      <c r="C137" s="8">
        <f>IFERROR(B137/B444, "NA")</f>
        <v>4.520786749954645E-3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-2858.0199999999995</v>
      </c>
      <c r="I137" s="8">
        <f>IFERROR(H137/H444, "NA")</f>
        <v>9.7352029697270817E-2</v>
      </c>
      <c r="J137" s="9"/>
      <c r="K137" s="7">
        <v>3374.52</v>
      </c>
      <c r="L137" s="8">
        <f>IFERROR(K137/K444, "NA")</f>
        <v>5.5917952668389052E-3</v>
      </c>
      <c r="M137" s="9"/>
      <c r="N137" s="10">
        <f t="shared" si="29"/>
        <v>516.50000000000045</v>
      </c>
      <c r="O137" s="8">
        <f>IFERROR(N137/N444, "NA")</f>
        <v>1.7985085436990591E-2</v>
      </c>
      <c r="P137" s="9"/>
      <c r="Q137" s="7">
        <v>11124.55</v>
      </c>
      <c r="R137" s="8">
        <f>IFERROR(Q137/Q444, "NA")</f>
        <v>4.757128157495679E-3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-11124.55</v>
      </c>
      <c r="X137" s="8">
        <f>IFERROR(W137/W444, "NA")</f>
        <v>0.1379496736753725</v>
      </c>
      <c r="Y137" s="9"/>
      <c r="Z137" s="7">
        <v>11804.52</v>
      </c>
      <c r="AA137" s="8">
        <f>IFERROR(Z137/Z444, "NA")</f>
        <v>5.2173034243330361E-3</v>
      </c>
      <c r="AB137" s="9"/>
      <c r="AC137" s="10">
        <f t="shared" si="31"/>
        <v>679.97000000000116</v>
      </c>
      <c r="AD137" s="8">
        <f>IFERROR(AC137/AC444, "NA")</f>
        <v>8.955208941485826E-3</v>
      </c>
    </row>
    <row r="138" spans="1:30" ht="16.5" customHeight="1" x14ac:dyDescent="0.45">
      <c r="A138" s="12" t="s">
        <v>130</v>
      </c>
      <c r="B138" s="7">
        <v>38457.89</v>
      </c>
      <c r="C138" s="8">
        <f>IFERROR(B138/B444, "NA")</f>
        <v>6.0832296325152822E-2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-38457.89</v>
      </c>
      <c r="I138" s="8">
        <f>IFERROR(H138/H444, "NA")</f>
        <v>1.309981612925863</v>
      </c>
      <c r="J138" s="9"/>
      <c r="K138" s="7">
        <v>38266.17</v>
      </c>
      <c r="L138" s="8">
        <f>IFERROR(K138/K444, "NA")</f>
        <v>6.3409488841687969E-2</v>
      </c>
      <c r="M138" s="9"/>
      <c r="N138" s="10">
        <f t="shared" si="29"/>
        <v>-191.72000000000116</v>
      </c>
      <c r="O138" s="8">
        <f>IFERROR(N138/N444, "NA")</f>
        <v>-6.6758965730490871E-3</v>
      </c>
      <c r="P138" s="9"/>
      <c r="Q138" s="7">
        <v>153913.78</v>
      </c>
      <c r="R138" s="8">
        <f>IFERROR(Q138/Q444, "NA")</f>
        <v>6.5817275904606967E-2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-153913.78</v>
      </c>
      <c r="X138" s="8">
        <f>IFERROR(W138/W444, "NA")</f>
        <v>1.9086035592579542</v>
      </c>
      <c r="Y138" s="9"/>
      <c r="Z138" s="7">
        <v>129201.39</v>
      </c>
      <c r="AA138" s="8">
        <f>IFERROR(Z138/Z444, "NA")</f>
        <v>5.7103791977614345E-2</v>
      </c>
      <c r="AB138" s="9"/>
      <c r="AC138" s="10">
        <f t="shared" si="31"/>
        <v>-24712.39</v>
      </c>
      <c r="AD138" s="8">
        <f>IFERROR(AC138/AC444, "NA")</f>
        <v>-0.32546232318114698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29.7</v>
      </c>
      <c r="L140" s="8">
        <f>IFERROR(K140/K444, "NA")</f>
        <v>4.921479778608972E-5</v>
      </c>
      <c r="M140" s="9"/>
      <c r="N140" s="10">
        <f t="shared" si="29"/>
        <v>29.7</v>
      </c>
      <c r="O140" s="8">
        <f>IFERROR(N140/N444, "NA")</f>
        <v>1.0341859389711907E-3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71.56</v>
      </c>
      <c r="AA140" s="8">
        <f>IFERROR(Z140/Z444, "NA")</f>
        <v>3.1627735227291924E-5</v>
      </c>
      <c r="AB140" s="9"/>
      <c r="AC140" s="10">
        <f t="shared" si="31"/>
        <v>71.56</v>
      </c>
      <c r="AD140" s="8">
        <f>IFERROR(AC140/AC444, "NA")</f>
        <v>9.4244562532571231E-4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140484.54999999999</v>
      </c>
      <c r="C141" s="15">
        <f>IFERROR(B141/B444, "NA")</f>
        <v>0.22221702164902307</v>
      </c>
      <c r="D141" s="2"/>
      <c r="E141" s="14">
        <f>IFERROR(E129+E130+E131+E132+E133+E134+E135+E136+E137+E138+E139+E140, "NA")</f>
        <v>138941.71</v>
      </c>
      <c r="F141" s="15">
        <f>IFERROR(E141/E444, "NA")</f>
        <v>0.21002359826580749</v>
      </c>
      <c r="G141" s="2"/>
      <c r="H141" s="14">
        <f t="shared" si="28"/>
        <v>-1542.8399999999965</v>
      </c>
      <c r="I141" s="15">
        <f>IFERROR(H141/H444, "NA")</f>
        <v>5.2553378037290495E-2</v>
      </c>
      <c r="J141" s="2"/>
      <c r="K141" s="14">
        <f>IFERROR(K129+K130+K131+K132+K133+K134+K135+K136+K137+K138+K139+K140, "NA")</f>
        <v>150531.85</v>
      </c>
      <c r="L141" s="15">
        <f>IFERROR(K141/K444, "NA")</f>
        <v>0.24944089421265958</v>
      </c>
      <c r="M141" s="2"/>
      <c r="N141" s="14">
        <f t="shared" si="29"/>
        <v>10047.300000000017</v>
      </c>
      <c r="O141" s="15">
        <f>IFERROR(N141/N444, "NA")</f>
        <v>0.34985779072812334</v>
      </c>
      <c r="P141" s="2"/>
      <c r="Q141" s="14">
        <f>IFERROR(Q129+Q130+Q131+Q132+Q133+Q134+Q135+Q136+Q137+Q138+Q139+Q140, "NA")</f>
        <v>523479.91000000003</v>
      </c>
      <c r="R141" s="15">
        <f>IFERROR(Q141/Q444, "NA")</f>
        <v>0.22385274188567666</v>
      </c>
      <c r="S141" s="2"/>
      <c r="T141" s="14">
        <f>IFERROR(T129+T130+T131+T132+T133+T134+T135+T136+T137+T138+T139+T140, "NA")</f>
        <v>513431.03999999998</v>
      </c>
      <c r="U141" s="15">
        <f>IFERROR(T141/T444, "NA")</f>
        <v>0.21223671945255693</v>
      </c>
      <c r="V141" s="2"/>
      <c r="W141" s="14">
        <f t="shared" si="30"/>
        <v>-10048.870000000054</v>
      </c>
      <c r="X141" s="15">
        <f>IFERROR(W141/W444, "NA")</f>
        <v>0.12461073367518218</v>
      </c>
      <c r="Y141" s="2"/>
      <c r="Z141" s="14">
        <f>IFERROR(Z129+Z130+Z131+Z132+Z133+Z134+Z135+Z136+Z137+Z138+Z139+Z140, "NA")</f>
        <v>537768.55000000005</v>
      </c>
      <c r="AA141" s="15">
        <f>IFERROR(Z141/Z444, "NA")</f>
        <v>0.23768028665406232</v>
      </c>
      <c r="AB141" s="2"/>
      <c r="AC141" s="14">
        <f t="shared" si="31"/>
        <v>14288.640000000014</v>
      </c>
      <c r="AD141" s="15">
        <f>IFERROR(AC141/AC444, "NA")</f>
        <v>0.18818147372629959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7016.06</v>
      </c>
      <c r="F143" s="8">
        <f>IFERROR(E143/E444, "NA")</f>
        <v>1.060544142467227E-2</v>
      </c>
      <c r="G143" s="9"/>
      <c r="H143" s="10">
        <f t="shared" ref="H143:H149" si="32">IFERROR(-(B143-E143), "NA")</f>
        <v>7016.06</v>
      </c>
      <c r="I143" s="8">
        <f>IFERROR(H143/H444, "NA")</f>
        <v>-0.23898631971708875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25807.96</v>
      </c>
      <c r="U143" s="8">
        <f>IFERROR(T143/T444, "NA")</f>
        <v>1.0668222875973394E-2</v>
      </c>
      <c r="V143" s="9"/>
      <c r="W143" s="10">
        <f t="shared" ref="W143:W149" si="34">IFERROR(-(Q143-T143), "NA")</f>
        <v>25807.96</v>
      </c>
      <c r="X143" s="8">
        <f>IFERROR(W143/W444, "NA")</f>
        <v>-0.32003089205649365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8134.5400000000009</v>
      </c>
      <c r="C144" s="8">
        <f>IFERROR(B144/B444, "NA")</f>
        <v>1.2867132017612217E-2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-8134.5400000000009</v>
      </c>
      <c r="I144" s="8">
        <f>IFERROR(H144/H444, "NA")</f>
        <v>0.2770848278366273</v>
      </c>
      <c r="J144" s="9"/>
      <c r="K144" s="7">
        <v>7948.2899999999991</v>
      </c>
      <c r="L144" s="8">
        <f>IFERROR(K144/K444, "NA")</f>
        <v>1.3170824413979765E-2</v>
      </c>
      <c r="M144" s="9"/>
      <c r="N144" s="10">
        <f t="shared" si="33"/>
        <v>-186.25000000000182</v>
      </c>
      <c r="O144" s="8">
        <f>IFERROR(N144/N444, "NA")</f>
        <v>-6.4854252906864024E-3</v>
      </c>
      <c r="P144" s="9"/>
      <c r="Q144" s="7">
        <v>27637.119999999999</v>
      </c>
      <c r="R144" s="8">
        <f>IFERROR(Q144/Q444, "NA")</f>
        <v>1.1818304717412119E-2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-27637.119999999999</v>
      </c>
      <c r="X144" s="8">
        <f>IFERROR(W144/W444, "NA")</f>
        <v>0.34271333989483715</v>
      </c>
      <c r="Y144" s="9"/>
      <c r="Z144" s="7">
        <v>27152.260000000002</v>
      </c>
      <c r="AA144" s="8">
        <f>IFERROR(Z144/Z444, "NA")</f>
        <v>1.2000621717476097E-2</v>
      </c>
      <c r="AB144" s="9"/>
      <c r="AC144" s="10">
        <f t="shared" si="35"/>
        <v>-484.85999999999694</v>
      </c>
      <c r="AD144" s="8">
        <f>IFERROR(AC144/AC444, "NA")</f>
        <v>-6.385609081825349E-3</v>
      </c>
    </row>
    <row r="145" spans="1:30" ht="16.5" customHeight="1" x14ac:dyDescent="0.45">
      <c r="A145" s="12" t="s">
        <v>136</v>
      </c>
      <c r="B145" s="7">
        <v>479.99</v>
      </c>
      <c r="C145" s="8">
        <f>IFERROR(B145/B444, "NA")</f>
        <v>7.5924326355684372E-4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-479.99</v>
      </c>
      <c r="I145" s="8">
        <f>IFERROR(H145/H444, "NA")</f>
        <v>1.6349780874309147E-2</v>
      </c>
      <c r="J145" s="9"/>
      <c r="K145" s="7">
        <v>-1103.2600000000002</v>
      </c>
      <c r="L145" s="8">
        <f>IFERROR(K145/K444, "NA")</f>
        <v>-1.8281723166828738E-3</v>
      </c>
      <c r="M145" s="9"/>
      <c r="N145" s="10">
        <f t="shared" si="33"/>
        <v>-1583.2500000000002</v>
      </c>
      <c r="O145" s="8">
        <f>IFERROR(N145/N444, "NA")</f>
        <v>-5.5130467605257173E-2</v>
      </c>
      <c r="P145" s="9"/>
      <c r="Q145" s="7">
        <v>1063.56</v>
      </c>
      <c r="R145" s="8">
        <f>IFERROR(Q145/Q444, "NA")</f>
        <v>4.5480412449816889E-4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-1063.56</v>
      </c>
      <c r="X145" s="8">
        <f>IFERROR(W145/W444, "NA")</f>
        <v>1.3188646276404814E-2</v>
      </c>
      <c r="Y145" s="9"/>
      <c r="Z145" s="7">
        <v>133.05999999999995</v>
      </c>
      <c r="AA145" s="8">
        <f>IFERROR(Z145/Z444, "NA")</f>
        <v>5.8809201360305504E-5</v>
      </c>
      <c r="AB145" s="9"/>
      <c r="AC145" s="10">
        <f t="shared" si="35"/>
        <v>-930.5</v>
      </c>
      <c r="AD145" s="8">
        <f>IFERROR(AC145/AC444, "NA")</f>
        <v>-1.2254690530541857E-2</v>
      </c>
    </row>
    <row r="146" spans="1:30" ht="16.5" customHeight="1" x14ac:dyDescent="0.45">
      <c r="A146" s="12" t="s">
        <v>137</v>
      </c>
      <c r="B146" s="7">
        <v>36.870000000000019</v>
      </c>
      <c r="C146" s="8">
        <f>IFERROR(B146/B444, "NA")</f>
        <v>5.8320588194214137E-5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-36.870000000000019</v>
      </c>
      <c r="I146" s="8">
        <f>IFERROR(H146/H444, "NA")</f>
        <v>1.2558937078601189E-3</v>
      </c>
      <c r="J146" s="9"/>
      <c r="K146" s="7">
        <v>1518.98</v>
      </c>
      <c r="L146" s="8">
        <f>IFERROR(K146/K444, "NA")</f>
        <v>2.5170469205762478E-3</v>
      </c>
      <c r="M146" s="9"/>
      <c r="N146" s="10">
        <f t="shared" si="33"/>
        <v>1482.11</v>
      </c>
      <c r="O146" s="8">
        <f>IFERROR(N146/N444, "NA")</f>
        <v>5.1608664040693315E-2</v>
      </c>
      <c r="P146" s="9"/>
      <c r="Q146" s="7">
        <v>335.11999999999995</v>
      </c>
      <c r="R146" s="8">
        <f>IFERROR(Q146/Q444, "NA")</f>
        <v>1.4330546297512727E-4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-335.11999999999995</v>
      </c>
      <c r="X146" s="8">
        <f>IFERROR(W146/W444, "NA")</f>
        <v>4.1556462636323111E-3</v>
      </c>
      <c r="Y146" s="9"/>
      <c r="Z146" s="7">
        <v>2083.86</v>
      </c>
      <c r="AA146" s="8">
        <f>IFERROR(Z146/Z444, "NA")</f>
        <v>9.2101414660067848E-4</v>
      </c>
      <c r="AB146" s="9"/>
      <c r="AC146" s="10">
        <f t="shared" si="35"/>
        <v>1748.7400000000002</v>
      </c>
      <c r="AD146" s="8">
        <f>IFERROR(AC146/AC444, "NA")</f>
        <v>2.3030916193852519E-2</v>
      </c>
    </row>
    <row r="147" spans="1:30" ht="16.5" customHeight="1" x14ac:dyDescent="0.45">
      <c r="A147" s="12" t="s">
        <v>138</v>
      </c>
      <c r="B147" s="7">
        <v>213.34</v>
      </c>
      <c r="C147" s="8">
        <f>IFERROR(B147/B444, "NA")</f>
        <v>3.3745902591140868E-4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-213.34</v>
      </c>
      <c r="I147" s="8">
        <f>IFERROR(H147/H444, "NA")</f>
        <v>7.2669477525054964E-3</v>
      </c>
      <c r="J147" s="9"/>
      <c r="K147" s="7">
        <v>-10.200000000000003</v>
      </c>
      <c r="L147" s="8">
        <f>IFERROR(K147/K444, "NA")</f>
        <v>-1.6902051764919704E-5</v>
      </c>
      <c r="M147" s="9"/>
      <c r="N147" s="10">
        <f t="shared" si="33"/>
        <v>-223.54000000000002</v>
      </c>
      <c r="O147" s="8">
        <f>IFERROR(N147/N444, "NA")</f>
        <v>-7.7839031918390577E-3</v>
      </c>
      <c r="P147" s="9"/>
      <c r="Q147" s="7">
        <v>388.28</v>
      </c>
      <c r="R147" s="8">
        <f>IFERROR(Q147/Q444, "NA")</f>
        <v>1.660379719622297E-4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-388.28</v>
      </c>
      <c r="X147" s="8">
        <f>IFERROR(W147/W444, "NA")</f>
        <v>4.8148553689518793E-3</v>
      </c>
      <c r="Y147" s="9"/>
      <c r="Z147" s="7">
        <v>542.41999999999996</v>
      </c>
      <c r="AA147" s="8">
        <f>IFERROR(Z147/Z444, "NA")</f>
        <v>2.3973611154258921E-4</v>
      </c>
      <c r="AB147" s="9"/>
      <c r="AC147" s="10">
        <f t="shared" si="35"/>
        <v>154.13999999999999</v>
      </c>
      <c r="AD147" s="8">
        <f>IFERROR(AC147/AC444, "NA")</f>
        <v>2.0300247161501579E-3</v>
      </c>
    </row>
    <row r="148" spans="1:30" ht="16.5" customHeight="1" x14ac:dyDescent="0.45">
      <c r="A148" s="13" t="s">
        <v>139</v>
      </c>
      <c r="B148" s="14">
        <f>IFERROR(B143+B144+B145+B146+B147, "NA")</f>
        <v>8864.7400000000016</v>
      </c>
      <c r="C148" s="15">
        <f>IFERROR(B148/B444, "NA")</f>
        <v>1.4022154895274684E-2</v>
      </c>
      <c r="D148" s="2"/>
      <c r="E148" s="14">
        <f>IFERROR(E143+E144+E145+E146+E147, "NA")</f>
        <v>7016.06</v>
      </c>
      <c r="F148" s="15">
        <f>IFERROR(E148/E444, "NA")</f>
        <v>1.060544142467227E-2</v>
      </c>
      <c r="G148" s="2"/>
      <c r="H148" s="14">
        <f t="shared" si="32"/>
        <v>-1848.6800000000012</v>
      </c>
      <c r="I148" s="15">
        <f>IFERROR(H148/H444, "NA")</f>
        <v>6.297113045421332E-2</v>
      </c>
      <c r="J148" s="2"/>
      <c r="K148" s="14">
        <f>IFERROR(K143+K144+K145+K146+K147, "NA")</f>
        <v>8353.8099999999977</v>
      </c>
      <c r="L148" s="15">
        <f>IFERROR(K148/K444, "NA")</f>
        <v>1.3842796966108217E-2</v>
      </c>
      <c r="M148" s="2"/>
      <c r="N148" s="14">
        <f t="shared" si="33"/>
        <v>-510.93000000000393</v>
      </c>
      <c r="O148" s="15">
        <f>IFERROR(N148/N444, "NA")</f>
        <v>-1.7791132047089379E-2</v>
      </c>
      <c r="P148" s="2"/>
      <c r="Q148" s="14">
        <f>IFERROR(Q143+Q144+Q145+Q146+Q147, "NA")</f>
        <v>29424.079999999998</v>
      </c>
      <c r="R148" s="15">
        <f>IFERROR(Q148/Q444, "NA")</f>
        <v>1.2582452276847645E-2</v>
      </c>
      <c r="S148" s="2"/>
      <c r="T148" s="14">
        <f>IFERROR(T143+T144+T145+T146+T147, "NA")</f>
        <v>25807.96</v>
      </c>
      <c r="U148" s="15">
        <f>IFERROR(T148/T444, "NA")</f>
        <v>1.0668222875973394E-2</v>
      </c>
      <c r="V148" s="2"/>
      <c r="W148" s="14">
        <f t="shared" si="34"/>
        <v>-3616.119999999999</v>
      </c>
      <c r="X148" s="15">
        <f>IFERROR(W148/W444, "NA")</f>
        <v>4.4841595747332513E-2</v>
      </c>
      <c r="Y148" s="2"/>
      <c r="Z148" s="14">
        <f>IFERROR(Z143+Z144+Z145+Z146+Z147, "NA")</f>
        <v>29911.600000000002</v>
      </c>
      <c r="AA148" s="15">
        <f>IFERROR(Z148/Z444, "NA")</f>
        <v>1.322018117697967E-2</v>
      </c>
      <c r="AB148" s="2"/>
      <c r="AC148" s="14">
        <f t="shared" si="35"/>
        <v>487.52000000000407</v>
      </c>
      <c r="AD148" s="15">
        <f>IFERROR(AC148/AC444, "NA")</f>
        <v>6.4206412976354826E-3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149349.28999999998</v>
      </c>
      <c r="C149" s="15">
        <f>IFERROR(B149/B444, "NA")</f>
        <v>0.23623917654429774</v>
      </c>
      <c r="D149" s="2"/>
      <c r="E149" s="14">
        <f>IFERROR(E127+E129+E130+E131+E132+E133+E134+E135+E136+E137+E138+E139+E140+E143+E144+E145+E146+E147, "NA")</f>
        <v>145957.76999999999</v>
      </c>
      <c r="F149" s="15">
        <f>IFERROR(E149/E444, "NA")</f>
        <v>0.22062903969047976</v>
      </c>
      <c r="G149" s="2"/>
      <c r="H149" s="14">
        <f t="shared" si="32"/>
        <v>-3391.5199999999895</v>
      </c>
      <c r="I149" s="15">
        <f>IFERROR(H149/H444, "NA")</f>
        <v>0.11552450849150353</v>
      </c>
      <c r="J149" s="2"/>
      <c r="K149" s="14">
        <f>IFERROR(K127+K129+K130+K131+K132+K133+K134+K135+K136+K137+K138+K139+K140+K143+K144+K145+K146+K147, "NA")</f>
        <v>158885.66</v>
      </c>
      <c r="L149" s="15">
        <f>IFERROR(K149/K444, "NA")</f>
        <v>0.26328369117876782</v>
      </c>
      <c r="M149" s="2"/>
      <c r="N149" s="14">
        <f t="shared" si="33"/>
        <v>9536.3700000000244</v>
      </c>
      <c r="O149" s="15">
        <f>IFERROR(N149/N444, "NA")</f>
        <v>0.33206665868103435</v>
      </c>
      <c r="P149" s="2"/>
      <c r="Q149" s="14">
        <f>IFERROR(Q127+Q129+Q130+Q131+Q132+Q133+Q134+Q135+Q136+Q137+Q138+Q139+Q140+Q143+Q144+Q145+Q146+Q147, "NA")</f>
        <v>552903.99000000011</v>
      </c>
      <c r="R149" s="15">
        <f>IFERROR(Q149/Q444, "NA")</f>
        <v>0.23643519416252434</v>
      </c>
      <c r="S149" s="2"/>
      <c r="T149" s="14">
        <f>IFERROR(T127+T129+T130+T131+T132+T133+T134+T135+T136+T137+T138+T139+T140+T143+T144+T145+T146+T147, "NA")</f>
        <v>539239</v>
      </c>
      <c r="U149" s="15">
        <f>IFERROR(T149/T444, "NA")</f>
        <v>0.22290494232853034</v>
      </c>
      <c r="V149" s="2"/>
      <c r="W149" s="14">
        <f t="shared" si="34"/>
        <v>-13664.990000000107</v>
      </c>
      <c r="X149" s="15">
        <f>IFERROR(W149/W444, "NA")</f>
        <v>0.16945232942251537</v>
      </c>
      <c r="Y149" s="2"/>
      <c r="Z149" s="14">
        <f>IFERROR(Z127+Z129+Z130+Z131+Z132+Z133+Z134+Z135+Z136+Z137+Z138+Z139+Z140+Z143+Z144+Z145+Z146+Z147, "NA")</f>
        <v>567680.15000000014</v>
      </c>
      <c r="AA149" s="15">
        <f>IFERROR(Z149/Z444, "NA")</f>
        <v>0.25090046783104203</v>
      </c>
      <c r="AB149" s="2"/>
      <c r="AC149" s="14">
        <f t="shared" si="35"/>
        <v>14776.160000000033</v>
      </c>
      <c r="AD149" s="15">
        <f>IFERROR(AC149/AC444, "NA")</f>
        <v>0.19460211502393526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27167.170000000002</v>
      </c>
      <c r="F153" s="8">
        <f>IFERROR(E153/E444, "NA")</f>
        <v>4.1065759145319986E-2</v>
      </c>
      <c r="G153" s="9"/>
      <c r="H153" s="10">
        <f t="shared" ref="H153:H158" si="36">IFERROR(-(B153-E153), "NA")</f>
        <v>27167.170000000002</v>
      </c>
      <c r="I153" s="8">
        <f>IFERROR(H153/H444, "NA")</f>
        <v>-0.92538860491907171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99287.79</v>
      </c>
      <c r="U153" s="8">
        <f>IFERROR(T153/T444, "NA")</f>
        <v>4.1042541626027107E-2</v>
      </c>
      <c r="V153" s="9"/>
      <c r="W153" s="10">
        <f t="shared" ref="W153:W158" si="38">IFERROR(-(Q153-T153), "NA")</f>
        <v>99287.79</v>
      </c>
      <c r="X153" s="8">
        <f>IFERROR(W153/W444, "NA")</f>
        <v>-1.2312154856105562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17374.38</v>
      </c>
      <c r="C154" s="8">
        <f>IFERROR(B154/B444, "NA")</f>
        <v>2.7482616249248432E-2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-17374.38</v>
      </c>
      <c r="I154" s="8">
        <f>IFERROR(H154/H444, "NA")</f>
        <v>0.59181921670655502</v>
      </c>
      <c r="J154" s="9"/>
      <c r="K154" s="7">
        <v>19294.18</v>
      </c>
      <c r="L154" s="8">
        <f>IFERROR(K154/K444, "NA")</f>
        <v>3.1971689129576313E-2</v>
      </c>
      <c r="M154" s="9"/>
      <c r="N154" s="10">
        <f t="shared" si="37"/>
        <v>1919.7999999999993</v>
      </c>
      <c r="O154" s="8">
        <f>IFERROR(N154/N444, "NA")</f>
        <v>6.684950052649466E-2</v>
      </c>
      <c r="P154" s="9"/>
      <c r="Q154" s="7">
        <v>66497.87000000001</v>
      </c>
      <c r="R154" s="8">
        <f>IFERROR(Q154/Q444, "NA")</f>
        <v>2.8436106610198821E-2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-66497.87000000001</v>
      </c>
      <c r="X154" s="8">
        <f>IFERROR(W154/W444, "NA")</f>
        <v>0.82460499225652673</v>
      </c>
      <c r="Y154" s="9"/>
      <c r="Z154" s="7">
        <v>71878.12</v>
      </c>
      <c r="AA154" s="8">
        <f>IFERROR(Z154/Z444, "NA")</f>
        <v>3.1768336333084346E-2</v>
      </c>
      <c r="AB154" s="9"/>
      <c r="AC154" s="10">
        <f t="shared" si="39"/>
        <v>5380.2499999999854</v>
      </c>
      <c r="AD154" s="8">
        <f>IFERROR(AC154/AC444, "NA")</f>
        <v>7.0857924478181247E-2</v>
      </c>
    </row>
    <row r="155" spans="1:30" ht="16.5" customHeight="1" x14ac:dyDescent="0.45">
      <c r="A155" s="12" t="s">
        <v>144</v>
      </c>
      <c r="B155" s="7">
        <v>7433.6799999999994</v>
      </c>
      <c r="C155" s="8">
        <f>IFERROR(B155/B444, "NA")</f>
        <v>1.1758518851303648E-2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-7433.6799999999994</v>
      </c>
      <c r="I155" s="8">
        <f>IFERROR(H155/H444, "NA")</f>
        <v>0.25321160667875248</v>
      </c>
      <c r="J155" s="9"/>
      <c r="K155" s="7">
        <v>6448.67</v>
      </c>
      <c r="L155" s="8">
        <f>IFERROR(K155/K444, "NA")</f>
        <v>1.0685858250478896E-2</v>
      </c>
      <c r="M155" s="9"/>
      <c r="N155" s="10">
        <f t="shared" si="37"/>
        <v>-985.00999999999931</v>
      </c>
      <c r="O155" s="8">
        <f>IFERROR(N155/N444, "NA")</f>
        <v>-3.4299107466195689E-2</v>
      </c>
      <c r="P155" s="9"/>
      <c r="Q155" s="7">
        <v>30534.47</v>
      </c>
      <c r="R155" s="8">
        <f>IFERROR(Q155/Q444, "NA")</f>
        <v>1.3057282048371135E-2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-30534.47</v>
      </c>
      <c r="X155" s="8">
        <f>IFERROR(W155/W444, "NA")</f>
        <v>0.37864184819614743</v>
      </c>
      <c r="Y155" s="9"/>
      <c r="Z155" s="7">
        <v>25963.639999999996</v>
      </c>
      <c r="AA155" s="8">
        <f>IFERROR(Z155/Z444, "NA")</f>
        <v>1.1475281322760279E-2</v>
      </c>
      <c r="AB155" s="9"/>
      <c r="AC155" s="10">
        <f t="shared" si="39"/>
        <v>-4570.8300000000054</v>
      </c>
      <c r="AD155" s="8">
        <f>IFERROR(AC155/AC444, "NA")</f>
        <v>-6.0197858267293611E-2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271.11</v>
      </c>
      <c r="R156" s="8">
        <f>IFERROR(Q156/Q444, "NA")</f>
        <v>1.1593323008828706E-4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-271.11</v>
      </c>
      <c r="X156" s="8">
        <f>IFERROR(W156/W444, "NA")</f>
        <v>3.3618920342962403E-3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-271.11</v>
      </c>
      <c r="AD156" s="8">
        <f>IFERROR(AC156/AC444, "NA")</f>
        <v>-3.5705203113758229E-3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24808.06</v>
      </c>
      <c r="C158" s="15">
        <f>IFERROR(B158/B444, "NA")</f>
        <v>3.9241135100552084E-2</v>
      </c>
      <c r="D158" s="2"/>
      <c r="E158" s="14">
        <f>IFERROR(E153+E154+E155+E156+E157, "NA")</f>
        <v>27167.170000000002</v>
      </c>
      <c r="F158" s="15">
        <f>IFERROR(E158/E444, "NA")</f>
        <v>4.1065759145319986E-2</v>
      </c>
      <c r="G158" s="2"/>
      <c r="H158" s="14">
        <f t="shared" si="36"/>
        <v>2359.1100000000006</v>
      </c>
      <c r="I158" s="15">
        <f>IFERROR(H158/H444, "NA")</f>
        <v>-8.0357781533764161E-2</v>
      </c>
      <c r="J158" s="2"/>
      <c r="K158" s="14">
        <f>IFERROR(K153+K154+K155+K156+K157, "NA")</f>
        <v>25742.85</v>
      </c>
      <c r="L158" s="15">
        <f>IFERROR(K158/K444, "NA")</f>
        <v>4.2657547380055207E-2</v>
      </c>
      <c r="M158" s="2"/>
      <c r="N158" s="14">
        <f t="shared" si="37"/>
        <v>934.78999999999724</v>
      </c>
      <c r="O158" s="15">
        <f>IFERROR(N158/N444, "NA")</f>
        <v>3.2550393060298874E-2</v>
      </c>
      <c r="P158" s="2"/>
      <c r="Q158" s="14">
        <f>IFERROR(Q153+Q154+Q155+Q156+Q157, "NA")</f>
        <v>97303.450000000012</v>
      </c>
      <c r="R158" s="15">
        <f>IFERROR(Q158/Q444, "NA")</f>
        <v>4.1609321888658242E-2</v>
      </c>
      <c r="S158" s="2"/>
      <c r="T158" s="14">
        <f>IFERROR(T153+T154+T155+T156+T157, "NA")</f>
        <v>99287.79</v>
      </c>
      <c r="U158" s="15">
        <f>IFERROR(T158/T444, "NA")</f>
        <v>4.1042541626027107E-2</v>
      </c>
      <c r="V158" s="2"/>
      <c r="W158" s="14">
        <f t="shared" si="38"/>
        <v>1984.339999999982</v>
      </c>
      <c r="X158" s="15">
        <f>IFERROR(W158/W444, "NA")</f>
        <v>-2.4606753123585779E-2</v>
      </c>
      <c r="Y158" s="2"/>
      <c r="Z158" s="14">
        <f>IFERROR(Z153+Z154+Z155+Z156+Z157, "NA")</f>
        <v>97841.76</v>
      </c>
      <c r="AA158" s="15">
        <f>IFERROR(Z158/Z444, "NA")</f>
        <v>4.3243617655844627E-2</v>
      </c>
      <c r="AB158" s="2"/>
      <c r="AC158" s="14">
        <f t="shared" si="39"/>
        <v>538.30999999998312</v>
      </c>
      <c r="AD158" s="15">
        <f>IFERROR(AC158/AC444, "NA")</f>
        <v>7.0895458995118539E-3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1958.16</v>
      </c>
      <c r="C161" s="8">
        <f>IFERROR(B161/B444, "NA")</f>
        <v>3.0973974227931191E-3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-1958.16</v>
      </c>
      <c r="I161" s="8">
        <f>IFERROR(H161/H444, "NA")</f>
        <v>6.6700320666758059E-2</v>
      </c>
      <c r="J161" s="9"/>
      <c r="K161" s="7">
        <v>1428.46</v>
      </c>
      <c r="L161" s="8">
        <f>IFERROR(K161/K444, "NA")</f>
        <v>2.3670494964820781E-3</v>
      </c>
      <c r="M161" s="9"/>
      <c r="N161" s="10">
        <f t="shared" si="41"/>
        <v>-529.70000000000005</v>
      </c>
      <c r="O161" s="8">
        <f>IFERROR(N161/N444, "NA")</f>
        <v>-1.8444723632088881E-2</v>
      </c>
      <c r="P161" s="9"/>
      <c r="Q161" s="7">
        <v>6201.2800000000007</v>
      </c>
      <c r="R161" s="8">
        <f>IFERROR(Q161/Q444, "NA")</f>
        <v>2.6518181589830431E-3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-6201.2800000000007</v>
      </c>
      <c r="X161" s="8">
        <f>IFERROR(W161/W444, "NA")</f>
        <v>7.6898800613922735E-2</v>
      </c>
      <c r="Y161" s="9"/>
      <c r="Z161" s="7">
        <v>6014.32</v>
      </c>
      <c r="AA161" s="8">
        <f>IFERROR(Z161/Z444, "NA")</f>
        <v>2.6581794372862824E-3</v>
      </c>
      <c r="AB161" s="9"/>
      <c r="AC161" s="10">
        <f t="shared" si="43"/>
        <v>-186.96000000000095</v>
      </c>
      <c r="AD161" s="8">
        <f>IFERROR(AC161/AC444, "NA")</f>
        <v>-2.4622643112199001E-3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13.11</v>
      </c>
      <c r="R162" s="8">
        <f>IFERROR(Q162/Q444, "NA")</f>
        <v>5.6061548687154413E-6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-13.11</v>
      </c>
      <c r="X162" s="8">
        <f>IFERROR(W162/W444, "NA")</f>
        <v>1.6257019132316666E-4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-13.11</v>
      </c>
      <c r="AD162" s="8">
        <f>IFERROR(AC162/AC444, "NA")</f>
        <v>-1.7265877792090677E-4</v>
      </c>
    </row>
    <row r="163" spans="1:30" ht="16.5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1.4</v>
      </c>
      <c r="R163" s="8">
        <f>IFERROR(Q163/Q444, "NA")</f>
        <v>5.9867405157907066E-7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-1.4</v>
      </c>
      <c r="X163" s="8">
        <f>IFERROR(W163/W444, "NA")</f>
        <v>1.7360661163419779E-5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-1.4</v>
      </c>
      <c r="AD163" s="8">
        <f>IFERROR(AC163/AC444, "NA")</f>
        <v>-1.8438008321073186E-5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1958.16</v>
      </c>
      <c r="C166" s="15">
        <f>IFERROR(B166/B444, "NA")</f>
        <v>3.0973974227931191E-3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-1958.16</v>
      </c>
      <c r="I166" s="15">
        <f>IFERROR(H166/H444, "NA")</f>
        <v>6.6700320666758059E-2</v>
      </c>
      <c r="J166" s="2"/>
      <c r="K166" s="14">
        <f>IFERROR(K160+K161+K162+K163+K164+K165, "NA")</f>
        <v>1428.46</v>
      </c>
      <c r="L166" s="15">
        <f>IFERROR(K166/K444, "NA")</f>
        <v>2.3670494964820781E-3</v>
      </c>
      <c r="M166" s="2"/>
      <c r="N166" s="14">
        <f t="shared" si="41"/>
        <v>-529.70000000000005</v>
      </c>
      <c r="O166" s="15">
        <f>IFERROR(N166/N444, "NA")</f>
        <v>-1.8444723632088881E-2</v>
      </c>
      <c r="P166" s="2"/>
      <c r="Q166" s="14">
        <f>IFERROR(Q160+Q161+Q162+Q163+Q164+Q165, "NA")</f>
        <v>6215.79</v>
      </c>
      <c r="R166" s="15">
        <f>IFERROR(Q166/Q444, "NA")</f>
        <v>2.6580229879033372E-3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-6215.79</v>
      </c>
      <c r="X166" s="15">
        <f>IFERROR(W166/W444, "NA")</f>
        <v>7.7078731466409312E-2</v>
      </c>
      <c r="Y166" s="2"/>
      <c r="Z166" s="14">
        <f>IFERROR(Z160+Z161+Z162+Z163+Z164+Z165, "NA")</f>
        <v>6014.32</v>
      </c>
      <c r="AA166" s="15">
        <f>IFERROR(Z166/Z444, "NA")</f>
        <v>2.6581794372862824E-3</v>
      </c>
      <c r="AB166" s="2"/>
      <c r="AC166" s="14">
        <f t="shared" si="43"/>
        <v>-201.47000000000025</v>
      </c>
      <c r="AD166" s="15">
        <f>IFERROR(AC166/AC444, "NA")</f>
        <v>-2.6533610974618714E-3</v>
      </c>
    </row>
    <row r="167" spans="1:30" ht="16.5" customHeight="1" x14ac:dyDescent="0.45">
      <c r="A167" s="6" t="s">
        <v>155</v>
      </c>
      <c r="B167" s="7">
        <v>934.90000000000009</v>
      </c>
      <c r="C167" s="8">
        <f>IFERROR(B167/B444, "NA")</f>
        <v>1.4788152401076966E-3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-934.90000000000009</v>
      </c>
      <c r="I167" s="8">
        <f>IFERROR(H167/H444, "NA")</f>
        <v>3.1845267900147134E-2</v>
      </c>
      <c r="J167" s="9"/>
      <c r="K167" s="7">
        <v>904.45</v>
      </c>
      <c r="L167" s="8">
        <f>IFERROR(K167/K444, "NA")</f>
        <v>1.4987314430178064E-3</v>
      </c>
      <c r="M167" s="9"/>
      <c r="N167" s="10">
        <f t="shared" si="41"/>
        <v>-30.450000000000045</v>
      </c>
      <c r="O167" s="8">
        <f>IFERROR(N167/N444, "NA")</f>
        <v>-1.0603017455108688E-3</v>
      </c>
      <c r="P167" s="9"/>
      <c r="Q167" s="7">
        <v>3444.36</v>
      </c>
      <c r="R167" s="8">
        <f>IFERROR(Q167/Q444, "NA")</f>
        <v>1.4728921116406344E-3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-3444.36</v>
      </c>
      <c r="X167" s="8">
        <f>IFERROR(W167/W444, "NA")</f>
        <v>4.2711690632026109E-2</v>
      </c>
      <c r="Y167" s="9"/>
      <c r="Z167" s="7">
        <v>3181.8800000000006</v>
      </c>
      <c r="AA167" s="8">
        <f>IFERROR(Z167/Z444, "NA")</f>
        <v>1.4063116009644444E-3</v>
      </c>
      <c r="AB167" s="9"/>
      <c r="AC167" s="10">
        <f t="shared" si="43"/>
        <v>-262.47999999999956</v>
      </c>
      <c r="AD167" s="8">
        <f>IFERROR(AC167/AC444, "NA")</f>
        <v>-3.4568631600823442E-3</v>
      </c>
    </row>
    <row r="168" spans="1:30" ht="16.5" customHeight="1" x14ac:dyDescent="0.45">
      <c r="A168" s="6" t="s">
        <v>156</v>
      </c>
      <c r="B168" s="7">
        <v>613.79</v>
      </c>
      <c r="C168" s="8">
        <f>IFERROR(B168/B444, "NA")</f>
        <v>9.7088673251225042E-4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-613.79</v>
      </c>
      <c r="I168" s="8">
        <f>IFERROR(H168/H444, "NA")</f>
        <v>2.0907377242947164E-2</v>
      </c>
      <c r="J168" s="9"/>
      <c r="K168" s="7">
        <v>184</v>
      </c>
      <c r="L168" s="8">
        <f>IFERROR(K168/K444, "NA")</f>
        <v>3.0489975732796322E-4</v>
      </c>
      <c r="M168" s="9"/>
      <c r="N168" s="10">
        <f t="shared" si="41"/>
        <v>-429.78999999999996</v>
      </c>
      <c r="O168" s="8">
        <f>IFERROR(N168/N444, "NA")</f>
        <v>-1.4965749990250103E-2</v>
      </c>
      <c r="P168" s="9"/>
      <c r="Q168" s="7">
        <v>1885.55</v>
      </c>
      <c r="R168" s="8">
        <f>IFERROR(Q168/Q444, "NA")</f>
        <v>8.0630704139636911E-4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-1885.55</v>
      </c>
      <c r="X168" s="8">
        <f>IFERROR(W168/W444, "NA")</f>
        <v>2.3381710469061547E-2</v>
      </c>
      <c r="Y168" s="9"/>
      <c r="Z168" s="7">
        <v>816.8</v>
      </c>
      <c r="AA168" s="8">
        <f>IFERROR(Z168/Z444, "NA")</f>
        <v>3.6100522825114646E-4</v>
      </c>
      <c r="AB168" s="9"/>
      <c r="AC168" s="10">
        <f t="shared" si="43"/>
        <v>-1068.75</v>
      </c>
      <c r="AD168" s="8">
        <f>IFERROR(AC168/AC444, "NA")</f>
        <v>-1.4075443852247835E-2</v>
      </c>
    </row>
    <row r="169" spans="1:30" ht="16.5" customHeight="1" x14ac:dyDescent="0.45">
      <c r="A169" s="6" t="s">
        <v>157</v>
      </c>
      <c r="B169" s="7">
        <v>-4717.8799999999992</v>
      </c>
      <c r="C169" s="8">
        <f>IFERROR(B169/B444, "NA")</f>
        <v>-7.4626942400249198E-3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4717.8799999999992</v>
      </c>
      <c r="I169" s="8">
        <f>IFERROR(H169/H444, "NA")</f>
        <v>-0.16070398173146444</v>
      </c>
      <c r="J169" s="9"/>
      <c r="K169" s="7">
        <v>-7008.26</v>
      </c>
      <c r="L169" s="8">
        <f>IFERROR(K169/K444, "NA")</f>
        <v>-1.1613134637452564E-2</v>
      </c>
      <c r="M169" s="9"/>
      <c r="N169" s="10">
        <f t="shared" si="41"/>
        <v>-2290.380000000001</v>
      </c>
      <c r="O169" s="8">
        <f>IFERROR(N169/N444, "NA")</f>
        <v>-7.9753494643125825E-2</v>
      </c>
      <c r="P169" s="9"/>
      <c r="Q169" s="7">
        <v>-20520.759999999998</v>
      </c>
      <c r="R169" s="8">
        <f>IFERROR(Q169/Q444, "NA")</f>
        <v>-8.7751760933440937E-3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20520.759999999998</v>
      </c>
      <c r="X169" s="8">
        <f>IFERROR(W169/W444, "NA")</f>
        <v>-0.25446711512561287</v>
      </c>
      <c r="Y169" s="9"/>
      <c r="Z169" s="7">
        <v>-47192.5</v>
      </c>
      <c r="AA169" s="8">
        <f>IFERROR(Z169/Z444, "NA")</f>
        <v>-2.0857907975321048E-2</v>
      </c>
      <c r="AB169" s="9"/>
      <c r="AC169" s="10">
        <f t="shared" si="43"/>
        <v>-26671.74</v>
      </c>
      <c r="AD169" s="8">
        <f>IFERROR(AC169/AC444, "NA")</f>
        <v>-0.35126697432678616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23597.030000000006</v>
      </c>
      <c r="C170" s="15">
        <f>IFERROR(B170/B444, "NA")</f>
        <v>3.7325540255940232E-2</v>
      </c>
      <c r="D170" s="2"/>
      <c r="E170" s="14">
        <f>IFERROR(E151+E153+E154+E155+E156+E157+E160+E161+E162+E163+E164+E165+E167+E168+E169, "NA")</f>
        <v>27167.170000000002</v>
      </c>
      <c r="F170" s="15">
        <f>IFERROR(E170/E444, "NA")</f>
        <v>4.1065759145319986E-2</v>
      </c>
      <c r="G170" s="2"/>
      <c r="H170" s="14">
        <f t="shared" si="40"/>
        <v>3570.1399999999958</v>
      </c>
      <c r="I170" s="15">
        <f>IFERROR(H170/H444, "NA")</f>
        <v>-0.12160879745537612</v>
      </c>
      <c r="J170" s="2"/>
      <c r="K170" s="14">
        <f>IFERROR(K151+K153+K154+K155+K156+K157+K160+K161+K162+K163+K164+K165+K167+K168+K169, "NA")</f>
        <v>21251.5</v>
      </c>
      <c r="L170" s="15">
        <f>IFERROR(K170/K444, "NA")</f>
        <v>3.5215093439430495E-2</v>
      </c>
      <c r="M170" s="2"/>
      <c r="N170" s="14">
        <f t="shared" si="41"/>
        <v>-2345.5300000000061</v>
      </c>
      <c r="O170" s="15">
        <f>IFERROR(N170/N444, "NA")</f>
        <v>-8.1673876950676877E-2</v>
      </c>
      <c r="P170" s="2"/>
      <c r="Q170" s="14">
        <f>IFERROR(Q151+Q153+Q154+Q155+Q156+Q157+Q160+Q161+Q162+Q163+Q164+Q165+Q167+Q168+Q169, "NA")</f>
        <v>88328.390000000014</v>
      </c>
      <c r="R170" s="15">
        <f>IFERROR(Q170/Q444, "NA")</f>
        <v>3.7771367936254491E-2</v>
      </c>
      <c r="S170" s="2"/>
      <c r="T170" s="14">
        <f>IFERROR(T151+T153+T154+T155+T156+T157+T160+T161+T162+T163+T164+T165+T167+T168+T169, "NA")</f>
        <v>99287.79</v>
      </c>
      <c r="U170" s="15">
        <f>IFERROR(T170/T444, "NA")</f>
        <v>4.1042541626027107E-2</v>
      </c>
      <c r="V170" s="2"/>
      <c r="W170" s="14">
        <f t="shared" si="42"/>
        <v>10959.39999999998</v>
      </c>
      <c r="X170" s="15">
        <f>IFERROR(W170/W444, "NA")</f>
        <v>-0.13590173568170169</v>
      </c>
      <c r="Y170" s="2"/>
      <c r="Z170" s="14">
        <f>IFERROR(Z151+Z153+Z154+Z155+Z156+Z157+Z160+Z161+Z162+Z163+Z164+Z165+Z167+Z168+Z169, "NA")</f>
        <v>60662.259999999995</v>
      </c>
      <c r="AA170" s="15">
        <f>IFERROR(Z170/Z444, "NA")</f>
        <v>2.6811205947025456E-2</v>
      </c>
      <c r="AB170" s="2"/>
      <c r="AC170" s="14">
        <f t="shared" si="43"/>
        <v>-27666.130000000019</v>
      </c>
      <c r="AD170" s="15">
        <f>IFERROR(AC170/AC444, "NA")</f>
        <v>-0.36436309653706633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172946.31999999998</v>
      </c>
      <c r="C171" s="15">
        <f>IFERROR(B171/B444, "NA")</f>
        <v>0.27356471680023797</v>
      </c>
      <c r="D171" s="2"/>
      <c r="E171" s="14">
        <f>IFERROR(E127+E129+E130+E131+E132+E133+E134+E135+E136+E137+E138+E139+E140+E143+E144+E145+E146+E147+E151+E153+E154+E155+E156+E157+E160+E161+E162+E163+E164+E165+E167+E168+E169, "NA")</f>
        <v>173124.94</v>
      </c>
      <c r="F171" s="15">
        <f>IFERROR(E171/E444, "NA")</f>
        <v>0.26169479883579977</v>
      </c>
      <c r="G171" s="2"/>
      <c r="H171" s="14">
        <f t="shared" si="40"/>
        <v>178.62000000002445</v>
      </c>
      <c r="I171" s="15">
        <f>IFERROR(H171/H444, "NA")</f>
        <v>-6.0842889638732045E-3</v>
      </c>
      <c r="J171" s="2"/>
      <c r="K171" s="14">
        <f>IFERROR(K127+K129+K130+K131+K132+K133+K134+K135+K136+K137+K138+K139+K140+K143+K144+K145+K146+K147+K151+K153+K154+K155+K156+K157+K160+K161+K162+K163+K164+K165+K167+K168+K169, "NA")</f>
        <v>180137.16</v>
      </c>
      <c r="L171" s="15">
        <f>IFERROR(K171/K444, "NA")</f>
        <v>0.29849878461819829</v>
      </c>
      <c r="M171" s="2"/>
      <c r="N171" s="14">
        <f t="shared" si="41"/>
        <v>7190.8400000000256</v>
      </c>
      <c r="O171" s="15">
        <f>IFERROR(N171/N444, "NA")</f>
        <v>0.25039278173035773</v>
      </c>
      <c r="P171" s="2"/>
      <c r="Q171" s="14">
        <f>IFERROR(Q127+Q129+Q130+Q131+Q132+Q133+Q134+Q135+Q136+Q137+Q138+Q139+Q140+Q143+Q144+Q145+Q146+Q147+Q151+Q153+Q154+Q155+Q156+Q157+Q160+Q161+Q162+Q163+Q164+Q165+Q167+Q168+Q169, "NA")</f>
        <v>641232.38000000012</v>
      </c>
      <c r="R171" s="15">
        <f>IFERROR(Q171/Q444, "NA")</f>
        <v>0.27420656209877886</v>
      </c>
      <c r="S171" s="2"/>
      <c r="T171" s="14">
        <f>IFERROR(T127+T129+T130+T131+T132+T133+T134+T135+T136+T137+T138+T139+T140+T143+T144+T145+T146+T147+T151+T153+T154+T155+T156+T157+T160+T161+T162+T163+T164+T165+T167+T168+T169, "NA")</f>
        <v>638526.79</v>
      </c>
      <c r="U171" s="15">
        <f>IFERROR(T171/T444, "NA")</f>
        <v>0.26394748395455747</v>
      </c>
      <c r="V171" s="2"/>
      <c r="W171" s="14">
        <f t="shared" si="42"/>
        <v>-2705.5900000000838</v>
      </c>
      <c r="X171" s="15">
        <f>IFERROR(W171/W444, "NA")</f>
        <v>3.355059374081313E-2</v>
      </c>
      <c r="Y171" s="2"/>
      <c r="Z171" s="14">
        <f>IFERROR(Z127+Z129+Z130+Z131+Z132+Z133+Z134+Z135+Z136+Z137+Z138+Z139+Z140+Z143+Z144+Z145+Z146+Z147+Z151+Z153+Z154+Z155+Z156+Z157+Z160+Z161+Z162+Z163+Z164+Z165+Z167+Z168+Z169, "NA")</f>
        <v>628342.41000000015</v>
      </c>
      <c r="AA171" s="15">
        <f>IFERROR(Z171/Z444, "NA")</f>
        <v>0.27771167377806749</v>
      </c>
      <c r="AB171" s="2"/>
      <c r="AC171" s="14">
        <f t="shared" si="43"/>
        <v>-12889.969999999972</v>
      </c>
      <c r="AD171" s="15">
        <f>IFERROR(AC171/AC444, "NA")</f>
        <v>-0.16976098151313088</v>
      </c>
    </row>
    <row r="172" spans="1:30" ht="16.5" customHeight="1" x14ac:dyDescent="0.45">
      <c r="A172" s="22" t="s">
        <v>160</v>
      </c>
      <c r="B172" s="23">
        <f>IFERROR(B124-B171, "NA")</f>
        <v>459248.94999999995</v>
      </c>
      <c r="C172" s="24">
        <f>IFERROR(B172/B444, "NA")</f>
        <v>0.72643528319976192</v>
      </c>
      <c r="D172" s="25"/>
      <c r="E172" s="23">
        <f>IFERROR(E124-E171, "NA")</f>
        <v>488427.90999999986</v>
      </c>
      <c r="F172" s="24">
        <f>IFERROR(E172/E444, "NA")</f>
        <v>0.73830520116420006</v>
      </c>
      <c r="G172" s="25"/>
      <c r="H172" s="23">
        <f>IFERROR(B172-E172, "NA")</f>
        <v>-29178.959999999905</v>
      </c>
      <c r="I172" s="24">
        <f>IFERROR(H172/H444, "NA")</f>
        <v>0.99391571103612586</v>
      </c>
      <c r="J172" s="25"/>
      <c r="K172" s="23">
        <f>IFERROR(K124-K171, "NA")</f>
        <v>423339.86999999988</v>
      </c>
      <c r="L172" s="24">
        <f>IFERROR(K172/K444, "NA")</f>
        <v>0.70150121538180144</v>
      </c>
      <c r="M172" s="25"/>
      <c r="N172" s="23">
        <f>IFERROR(B172-K172, "NA")</f>
        <v>35909.080000000075</v>
      </c>
      <c r="O172" s="24">
        <f>IFERROR(N172/N444, "NA")</f>
        <v>1.2503927817303597</v>
      </c>
      <c r="P172" s="25"/>
      <c r="Q172" s="23">
        <f>IFERROR(Q124-Q171, "NA")</f>
        <v>1697268.8400000005</v>
      </c>
      <c r="R172" s="24">
        <f>IFERROR(Q172/Q444, "NA")</f>
        <v>0.72579343790122142</v>
      </c>
      <c r="S172" s="25"/>
      <c r="T172" s="23">
        <f>IFERROR(T124-T171, "NA")</f>
        <v>1780616.5199999996</v>
      </c>
      <c r="U172" s="24">
        <f>IFERROR(T172/T444, "NA")</f>
        <v>0.73605251604544231</v>
      </c>
      <c r="V172" s="25"/>
      <c r="W172" s="23">
        <f>IFERROR(Q172-T172, "NA")</f>
        <v>-83347.679999999003</v>
      </c>
      <c r="X172" s="24">
        <f>IFERROR(W172/W444, "NA")</f>
        <v>1.0335505937408016</v>
      </c>
      <c r="Y172" s="25"/>
      <c r="Z172" s="23">
        <f>IFERROR(Z124-Z171, "NA")</f>
        <v>1634228.7000000011</v>
      </c>
      <c r="AA172" s="24">
        <f>IFERROR(Z172/Z444, "NA")</f>
        <v>0.72228832622193295</v>
      </c>
      <c r="AB172" s="25"/>
      <c r="AC172" s="23">
        <f>IFERROR(Q172-Z172, "NA")</f>
        <v>63040.139999999432</v>
      </c>
      <c r="AD172" s="24">
        <f>IFERROR(AC172/AC444, "NA")</f>
        <v>0.83023901848686299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31405.24</v>
      </c>
      <c r="C178" s="8">
        <f>IFERROR(B178/B444, "NA")</f>
        <v>4.9676486823446178E-2</v>
      </c>
      <c r="D178" s="9"/>
      <c r="E178" s="7">
        <v>31572.34</v>
      </c>
      <c r="F178" s="8">
        <f>IFERROR(E178/E444, "NA")</f>
        <v>4.7724592222677296E-2</v>
      </c>
      <c r="G178" s="9"/>
      <c r="H178" s="10">
        <f t="shared" si="44"/>
        <v>167.09999999999854</v>
      </c>
      <c r="I178" s="8">
        <f>IFERROR(H178/H444, "NA")</f>
        <v>-5.6918860478281513E-3</v>
      </c>
      <c r="J178" s="9"/>
      <c r="K178" s="7">
        <v>31370.799999999999</v>
      </c>
      <c r="L178" s="8">
        <f>IFERROR(K178/K444, "NA")</f>
        <v>5.1983420147739504E-2</v>
      </c>
      <c r="M178" s="9"/>
      <c r="N178" s="10">
        <f t="shared" si="45"/>
        <v>-34.440000000002328</v>
      </c>
      <c r="O178" s="8">
        <f>IFERROR(N178/N444, "NA")</f>
        <v>-1.1992378363020275E-3</v>
      </c>
      <c r="P178" s="9"/>
      <c r="Q178" s="7">
        <v>134433.20000000001</v>
      </c>
      <c r="R178" s="8">
        <f>IFERROR(Q178/Q444, "NA")</f>
        <v>5.7486906079099676E-2</v>
      </c>
      <c r="S178" s="9"/>
      <c r="T178" s="7">
        <v>133527.44</v>
      </c>
      <c r="U178" s="8">
        <f>IFERROR(T178/T444, "NA")</f>
        <v>5.5196167770647703E-2</v>
      </c>
      <c r="V178" s="9"/>
      <c r="W178" s="10">
        <f t="shared" si="46"/>
        <v>-905.76000000000931</v>
      </c>
      <c r="X178" s="8">
        <f>IFERROR(W178/W444, "NA")</f>
        <v>1.123185175384233E-2</v>
      </c>
      <c r="Y178" s="9"/>
      <c r="Z178" s="7">
        <v>133325.90000000002</v>
      </c>
      <c r="AA178" s="8">
        <f>IFERROR(Z178/Z444, "NA")</f>
        <v>5.8926722528513151E-2</v>
      </c>
      <c r="AB178" s="9"/>
      <c r="AC178" s="10">
        <f t="shared" si="47"/>
        <v>-1107.2999999999884</v>
      </c>
      <c r="AD178" s="8">
        <f>IFERROR(AC178/AC444, "NA")</f>
        <v>-1.4583147581374375E-2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107619.52</v>
      </c>
      <c r="C180" s="8">
        <f>IFERROR(B180/B444, "NA")</f>
        <v>0.17023145396200132</v>
      </c>
      <c r="D180" s="9"/>
      <c r="E180" s="7">
        <v>120876.23000000001</v>
      </c>
      <c r="F180" s="8">
        <f>IFERROR(E180/E444, "NA")</f>
        <v>0.18271590848712996</v>
      </c>
      <c r="G180" s="9"/>
      <c r="H180" s="10">
        <f t="shared" si="44"/>
        <v>13256.710000000006</v>
      </c>
      <c r="I180" s="8">
        <f>IFERROR(H180/H444, "NA")</f>
        <v>-0.45156004003054834</v>
      </c>
      <c r="J180" s="9"/>
      <c r="K180" s="7">
        <v>113830.78</v>
      </c>
      <c r="L180" s="8">
        <f>IFERROR(K180/K444, "NA")</f>
        <v>0.18862487607854767</v>
      </c>
      <c r="M180" s="9"/>
      <c r="N180" s="10">
        <f t="shared" si="45"/>
        <v>6211.2599999999948</v>
      </c>
      <c r="O180" s="8">
        <f>IFERROR(N180/N444, "NA")</f>
        <v>0.21628275270350819</v>
      </c>
      <c r="P180" s="9"/>
      <c r="Q180" s="7">
        <v>412019.00999999995</v>
      </c>
      <c r="R180" s="8">
        <f>IFERROR(Q180/Q444, "NA")</f>
        <v>0.17618935003164116</v>
      </c>
      <c r="S180" s="9"/>
      <c r="T180" s="7">
        <v>440220.08</v>
      </c>
      <c r="U180" s="8">
        <f>IFERROR(T180/T444, "NA")</f>
        <v>0.181973543353246</v>
      </c>
      <c r="V180" s="9"/>
      <c r="W180" s="10">
        <f t="shared" si="46"/>
        <v>28201.070000000065</v>
      </c>
      <c r="X180" s="8">
        <f>IFERROR(W180/W444, "NA")</f>
        <v>-0.34970658622563128</v>
      </c>
      <c r="Y180" s="9"/>
      <c r="Z180" s="7">
        <v>422790.92</v>
      </c>
      <c r="AA180" s="8">
        <f>IFERROR(Z180/Z444, "NA")</f>
        <v>0.1868630418426937</v>
      </c>
      <c r="AB180" s="9"/>
      <c r="AC180" s="10">
        <f t="shared" si="47"/>
        <v>10771.910000000033</v>
      </c>
      <c r="AD180" s="8">
        <f>IFERROR(AC180/AC444, "NA")</f>
        <v>0.14186611872418006</v>
      </c>
    </row>
    <row r="181" spans="1:30" ht="16.5" customHeight="1" x14ac:dyDescent="0.45">
      <c r="A181" s="12" t="s">
        <v>166</v>
      </c>
      <c r="B181" s="7">
        <v>1595.92</v>
      </c>
      <c r="C181" s="8">
        <f>IFERROR(B181/B444, "NA")</f>
        <v>2.5244099026555515E-3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-1595.92</v>
      </c>
      <c r="I181" s="8">
        <f>IFERROR(H181/H444, "NA")</f>
        <v>5.4361428973369139E-2</v>
      </c>
      <c r="J181" s="9"/>
      <c r="K181" s="7">
        <v>2682.5899999999997</v>
      </c>
      <c r="L181" s="8">
        <f>IFERROR(K181/K444, "NA")</f>
        <v>4.4452230435348961E-3</v>
      </c>
      <c r="M181" s="9"/>
      <c r="N181" s="10">
        <f t="shared" si="45"/>
        <v>1086.6699999999996</v>
      </c>
      <c r="O181" s="8">
        <f>IFERROR(N181/N444, "NA")</f>
        <v>3.7839017989960387E-2</v>
      </c>
      <c r="P181" s="9"/>
      <c r="Q181" s="7">
        <v>4705.79</v>
      </c>
      <c r="R181" s="8">
        <f>IFERROR(Q181/Q444, "NA")</f>
        <v>2.012310260843054E-3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-4705.79</v>
      </c>
      <c r="X181" s="8">
        <f>IFERROR(W181/W444, "NA")</f>
        <v>5.8354018354435121E-2</v>
      </c>
      <c r="Y181" s="9"/>
      <c r="Z181" s="7">
        <v>4447.8999999999996</v>
      </c>
      <c r="AA181" s="8">
        <f>IFERROR(Z181/Z444, "NA")</f>
        <v>1.9658608652525396E-3</v>
      </c>
      <c r="AB181" s="9"/>
      <c r="AC181" s="10">
        <f t="shared" si="47"/>
        <v>-257.89000000000033</v>
      </c>
      <c r="AD181" s="8">
        <f>IFERROR(AC181/AC444, "NA")</f>
        <v>-3.3964128328011216E-3</v>
      </c>
    </row>
    <row r="182" spans="1:30" ht="16.5" customHeight="1" x14ac:dyDescent="0.45">
      <c r="A182" s="13" t="s">
        <v>167</v>
      </c>
      <c r="B182" s="14">
        <f>IFERROR(B177+B178+B179+B180+B181, "NA")</f>
        <v>140620.68000000002</v>
      </c>
      <c r="C182" s="15">
        <f>IFERROR(B182/B444, "NA")</f>
        <v>0.22243235068810308</v>
      </c>
      <c r="D182" s="2"/>
      <c r="E182" s="14">
        <f>IFERROR(E177+E178+E179+E180+E181, "NA")</f>
        <v>152448.57</v>
      </c>
      <c r="F182" s="15">
        <f>IFERROR(E182/E444, "NA")</f>
        <v>0.23044050070980726</v>
      </c>
      <c r="G182" s="2"/>
      <c r="H182" s="14">
        <f t="shared" si="44"/>
        <v>11827.889999999985</v>
      </c>
      <c r="I182" s="15">
        <f>IFERROR(H182/H444, "NA")</f>
        <v>-0.40289049710500668</v>
      </c>
      <c r="J182" s="2"/>
      <c r="K182" s="14">
        <f>IFERROR(K177+K178+K179+K180+K181, "NA")</f>
        <v>147884.16999999998</v>
      </c>
      <c r="L182" s="15">
        <f>IFERROR(K182/K444, "NA")</f>
        <v>0.24505351926982205</v>
      </c>
      <c r="M182" s="2"/>
      <c r="N182" s="14">
        <f t="shared" si="45"/>
        <v>7263.4899999999616</v>
      </c>
      <c r="O182" s="15">
        <f>IFERROR(N182/N444, "NA")</f>
        <v>0.25292253285716548</v>
      </c>
      <c r="P182" s="2"/>
      <c r="Q182" s="14">
        <f>IFERROR(Q177+Q178+Q179+Q180+Q181, "NA")</f>
        <v>551158</v>
      </c>
      <c r="R182" s="15">
        <f>IFERROR(Q182/Q444, "NA")</f>
        <v>0.23568856637158392</v>
      </c>
      <c r="S182" s="2"/>
      <c r="T182" s="14">
        <f>IFERROR(T177+T178+T179+T180+T181, "NA")</f>
        <v>573747.52</v>
      </c>
      <c r="U182" s="15">
        <f>IFERROR(T182/T444, "NA")</f>
        <v>0.23716971112389368</v>
      </c>
      <c r="V182" s="2"/>
      <c r="W182" s="14">
        <f t="shared" si="46"/>
        <v>22589.520000000019</v>
      </c>
      <c r="X182" s="15">
        <f>IFERROR(W182/W444, "NA")</f>
        <v>-0.28012071611735334</v>
      </c>
      <c r="Y182" s="2"/>
      <c r="Z182" s="14">
        <f>IFERROR(Z177+Z178+Z179+Z180+Z181, "NA")</f>
        <v>560564.72000000009</v>
      </c>
      <c r="AA182" s="15">
        <f>IFERROR(Z182/Z444, "NA")</f>
        <v>0.24775562523645941</v>
      </c>
      <c r="AB182" s="2"/>
      <c r="AC182" s="14">
        <f t="shared" si="47"/>
        <v>9406.7200000000885</v>
      </c>
      <c r="AD182" s="15">
        <f>IFERROR(AC182/AC444, "NA")</f>
        <v>0.12388655831000514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1996</v>
      </c>
      <c r="C184" s="8">
        <f>IFERROR(B184/B444, "NA")</f>
        <v>3.1572523470477722E-3</v>
      </c>
      <c r="D184" s="9"/>
      <c r="E184" s="7">
        <v>1995</v>
      </c>
      <c r="F184" s="8">
        <f>IFERROR(E184/E444, "NA")</f>
        <v>3.0156320844207684E-3</v>
      </c>
      <c r="G184" s="9"/>
      <c r="H184" s="10">
        <f t="shared" si="44"/>
        <v>-1</v>
      </c>
      <c r="I184" s="8">
        <f>IFERROR(H184/H444, "NA")</f>
        <v>3.406275312883424E-5</v>
      </c>
      <c r="J184" s="9"/>
      <c r="K184" s="7">
        <v>2950</v>
      </c>
      <c r="L184" s="8">
        <f>IFERROR(K184/K444, "NA")</f>
        <v>4.8883385006385409E-3</v>
      </c>
      <c r="M184" s="9"/>
      <c r="N184" s="10">
        <f t="shared" si="45"/>
        <v>954</v>
      </c>
      <c r="O184" s="8">
        <f>IFERROR(N184/N444, "NA")</f>
        <v>3.3219305918468549E-2</v>
      </c>
      <c r="P184" s="9"/>
      <c r="Q184" s="7">
        <v>1662</v>
      </c>
      <c r="R184" s="8">
        <f>IFERROR(Q184/Q444, "NA")</f>
        <v>7.107116240888683E-4</v>
      </c>
      <c r="S184" s="9"/>
      <c r="T184" s="7">
        <v>8707.5</v>
      </c>
      <c r="U184" s="8">
        <f>IFERROR(T184/T444, "NA")</f>
        <v>3.5994147035464386E-3</v>
      </c>
      <c r="V184" s="9"/>
      <c r="W184" s="10">
        <f t="shared" si="46"/>
        <v>7045.5</v>
      </c>
      <c r="X184" s="8">
        <f>IFERROR(W184/W444, "NA")</f>
        <v>-8.7367527304910042E-2</v>
      </c>
      <c r="Y184" s="9"/>
      <c r="Z184" s="7">
        <v>11800</v>
      </c>
      <c r="AA184" s="8">
        <f>IFERROR(Z184/Z444, "NA")</f>
        <v>5.2153056970660246E-3</v>
      </c>
      <c r="AB184" s="9"/>
      <c r="AC184" s="10">
        <f t="shared" si="47"/>
        <v>10138</v>
      </c>
      <c r="AD184" s="8">
        <f>IFERROR(AC184/AC444, "NA")</f>
        <v>0.13351752025645713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13174.890000000001</v>
      </c>
      <c r="C186" s="8">
        <f>IFERROR(B186/B444, "NA")</f>
        <v>2.0839905999296707E-2</v>
      </c>
      <c r="D186" s="9"/>
      <c r="E186" s="7">
        <v>15796.330000000002</v>
      </c>
      <c r="F186" s="8">
        <f>IFERROR(E186/E444, "NA")</f>
        <v>2.3877653916841265E-2</v>
      </c>
      <c r="G186" s="9"/>
      <c r="H186" s="10">
        <f t="shared" ref="H186:H197" si="48">IFERROR(-(B186-E186), "NA")</f>
        <v>2621.4400000000005</v>
      </c>
      <c r="I186" s="8">
        <f>IFERROR(H186/H444, "NA")</f>
        <v>-8.9293463562051242E-2</v>
      </c>
      <c r="J186" s="9"/>
      <c r="K186" s="7">
        <v>14406.469999999998</v>
      </c>
      <c r="L186" s="8">
        <f>IFERROR(K186/K444, "NA")</f>
        <v>2.3872441342133597E-2</v>
      </c>
      <c r="M186" s="9"/>
      <c r="N186" s="10">
        <f t="shared" ref="N186:N197" si="49">IFERROR(-(B186-K186), "NA")</f>
        <v>1231.5799999999963</v>
      </c>
      <c r="O186" s="8">
        <f>IFERROR(N186/N444, "NA")</f>
        <v>4.2884940024179641E-2</v>
      </c>
      <c r="P186" s="9"/>
      <c r="Q186" s="7">
        <v>56083.920000000006</v>
      </c>
      <c r="R186" s="8">
        <f>IFERROR(Q186/Q444, "NA")</f>
        <v>2.3982848296311771E-2</v>
      </c>
      <c r="S186" s="9"/>
      <c r="T186" s="7">
        <v>64075.26</v>
      </c>
      <c r="U186" s="8">
        <f>IFERROR(T186/T444, "NA")</f>
        <v>2.648675658657031E-2</v>
      </c>
      <c r="V186" s="9"/>
      <c r="W186" s="10">
        <f t="shared" ref="W186:W197" si="50">IFERROR(-(Q186-T186), "NA")</f>
        <v>7991.3399999999965</v>
      </c>
      <c r="X186" s="8">
        <f>IFERROR(W186/W444, "NA")</f>
        <v>-9.9096389986916403E-2</v>
      </c>
      <c r="Y186" s="9"/>
      <c r="Z186" s="7">
        <v>60054.110000000008</v>
      </c>
      <c r="AA186" s="8">
        <f>IFERROR(Z186/Z444, "NA")</f>
        <v>2.6542418814849977E-2</v>
      </c>
      <c r="AB186" s="9"/>
      <c r="AC186" s="10">
        <f t="shared" ref="AC186:AC197" si="51">IFERROR(-(Q186-Z186), "NA")</f>
        <v>3970.1900000000023</v>
      </c>
      <c r="AD186" s="8">
        <f>IFERROR(AC186/AC444, "NA")</f>
        <v>5.2287425897315429E-2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13174.890000000001</v>
      </c>
      <c r="C193" s="15">
        <f>IFERROR(B193/B444, "NA")</f>
        <v>2.0839905999296707E-2</v>
      </c>
      <c r="D193" s="2"/>
      <c r="E193" s="14">
        <f>IFERROR(E186+E187+E188+E189+E190+E191+E192, "NA")</f>
        <v>15796.330000000002</v>
      </c>
      <c r="F193" s="15">
        <f>IFERROR(E193/E444, "NA")</f>
        <v>2.3877653916841265E-2</v>
      </c>
      <c r="G193" s="2"/>
      <c r="H193" s="14">
        <f t="shared" si="48"/>
        <v>2621.4400000000005</v>
      </c>
      <c r="I193" s="15">
        <f>IFERROR(H193/H444, "NA")</f>
        <v>-8.9293463562051242E-2</v>
      </c>
      <c r="J193" s="2"/>
      <c r="K193" s="14">
        <f>IFERROR(K186+K187+K188+K189+K190+K191+K192, "NA")</f>
        <v>14406.469999999998</v>
      </c>
      <c r="L193" s="15">
        <f>IFERROR(K193/K444, "NA")</f>
        <v>2.3872441342133597E-2</v>
      </c>
      <c r="M193" s="2"/>
      <c r="N193" s="14">
        <f t="shared" si="49"/>
        <v>1231.5799999999963</v>
      </c>
      <c r="O193" s="15">
        <f>IFERROR(N193/N444, "NA")</f>
        <v>4.2884940024179641E-2</v>
      </c>
      <c r="P193" s="2"/>
      <c r="Q193" s="14">
        <f>IFERROR(Q186+Q187+Q188+Q189+Q190+Q191+Q192, "NA")</f>
        <v>56083.920000000006</v>
      </c>
      <c r="R193" s="15">
        <f>IFERROR(Q193/Q444, "NA")</f>
        <v>2.3982848296311771E-2</v>
      </c>
      <c r="S193" s="2"/>
      <c r="T193" s="14">
        <f>IFERROR(T186+T187+T188+T189+T190+T191+T192, "NA")</f>
        <v>64075.26</v>
      </c>
      <c r="U193" s="15">
        <f>IFERROR(T193/T444, "NA")</f>
        <v>2.648675658657031E-2</v>
      </c>
      <c r="V193" s="2"/>
      <c r="W193" s="14">
        <f t="shared" si="50"/>
        <v>7991.3399999999965</v>
      </c>
      <c r="X193" s="15">
        <f>IFERROR(W193/W444, "NA")</f>
        <v>-9.9096389986916403E-2</v>
      </c>
      <c r="Y193" s="2"/>
      <c r="Z193" s="14">
        <f>IFERROR(Z186+Z187+Z188+Z189+Z190+Z191+Z192, "NA")</f>
        <v>60054.110000000008</v>
      </c>
      <c r="AA193" s="15">
        <f>IFERROR(Z193/Z444, "NA")</f>
        <v>2.6542418814849977E-2</v>
      </c>
      <c r="AB193" s="2"/>
      <c r="AC193" s="14">
        <f t="shared" si="51"/>
        <v>3970.1900000000023</v>
      </c>
      <c r="AD193" s="15">
        <f>IFERROR(AC193/AC444, "NA")</f>
        <v>5.2287425897315429E-2</v>
      </c>
    </row>
    <row r="194" spans="1:30" ht="16.5" customHeight="1" x14ac:dyDescent="0.45">
      <c r="A194" s="6" t="s">
        <v>178</v>
      </c>
      <c r="B194" s="7">
        <v>1138.54</v>
      </c>
      <c r="C194" s="8">
        <f>IFERROR(B194/B444, "NA")</f>
        <v>1.8009309054147146E-3</v>
      </c>
      <c r="D194" s="9"/>
      <c r="E194" s="7">
        <v>1235.56</v>
      </c>
      <c r="F194" s="8">
        <f>IFERROR(E194/E444, "NA")</f>
        <v>1.8676663550009649E-3</v>
      </c>
      <c r="G194" s="9"/>
      <c r="H194" s="10">
        <f t="shared" si="48"/>
        <v>97.019999999999982</v>
      </c>
      <c r="I194" s="8">
        <f>IFERROR(H194/H444, "NA")</f>
        <v>-3.304768308559497E-3</v>
      </c>
      <c r="J194" s="9"/>
      <c r="K194" s="7">
        <v>1185.76</v>
      </c>
      <c r="L194" s="8">
        <f>IFERROR(K194/K444, "NA")</f>
        <v>1.9648800883109003E-3</v>
      </c>
      <c r="M194" s="9"/>
      <c r="N194" s="10">
        <f t="shared" si="49"/>
        <v>47.220000000000027</v>
      </c>
      <c r="O194" s="8">
        <f>IFERROR(N194/N444, "NA")</f>
        <v>1.6442511797380357E-3</v>
      </c>
      <c r="P194" s="9"/>
      <c r="Q194" s="7">
        <v>5354.49</v>
      </c>
      <c r="R194" s="8">
        <f>IFERROR(Q194/Q444, "NA")</f>
        <v>2.2897101588854416E-3</v>
      </c>
      <c r="S194" s="9"/>
      <c r="T194" s="7">
        <v>4659.6499999999996</v>
      </c>
      <c r="U194" s="8">
        <f>IFERROR(T194/T444, "NA")</f>
        <v>1.9261570741751549E-3</v>
      </c>
      <c r="V194" s="9"/>
      <c r="W194" s="10">
        <f t="shared" si="50"/>
        <v>-694.84000000000015</v>
      </c>
      <c r="X194" s="8">
        <f>IFERROR(W194/W444, "NA")</f>
        <v>8.61634414485043E-3</v>
      </c>
      <c r="Y194" s="9"/>
      <c r="Z194" s="7">
        <v>5253.4400000000005</v>
      </c>
      <c r="AA194" s="8">
        <f>IFERROR(Z194/Z444, "NA")</f>
        <v>2.3218894543385201E-3</v>
      </c>
      <c r="AB194" s="9"/>
      <c r="AC194" s="10">
        <f t="shared" si="51"/>
        <v>-101.04999999999927</v>
      </c>
      <c r="AD194" s="8">
        <f>IFERROR(AC194/AC444, "NA")</f>
        <v>-1.3308291006031657E-3</v>
      </c>
    </row>
    <row r="195" spans="1:30" ht="16.5" customHeight="1" x14ac:dyDescent="0.45">
      <c r="A195" s="6" t="s">
        <v>179</v>
      </c>
      <c r="B195" s="7">
        <v>1922.65</v>
      </c>
      <c r="C195" s="8">
        <f>IFERROR(B195/B444, "NA")</f>
        <v>3.0412280686630258E-3</v>
      </c>
      <c r="D195" s="9"/>
      <c r="E195" s="7">
        <v>1778.8</v>
      </c>
      <c r="F195" s="8">
        <f>IFERROR(E195/E444, "NA")</f>
        <v>2.6888252389812846E-3</v>
      </c>
      <c r="G195" s="9"/>
      <c r="H195" s="10">
        <f t="shared" si="48"/>
        <v>-143.85000000000014</v>
      </c>
      <c r="I195" s="8">
        <f>IFERROR(H195/H444, "NA")</f>
        <v>4.8999270375828094E-3</v>
      </c>
      <c r="J195" s="9"/>
      <c r="K195" s="7">
        <v>1520.08</v>
      </c>
      <c r="L195" s="8">
        <f>IFERROR(K195/K444, "NA")</f>
        <v>2.5188696908646216E-3</v>
      </c>
      <c r="M195" s="9"/>
      <c r="N195" s="10">
        <f t="shared" si="49"/>
        <v>-402.57000000000016</v>
      </c>
      <c r="O195" s="8">
        <f>IFERROR(N195/N444, "NA")</f>
        <v>-1.4017920318236782E-2</v>
      </c>
      <c r="P195" s="9"/>
      <c r="Q195" s="7">
        <v>7304.06</v>
      </c>
      <c r="R195" s="8">
        <f>IFERROR(Q195/Q444, "NA")</f>
        <v>3.1233937094118768E-3</v>
      </c>
      <c r="S195" s="9"/>
      <c r="T195" s="7">
        <v>7521.34</v>
      </c>
      <c r="U195" s="8">
        <f>IFERROR(T195/T444, "NA")</f>
        <v>3.1090923670826264E-3</v>
      </c>
      <c r="V195" s="9"/>
      <c r="W195" s="10">
        <f t="shared" si="50"/>
        <v>217.27999999999975</v>
      </c>
      <c r="X195" s="8">
        <f>IFERROR(W195/W444, "NA")</f>
        <v>-2.6943746125627469E-3</v>
      </c>
      <c r="Y195" s="9"/>
      <c r="Z195" s="7">
        <v>5560.23</v>
      </c>
      <c r="AA195" s="8">
        <f>IFERROR(Z195/Z444, "NA")</f>
        <v>2.4574829827116455E-3</v>
      </c>
      <c r="AB195" s="9"/>
      <c r="AC195" s="10">
        <f t="shared" si="51"/>
        <v>-1743.8300000000008</v>
      </c>
      <c r="AD195" s="8">
        <f>IFERROR(AC195/AC444, "NA")</f>
        <v>-2.2966251464669338E-2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158852.76000000004</v>
      </c>
      <c r="C196" s="15">
        <f>IFERROR(B196/B444, "NA")</f>
        <v>0.25127166800852535</v>
      </c>
      <c r="D196" s="2"/>
      <c r="E196" s="14">
        <f>IFERROR(E175+E177+E178+E179+E180+E181+E183+E184+E186+E187+E188+E189+E190+E191+E192+E194+E195, "NA")</f>
        <v>173254.26</v>
      </c>
      <c r="F196" s="15">
        <f>IFERROR(E196/E444, "NA")</f>
        <v>0.26189027830505152</v>
      </c>
      <c r="G196" s="2"/>
      <c r="H196" s="14">
        <f t="shared" si="48"/>
        <v>14401.499999999971</v>
      </c>
      <c r="I196" s="15">
        <f>IFERROR(H196/H444, "NA")</f>
        <v>-0.49055473918490528</v>
      </c>
      <c r="J196" s="2"/>
      <c r="K196" s="14">
        <f>IFERROR(K175+K177+K178+K179+K180+K181+K183+K184+K186+K187+K188+K189+K190+K191+K192+K194+K195, "NA")</f>
        <v>167946.47999999998</v>
      </c>
      <c r="L196" s="15">
        <f>IFERROR(K196/K444, "NA")</f>
        <v>0.27829804889176973</v>
      </c>
      <c r="M196" s="2"/>
      <c r="N196" s="14">
        <f t="shared" si="49"/>
        <v>9093.719999999943</v>
      </c>
      <c r="O196" s="15">
        <f>IFERROR(N196/N444, "NA")</f>
        <v>0.31665310966131444</v>
      </c>
      <c r="P196" s="2"/>
      <c r="Q196" s="14">
        <f>IFERROR(Q175+Q177+Q178+Q179+Q180+Q181+Q183+Q184+Q186+Q187+Q188+Q189+Q190+Q191+Q192+Q194+Q195, "NA")</f>
        <v>621562.47000000009</v>
      </c>
      <c r="R196" s="15">
        <f>IFERROR(Q196/Q444, "NA")</f>
        <v>0.26579523016028189</v>
      </c>
      <c r="S196" s="2"/>
      <c r="T196" s="14">
        <f>IFERROR(T175+T177+T178+T179+T180+T181+T183+T184+T186+T187+T188+T189+T190+T191+T192+T194+T195, "NA")</f>
        <v>658711.27</v>
      </c>
      <c r="U196" s="15">
        <f>IFERROR(T196/T444, "NA")</f>
        <v>0.27229113185526821</v>
      </c>
      <c r="V196" s="2"/>
      <c r="W196" s="14">
        <f t="shared" si="50"/>
        <v>37148.79999999993</v>
      </c>
      <c r="X196" s="15">
        <f>IFERROR(W196/W444, "NA")</f>
        <v>-0.46066266387689109</v>
      </c>
      <c r="Y196" s="2"/>
      <c r="Z196" s="14">
        <f>IFERROR(Z175+Z177+Z178+Z179+Z180+Z181+Z183+Z184+Z186+Z187+Z188+Z189+Z190+Z191+Z192+Z194+Z195, "NA")</f>
        <v>643232.5</v>
      </c>
      <c r="AA196" s="15">
        <f>IFERROR(Z196/Z444, "NA")</f>
        <v>0.28429272218542556</v>
      </c>
      <c r="AB196" s="2"/>
      <c r="AC196" s="14">
        <f t="shared" si="51"/>
        <v>21670.029999999912</v>
      </c>
      <c r="AD196" s="15">
        <f>IFERROR(AC196/AC444, "NA")</f>
        <v>0.28539442389850284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158852.76000000004</v>
      </c>
      <c r="C197" s="15">
        <f>IFERROR(B197/B444, "NA")</f>
        <v>0.25127166800852535</v>
      </c>
      <c r="D197" s="2"/>
      <c r="E197" s="14">
        <f>IFERROR(E175+E177+E178+E179+E180+E181+E183+E184+E186+E187+E188+E189+E190+E191+E192+E194+E195, "NA")</f>
        <v>173254.26</v>
      </c>
      <c r="F197" s="15">
        <f>IFERROR(E197/E444, "NA")</f>
        <v>0.26189027830505152</v>
      </c>
      <c r="G197" s="2"/>
      <c r="H197" s="14">
        <f t="shared" si="48"/>
        <v>14401.499999999971</v>
      </c>
      <c r="I197" s="15">
        <f>IFERROR(H197/H444, "NA")</f>
        <v>-0.49055473918490528</v>
      </c>
      <c r="J197" s="2"/>
      <c r="K197" s="14">
        <f>IFERROR(K175+K177+K178+K179+K180+K181+K183+K184+K186+K187+K188+K189+K190+K191+K192+K194+K195, "NA")</f>
        <v>167946.47999999998</v>
      </c>
      <c r="L197" s="15">
        <f>IFERROR(K197/K444, "NA")</f>
        <v>0.27829804889176973</v>
      </c>
      <c r="M197" s="2"/>
      <c r="N197" s="14">
        <f t="shared" si="49"/>
        <v>9093.719999999943</v>
      </c>
      <c r="O197" s="15">
        <f>IFERROR(N197/N444, "NA")</f>
        <v>0.31665310966131444</v>
      </c>
      <c r="P197" s="2"/>
      <c r="Q197" s="14">
        <f>IFERROR(Q175+Q177+Q178+Q179+Q180+Q181+Q183+Q184+Q186+Q187+Q188+Q189+Q190+Q191+Q192+Q194+Q195, "NA")</f>
        <v>621562.47000000009</v>
      </c>
      <c r="R197" s="15">
        <f>IFERROR(Q197/Q444, "NA")</f>
        <v>0.26579523016028189</v>
      </c>
      <c r="S197" s="2"/>
      <c r="T197" s="14">
        <f>IFERROR(T175+T177+T178+T179+T180+T181+T183+T184+T186+T187+T188+T189+T190+T191+T192+T194+T195, "NA")</f>
        <v>658711.27</v>
      </c>
      <c r="U197" s="15">
        <f>IFERROR(T197/T444, "NA")</f>
        <v>0.27229113185526821</v>
      </c>
      <c r="V197" s="2"/>
      <c r="W197" s="14">
        <f t="shared" si="50"/>
        <v>37148.79999999993</v>
      </c>
      <c r="X197" s="15">
        <f>IFERROR(W197/W444, "NA")</f>
        <v>-0.46066266387689109</v>
      </c>
      <c r="Y197" s="2"/>
      <c r="Z197" s="14">
        <f>IFERROR(Z175+Z177+Z178+Z179+Z180+Z181+Z183+Z184+Z186+Z187+Z188+Z189+Z190+Z191+Z192+Z194+Z195, "NA")</f>
        <v>643232.5</v>
      </c>
      <c r="AA197" s="15">
        <f>IFERROR(Z197/Z444, "NA")</f>
        <v>0.28429272218542556</v>
      </c>
      <c r="AB197" s="2"/>
      <c r="AC197" s="14">
        <f t="shared" si="51"/>
        <v>21670.029999999912</v>
      </c>
      <c r="AD197" s="15">
        <f>IFERROR(AC197/AC444, "NA")</f>
        <v>0.28539442389850284</v>
      </c>
    </row>
    <row r="198" spans="1:30" ht="16.5" customHeight="1" x14ac:dyDescent="0.45">
      <c r="A198" s="22" t="s">
        <v>181</v>
      </c>
      <c r="B198" s="23">
        <f>IFERROR(B172-B197, "NA")</f>
        <v>300396.18999999994</v>
      </c>
      <c r="C198" s="24">
        <f>IFERROR(B198/B444, "NA")</f>
        <v>0.47516361519123662</v>
      </c>
      <c r="D198" s="25"/>
      <c r="E198" s="23">
        <f>IFERROR(E172-E197, "NA")</f>
        <v>315173.64999999985</v>
      </c>
      <c r="F198" s="24">
        <f>IFERROR(E198/E444, "NA")</f>
        <v>0.47641492285914855</v>
      </c>
      <c r="G198" s="25"/>
      <c r="H198" s="23">
        <f>IFERROR(B198-E198, "NA")</f>
        <v>-14777.459999999905</v>
      </c>
      <c r="I198" s="24">
        <f>IFERROR(H198/H444, "NA")</f>
        <v>0.50336097185121953</v>
      </c>
      <c r="J198" s="25"/>
      <c r="K198" s="23">
        <f>IFERROR(K172-K197, "NA")</f>
        <v>255393.3899999999</v>
      </c>
      <c r="L198" s="24">
        <f>IFERROR(K198/K444, "NA")</f>
        <v>0.42320316649003176</v>
      </c>
      <c r="M198" s="25"/>
      <c r="N198" s="23">
        <f>IFERROR(B198-K198, "NA")</f>
        <v>45002.800000000047</v>
      </c>
      <c r="O198" s="24">
        <f>IFERROR(N198/N444, "NA")</f>
        <v>1.5670458913916752</v>
      </c>
      <c r="P198" s="25"/>
      <c r="Q198" s="23">
        <f>IFERROR(Q172-Q197, "NA")</f>
        <v>1075706.3700000006</v>
      </c>
      <c r="R198" s="24">
        <f>IFERROR(Q198/Q444, "NA")</f>
        <v>0.45999820774093952</v>
      </c>
      <c r="S198" s="25"/>
      <c r="T198" s="23">
        <f>IFERROR(T172-T197, "NA")</f>
        <v>1121905.2499999995</v>
      </c>
      <c r="U198" s="24">
        <f>IFERROR(T198/T444, "NA")</f>
        <v>0.46376138419017415</v>
      </c>
      <c r="V198" s="25"/>
      <c r="W198" s="23">
        <f>IFERROR(Q198-T198, "NA")</f>
        <v>-46198.879999998957</v>
      </c>
      <c r="X198" s="24">
        <f>IFERROR(W198/W444, "NA")</f>
        <v>0.57288792986390902</v>
      </c>
      <c r="Y198" s="25"/>
      <c r="Z198" s="23">
        <f>IFERROR(Z172-Z197, "NA")</f>
        <v>990996.20000000112</v>
      </c>
      <c r="AA198" s="24">
        <f>IFERROR(Z198/Z444, "NA")</f>
        <v>0.43799560403650739</v>
      </c>
      <c r="AB198" s="25"/>
      <c r="AC198" s="23">
        <f>IFERROR(Q198-Z198, "NA")</f>
        <v>84710.16999999946</v>
      </c>
      <c r="AD198" s="24">
        <f>IFERROR(AC198/AC444, "NA")</f>
        <v>1.1156334423853673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5525.7699999999995</v>
      </c>
      <c r="C202" s="8">
        <f>IFERROR(B202/B444, "NA")</f>
        <v>8.7406063636002833E-3</v>
      </c>
      <c r="D202" s="9"/>
      <c r="E202" s="7">
        <v>6092.9000000000005</v>
      </c>
      <c r="F202" s="8">
        <f>IFERROR(E202/E444, "NA")</f>
        <v>9.2099973569760921E-3</v>
      </c>
      <c r="G202" s="9"/>
      <c r="H202" s="10">
        <f t="shared" si="52"/>
        <v>567.13000000000102</v>
      </c>
      <c r="I202" s="8">
        <f>IFERROR(H202/H444, "NA")</f>
        <v>-1.9318009181955795E-2</v>
      </c>
      <c r="J202" s="9"/>
      <c r="K202" s="7">
        <v>5461.2900000000009</v>
      </c>
      <c r="L202" s="8">
        <f>IFERROR(K202/K444, "NA")</f>
        <v>9.049706498356699E-3</v>
      </c>
      <c r="M202" s="9"/>
      <c r="N202" s="10">
        <f t="shared" si="53"/>
        <v>-64.479999999998654</v>
      </c>
      <c r="O202" s="8">
        <f>IFERROR(N202/N444, "NA")</f>
        <v>-2.2452629409044104E-3</v>
      </c>
      <c r="P202" s="9"/>
      <c r="Q202" s="7">
        <v>23520.34</v>
      </c>
      <c r="R202" s="8">
        <f>IFERROR(Q202/Q444, "NA")</f>
        <v>1.0057869458798057E-2</v>
      </c>
      <c r="S202" s="9"/>
      <c r="T202" s="7">
        <v>22362.97</v>
      </c>
      <c r="U202" s="8">
        <f>IFERROR(T202/T444, "NA")</f>
        <v>9.2441691682995011E-3</v>
      </c>
      <c r="V202" s="9"/>
      <c r="W202" s="10">
        <f t="shared" si="54"/>
        <v>-1157.369999999999</v>
      </c>
      <c r="X202" s="8">
        <f>IFERROR(W202/W444, "NA")</f>
        <v>1.4351934579076523E-2</v>
      </c>
      <c r="Y202" s="9"/>
      <c r="Z202" s="7">
        <v>22297.82</v>
      </c>
      <c r="AA202" s="8">
        <f>IFERROR(Z202/Z444, "NA")</f>
        <v>9.8550803117078596E-3</v>
      </c>
      <c r="AB202" s="9"/>
      <c r="AC202" s="10">
        <f t="shared" si="55"/>
        <v>-1222.5200000000004</v>
      </c>
      <c r="AD202" s="8">
        <f>IFERROR(AC202/AC444, "NA")</f>
        <v>-1.6100595666198859E-2</v>
      </c>
    </row>
    <row r="203" spans="1:30" ht="16.5" customHeight="1" x14ac:dyDescent="0.45">
      <c r="A203" s="6" t="s">
        <v>185</v>
      </c>
      <c r="B203" s="7">
        <v>4328.6499999999996</v>
      </c>
      <c r="C203" s="8">
        <f>IFERROR(B203/B444, "NA")</f>
        <v>6.8470142144530744E-3</v>
      </c>
      <c r="D203" s="9"/>
      <c r="E203" s="7">
        <v>4346.32</v>
      </c>
      <c r="F203" s="8">
        <f>IFERROR(E203/E444, "NA")</f>
        <v>6.5698757098544731E-3</v>
      </c>
      <c r="G203" s="9"/>
      <c r="H203" s="10">
        <f t="shared" si="52"/>
        <v>17.670000000000073</v>
      </c>
      <c r="I203" s="8">
        <f>IFERROR(H203/H444, "NA")</f>
        <v>-6.018888477865034E-4</v>
      </c>
      <c r="J203" s="9"/>
      <c r="K203" s="7">
        <v>6897.03</v>
      </c>
      <c r="L203" s="8">
        <f>IFERROR(K203/K444, "NA")</f>
        <v>1.1428819420020012E-2</v>
      </c>
      <c r="M203" s="9"/>
      <c r="N203" s="10">
        <f t="shared" si="53"/>
        <v>2568.38</v>
      </c>
      <c r="O203" s="8">
        <f>IFERROR(N203/N444, "NA")</f>
        <v>8.9433753600499225E-2</v>
      </c>
      <c r="P203" s="9"/>
      <c r="Q203" s="7">
        <v>16453.989999999998</v>
      </c>
      <c r="R203" s="8">
        <f>IFERROR(Q203/Q444, "NA")</f>
        <v>7.0361263271010808E-3</v>
      </c>
      <c r="S203" s="9"/>
      <c r="T203" s="7">
        <v>16027.23</v>
      </c>
      <c r="U203" s="8">
        <f>IFERROR(T203/T444, "NA")</f>
        <v>6.6251676507746863E-3</v>
      </c>
      <c r="V203" s="9"/>
      <c r="W203" s="10">
        <f t="shared" si="54"/>
        <v>-426.7599999999984</v>
      </c>
      <c r="X203" s="8">
        <f>IFERROR(W203/W444, "NA")</f>
        <v>5.2920255415007129E-3</v>
      </c>
      <c r="Y203" s="9"/>
      <c r="Z203" s="7">
        <v>18143.400000000001</v>
      </c>
      <c r="AA203" s="8">
        <f>IFERROR(Z203/Z444, "NA")</f>
        <v>8.018930286792179E-3</v>
      </c>
      <c r="AB203" s="9"/>
      <c r="AC203" s="10">
        <f t="shared" si="55"/>
        <v>1689.4100000000035</v>
      </c>
      <c r="AD203" s="8">
        <f>IFERROR(AC203/AC444, "NA")</f>
        <v>2.2249539741217371E-2</v>
      </c>
    </row>
    <row r="204" spans="1:30" ht="16.5" customHeight="1" x14ac:dyDescent="0.45">
      <c r="A204" s="6" t="s">
        <v>186</v>
      </c>
      <c r="B204" s="7">
        <v>506.31999999999994</v>
      </c>
      <c r="C204" s="8">
        <f>IFERROR(B204/B444, "NA")</f>
        <v>8.0089178775412211E-4</v>
      </c>
      <c r="D204" s="9"/>
      <c r="E204" s="7">
        <v>1323.1200000000001</v>
      </c>
      <c r="F204" s="8">
        <f>IFERROR(E204/E444, "NA")</f>
        <v>2.0000216158089263E-3</v>
      </c>
      <c r="G204" s="9"/>
      <c r="H204" s="10">
        <f t="shared" si="52"/>
        <v>816.80000000000018</v>
      </c>
      <c r="I204" s="8">
        <f>IFERROR(H204/H444, "NA")</f>
        <v>-2.7822456755631809E-2</v>
      </c>
      <c r="J204" s="9"/>
      <c r="K204" s="7">
        <v>567.14</v>
      </c>
      <c r="L204" s="8">
        <f>IFERROR(K204/K444, "NA")</f>
        <v>9.3978721940750581E-4</v>
      </c>
      <c r="M204" s="9"/>
      <c r="N204" s="10">
        <f t="shared" si="53"/>
        <v>60.82000000000005</v>
      </c>
      <c r="O204" s="8">
        <f>IFERROR(N204/N444, "NA")</f>
        <v>2.1178178049908376E-3</v>
      </c>
      <c r="P204" s="9"/>
      <c r="Q204" s="7">
        <v>3238.75</v>
      </c>
      <c r="R204" s="8">
        <f>IFERROR(Q204/Q444, "NA")</f>
        <v>1.3849682746797968E-3</v>
      </c>
      <c r="S204" s="9"/>
      <c r="T204" s="7">
        <v>4838.3100000000004</v>
      </c>
      <c r="U204" s="8">
        <f>IFERROR(T204/T444, "NA")</f>
        <v>2.0000096645783256E-3</v>
      </c>
      <c r="V204" s="9"/>
      <c r="W204" s="10">
        <f t="shared" si="54"/>
        <v>1599.5600000000004</v>
      </c>
      <c r="X204" s="8">
        <f>IFERROR(W204/W444, "NA")</f>
        <v>-1.9835299407542677E-2</v>
      </c>
      <c r="Y204" s="9"/>
      <c r="Z204" s="7">
        <v>2094.8900000000003</v>
      </c>
      <c r="AA204" s="8">
        <f>IFERROR(Z204/Z444, "NA")</f>
        <v>9.2588913150225803E-4</v>
      </c>
      <c r="AB204" s="9"/>
      <c r="AC204" s="10">
        <f t="shared" si="55"/>
        <v>-1143.8599999999997</v>
      </c>
      <c r="AD204" s="8">
        <f>IFERROR(AC204/AC444, "NA")</f>
        <v>-1.5064642998673407E-2</v>
      </c>
    </row>
    <row r="205" spans="1:30" ht="16.5" customHeight="1" x14ac:dyDescent="0.45">
      <c r="A205" s="6" t="s">
        <v>187</v>
      </c>
      <c r="B205" s="7">
        <v>1789.3</v>
      </c>
      <c r="C205" s="8">
        <f>IFERROR(B205/B444, "NA")</f>
        <v>2.8302964050964823E-3</v>
      </c>
      <c r="D205" s="9"/>
      <c r="E205" s="7">
        <v>1984.65</v>
      </c>
      <c r="F205" s="8">
        <f>IFERROR(E205/E444, "NA")</f>
        <v>2.9999870758624955E-3</v>
      </c>
      <c r="G205" s="9"/>
      <c r="H205" s="10">
        <f t="shared" si="52"/>
        <v>195.35000000000014</v>
      </c>
      <c r="I205" s="8">
        <f>IFERROR(H205/H444, "NA")</f>
        <v>-6.6541588237177731E-3</v>
      </c>
      <c r="J205" s="9"/>
      <c r="K205" s="7">
        <v>2084.04</v>
      </c>
      <c r="L205" s="8">
        <f>IFERROR(K205/K444, "NA")</f>
        <v>3.4533874470748286E-3</v>
      </c>
      <c r="M205" s="9"/>
      <c r="N205" s="10">
        <f t="shared" si="53"/>
        <v>294.74</v>
      </c>
      <c r="O205" s="8">
        <f>IFERROR(N205/N444, "NA")</f>
        <v>1.0263163759339016E-2</v>
      </c>
      <c r="P205" s="9"/>
      <c r="Q205" s="7">
        <v>8129.06</v>
      </c>
      <c r="R205" s="8">
        <f>IFERROR(Q205/Q444, "NA")</f>
        <v>3.4761837755209724E-3</v>
      </c>
      <c r="S205" s="9"/>
      <c r="T205" s="7">
        <v>7257.42</v>
      </c>
      <c r="U205" s="8">
        <f>IFERROR(T205/T444, "NA")</f>
        <v>2.9999958952411131E-3</v>
      </c>
      <c r="V205" s="9"/>
      <c r="W205" s="10">
        <f t="shared" si="54"/>
        <v>-871.64000000000033</v>
      </c>
      <c r="X205" s="8">
        <f>IFERROR(W205/W444, "NA")</f>
        <v>1.0808747640345159E-2</v>
      </c>
      <c r="Y205" s="9"/>
      <c r="Z205" s="7">
        <v>8355.08</v>
      </c>
      <c r="AA205" s="8">
        <f>IFERROR(Z205/Z444, "NA")</f>
        <v>3.692736976562915E-3</v>
      </c>
      <c r="AB205" s="9"/>
      <c r="AC205" s="10">
        <f t="shared" si="55"/>
        <v>226.01999999999953</v>
      </c>
      <c r="AD205" s="8">
        <f>IFERROR(AC205/AC444, "NA")</f>
        <v>2.9766847433778235E-3</v>
      </c>
    </row>
    <row r="206" spans="1:30" ht="16.5" customHeight="1" x14ac:dyDescent="0.45">
      <c r="A206" s="6" t="s">
        <v>188</v>
      </c>
      <c r="B206" s="7">
        <v>347.69</v>
      </c>
      <c r="C206" s="8">
        <f>IFERROR(B206/B444, "NA")</f>
        <v>5.4997247923098186E-4</v>
      </c>
      <c r="D206" s="9"/>
      <c r="E206" s="7">
        <v>661.55000000000007</v>
      </c>
      <c r="F206" s="8">
        <f>IFERROR(E206/E444, "NA")</f>
        <v>9.9999569195416524E-4</v>
      </c>
      <c r="G206" s="9"/>
      <c r="H206" s="10">
        <f t="shared" si="52"/>
        <v>313.86000000000007</v>
      </c>
      <c r="I206" s="8">
        <f>IFERROR(H206/H444, "NA")</f>
        <v>-1.0690935697015916E-2</v>
      </c>
      <c r="J206" s="9"/>
      <c r="K206" s="7">
        <v>38.58</v>
      </c>
      <c r="L206" s="8">
        <f>IFERROR(K206/K444, "NA")</f>
        <v>6.3929525204960987E-5</v>
      </c>
      <c r="M206" s="9"/>
      <c r="N206" s="10">
        <f t="shared" si="53"/>
        <v>-309.11</v>
      </c>
      <c r="O206" s="8">
        <f>IFERROR(N206/N444, "NA")</f>
        <v>-1.0763542612639218E-2</v>
      </c>
      <c r="P206" s="9"/>
      <c r="Q206" s="7">
        <v>1621.26</v>
      </c>
      <c r="R206" s="8">
        <f>IFERROR(Q206/Q444, "NA")</f>
        <v>6.9329020918791737E-4</v>
      </c>
      <c r="S206" s="9"/>
      <c r="T206" s="7">
        <v>2419.14</v>
      </c>
      <c r="U206" s="8">
        <f>IFERROR(T206/T444, "NA")</f>
        <v>9.999986317470377E-4</v>
      </c>
      <c r="V206" s="9"/>
      <c r="W206" s="10">
        <f t="shared" si="54"/>
        <v>797.87999999999988</v>
      </c>
      <c r="X206" s="8">
        <f>IFERROR(W206/W444, "NA")</f>
        <v>-9.8940888064781227E-3</v>
      </c>
      <c r="Y206" s="9"/>
      <c r="Z206" s="7">
        <v>484.23</v>
      </c>
      <c r="AA206" s="8">
        <f>IFERROR(Z206/Z444, "NA")</f>
        <v>2.1401758285510857E-4</v>
      </c>
      <c r="AB206" s="9"/>
      <c r="AC206" s="10">
        <f t="shared" si="55"/>
        <v>-1137.03</v>
      </c>
      <c r="AD206" s="8">
        <f>IFERROR(AC206/AC444, "NA")</f>
        <v>-1.4974691858078461E-2</v>
      </c>
    </row>
    <row r="207" spans="1:30" ht="16.5" customHeight="1" x14ac:dyDescent="0.45">
      <c r="A207" s="6" t="s">
        <v>189</v>
      </c>
      <c r="B207" s="7">
        <v>144.01</v>
      </c>
      <c r="C207" s="8">
        <f>IFERROR(B207/B444, "NA")</f>
        <v>2.277935423338425E-4</v>
      </c>
      <c r="D207" s="9"/>
      <c r="E207" s="7">
        <v>500</v>
      </c>
      <c r="F207" s="8">
        <f>IFERROR(E207/E444, "NA")</f>
        <v>7.5579751489242319E-4</v>
      </c>
      <c r="G207" s="9"/>
      <c r="H207" s="10">
        <f t="shared" si="52"/>
        <v>355.99</v>
      </c>
      <c r="I207" s="8">
        <f>IFERROR(H207/H444, "NA")</f>
        <v>-1.2125999486333701E-2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-144.01</v>
      </c>
      <c r="O207" s="8">
        <f>IFERROR(N207/N444, "NA")</f>
        <v>-5.0145830663717566E-3</v>
      </c>
      <c r="P207" s="9"/>
      <c r="Q207" s="7">
        <v>950.56999999999994</v>
      </c>
      <c r="R207" s="8">
        <f>IFERROR(Q207/Q444, "NA")</f>
        <v>4.0648685229251229E-4</v>
      </c>
      <c r="S207" s="9"/>
      <c r="T207" s="7">
        <v>2000</v>
      </c>
      <c r="U207" s="8">
        <f>IFERROR(T207/T444, "NA")</f>
        <v>8.2673894999631082E-4</v>
      </c>
      <c r="V207" s="9"/>
      <c r="W207" s="10">
        <f t="shared" si="54"/>
        <v>1049.43</v>
      </c>
      <c r="X207" s="8">
        <f>IFERROR(W207/W444, "NA")</f>
        <v>-1.3013427603376872E-2</v>
      </c>
      <c r="Y207" s="9"/>
      <c r="Z207" s="7">
        <v>497.99</v>
      </c>
      <c r="AA207" s="8">
        <f>IFERROR(Z207/Z444, "NA")</f>
        <v>2.2009915966795843E-4</v>
      </c>
      <c r="AB207" s="9"/>
      <c r="AC207" s="10">
        <f t="shared" si="55"/>
        <v>-452.57999999999993</v>
      </c>
      <c r="AD207" s="8">
        <f>IFERROR(AC207/AC444, "NA")</f>
        <v>-5.9604812899652151E-3</v>
      </c>
    </row>
    <row r="208" spans="1:30" ht="16.5" customHeight="1" x14ac:dyDescent="0.45">
      <c r="A208" s="6" t="s">
        <v>190</v>
      </c>
      <c r="B208" s="7">
        <v>491.74000000000007</v>
      </c>
      <c r="C208" s="8">
        <f>IFERROR(B208/B444, "NA")</f>
        <v>7.7782929315494569E-4</v>
      </c>
      <c r="D208" s="9"/>
      <c r="E208" s="7">
        <v>500</v>
      </c>
      <c r="F208" s="8">
        <f>IFERROR(E208/E444, "NA")</f>
        <v>7.5579751489242319E-4</v>
      </c>
      <c r="G208" s="9"/>
      <c r="H208" s="10">
        <f t="shared" si="52"/>
        <v>8.2599999999999341</v>
      </c>
      <c r="I208" s="8">
        <f>IFERROR(H208/H444, "NA")</f>
        <v>-2.8135834084416853E-4</v>
      </c>
      <c r="J208" s="9"/>
      <c r="K208" s="7">
        <v>852.29</v>
      </c>
      <c r="L208" s="8">
        <f>IFERROR(K208/K444, "NA")</f>
        <v>1.4122989900709228E-3</v>
      </c>
      <c r="M208" s="9"/>
      <c r="N208" s="10">
        <f t="shared" si="53"/>
        <v>360.5499999999999</v>
      </c>
      <c r="O208" s="8">
        <f>IFERROR(N208/N444, "NA")</f>
        <v>1.2554738730507163E-2</v>
      </c>
      <c r="P208" s="9"/>
      <c r="Q208" s="7">
        <v>1645.2299999999998</v>
      </c>
      <c r="R208" s="8">
        <f>IFERROR(Q208/Q444, "NA")</f>
        <v>7.0354036419959605E-4</v>
      </c>
      <c r="S208" s="9"/>
      <c r="T208" s="7">
        <v>2000</v>
      </c>
      <c r="U208" s="8">
        <f>IFERROR(T208/T444, "NA")</f>
        <v>8.2673894999631082E-4</v>
      </c>
      <c r="V208" s="9"/>
      <c r="W208" s="10">
        <f t="shared" si="54"/>
        <v>354.77000000000021</v>
      </c>
      <c r="X208" s="8">
        <f>IFERROR(W208/W444, "NA")</f>
        <v>-4.3993155435331707E-3</v>
      </c>
      <c r="Y208" s="9"/>
      <c r="Z208" s="7">
        <v>3483.8900000000003</v>
      </c>
      <c r="AA208" s="8">
        <f>IFERROR(Z208/Z444, "NA")</f>
        <v>1.5397924885551994E-3</v>
      </c>
      <c r="AB208" s="9"/>
      <c r="AC208" s="10">
        <f t="shared" si="55"/>
        <v>1838.6600000000005</v>
      </c>
      <c r="AD208" s="8">
        <f>IFERROR(AC208/AC444, "NA")</f>
        <v>2.4215163128303168E-2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13133.479999999998</v>
      </c>
      <c r="C209" s="15">
        <f>IFERROR(B209/B444, "NA")</f>
        <v>2.077440408562373E-2</v>
      </c>
      <c r="D209" s="2"/>
      <c r="E209" s="14">
        <f>IFERROR(E201+E202+E203+E204+E205+E206+E207+E208, "NA")</f>
        <v>15408.54</v>
      </c>
      <c r="F209" s="15">
        <f>IFERROR(E209/E444, "NA")</f>
        <v>2.3291472480241E-2</v>
      </c>
      <c r="G209" s="2"/>
      <c r="H209" s="14">
        <f t="shared" si="52"/>
        <v>2275.0600000000031</v>
      </c>
      <c r="I209" s="15">
        <f>IFERROR(H209/H444, "NA")</f>
        <v>-7.7494807133285729E-2</v>
      </c>
      <c r="J209" s="2"/>
      <c r="K209" s="14">
        <f>IFERROR(K201+K202+K203+K204+K205+K206+K207+K208, "NA")</f>
        <v>15900.369999999999</v>
      </c>
      <c r="L209" s="15">
        <f>IFERROR(K209/K444, "NA")</f>
        <v>2.6347929100134927E-2</v>
      </c>
      <c r="M209" s="2"/>
      <c r="N209" s="14">
        <f t="shared" si="53"/>
        <v>2766.8900000000012</v>
      </c>
      <c r="O209" s="15">
        <f>IFERROR(N209/N444, "NA")</f>
        <v>9.6346085275420851E-2</v>
      </c>
      <c r="P209" s="2"/>
      <c r="Q209" s="14">
        <f>IFERROR(Q201+Q202+Q203+Q204+Q205+Q206+Q207+Q208, "NA")</f>
        <v>55559.200000000004</v>
      </c>
      <c r="R209" s="15">
        <f>IFERROR(Q209/Q444, "NA")</f>
        <v>2.3758465261779937E-2</v>
      </c>
      <c r="S209" s="2"/>
      <c r="T209" s="14">
        <f>IFERROR(T201+T202+T203+T204+T205+T206+T207+T208, "NA")</f>
        <v>56905.069999999992</v>
      </c>
      <c r="U209" s="15">
        <f>IFERROR(T209/T444, "NA")</f>
        <v>2.3522818910633281E-2</v>
      </c>
      <c r="V209" s="2"/>
      <c r="W209" s="14">
        <f t="shared" si="54"/>
        <v>1345.8699999999881</v>
      </c>
      <c r="X209" s="15">
        <f>IFERROR(W209/W444, "NA")</f>
        <v>-1.6689423600008267E-2</v>
      </c>
      <c r="Y209" s="2"/>
      <c r="Z209" s="14">
        <f>IFERROR(Z201+Z202+Z203+Z204+Z205+Z206+Z207+Z208, "NA")</f>
        <v>55357.3</v>
      </c>
      <c r="AA209" s="15">
        <f>IFERROR(Z209/Z444, "NA")</f>
        <v>2.4466545937643479E-2</v>
      </c>
      <c r="AB209" s="2"/>
      <c r="AC209" s="14">
        <f t="shared" si="55"/>
        <v>-201.90000000000146</v>
      </c>
      <c r="AD209" s="15">
        <f>IFERROR(AC209/AC444, "NA")</f>
        <v>-2.6590242000176451E-3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22454.2</v>
      </c>
      <c r="F213" s="8">
        <f>IFERROR(E213/E444, "NA")</f>
        <v>3.3941657117794899E-2</v>
      </c>
      <c r="G213" s="9"/>
      <c r="H213" s="10">
        <f t="shared" ref="H213:H227" si="56">IFERROR(-(B213-E213), "NA")</f>
        <v>22454.2</v>
      </c>
      <c r="I213" s="8">
        <f>IFERROR(H213/H444, "NA")</f>
        <v>-0.76485187130546972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81672.310000000012</v>
      </c>
      <c r="U213" s="8">
        <f>IFERROR(T213/T444, "NA")</f>
        <v>3.3760839906586605E-2</v>
      </c>
      <c r="V213" s="9"/>
      <c r="W213" s="10">
        <f t="shared" ref="W213:W227" si="58">IFERROR(-(Q213-T213), "NA")</f>
        <v>81672.310000000012</v>
      </c>
      <c r="X213" s="8">
        <f>IFERROR(W213/W444, "NA")</f>
        <v>-1.0127752145312723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5825.3</v>
      </c>
      <c r="C214" s="8">
        <f>IFERROR(B214/B444, "NA")</f>
        <v>9.2143998483253439E-3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-5825.3</v>
      </c>
      <c r="I214" s="8">
        <f>IFERROR(H214/H444, "NA")</f>
        <v>0.1984257558013981</v>
      </c>
      <c r="J214" s="9"/>
      <c r="K214" s="7">
        <v>11098.119999999999</v>
      </c>
      <c r="L214" s="8">
        <f>IFERROR(K214/K444, "NA")</f>
        <v>1.8390293993459865E-2</v>
      </c>
      <c r="M214" s="9"/>
      <c r="N214" s="10">
        <f t="shared" si="57"/>
        <v>5272.8199999999988</v>
      </c>
      <c r="O214" s="8">
        <f>IFERROR(N214/N444, "NA")</f>
        <v>0.18360526271804958</v>
      </c>
      <c r="P214" s="9"/>
      <c r="Q214" s="7">
        <v>30829.8</v>
      </c>
      <c r="R214" s="8">
        <f>IFERROR(Q214/Q444, "NA")</f>
        <v>1.3183572339551738E-2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-30829.8</v>
      </c>
      <c r="X214" s="8">
        <f>IFERROR(W214/W444, "NA")</f>
        <v>0.38230407966857077</v>
      </c>
      <c r="Y214" s="9"/>
      <c r="Z214" s="7">
        <v>60307.63</v>
      </c>
      <c r="AA214" s="8">
        <f>IFERROR(Z214/Z444, "NA")</f>
        <v>2.6654468331826258E-2</v>
      </c>
      <c r="AB214" s="9"/>
      <c r="AC214" s="10">
        <f t="shared" si="59"/>
        <v>29477.829999999998</v>
      </c>
      <c r="AD214" s="8">
        <f>IFERROR(AC214/AC444, "NA")</f>
        <v>0.38822319630512914</v>
      </c>
    </row>
    <row r="215" spans="1:30" ht="16.5" customHeight="1" x14ac:dyDescent="0.45">
      <c r="A215" s="12" t="s">
        <v>195</v>
      </c>
      <c r="B215" s="7">
        <v>3430.81</v>
      </c>
      <c r="C215" s="8">
        <f>IFERROR(B215/B444, "NA")</f>
        <v>5.4268201025926685E-3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-3430.81</v>
      </c>
      <c r="I215" s="8">
        <f>IFERROR(H215/H444, "NA")</f>
        <v>0.11686283406193579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-3430.81</v>
      </c>
      <c r="O215" s="8">
        <f>IFERROR(N215/N444, "NA")</f>
        <v>-0.1194644936458502</v>
      </c>
      <c r="P215" s="9"/>
      <c r="Q215" s="7">
        <v>10656.3</v>
      </c>
      <c r="R215" s="8">
        <f>IFERROR(Q215/Q444, "NA")</f>
        <v>4.5568930684586079E-3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-10656.3</v>
      </c>
      <c r="X215" s="8">
        <f>IFERROR(W215/W444, "NA")</f>
        <v>0.13214315253982156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-10656.3</v>
      </c>
      <c r="AD215" s="8">
        <f>IFERROR(AC215/AC444, "NA")</f>
        <v>-0.14034353433703728</v>
      </c>
    </row>
    <row r="216" spans="1:30" ht="16.5" customHeight="1" x14ac:dyDescent="0.45">
      <c r="A216" s="12" t="s">
        <v>196</v>
      </c>
      <c r="B216" s="7">
        <v>372</v>
      </c>
      <c r="C216" s="8">
        <f>IFERROR(B216/B444, "NA")</f>
        <v>5.8842578812713989E-4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-372</v>
      </c>
      <c r="I216" s="8">
        <f>IFERROR(H216/H444, "NA")</f>
        <v>1.2671344163926337E-2</v>
      </c>
      <c r="J216" s="9"/>
      <c r="K216" s="7">
        <v>125.03</v>
      </c>
      <c r="L216" s="8">
        <f>IFERROR(K216/K444, "NA")</f>
        <v>2.0718269923214808E-4</v>
      </c>
      <c r="M216" s="9"/>
      <c r="N216" s="10">
        <f t="shared" si="57"/>
        <v>-246.97</v>
      </c>
      <c r="O216" s="8">
        <f>IFERROR(N216/N444, "NA")</f>
        <v>-8.5997609881385516E-3</v>
      </c>
      <c r="P216" s="9"/>
      <c r="Q216" s="7">
        <v>1018</v>
      </c>
      <c r="R216" s="8">
        <f>IFERROR(Q216/Q444, "NA")</f>
        <v>4.3532156036249573E-4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-1018</v>
      </c>
      <c r="X216" s="8">
        <f>IFERROR(W216/W444, "NA")</f>
        <v>1.2623680760258098E-2</v>
      </c>
      <c r="Y216" s="9"/>
      <c r="Z216" s="7">
        <v>140.94999999999999</v>
      </c>
      <c r="AA216" s="8">
        <f>IFERROR(Z216/Z444, "NA")</f>
        <v>6.2296384576394575E-5</v>
      </c>
      <c r="AB216" s="9"/>
      <c r="AC216" s="10">
        <f t="shared" si="59"/>
        <v>-877.05</v>
      </c>
      <c r="AD216" s="8">
        <f>IFERROR(AC216/AC444, "NA")</f>
        <v>-1.1550753712855169E-2</v>
      </c>
    </row>
    <row r="217" spans="1:30" ht="16.5" customHeight="1" x14ac:dyDescent="0.45">
      <c r="A217" s="12" t="s">
        <v>197</v>
      </c>
      <c r="B217" s="7">
        <v>14963.52</v>
      </c>
      <c r="C217" s="8">
        <f>IFERROR(B217/B444, "NA")</f>
        <v>2.3669142605258656E-2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-14963.52</v>
      </c>
      <c r="I217" s="8">
        <f>IFERROR(H217/H444, "NA")</f>
        <v>0.50969868769837368</v>
      </c>
      <c r="J217" s="9"/>
      <c r="K217" s="7">
        <v>10875.84</v>
      </c>
      <c r="L217" s="8">
        <f>IFERROR(K217/K444, "NA")</f>
        <v>1.8021961830096498E-2</v>
      </c>
      <c r="M217" s="9"/>
      <c r="N217" s="10">
        <f t="shared" si="57"/>
        <v>-4087.6800000000003</v>
      </c>
      <c r="O217" s="8">
        <f>IFERROR(N217/N444, "NA")</f>
        <v>-0.14233741343480666</v>
      </c>
      <c r="P217" s="9"/>
      <c r="Q217" s="7">
        <v>55939.79</v>
      </c>
      <c r="R217" s="8">
        <f>IFERROR(Q217/Q444, "NA")</f>
        <v>2.3921214802701703E-2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-55939.79</v>
      </c>
      <c r="X217" s="8">
        <f>IFERROR(W217/W444, "NA")</f>
        <v>0.6936798141020416</v>
      </c>
      <c r="Y217" s="9"/>
      <c r="Z217" s="7">
        <v>60489</v>
      </c>
      <c r="AA217" s="8">
        <f>IFERROR(Z217/Z444, "NA")</f>
        <v>2.6734629348290403E-2</v>
      </c>
      <c r="AB217" s="9"/>
      <c r="AC217" s="10">
        <f t="shared" si="59"/>
        <v>4549.2099999999991</v>
      </c>
      <c r="AD217" s="8">
        <f>IFERROR(AC217/AC444, "NA")</f>
        <v>5.9913122738792381E-2</v>
      </c>
    </row>
    <row r="218" spans="1:30" ht="16.5" customHeight="1" x14ac:dyDescent="0.45">
      <c r="A218" s="13" t="s">
        <v>198</v>
      </c>
      <c r="B218" s="14">
        <f>IFERROR(B213+B214+B215+B216+B217, "NA")</f>
        <v>24591.63</v>
      </c>
      <c r="C218" s="15">
        <f>IFERROR(B218/B444, "NA")</f>
        <v>3.8898788344303811E-2</v>
      </c>
      <c r="D218" s="2"/>
      <c r="E218" s="14">
        <f>IFERROR(E213+E214+E215+E216+E217, "NA")</f>
        <v>22454.2</v>
      </c>
      <c r="F218" s="15">
        <f>IFERROR(E218/E444, "NA")</f>
        <v>3.3941657117794899E-2</v>
      </c>
      <c r="G218" s="2"/>
      <c r="H218" s="14">
        <f t="shared" si="56"/>
        <v>-2137.4300000000003</v>
      </c>
      <c r="I218" s="15">
        <f>IFERROR(H218/H444, "NA")</f>
        <v>7.2806750420164171E-2</v>
      </c>
      <c r="J218" s="2"/>
      <c r="K218" s="14">
        <f>IFERROR(K213+K214+K215+K216+K217, "NA")</f>
        <v>22098.989999999998</v>
      </c>
      <c r="L218" s="15">
        <f>IFERROR(K218/K444, "NA")</f>
        <v>3.6619438522788511E-2</v>
      </c>
      <c r="M218" s="2"/>
      <c r="N218" s="14">
        <f t="shared" si="57"/>
        <v>-2492.6400000000031</v>
      </c>
      <c r="O218" s="15">
        <f>IFERROR(N218/N444, "NA")</f>
        <v>-8.6796405350745856E-2</v>
      </c>
      <c r="P218" s="2"/>
      <c r="Q218" s="14">
        <f>IFERROR(Q213+Q214+Q215+Q216+Q217, "NA")</f>
        <v>98443.89</v>
      </c>
      <c r="R218" s="15">
        <f>IFERROR(Q218/Q444, "NA")</f>
        <v>4.2097001771074546E-2</v>
      </c>
      <c r="S218" s="2"/>
      <c r="T218" s="14">
        <f>IFERROR(T213+T214+T215+T216+T217, "NA")</f>
        <v>81672.310000000012</v>
      </c>
      <c r="U218" s="15">
        <f>IFERROR(T218/T444, "NA")</f>
        <v>3.3760839906586605E-2</v>
      </c>
      <c r="V218" s="2"/>
      <c r="W218" s="14">
        <f t="shared" si="58"/>
        <v>-16771.579999999987</v>
      </c>
      <c r="X218" s="15">
        <f>IFERROR(W218/W444, "NA")</f>
        <v>0.20797551253941979</v>
      </c>
      <c r="Y218" s="2"/>
      <c r="Z218" s="14">
        <f>IFERROR(Z213+Z214+Z215+Z216+Z217, "NA")</f>
        <v>120937.57999999999</v>
      </c>
      <c r="AA218" s="15">
        <f>IFERROR(Z218/Z444, "NA")</f>
        <v>5.3451394064693049E-2</v>
      </c>
      <c r="AB218" s="2"/>
      <c r="AC218" s="14">
        <f t="shared" si="59"/>
        <v>22493.689999999988</v>
      </c>
      <c r="AD218" s="15">
        <f>IFERROR(AC218/AC444, "NA")</f>
        <v>0.29624203099402896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1146.8500000000001</v>
      </c>
      <c r="C222" s="8">
        <f>IFERROR(B222/B444, "NA")</f>
        <v>1.8140755782623938E-3</v>
      </c>
      <c r="D222" s="9"/>
      <c r="E222" s="7">
        <v>500</v>
      </c>
      <c r="F222" s="8">
        <f>IFERROR(E222/E444, "NA")</f>
        <v>7.5579751489242319E-4</v>
      </c>
      <c r="G222" s="9"/>
      <c r="H222" s="10">
        <f t="shared" si="56"/>
        <v>-646.85000000000014</v>
      </c>
      <c r="I222" s="8">
        <f>IFERROR(H222/H444, "NA")</f>
        <v>2.203349186138643E-2</v>
      </c>
      <c r="J222" s="9"/>
      <c r="K222" s="7">
        <v>1255.1600000000001</v>
      </c>
      <c r="L222" s="8">
        <f>IFERROR(K222/K444, "NA")</f>
        <v>2.0798803228682956E-3</v>
      </c>
      <c r="M222" s="9"/>
      <c r="N222" s="10">
        <f t="shared" si="57"/>
        <v>108.30999999999995</v>
      </c>
      <c r="O222" s="8">
        <f>IFERROR(N222/N444, "NA")</f>
        <v>3.771470675083152E-3</v>
      </c>
      <c r="P222" s="9"/>
      <c r="Q222" s="7">
        <v>4932.6900000000005</v>
      </c>
      <c r="R222" s="8">
        <f>IFERROR(Q222/Q444, "NA")</f>
        <v>2.1093382196311189E-3</v>
      </c>
      <c r="S222" s="9"/>
      <c r="T222" s="7">
        <v>2000</v>
      </c>
      <c r="U222" s="8">
        <f>IFERROR(T222/T444, "NA")</f>
        <v>8.2673894999631082E-4</v>
      </c>
      <c r="V222" s="9"/>
      <c r="W222" s="10">
        <f t="shared" si="58"/>
        <v>-2932.6900000000005</v>
      </c>
      <c r="X222" s="8">
        <f>IFERROR(W222/W444, "NA")</f>
        <v>3.6366740990963972E-2</v>
      </c>
      <c r="Y222" s="9"/>
      <c r="Z222" s="7">
        <v>4493.8100000000004</v>
      </c>
      <c r="AA222" s="8">
        <f>IFERROR(Z222/Z444, "NA")</f>
        <v>1.9861519402145996E-3</v>
      </c>
      <c r="AB222" s="9"/>
      <c r="AC222" s="10">
        <f t="shared" si="59"/>
        <v>-438.88000000000011</v>
      </c>
      <c r="AD222" s="8">
        <f>IFERROR(AC222/AC444, "NA")</f>
        <v>-5.7800522085375734E-3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25738.48</v>
      </c>
      <c r="C227" s="15">
        <f>IFERROR(B227/B444, "NA")</f>
        <v>4.0712863922566199E-2</v>
      </c>
      <c r="D227" s="2"/>
      <c r="E227" s="14">
        <f>IFERROR(E211+E213+E214+E215+E216+E217+E219+E220+E221+E222+E223+E224+E225+E226, "NA")</f>
        <v>22954.2</v>
      </c>
      <c r="F227" s="15">
        <f>IFERROR(E227/E444, "NA")</f>
        <v>3.4697454632687322E-2</v>
      </c>
      <c r="G227" s="2"/>
      <c r="H227" s="14">
        <f t="shared" si="56"/>
        <v>-2784.2799999999988</v>
      </c>
      <c r="I227" s="15">
        <f>IFERROR(H227/H444, "NA")</f>
        <v>9.4840242281550552E-2</v>
      </c>
      <c r="J227" s="2"/>
      <c r="K227" s="14">
        <f>IFERROR(K211+K213+K214+K215+K216+K217+K219+K220+K221+K222+K223+K224+K225+K226, "NA")</f>
        <v>23354.149999999998</v>
      </c>
      <c r="L227" s="15">
        <f>IFERROR(K227/K444, "NA")</f>
        <v>3.8699318845656805E-2</v>
      </c>
      <c r="M227" s="2"/>
      <c r="N227" s="14">
        <f t="shared" si="57"/>
        <v>-2384.3300000000017</v>
      </c>
      <c r="O227" s="15">
        <f>IFERROR(N227/N444, "NA")</f>
        <v>-8.3024934675662659E-2</v>
      </c>
      <c r="P227" s="2"/>
      <c r="Q227" s="14">
        <f>IFERROR(Q211+Q213+Q214+Q215+Q216+Q217+Q219+Q220+Q221+Q222+Q223+Q224+Q225+Q226, "NA")</f>
        <v>103376.58</v>
      </c>
      <c r="R227" s="15">
        <f>IFERROR(Q227/Q444, "NA")</f>
        <v>4.4206339990705668E-2</v>
      </c>
      <c r="S227" s="2"/>
      <c r="T227" s="14">
        <f>IFERROR(T211+T213+T214+T215+T216+T217+T219+T220+T221+T222+T223+T224+T225+T226, "NA")</f>
        <v>83672.310000000012</v>
      </c>
      <c r="U227" s="15">
        <f>IFERROR(T227/T444, "NA")</f>
        <v>3.4587578856582916E-2</v>
      </c>
      <c r="V227" s="2"/>
      <c r="W227" s="14">
        <f t="shared" si="58"/>
        <v>-19704.26999999999</v>
      </c>
      <c r="X227" s="15">
        <f>IFERROR(W227/W444, "NA")</f>
        <v>0.24434225353038377</v>
      </c>
      <c r="Y227" s="2"/>
      <c r="Z227" s="14">
        <f>IFERROR(Z211+Z213+Z214+Z215+Z216+Z217+Z219+Z220+Z221+Z222+Z223+Z224+Z225+Z226, "NA")</f>
        <v>125431.38999999998</v>
      </c>
      <c r="AA227" s="15">
        <f>IFERROR(Z227/Z444, "NA")</f>
        <v>5.5437546004907648E-2</v>
      </c>
      <c r="AB227" s="2"/>
      <c r="AC227" s="14">
        <f t="shared" si="59"/>
        <v>22054.809999999983</v>
      </c>
      <c r="AD227" s="15">
        <f>IFERROR(AC227/AC444, "NA")</f>
        <v>0.29046197878549129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10400.200000000001</v>
      </c>
      <c r="F229" s="8">
        <f>IFERROR(E229/E444, "NA")</f>
        <v>1.5720890628768362E-2</v>
      </c>
      <c r="G229" s="9"/>
      <c r="H229" s="10">
        <f t="shared" ref="H229:H236" si="60">IFERROR(-(B229-E229), "NA")</f>
        <v>10400.200000000001</v>
      </c>
      <c r="I229" s="8">
        <f>IFERROR(H229/H444, "NA")</f>
        <v>-0.35425944509050183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37384.620000000003</v>
      </c>
      <c r="U229" s="8">
        <f>IFERROR(T229/T444, "NA")</f>
        <v>1.5453660742405543E-2</v>
      </c>
      <c r="V229" s="9"/>
      <c r="W229" s="10">
        <f t="shared" ref="W229:W236" si="62">IFERROR(-(Q229-T229), "NA")</f>
        <v>37384.620000000003</v>
      </c>
      <c r="X229" s="8">
        <f>IFERROR(W229/W444, "NA")</f>
        <v>-0.46358694324514743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83.95</v>
      </c>
      <c r="AA230" s="8">
        <f>IFERROR(Z230/Z444, "NA")</f>
        <v>3.7103806209211248E-5</v>
      </c>
      <c r="AB230" s="9"/>
      <c r="AC230" s="10">
        <f t="shared" si="63"/>
        <v>83.95</v>
      </c>
      <c r="AD230" s="8">
        <f>IFERROR(AC230/AC444, "NA")</f>
        <v>1.1056219989672102E-3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1211</v>
      </c>
      <c r="L231" s="8">
        <f>IFERROR(K231/K444, "NA")</f>
        <v>2.0067043811095842E-3</v>
      </c>
      <c r="M231" s="9"/>
      <c r="N231" s="10">
        <f t="shared" si="61"/>
        <v>1211</v>
      </c>
      <c r="O231" s="8">
        <f>IFERROR(N231/N444, "NA")</f>
        <v>4.2168322292731042E-2</v>
      </c>
      <c r="P231" s="9"/>
      <c r="Q231" s="7">
        <v>574</v>
      </c>
      <c r="R231" s="8">
        <f>IFERROR(Q231/Q444, "NA")</f>
        <v>2.4545636114741901E-4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-574</v>
      </c>
      <c r="X231" s="8">
        <f>IFERROR(W231/W444, "NA")</f>
        <v>7.11787107700211E-3</v>
      </c>
      <c r="Y231" s="9"/>
      <c r="Z231" s="7">
        <v>4557.3</v>
      </c>
      <c r="AA231" s="8">
        <f>IFERROR(Z231/Z444, "NA")</f>
        <v>2.014212936715169E-3</v>
      </c>
      <c r="AB231" s="9"/>
      <c r="AC231" s="10">
        <f t="shared" si="63"/>
        <v>3983.3</v>
      </c>
      <c r="AD231" s="8">
        <f>IFERROR(AC231/AC444, "NA")</f>
        <v>5.2460084675236308E-2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39.1</v>
      </c>
      <c r="C233" s="8">
        <f>IFERROR(B233/B444, "NA")</f>
        <v>6.1847979343470882E-5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-39.1</v>
      </c>
      <c r="I233" s="8">
        <f>IFERROR(H233/H444, "NA")</f>
        <v>1.3318536473374187E-3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-39.1</v>
      </c>
      <c r="O233" s="8">
        <f>IFERROR(N233/N444, "NA")</f>
        <v>-1.3615040476018033E-3</v>
      </c>
      <c r="P233" s="9"/>
      <c r="Q233" s="7">
        <v>324.76</v>
      </c>
      <c r="R233" s="8">
        <f>IFERROR(Q233/Q444, "NA")</f>
        <v>1.3887527499344216E-4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-324.76</v>
      </c>
      <c r="X233" s="8">
        <f>IFERROR(W233/W444, "NA")</f>
        <v>4.0271773710230056E-3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-324.76</v>
      </c>
      <c r="AD233" s="8">
        <f>IFERROR(AC233/AC444, "NA")</f>
        <v>-4.2770911302512345E-3</v>
      </c>
    </row>
    <row r="234" spans="1:30" ht="16.5" customHeight="1" x14ac:dyDescent="0.45">
      <c r="A234" s="6" t="s">
        <v>213</v>
      </c>
      <c r="B234" s="7">
        <v>9351.39</v>
      </c>
      <c r="C234" s="8">
        <f>IFERROR(B234/B444, "NA")</f>
        <v>1.4791932878586704E-2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-9351.39</v>
      </c>
      <c r="I234" s="8">
        <f>IFERROR(H234/H444, "NA")</f>
        <v>0.31853408898144919</v>
      </c>
      <c r="J234" s="9"/>
      <c r="K234" s="7">
        <v>7771.18</v>
      </c>
      <c r="L234" s="8">
        <f>IFERROR(K234/K444, "NA")</f>
        <v>1.2877341826912617E-2</v>
      </c>
      <c r="M234" s="9"/>
      <c r="N234" s="10">
        <f t="shared" si="61"/>
        <v>-1580.2099999999991</v>
      </c>
      <c r="O234" s="8">
        <f>IFERROR(N234/N444, "NA")</f>
        <v>-5.5024611536082978E-2</v>
      </c>
      <c r="P234" s="9"/>
      <c r="Q234" s="7">
        <v>36261.89</v>
      </c>
      <c r="R234" s="8">
        <f>IFERROR(Q234/Q444, "NA")</f>
        <v>1.5506466145867565E-2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-36261.89</v>
      </c>
      <c r="X234" s="8">
        <f>IFERROR(W234/W444, "NA")</f>
        <v>0.44966456102514291</v>
      </c>
      <c r="Y234" s="9"/>
      <c r="Z234" s="7">
        <v>33801.629999999997</v>
      </c>
      <c r="AA234" s="8">
        <f>IFERROR(Z234/Z444, "NA")</f>
        <v>1.4939477416026935E-2</v>
      </c>
      <c r="AB234" s="9"/>
      <c r="AC234" s="10">
        <f t="shared" si="63"/>
        <v>-2460.260000000002</v>
      </c>
      <c r="AD234" s="8">
        <f>IFERROR(AC234/AC444, "NA")</f>
        <v>-3.2401638822859687E-2</v>
      </c>
    </row>
    <row r="235" spans="1:30" ht="16.5" customHeight="1" x14ac:dyDescent="0.45">
      <c r="A235" s="6" t="s">
        <v>214</v>
      </c>
      <c r="B235" s="7">
        <v>159.43</v>
      </c>
      <c r="C235" s="8">
        <f>IFERROR(B235/B444, "NA")</f>
        <v>2.5218474032556428E-4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-159.43</v>
      </c>
      <c r="I235" s="8">
        <f>IFERROR(H235/H444, "NA")</f>
        <v>5.4306247313300427E-3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-159.43</v>
      </c>
      <c r="O235" s="8">
        <f>IFERROR(N235/N444, "NA")</f>
        <v>-5.5515240488275067E-3</v>
      </c>
      <c r="P235" s="9"/>
      <c r="Q235" s="7">
        <v>563.22</v>
      </c>
      <c r="R235" s="8">
        <f>IFERROR(Q235/Q444, "NA")</f>
        <v>2.4084657095026018E-4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-563.22</v>
      </c>
      <c r="X235" s="8">
        <f>IFERROR(W235/W444, "NA")</f>
        <v>6.9841939860437775E-3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-563.22</v>
      </c>
      <c r="AD235" s="8">
        <f>IFERROR(AC235/AC444, "NA")</f>
        <v>-7.4176107475677436E-3</v>
      </c>
    </row>
    <row r="236" spans="1:30" ht="16.5" customHeight="1" x14ac:dyDescent="0.45">
      <c r="A236" s="19" t="s">
        <v>215</v>
      </c>
      <c r="B236" s="14">
        <f>IFERROR(B229+B230+B231+B232+B233+B234+B235, "NA")</f>
        <v>9549.92</v>
      </c>
      <c r="C236" s="15">
        <f>IFERROR(B236/B444, "NA")</f>
        <v>1.5105965598255741E-2</v>
      </c>
      <c r="D236" s="2"/>
      <c r="E236" s="14">
        <f>IFERROR(E229+E230+E231+E232+E233+E234+E235, "NA")</f>
        <v>10400.200000000001</v>
      </c>
      <c r="F236" s="15">
        <f>IFERROR(E236/E444, "NA")</f>
        <v>1.5720890628768362E-2</v>
      </c>
      <c r="G236" s="2"/>
      <c r="H236" s="14">
        <f t="shared" si="60"/>
        <v>850.28000000000065</v>
      </c>
      <c r="I236" s="15">
        <f>IFERROR(H236/H444, "NA")</f>
        <v>-2.8962877730385198E-2</v>
      </c>
      <c r="J236" s="2"/>
      <c r="K236" s="14">
        <f>IFERROR(K229+K230+K231+K232+K233+K234+K235, "NA")</f>
        <v>8982.18</v>
      </c>
      <c r="L236" s="15">
        <f>IFERROR(K236/K444, "NA")</f>
        <v>1.48840462080222E-2</v>
      </c>
      <c r="M236" s="2"/>
      <c r="N236" s="14">
        <f t="shared" si="61"/>
        <v>-567.73999999999978</v>
      </c>
      <c r="O236" s="15">
        <f>IFERROR(N236/N444, "NA")</f>
        <v>-1.9769317339781267E-2</v>
      </c>
      <c r="P236" s="2"/>
      <c r="Q236" s="14">
        <f>IFERROR(Q229+Q230+Q231+Q232+Q233+Q234+Q235, "NA")</f>
        <v>37723.870000000003</v>
      </c>
      <c r="R236" s="15">
        <f>IFERROR(Q236/Q444, "NA")</f>
        <v>1.6131644352958687E-2</v>
      </c>
      <c r="S236" s="2"/>
      <c r="T236" s="14">
        <f>IFERROR(T229+T230+T231+T232+T233+T234+T235, "NA")</f>
        <v>37384.620000000003</v>
      </c>
      <c r="U236" s="15">
        <f>IFERROR(T236/T444, "NA")</f>
        <v>1.5453660742405543E-2</v>
      </c>
      <c r="V236" s="2"/>
      <c r="W236" s="14">
        <f t="shared" si="62"/>
        <v>-339.25</v>
      </c>
      <c r="X236" s="15">
        <f>IFERROR(W236/W444, "NA")</f>
        <v>4.2068602140644005E-3</v>
      </c>
      <c r="Y236" s="2"/>
      <c r="Z236" s="14">
        <f>IFERROR(Z229+Z230+Z231+Z232+Z233+Z234+Z235, "NA")</f>
        <v>38442.879999999997</v>
      </c>
      <c r="AA236" s="15">
        <f>IFERROR(Z236/Z444, "NA")</f>
        <v>1.6990794158951314E-2</v>
      </c>
      <c r="AB236" s="2"/>
      <c r="AC236" s="14">
        <f t="shared" si="63"/>
        <v>719.00999999999476</v>
      </c>
      <c r="AD236" s="15">
        <f>IFERROR(AC236/AC444, "NA")</f>
        <v>9.4693659735248115E-3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44522.959999999992</v>
      </c>
      <c r="F240" s="8">
        <f>IFERROR(E240/E444, "NA")</f>
        <v>6.7300685047309516E-2</v>
      </c>
      <c r="G240" s="9"/>
      <c r="H240" s="10">
        <f t="shared" ref="H240:H263" si="64">IFERROR(-(B240-E240), "NA")</f>
        <v>44522.959999999992</v>
      </c>
      <c r="I240" s="8">
        <f>IFERROR(H240/H444, "NA")</f>
        <v>-1.5165745950449614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161481.19999999998</v>
      </c>
      <c r="U240" s="8">
        <f>IFERROR(T240/T444, "NA")</f>
        <v>6.6751398866072134E-2</v>
      </c>
      <c r="V240" s="9"/>
      <c r="W240" s="10">
        <f t="shared" ref="W240:W263" si="66">IFERROR(-(Q240-T240), "NA")</f>
        <v>161481.19999999998</v>
      </c>
      <c r="X240" s="8">
        <f>IFERROR(W240/W444, "NA")</f>
        <v>-2.0024431410445871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159.66</v>
      </c>
      <c r="L241" s="8">
        <f>IFERROR(K241/K444, "NA")</f>
        <v>2.6456682203794898E-4</v>
      </c>
      <c r="M241" s="9"/>
      <c r="N241" s="10">
        <f t="shared" si="65"/>
        <v>159.66</v>
      </c>
      <c r="O241" s="8">
        <f>IFERROR(N241/N444, "NA")</f>
        <v>5.5595328961663406E-3</v>
      </c>
      <c r="P241" s="9"/>
      <c r="Q241" s="7">
        <v>189.79</v>
      </c>
      <c r="R241" s="8">
        <f>IFERROR(Q241/Q444, "NA")</f>
        <v>8.1158820177994163E-5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-189.79</v>
      </c>
      <c r="X241" s="8">
        <f>IFERROR(W241/W444, "NA")</f>
        <v>2.3534856301467427E-3</v>
      </c>
      <c r="Y241" s="9"/>
      <c r="Z241" s="7">
        <v>721.14</v>
      </c>
      <c r="AA241" s="8">
        <f>IFERROR(Z241/Z444, "NA")</f>
        <v>3.1872589410018582E-4</v>
      </c>
      <c r="AB241" s="9"/>
      <c r="AC241" s="10">
        <f t="shared" si="67"/>
        <v>531.35</v>
      </c>
      <c r="AD241" s="8">
        <f>IFERROR(AC241/AC444, "NA")</f>
        <v>6.997882658144456E-3</v>
      </c>
    </row>
    <row r="242" spans="1:30" ht="16.5" customHeight="1" x14ac:dyDescent="0.45">
      <c r="A242" s="12" t="s">
        <v>219</v>
      </c>
      <c r="B242" s="7">
        <v>8341.2100000000009</v>
      </c>
      <c r="C242" s="8">
        <f>IFERROR(B242/B444, "NA")</f>
        <v>1.3194040505870917E-2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-8341.2100000000009</v>
      </c>
      <c r="I242" s="8">
        <f>IFERROR(H242/H444, "NA")</f>
        <v>0.28412457702576344</v>
      </c>
      <c r="J242" s="9"/>
      <c r="K242" s="7">
        <v>6672.1699999999992</v>
      </c>
      <c r="L242" s="8">
        <f>IFERROR(K242/K444, "NA")</f>
        <v>1.1056212031798457E-2</v>
      </c>
      <c r="M242" s="9"/>
      <c r="N242" s="10">
        <f t="shared" si="65"/>
        <v>-1669.0400000000018</v>
      </c>
      <c r="O242" s="8">
        <f>IFERROR(N242/N444, "NA")</f>
        <v>-5.8117767662642358E-2</v>
      </c>
      <c r="P242" s="9"/>
      <c r="Q242" s="7">
        <v>34545.01</v>
      </c>
      <c r="R242" s="8">
        <f>IFERROR(Q242/Q444, "NA")</f>
        <v>1.4772286498956797E-2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-34545.01</v>
      </c>
      <c r="X242" s="8">
        <f>IFERROR(W242/W444, "NA")</f>
        <v>0.42837443821210569</v>
      </c>
      <c r="Y242" s="9"/>
      <c r="Z242" s="7">
        <v>27341.22</v>
      </c>
      <c r="AA242" s="8">
        <f>IFERROR(Z242/Z444, "NA")</f>
        <v>1.2084137324638604E-2</v>
      </c>
      <c r="AB242" s="9"/>
      <c r="AC242" s="10">
        <f t="shared" si="67"/>
        <v>-7203.7900000000009</v>
      </c>
      <c r="AD242" s="8">
        <f>IFERROR(AC242/AC444, "NA")</f>
        <v>-9.4873957116617016E-2</v>
      </c>
    </row>
    <row r="243" spans="1:30" ht="16.5" customHeight="1" x14ac:dyDescent="0.45">
      <c r="A243" s="12" t="s">
        <v>220</v>
      </c>
      <c r="B243" s="7">
        <v>17045.5</v>
      </c>
      <c r="C243" s="8">
        <f>IFERROR(B243/B444, "NA")</f>
        <v>2.6962397235271943E-2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-17045.5</v>
      </c>
      <c r="I243" s="8">
        <f>IFERROR(H243/H444, "NA")</f>
        <v>0.58061665845754395</v>
      </c>
      <c r="J243" s="9"/>
      <c r="K243" s="7">
        <v>12563.32</v>
      </c>
      <c r="L243" s="8">
        <f>IFERROR(K243/K444, "NA")</f>
        <v>2.0818224017573626E-2</v>
      </c>
      <c r="M243" s="9"/>
      <c r="N243" s="10">
        <f t="shared" si="65"/>
        <v>-4482.18</v>
      </c>
      <c r="O243" s="8">
        <f>IFERROR(N243/N444, "NA")</f>
        <v>-0.15607432767467649</v>
      </c>
      <c r="P243" s="9"/>
      <c r="Q243" s="7">
        <v>60126.39</v>
      </c>
      <c r="R243" s="8">
        <f>IFERROR(Q243/Q444, "NA")</f>
        <v>2.571150679151666E-2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-60126.39</v>
      </c>
      <c r="X243" s="8">
        <f>IFERROR(W243/W444, "NA")</f>
        <v>0.7455956312640224</v>
      </c>
      <c r="Y243" s="9"/>
      <c r="Z243" s="7">
        <v>57945.83</v>
      </c>
      <c r="AA243" s="8">
        <f>IFERROR(Z243/Z444, "NA")</f>
        <v>2.5610611637306723E-2</v>
      </c>
      <c r="AB243" s="9"/>
      <c r="AC243" s="10">
        <f t="shared" si="67"/>
        <v>-2180.5599999999977</v>
      </c>
      <c r="AD243" s="8">
        <f>IFERROR(AC243/AC444, "NA")</f>
        <v>-2.8717988160428077E-2</v>
      </c>
    </row>
    <row r="244" spans="1:30" ht="16.5" customHeight="1" x14ac:dyDescent="0.45">
      <c r="A244" s="12" t="s">
        <v>221</v>
      </c>
      <c r="B244" s="7">
        <v>4975.6400000000003</v>
      </c>
      <c r="C244" s="8">
        <f>IFERROR(B244/B444, "NA")</f>
        <v>7.8704163667659213E-3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-4975.6400000000003</v>
      </c>
      <c r="I244" s="8">
        <f>IFERROR(H244/H444, "NA")</f>
        <v>0.1694839969779528</v>
      </c>
      <c r="J244" s="9"/>
      <c r="K244" s="7">
        <v>2229.04</v>
      </c>
      <c r="L244" s="8">
        <f>IFERROR(K244/K444, "NA")</f>
        <v>3.6936617123604519E-3</v>
      </c>
      <c r="M244" s="9"/>
      <c r="N244" s="10">
        <f t="shared" si="65"/>
        <v>-2746.6000000000004</v>
      </c>
      <c r="O244" s="8">
        <f>IFERROR(N244/N444, "NA")</f>
        <v>-9.5639565655834105E-2</v>
      </c>
      <c r="P244" s="9"/>
      <c r="Q244" s="7">
        <v>17665.219999999998</v>
      </c>
      <c r="R244" s="8">
        <f>IFERROR(Q244/Q444, "NA")</f>
        <v>7.5540777353111646E-3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-17665.219999999998</v>
      </c>
      <c r="X244" s="8">
        <f>IFERROR(W244/W444, "NA")</f>
        <v>0.21905707056947593</v>
      </c>
      <c r="Y244" s="9"/>
      <c r="Z244" s="7">
        <v>3525.87</v>
      </c>
      <c r="AA244" s="8">
        <f>IFERROR(Z244/Z444, "NA")</f>
        <v>1.5583466015351001E-3</v>
      </c>
      <c r="AB244" s="9"/>
      <c r="AC244" s="10">
        <f t="shared" si="67"/>
        <v>-14139.349999999999</v>
      </c>
      <c r="AD244" s="8">
        <f>IFERROR(AC244/AC444, "NA")</f>
        <v>-0.18621532353897582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820.18000000000006</v>
      </c>
      <c r="C246" s="8">
        <f>IFERROR(B246/B444, "NA")</f>
        <v>1.2973523196401012E-3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-820.18000000000006</v>
      </c>
      <c r="I246" s="8">
        <f>IFERROR(H246/H444, "NA")</f>
        <v>2.7937588861207268E-2</v>
      </c>
      <c r="J246" s="9"/>
      <c r="K246" s="7">
        <v>2113.04</v>
      </c>
      <c r="L246" s="8">
        <f>IFERROR(K246/K444, "NA")</f>
        <v>3.5014423001319536E-3</v>
      </c>
      <c r="M246" s="9"/>
      <c r="N246" s="10">
        <f t="shared" si="65"/>
        <v>1292.8599999999999</v>
      </c>
      <c r="O246" s="8">
        <f>IFERROR(N246/N444, "NA")</f>
        <v>4.5018775523848267E-2</v>
      </c>
      <c r="P246" s="9"/>
      <c r="Q246" s="7">
        <v>3258.94</v>
      </c>
      <c r="R246" s="8">
        <f>IFERROR(Q246/Q444, "NA")</f>
        <v>1.3936020097522121E-3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-3258.94</v>
      </c>
      <c r="X246" s="8">
        <f>IFERROR(W246/W444, "NA")</f>
        <v>4.0412395065653757E-2</v>
      </c>
      <c r="Y246" s="9"/>
      <c r="Z246" s="7">
        <v>7743.46</v>
      </c>
      <c r="AA246" s="8">
        <f>IFERROR(Z246/Z444, "NA")</f>
        <v>3.4224161909324471E-3</v>
      </c>
      <c r="AB246" s="9"/>
      <c r="AC246" s="10">
        <f t="shared" si="67"/>
        <v>4484.5200000000004</v>
      </c>
      <c r="AD246" s="8">
        <f>IFERROR(AC246/AC444, "NA")</f>
        <v>5.9061155054299382E-2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1143.57</v>
      </c>
      <c r="C248" s="8">
        <f>IFERROR(B248/B444, "NA")</f>
        <v>1.8088873078724551E-3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-1143.57</v>
      </c>
      <c r="I248" s="8">
        <f>IFERROR(H248/H444, "NA")</f>
        <v>3.8953142595540967E-2</v>
      </c>
      <c r="J248" s="9"/>
      <c r="K248" s="7">
        <v>1174.82</v>
      </c>
      <c r="L248" s="8">
        <f>IFERROR(K248/K444, "NA")</f>
        <v>1.9467518092610746E-3</v>
      </c>
      <c r="M248" s="9"/>
      <c r="N248" s="10">
        <f t="shared" si="65"/>
        <v>31.25</v>
      </c>
      <c r="O248" s="8">
        <f>IFERROR(N248/N444, "NA")</f>
        <v>1.0881586058198555E-3</v>
      </c>
      <c r="P248" s="9"/>
      <c r="Q248" s="7">
        <v>4663.7700000000004</v>
      </c>
      <c r="R248" s="8">
        <f>IFERROR(Q248/Q444, "NA")</f>
        <v>1.9943414868092307E-3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-4663.7700000000004</v>
      </c>
      <c r="X248" s="8">
        <f>IFERROR(W248/W444, "NA")</f>
        <v>5.7832950510087341E-2</v>
      </c>
      <c r="Y248" s="9"/>
      <c r="Z248" s="7">
        <v>4790.9799999999996</v>
      </c>
      <c r="AA248" s="8">
        <f>IFERROR(Z248/Z444, "NA")</f>
        <v>2.1174936685194388E-3</v>
      </c>
      <c r="AB248" s="9"/>
      <c r="AC248" s="10">
        <f t="shared" si="67"/>
        <v>127.20999999999913</v>
      </c>
      <c r="AD248" s="8">
        <f>IFERROR(AC248/AC444, "NA")</f>
        <v>1.67535645608836E-3</v>
      </c>
    </row>
    <row r="249" spans="1:30" ht="16.5" customHeight="1" x14ac:dyDescent="0.45">
      <c r="A249" s="12" t="s">
        <v>226</v>
      </c>
      <c r="B249" s="7">
        <v>14974.309999999998</v>
      </c>
      <c r="C249" s="8">
        <f>IFERROR(B249/B444, "NA")</f>
        <v>2.3686210116693845E-2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-14974.309999999998</v>
      </c>
      <c r="I249" s="8">
        <f>IFERROR(H249/H444, "NA")</f>
        <v>0.51006622480463371</v>
      </c>
      <c r="J249" s="9"/>
      <c r="K249" s="7">
        <v>8792.2900000000009</v>
      </c>
      <c r="L249" s="8">
        <f>IFERROR(K249/K444, "NA")</f>
        <v>1.4569386344331947E-2</v>
      </c>
      <c r="M249" s="9"/>
      <c r="N249" s="10">
        <f t="shared" si="65"/>
        <v>-6182.0199999999968</v>
      </c>
      <c r="O249" s="8">
        <f>IFERROR(N249/N444, "NA")</f>
        <v>-0.21526458445921473</v>
      </c>
      <c r="P249" s="9"/>
      <c r="Q249" s="7">
        <v>50490.38</v>
      </c>
      <c r="R249" s="8">
        <f>IFERROR(Q249/Q444, "NA")</f>
        <v>2.1590914543119202E-2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-50490.38</v>
      </c>
      <c r="X249" s="8">
        <f>IFERROR(W249/W444, "NA")</f>
        <v>0.62610455656593333</v>
      </c>
      <c r="Y249" s="9"/>
      <c r="Z249" s="7">
        <v>40513.33</v>
      </c>
      <c r="AA249" s="8">
        <f>IFERROR(Z249/Z444, "NA")</f>
        <v>1.7905881420009821E-2</v>
      </c>
      <c r="AB249" s="9"/>
      <c r="AC249" s="10">
        <f t="shared" si="67"/>
        <v>-9977.0499999999956</v>
      </c>
      <c r="AD249" s="8">
        <f>IFERROR(AC249/AC444, "NA")</f>
        <v>-0.13139780779983082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customHeight="1" x14ac:dyDescent="0.45">
      <c r="A251" s="12" t="s">
        <v>228</v>
      </c>
      <c r="B251" s="7">
        <v>16.14</v>
      </c>
      <c r="C251" s="8">
        <f>IFERROR(B251/B444, "NA")</f>
        <v>2.5530086613903327E-5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-16.14</v>
      </c>
      <c r="I251" s="8">
        <f>IFERROR(H251/H444, "NA")</f>
        <v>5.4977283549938465E-4</v>
      </c>
      <c r="J251" s="9"/>
      <c r="K251" s="7">
        <v>99.08</v>
      </c>
      <c r="L251" s="8">
        <f>IFERROR(K251/K444, "NA")</f>
        <v>1.6418189106551411E-4</v>
      </c>
      <c r="M251" s="9"/>
      <c r="N251" s="10">
        <f t="shared" si="65"/>
        <v>82.94</v>
      </c>
      <c r="O251" s="8">
        <f>IFERROR(N251/N444, "NA")</f>
        <v>2.8880599925343621E-3</v>
      </c>
      <c r="P251" s="9"/>
      <c r="Q251" s="7">
        <v>368.46000000000004</v>
      </c>
      <c r="R251" s="8">
        <f>IFERROR(Q251/Q444, "NA")</f>
        <v>1.575624578891603E-4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-368.46000000000004</v>
      </c>
      <c r="X251" s="8">
        <f>IFERROR(W251/W444, "NA")</f>
        <v>4.5690780087668951E-3</v>
      </c>
      <c r="Y251" s="9"/>
      <c r="Z251" s="7">
        <v>265.63</v>
      </c>
      <c r="AA251" s="8">
        <f>IFERROR(Z251/Z444, "NA")</f>
        <v>1.1740183494166508E-4</v>
      </c>
      <c r="AB251" s="9"/>
      <c r="AC251" s="10">
        <f t="shared" si="67"/>
        <v>-102.83000000000004</v>
      </c>
      <c r="AD251" s="8">
        <f>IFERROR(AC251/AC444, "NA")</f>
        <v>-1.3542717111828262E-3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340.12</v>
      </c>
      <c r="L253" s="8">
        <f>IFERROR(K253/K444, "NA")</f>
        <v>5.6360057316514592E-4</v>
      </c>
      <c r="M253" s="9"/>
      <c r="N253" s="10">
        <f t="shared" si="65"/>
        <v>340.12</v>
      </c>
      <c r="O253" s="8">
        <f>IFERROR(N253/N444, "NA")</f>
        <v>1.1843344160366377E-2</v>
      </c>
      <c r="P253" s="9"/>
      <c r="Q253" s="7">
        <v>933.95</v>
      </c>
      <c r="R253" s="8">
        <f>IFERROR(Q253/Q444, "NA")</f>
        <v>3.9937973605162368E-4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-933.95</v>
      </c>
      <c r="X253" s="8">
        <f>IFERROR(W253/W444, "NA")</f>
        <v>1.1581421066839931E-2</v>
      </c>
      <c r="Y253" s="9"/>
      <c r="Z253" s="7">
        <v>781.97</v>
      </c>
      <c r="AA253" s="8">
        <f>IFERROR(Z253/Z444, "NA")</f>
        <v>3.4561123694362028E-4</v>
      </c>
      <c r="AB253" s="9"/>
      <c r="AC253" s="10">
        <f t="shared" si="67"/>
        <v>-151.98000000000002</v>
      </c>
      <c r="AD253" s="8">
        <f>IFERROR(AC253/AC444, "NA")</f>
        <v>-2.0015775033119308E-3</v>
      </c>
    </row>
    <row r="254" spans="1:30" ht="16.5" customHeight="1" x14ac:dyDescent="0.45">
      <c r="A254" s="12" t="s">
        <v>231</v>
      </c>
      <c r="B254" s="7">
        <v>2937.5299999999997</v>
      </c>
      <c r="C254" s="8">
        <f>IFERROR(B254/B444, "NA")</f>
        <v>4.6465548532180568E-3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-2937.5299999999997</v>
      </c>
      <c r="I254" s="8">
        <f>IFERROR(H254/H444, "NA")</f>
        <v>0.10006035919854443</v>
      </c>
      <c r="J254" s="9"/>
      <c r="K254" s="7">
        <v>5871.73</v>
      </c>
      <c r="L254" s="8">
        <f>IFERROR(K254/K444, "NA")</f>
        <v>9.7298318048658766E-3</v>
      </c>
      <c r="M254" s="9"/>
      <c r="N254" s="10">
        <f t="shared" si="65"/>
        <v>2934.2</v>
      </c>
      <c r="O254" s="8">
        <f>IFERROR(N254/N444, "NA")</f>
        <v>0.10217199939829184</v>
      </c>
      <c r="P254" s="9"/>
      <c r="Q254" s="7">
        <v>12963.89</v>
      </c>
      <c r="R254" s="8">
        <f>IFERROR(Q254/Q444, "NA")</f>
        <v>5.5436746789467133E-3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-12963.89</v>
      </c>
      <c r="X254" s="8">
        <f>IFERROR(W254/W444, "NA")</f>
        <v>0.1607583583213186</v>
      </c>
      <c r="Y254" s="9"/>
      <c r="Z254" s="7">
        <v>11698.58</v>
      </c>
      <c r="AA254" s="8">
        <f>IFERROR(Z254/Z444, "NA")</f>
        <v>5.1704805865748008E-3</v>
      </c>
      <c r="AB254" s="9"/>
      <c r="AC254" s="10">
        <f t="shared" si="67"/>
        <v>-1265.3099999999995</v>
      </c>
      <c r="AD254" s="8">
        <f>IFERROR(AC254/AC444, "NA")</f>
        <v>-1.6664140220526504E-2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328.82</v>
      </c>
      <c r="L257" s="8">
        <f>IFERROR(K257/K444, "NA")</f>
        <v>5.4487575111185251E-4</v>
      </c>
      <c r="M257" s="9"/>
      <c r="N257" s="10">
        <f t="shared" si="65"/>
        <v>328.82</v>
      </c>
      <c r="O257" s="8">
        <f>IFERROR(N257/N444, "NA")</f>
        <v>1.1449866008501917E-2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328.82</v>
      </c>
      <c r="AA257" s="8">
        <f>IFERROR(Z257/Z444, "NA")</f>
        <v>1.4533023892451271E-4</v>
      </c>
      <c r="AB257" s="9"/>
      <c r="AC257" s="10">
        <f t="shared" si="67"/>
        <v>328.82</v>
      </c>
      <c r="AD257" s="8">
        <f>IFERROR(AC257/AC444, "NA")</f>
        <v>4.3305613543823465E-3</v>
      </c>
    </row>
    <row r="258" spans="1:30" ht="16.5" customHeight="1" x14ac:dyDescent="0.45">
      <c r="A258" s="12" t="s">
        <v>235</v>
      </c>
      <c r="B258" s="7">
        <v>2092.34</v>
      </c>
      <c r="C258" s="8">
        <f>IFERROR(B258/B444, "NA")</f>
        <v>3.3096419718546773E-3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-2092.34</v>
      </c>
      <c r="I258" s="8">
        <f>IFERROR(H258/H444, "NA")</f>
        <v>7.1270860881585033E-2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-2092.34</v>
      </c>
      <c r="O258" s="8">
        <f>IFERROR(N258/N444, "NA")</f>
        <v>-7.2857528873635738E-2</v>
      </c>
      <c r="P258" s="9"/>
      <c r="Q258" s="7">
        <v>3924.63</v>
      </c>
      <c r="R258" s="8">
        <f>IFERROR(Q258/Q444, "NA")</f>
        <v>1.6782672450348347E-3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-3924.63</v>
      </c>
      <c r="X258" s="8">
        <f>IFERROR(W258/W444, "NA")</f>
        <v>4.8667265444137263E-2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-3924.63</v>
      </c>
      <c r="AD258" s="8">
        <f>IFERROR(AC258/AC444, "NA")</f>
        <v>-5.1687400426523901E-2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customHeight="1" x14ac:dyDescent="0.45">
      <c r="A260" s="12" t="s">
        <v>237</v>
      </c>
      <c r="B260" s="7">
        <v>738.6</v>
      </c>
      <c r="C260" s="8">
        <f>IFERROR(B260/B444, "NA")</f>
        <v>1.1683099115879182E-3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-738.6</v>
      </c>
      <c r="I260" s="8">
        <f>IFERROR(H260/H444, "NA")</f>
        <v>2.5158749460956968E-2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-738.6</v>
      </c>
      <c r="O260" s="8">
        <f>IFERROR(N260/N444, "NA")</f>
        <v>-2.571884628027345E-2</v>
      </c>
      <c r="P260" s="9"/>
      <c r="Q260" s="7">
        <v>3558.7000000000003</v>
      </c>
      <c r="R260" s="8">
        <f>IFERROR(Q260/Q444, "NA")</f>
        <v>1.5217866766817423E-3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-3558.7000000000003</v>
      </c>
      <c r="X260" s="8">
        <f>IFERROR(W260/W444, "NA")</f>
        <v>4.4129560630187123E-2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-3558.7000000000003</v>
      </c>
      <c r="AD260" s="8">
        <f>IFERROR(AC260/AC444, "NA")</f>
        <v>-4.686810015157368E-2</v>
      </c>
    </row>
    <row r="261" spans="1:30" ht="16.5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433.71</v>
      </c>
      <c r="R261" s="8">
        <f>IFERROR(Q261/Q444, "NA")</f>
        <v>1.8546494493597055E-4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-433.71</v>
      </c>
      <c r="X261" s="8">
        <f>IFERROR(W261/W444, "NA")</f>
        <v>5.3782088237048515E-3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-433.71</v>
      </c>
      <c r="AD261" s="8">
        <f>IFERROR(AC261/AC444, "NA")</f>
        <v>-5.7119632778090366E-3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53085.02</v>
      </c>
      <c r="C262" s="15">
        <f>IFERROR(B262/B444, "NA")</f>
        <v>8.3969340675389734E-2</v>
      </c>
      <c r="D262" s="2"/>
      <c r="E262" s="14">
        <f>IFERROR(E240+E241+E242+E243+E244+E245+E246+E247+E248+E249+E250+E251+E252+E253+E254+E255+E256+E257+E258+E259+E260+E261, "NA")</f>
        <v>44522.959999999992</v>
      </c>
      <c r="F262" s="15">
        <f>IFERROR(E262/E444, "NA")</f>
        <v>6.7300685047309516E-2</v>
      </c>
      <c r="G262" s="2"/>
      <c r="H262" s="14">
        <f t="shared" si="64"/>
        <v>-8562.0600000000049</v>
      </c>
      <c r="I262" s="15">
        <f>IFERROR(H262/H444, "NA")</f>
        <v>0.29164733605426663</v>
      </c>
      <c r="J262" s="2"/>
      <c r="K262" s="14">
        <f>IFERROR(K240+K241+K242+K243+K244+K245+K246+K247+K248+K249+K250+K251+K252+K253+K254+K255+K256+K257+K258+K259+K260+K261, "NA")</f>
        <v>40344.090000000004</v>
      </c>
      <c r="L262" s="15">
        <f>IFERROR(K262/K444, "NA")</f>
        <v>6.6852735057703852E-2</v>
      </c>
      <c r="M262" s="2"/>
      <c r="N262" s="14">
        <f t="shared" si="65"/>
        <v>-12740.929999999993</v>
      </c>
      <c r="O262" s="15">
        <f>IFERROR(N262/N444, "NA")</f>
        <v>-0.44365288402074771</v>
      </c>
      <c r="P262" s="2"/>
      <c r="Q262" s="14">
        <f>IFERROR(Q240+Q241+Q242+Q243+Q244+Q245+Q246+Q247+Q248+Q249+Q250+Q251+Q252+Q253+Q254+Q255+Q256+Q257+Q258+Q259+Q260+Q261, "NA")</f>
        <v>193122.84</v>
      </c>
      <c r="R262" s="15">
        <f>IFERROR(Q262/Q444, "NA")</f>
        <v>8.25840236251833E-2</v>
      </c>
      <c r="S262" s="2"/>
      <c r="T262" s="14">
        <f>IFERROR(T240+T241+T242+T243+T244+T245+T246+T247+T248+T249+T250+T251+T252+T253+T254+T255+T256+T257+T258+T259+T260+T261, "NA")</f>
        <v>161481.19999999998</v>
      </c>
      <c r="U262" s="15">
        <f>IFERROR(T262/T444, "NA")</f>
        <v>6.6751398866072134E-2</v>
      </c>
      <c r="V262" s="2"/>
      <c r="W262" s="14">
        <f t="shared" si="66"/>
        <v>-31641.640000000014</v>
      </c>
      <c r="X262" s="15">
        <f>IFERROR(W262/W444, "NA")</f>
        <v>0.3923712790677929</v>
      </c>
      <c r="Y262" s="2"/>
      <c r="Z262" s="14">
        <f>IFERROR(Z240+Z241+Z242+Z243+Z244+Z245+Z246+Z247+Z248+Z249+Z250+Z251+Z252+Z253+Z254+Z255+Z256+Z257+Z258+Z259+Z260+Z261, "NA")</f>
        <v>155656.83000000002</v>
      </c>
      <c r="AA262" s="15">
        <f>IFERROR(Z262/Z444, "NA")</f>
        <v>6.879643663442693E-2</v>
      </c>
      <c r="AB262" s="2"/>
      <c r="AC262" s="14">
        <f t="shared" si="67"/>
        <v>-37466.00999999998</v>
      </c>
      <c r="AD262" s="15">
        <f>IFERROR(AC262/AC444, "NA")</f>
        <v>-0.49342757438386492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53085.02</v>
      </c>
      <c r="C263" s="15">
        <f>IFERROR(B263/B444, "NA")</f>
        <v>8.3969340675389734E-2</v>
      </c>
      <c r="D263" s="2"/>
      <c r="E263" s="14">
        <f>IFERROR(E238+E240+E241+E242+E243+E244+E245+E246+E247+E248+E249+E250+E251+E252+E253+E254+E255+E256+E257+E258+E259+E260+E261, "NA")</f>
        <v>44522.959999999992</v>
      </c>
      <c r="F263" s="15">
        <f>IFERROR(E263/E444, "NA")</f>
        <v>6.7300685047309516E-2</v>
      </c>
      <c r="G263" s="2"/>
      <c r="H263" s="14">
        <f t="shared" si="64"/>
        <v>-8562.0600000000049</v>
      </c>
      <c r="I263" s="15">
        <f>IFERROR(H263/H444, "NA")</f>
        <v>0.29164733605426663</v>
      </c>
      <c r="J263" s="2"/>
      <c r="K263" s="14">
        <f>IFERROR(K238+K240+K241+K242+K243+K244+K245+K246+K247+K248+K249+K250+K251+K252+K253+K254+K255+K256+K257+K258+K259+K260+K261, "NA")</f>
        <v>40344.090000000004</v>
      </c>
      <c r="L263" s="15">
        <f>IFERROR(K263/K444, "NA")</f>
        <v>6.6852735057703852E-2</v>
      </c>
      <c r="M263" s="2"/>
      <c r="N263" s="14">
        <f t="shared" si="65"/>
        <v>-12740.929999999993</v>
      </c>
      <c r="O263" s="15">
        <f>IFERROR(N263/N444, "NA")</f>
        <v>-0.44365288402074771</v>
      </c>
      <c r="P263" s="2"/>
      <c r="Q263" s="14">
        <f>IFERROR(Q238+Q240+Q241+Q242+Q243+Q244+Q245+Q246+Q247+Q248+Q249+Q250+Q251+Q252+Q253+Q254+Q255+Q256+Q257+Q258+Q259+Q260+Q261, "NA")</f>
        <v>193122.84</v>
      </c>
      <c r="R263" s="15">
        <f>IFERROR(Q263/Q444, "NA")</f>
        <v>8.25840236251833E-2</v>
      </c>
      <c r="S263" s="2"/>
      <c r="T263" s="14">
        <f>IFERROR(T238+T240+T241+T242+T243+T244+T245+T246+T247+T248+T249+T250+T251+T252+T253+T254+T255+T256+T257+T258+T259+T260+T261, "NA")</f>
        <v>161481.19999999998</v>
      </c>
      <c r="U263" s="15">
        <f>IFERROR(T263/T444, "NA")</f>
        <v>6.6751398866072134E-2</v>
      </c>
      <c r="V263" s="2"/>
      <c r="W263" s="14">
        <f t="shared" si="66"/>
        <v>-31641.640000000014</v>
      </c>
      <c r="X263" s="15">
        <f>IFERROR(W263/W444, "NA")</f>
        <v>0.3923712790677929</v>
      </c>
      <c r="Y263" s="2"/>
      <c r="Z263" s="14">
        <f>IFERROR(Z238+Z240+Z241+Z242+Z243+Z244+Z245+Z246+Z247+Z248+Z249+Z250+Z251+Z252+Z253+Z254+Z255+Z256+Z257+Z258+Z259+Z260+Z261, "NA")</f>
        <v>155656.83000000002</v>
      </c>
      <c r="AA263" s="15">
        <f>IFERROR(Z263/Z444, "NA")</f>
        <v>6.879643663442693E-2</v>
      </c>
      <c r="AB263" s="2"/>
      <c r="AC263" s="14">
        <f t="shared" si="67"/>
        <v>-37466.00999999998</v>
      </c>
      <c r="AD263" s="15">
        <f>IFERROR(AC263/AC444, "NA")</f>
        <v>-0.49342757438386492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17496.38</v>
      </c>
      <c r="C265" s="8">
        <f>IFERROR(B265/B444, "NA")</f>
        <v>2.7675594599118086E-2</v>
      </c>
      <c r="D265" s="9"/>
      <c r="E265" s="7">
        <v>17137.949999999997</v>
      </c>
      <c r="F265" s="8">
        <f>IFERROR(E265/E444, "NA")</f>
        <v>2.5905640040701203E-2</v>
      </c>
      <c r="G265" s="9"/>
      <c r="H265" s="10">
        <f>IFERROR(-(B265-E265), "NA")</f>
        <v>-358.43000000000393</v>
      </c>
      <c r="I265" s="8">
        <f>IFERROR(H265/H444, "NA")</f>
        <v>1.2209112603968189E-2</v>
      </c>
      <c r="J265" s="9"/>
      <c r="K265" s="7">
        <v>16269.85</v>
      </c>
      <c r="L265" s="8">
        <f>IFERROR(K265/K444, "NA")</f>
        <v>2.6960181069360666E-2</v>
      </c>
      <c r="M265" s="9"/>
      <c r="N265" s="10">
        <f>IFERROR(-(B265-K265), "NA")</f>
        <v>-1226.5300000000007</v>
      </c>
      <c r="O265" s="8">
        <f>IFERROR(N265/N444, "NA")</f>
        <v>-4.2709093593479304E-2</v>
      </c>
      <c r="P265" s="9"/>
      <c r="Q265" s="7">
        <v>62742.000000000007</v>
      </c>
      <c r="R265" s="8">
        <f>IFERROR(Q265/Q444, "NA")</f>
        <v>2.6830005245838614E-2</v>
      </c>
      <c r="S265" s="9"/>
      <c r="T265" s="7">
        <v>62763.39</v>
      </c>
      <c r="U265" s="8">
        <f>IFERROR(T265/T444, "NA")</f>
        <v>2.5944469573404478E-2</v>
      </c>
      <c r="V265" s="9"/>
      <c r="W265" s="10">
        <f>IFERROR(-(Q265-T265), "NA")</f>
        <v>21.389999999992142</v>
      </c>
      <c r="X265" s="8">
        <f>IFERROR(W265/W444, "NA")</f>
        <v>-2.6524610163243762E-4</v>
      </c>
      <c r="Y265" s="9"/>
      <c r="Z265" s="7">
        <v>57501.539999999994</v>
      </c>
      <c r="AA265" s="8">
        <f>IFERROR(Z265/Z444, "NA")</f>
        <v>2.5414246538311005E-2</v>
      </c>
      <c r="AB265" s="9"/>
      <c r="AC265" s="10">
        <f>IFERROR(-(Q265-Z265), "NA")</f>
        <v>-5240.4600000000137</v>
      </c>
      <c r="AD265" s="8">
        <f>IFERROR(AC265/AC444, "NA")</f>
        <v>-6.901688934732246E-2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256.56</v>
      </c>
      <c r="L266" s="8">
        <f>IFERROR(K266/K444, "NA")</f>
        <v>4.2513631380468612E-4</v>
      </c>
      <c r="M266" s="9"/>
      <c r="N266" s="10">
        <f>IFERROR(-(B266-K266), "NA")</f>
        <v>256.56</v>
      </c>
      <c r="O266" s="8">
        <f>IFERROR(N266/N444, "NA")</f>
        <v>8.9336951010925494E-3</v>
      </c>
      <c r="P266" s="9"/>
      <c r="Q266" s="7">
        <v>14.839999999999996</v>
      </c>
      <c r="R266" s="8">
        <f>IFERROR(Q266/Q444, "NA")</f>
        <v>6.3459449467381484E-6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-14.839999999999996</v>
      </c>
      <c r="X266" s="8">
        <f>IFERROR(W266/W444, "NA")</f>
        <v>1.8402300833224961E-4</v>
      </c>
      <c r="Y266" s="9"/>
      <c r="Z266" s="7">
        <v>370.26</v>
      </c>
      <c r="AA266" s="8">
        <f>IFERROR(Z266/Z444, "NA")</f>
        <v>1.6364568537251408E-4</v>
      </c>
      <c r="AB266" s="9"/>
      <c r="AC266" s="10">
        <f>IFERROR(-(Q266-Z266), "NA")</f>
        <v>355.42</v>
      </c>
      <c r="AD266" s="8">
        <f>IFERROR(AC266/AC444, "NA")</f>
        <v>4.6808835124827371E-3</v>
      </c>
    </row>
    <row r="267" spans="1:30" ht="16.5" customHeight="1" x14ac:dyDescent="0.45">
      <c r="A267" s="19" t="s">
        <v>243</v>
      </c>
      <c r="B267" s="14">
        <f>IFERROR(B265+B266, "NA")</f>
        <v>17496.38</v>
      </c>
      <c r="C267" s="15">
        <f>IFERROR(B267/B444, "NA")</f>
        <v>2.7675594599118086E-2</v>
      </c>
      <c r="D267" s="2"/>
      <c r="E267" s="14">
        <f>IFERROR(E265+E266, "NA")</f>
        <v>17137.949999999997</v>
      </c>
      <c r="F267" s="15">
        <f>IFERROR(E267/E444, "NA")</f>
        <v>2.5905640040701203E-2</v>
      </c>
      <c r="G267" s="2"/>
      <c r="H267" s="14">
        <f>IFERROR(-(B267-E267), "NA")</f>
        <v>-358.43000000000393</v>
      </c>
      <c r="I267" s="15">
        <f>IFERROR(H267/H444, "NA")</f>
        <v>1.2209112603968189E-2</v>
      </c>
      <c r="J267" s="2"/>
      <c r="K267" s="14">
        <f>IFERROR(K265+K266, "NA")</f>
        <v>16526.41</v>
      </c>
      <c r="L267" s="15">
        <f>IFERROR(K267/K444, "NA")</f>
        <v>2.7385317383165353E-2</v>
      </c>
      <c r="M267" s="2"/>
      <c r="N267" s="14">
        <f>IFERROR(-(B267-K267), "NA")</f>
        <v>-969.97000000000116</v>
      </c>
      <c r="O267" s="15">
        <f>IFERROR(N267/N444, "NA")</f>
        <v>-3.3775398492386768E-2</v>
      </c>
      <c r="P267" s="2"/>
      <c r="Q267" s="14">
        <f>IFERROR(Q265+Q266, "NA")</f>
        <v>62756.840000000004</v>
      </c>
      <c r="R267" s="15">
        <f>IFERROR(Q267/Q444, "NA")</f>
        <v>2.6836351190785351E-2</v>
      </c>
      <c r="S267" s="2"/>
      <c r="T267" s="14">
        <f>IFERROR(T265+T266, "NA")</f>
        <v>62763.39</v>
      </c>
      <c r="U267" s="15">
        <f>IFERROR(T267/T444, "NA")</f>
        <v>2.5944469573404478E-2</v>
      </c>
      <c r="V267" s="2"/>
      <c r="W267" s="14">
        <f>IFERROR(-(Q267-T267), "NA")</f>
        <v>6.5499999999956344</v>
      </c>
      <c r="X267" s="15">
        <f>IFERROR(W267/W444, "NA")</f>
        <v>-8.1223093300231261E-5</v>
      </c>
      <c r="Y267" s="2"/>
      <c r="Z267" s="14">
        <f>IFERROR(Z265+Z266, "NA")</f>
        <v>57871.799999999996</v>
      </c>
      <c r="AA267" s="15">
        <f>IFERROR(Z267/Z444, "NA")</f>
        <v>2.5577892223683518E-2</v>
      </c>
      <c r="AB267" s="2"/>
      <c r="AC267" s="14">
        <f>IFERROR(-(Q267-Z267), "NA")</f>
        <v>-4885.0400000000081</v>
      </c>
      <c r="AD267" s="15">
        <f>IFERROR(AC267/AC444, "NA")</f>
        <v>-6.4336005834839657E-2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1181.06</v>
      </c>
      <c r="C270" s="8">
        <f>IFERROR(B270/B444, "NA")</f>
        <v>1.8681886057135479E-3</v>
      </c>
      <c r="D270" s="9"/>
      <c r="E270" s="7">
        <v>1139.06</v>
      </c>
      <c r="F270" s="8">
        <f>IFERROR(E270/E444, "NA")</f>
        <v>1.7217974346267271E-3</v>
      </c>
      <c r="G270" s="9"/>
      <c r="H270" s="10">
        <f>IFERROR(-(B270-E270), "NA")</f>
        <v>-42</v>
      </c>
      <c r="I270" s="8">
        <f>IFERROR(H270/H444, "NA")</f>
        <v>1.430635631411038E-3</v>
      </c>
      <c r="J270" s="9"/>
      <c r="K270" s="7">
        <v>1169.06</v>
      </c>
      <c r="L270" s="8">
        <f>IFERROR(K270/K444, "NA")</f>
        <v>1.9372071212055907E-3</v>
      </c>
      <c r="M270" s="9"/>
      <c r="N270" s="10">
        <f>IFERROR(-(B270-K270), "NA")</f>
        <v>-12</v>
      </c>
      <c r="O270" s="8">
        <f>IFERROR(N270/N444, "NA")</f>
        <v>-4.1785290463482454E-4</v>
      </c>
      <c r="P270" s="9"/>
      <c r="Q270" s="7">
        <v>4647.1100000000006</v>
      </c>
      <c r="R270" s="8">
        <f>IFERROR(Q270/Q444, "NA")</f>
        <v>1.9872172655954401E-3</v>
      </c>
      <c r="S270" s="9"/>
      <c r="T270" s="7">
        <v>4556.24</v>
      </c>
      <c r="U270" s="8">
        <f>IFERROR(T270/T444, "NA")</f>
        <v>1.8834105367655956E-3</v>
      </c>
      <c r="V270" s="9"/>
      <c r="W270" s="10">
        <f>IFERROR(-(Q270-T270), "NA")</f>
        <v>-90.8700000000008</v>
      </c>
      <c r="X270" s="8">
        <f>IFERROR(W270/W444, "NA")</f>
        <v>1.1268309142285495E-3</v>
      </c>
      <c r="Y270" s="9"/>
      <c r="Z270" s="7">
        <v>4760.8100000000004</v>
      </c>
      <c r="AA270" s="8">
        <f>IFERROR(Z270/Z444, "NA")</f>
        <v>2.1041592809871949E-3</v>
      </c>
      <c r="AB270" s="9"/>
      <c r="AC270" s="10">
        <f>IFERROR(-(Q270-Z270), "NA")</f>
        <v>113.69999999999982</v>
      </c>
      <c r="AD270" s="8">
        <f>IFERROR(AC270/AC444, "NA")</f>
        <v>1.4974296757900129E-3</v>
      </c>
    </row>
    <row r="271" spans="1:30" ht="16.5" customHeight="1" x14ac:dyDescent="0.45">
      <c r="A271" s="6" t="s">
        <v>246</v>
      </c>
      <c r="B271" s="7">
        <v>4973.66</v>
      </c>
      <c r="C271" s="8">
        <f>IFERROR(B271/B444, "NA")</f>
        <v>7.8672844230549214E-3</v>
      </c>
      <c r="D271" s="9"/>
      <c r="E271" s="7">
        <v>5130.2199999999993</v>
      </c>
      <c r="F271" s="8">
        <f>IFERROR(E271/E444, "NA")</f>
        <v>7.7548150537028139E-3</v>
      </c>
      <c r="G271" s="9"/>
      <c r="H271" s="10">
        <f>IFERROR(-(B271-E271), "NA")</f>
        <v>156.55999999999949</v>
      </c>
      <c r="I271" s="8">
        <f>IFERROR(H271/H444, "NA")</f>
        <v>-5.3328646298502706E-3</v>
      </c>
      <c r="J271" s="9"/>
      <c r="K271" s="7">
        <v>4819.2699999999995</v>
      </c>
      <c r="L271" s="8">
        <f>IFERROR(K271/K444, "NA")</f>
        <v>7.9858383342278974E-3</v>
      </c>
      <c r="M271" s="9"/>
      <c r="N271" s="10">
        <f>IFERROR(-(B271-K271), "NA")</f>
        <v>-154.39000000000033</v>
      </c>
      <c r="O271" s="8">
        <f>IFERROR(N271/N444, "NA")</f>
        <v>-5.3760258288808914E-3</v>
      </c>
      <c r="P271" s="9"/>
      <c r="Q271" s="7">
        <v>20040.16</v>
      </c>
      <c r="R271" s="8">
        <f>IFERROR(Q271/Q444, "NA")</f>
        <v>8.5696598439234505E-3</v>
      </c>
      <c r="S271" s="9"/>
      <c r="T271" s="7">
        <v>20520.879999999997</v>
      </c>
      <c r="U271" s="8">
        <f>IFERROR(T271/T444, "NA")</f>
        <v>8.4827053921001476E-3</v>
      </c>
      <c r="V271" s="9"/>
      <c r="W271" s="10">
        <f>IFERROR(-(Q271-T271), "NA")</f>
        <v>480.71999999999753</v>
      </c>
      <c r="X271" s="8">
        <f>IFERROR(W271/W444, "NA")</f>
        <v>-5.9611550246279387E-3</v>
      </c>
      <c r="Y271" s="9"/>
      <c r="Z271" s="7">
        <v>19088.8</v>
      </c>
      <c r="AA271" s="8">
        <f>IFERROR(Z271/Z444, "NA")</f>
        <v>8.4367735076401624E-3</v>
      </c>
      <c r="AB271" s="9"/>
      <c r="AC271" s="10">
        <f>IFERROR(-(Q271-Z271), "NA")</f>
        <v>-951.36000000000058</v>
      </c>
      <c r="AD271" s="8">
        <f>IFERROR(AC271/AC444, "NA")</f>
        <v>-1.2529416854525856E-2</v>
      </c>
    </row>
    <row r="272" spans="1:30" ht="16.5" customHeight="1" x14ac:dyDescent="0.45">
      <c r="A272" s="6" t="s">
        <v>247</v>
      </c>
      <c r="B272" s="7">
        <v>199.27</v>
      </c>
      <c r="C272" s="8">
        <f>IFERROR(B272/B444, "NA")</f>
        <v>3.1520324408627735E-4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-199.27</v>
      </c>
      <c r="I272" s="8">
        <f>IFERROR(H272/H444, "NA")</f>
        <v>6.7876848159827991E-3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-199.27</v>
      </c>
      <c r="O272" s="8">
        <f>IFERROR(N272/N444, "NA")</f>
        <v>-6.9387956922151248E-3</v>
      </c>
      <c r="P272" s="9"/>
      <c r="Q272" s="7">
        <v>797.08</v>
      </c>
      <c r="R272" s="8">
        <f>IFERROR(Q272/Q444, "NA")</f>
        <v>3.4085079502331841E-4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-797.08</v>
      </c>
      <c r="X272" s="8">
        <f>IFERROR(W272/W444, "NA")</f>
        <v>9.8841684286704555E-3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-797.08</v>
      </c>
      <c r="AD272" s="8">
        <f>IFERROR(AC272/AC444, "NA")</f>
        <v>-1.0497548337543584E-2</v>
      </c>
    </row>
    <row r="273" spans="1:30" ht="16.5" customHeight="1" x14ac:dyDescent="0.45">
      <c r="A273" s="19" t="s">
        <v>248</v>
      </c>
      <c r="B273" s="14">
        <f>IFERROR(B269+B270+B271+B272, "NA")</f>
        <v>6353.99</v>
      </c>
      <c r="C273" s="15">
        <f>IFERROR(B273/B444, "NA")</f>
        <v>1.0050676272854745E-2</v>
      </c>
      <c r="D273" s="2"/>
      <c r="E273" s="14">
        <f>IFERROR(E269+E270+E271+E272, "NA")</f>
        <v>6269.2799999999988</v>
      </c>
      <c r="F273" s="15">
        <f>IFERROR(E273/E444, "NA")</f>
        <v>9.4766124883295406E-3</v>
      </c>
      <c r="G273" s="2"/>
      <c r="H273" s="14">
        <f>IFERROR(-(B273-E273), "NA")</f>
        <v>-84.710000000000946</v>
      </c>
      <c r="I273" s="15">
        <f>IFERROR(H273/H444, "NA")</f>
        <v>2.8854558175435805E-3</v>
      </c>
      <c r="J273" s="2"/>
      <c r="K273" s="14">
        <f>IFERROR(K269+K270+K271+K272, "NA")</f>
        <v>5988.33</v>
      </c>
      <c r="L273" s="15">
        <f>IFERROR(K273/K444, "NA")</f>
        <v>9.9230454554334897E-3</v>
      </c>
      <c r="M273" s="2"/>
      <c r="N273" s="14">
        <f>IFERROR(-(B273-K273), "NA")</f>
        <v>-365.65999999999985</v>
      </c>
      <c r="O273" s="15">
        <f>IFERROR(N273/N444, "NA")</f>
        <v>-1.2732674425730823E-2</v>
      </c>
      <c r="P273" s="2"/>
      <c r="Q273" s="14">
        <f>IFERROR(Q269+Q270+Q271+Q272, "NA")</f>
        <v>25484.350000000002</v>
      </c>
      <c r="R273" s="15">
        <f>IFERROR(Q273/Q444, "NA")</f>
        <v>1.089772790454221E-2</v>
      </c>
      <c r="S273" s="2"/>
      <c r="T273" s="14">
        <f>IFERROR(T269+T270+T271+T272, "NA")</f>
        <v>25077.119999999995</v>
      </c>
      <c r="U273" s="15">
        <f>IFERROR(T273/T444, "NA")</f>
        <v>1.0366115928865742E-2</v>
      </c>
      <c r="V273" s="2"/>
      <c r="W273" s="14">
        <f>IFERROR(-(Q273-T273), "NA")</f>
        <v>-407.23000000000684</v>
      </c>
      <c r="X273" s="15">
        <f>IFERROR(W273/W444, "NA")</f>
        <v>5.0498443182711112E-3</v>
      </c>
      <c r="Y273" s="2"/>
      <c r="Z273" s="14">
        <f>IFERROR(Z269+Z270+Z271+Z272, "NA")</f>
        <v>23849.61</v>
      </c>
      <c r="AA273" s="15">
        <f>IFERROR(Z273/Z444, "NA")</f>
        <v>1.0540932788627359E-2</v>
      </c>
      <c r="AB273" s="2"/>
      <c r="AC273" s="14">
        <f>IFERROR(-(Q273-Z273), "NA")</f>
        <v>-1634.7400000000016</v>
      </c>
      <c r="AD273" s="15">
        <f>IFERROR(AC273/AC444, "NA")</f>
        <v>-2.1529535516279435E-2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1067.5899999999999</v>
      </c>
      <c r="C287" s="8">
        <f>IFERROR(B287/B444, "NA")</f>
        <v>1.6887029224372399E-3</v>
      </c>
      <c r="D287" s="9"/>
      <c r="E287" s="7">
        <v>971</v>
      </c>
      <c r="F287" s="8">
        <f>IFERROR(E287/E444, "NA")</f>
        <v>1.4677587739210859E-3</v>
      </c>
      <c r="G287" s="9"/>
      <c r="H287" s="10">
        <f t="shared" si="72"/>
        <v>-96.589999999999918</v>
      </c>
      <c r="I287" s="8">
        <f>IFERROR(H287/H444, "NA")</f>
        <v>3.2901213247140963E-3</v>
      </c>
      <c r="J287" s="9"/>
      <c r="K287" s="7">
        <v>970.53</v>
      </c>
      <c r="L287" s="8">
        <f>IFERROR(K287/K444, "NA")</f>
        <v>1.6082302254321096E-3</v>
      </c>
      <c r="M287" s="9"/>
      <c r="N287" s="10">
        <f t="shared" si="73"/>
        <v>-97.059999999999945</v>
      </c>
      <c r="O287" s="8">
        <f>IFERROR(N287/N444, "NA")</f>
        <v>-3.379733576988004E-3</v>
      </c>
      <c r="P287" s="9"/>
      <c r="Q287" s="7">
        <v>4270.3599999999997</v>
      </c>
      <c r="R287" s="8">
        <f>IFERROR(Q287/Q444, "NA")</f>
        <v>1.826109802072286E-3</v>
      </c>
      <c r="S287" s="9"/>
      <c r="T287" s="7">
        <v>3884</v>
      </c>
      <c r="U287" s="8">
        <f>IFERROR(T287/T444, "NA")</f>
        <v>1.6055270408928356E-3</v>
      </c>
      <c r="V287" s="9"/>
      <c r="W287" s="10">
        <f t="shared" si="74"/>
        <v>-386.35999999999967</v>
      </c>
      <c r="X287" s="8">
        <f>IFERROR(W287/W444, "NA")</f>
        <v>4.7910464622134717E-3</v>
      </c>
      <c r="Y287" s="9"/>
      <c r="Z287" s="7">
        <v>3882.12</v>
      </c>
      <c r="AA287" s="8">
        <f>IFERROR(Z287/Z444, "NA")</f>
        <v>1.715800216329996E-3</v>
      </c>
      <c r="AB287" s="9"/>
      <c r="AC287" s="10">
        <f t="shared" si="75"/>
        <v>-388.23999999999978</v>
      </c>
      <c r="AD287" s="8">
        <f>IFERROR(AC287/AC444, "NA")</f>
        <v>-5.1131231075524641E-3</v>
      </c>
    </row>
    <row r="288" spans="1:30" ht="16.5" customHeight="1" x14ac:dyDescent="0.45">
      <c r="A288" s="6" t="s">
        <v>261</v>
      </c>
      <c r="B288" s="7">
        <v>839.22</v>
      </c>
      <c r="C288" s="8">
        <f>IFERROR(B288/B444, "NA")</f>
        <v>1.3274695965377913E-3</v>
      </c>
      <c r="D288" s="9"/>
      <c r="E288" s="7">
        <v>843</v>
      </c>
      <c r="F288" s="8">
        <f>IFERROR(E288/E444, "NA")</f>
        <v>1.2742746101086254E-3</v>
      </c>
      <c r="G288" s="9"/>
      <c r="H288" s="10">
        <f t="shared" si="72"/>
        <v>3.7799999999999727</v>
      </c>
      <c r="I288" s="8">
        <f>IFERROR(H288/H444, "NA")</f>
        <v>-1.2875720682699248E-4</v>
      </c>
      <c r="J288" s="9"/>
      <c r="K288" s="7">
        <v>952.13</v>
      </c>
      <c r="L288" s="8">
        <f>IFERROR(K288/K444, "NA")</f>
        <v>1.5777402496993133E-3</v>
      </c>
      <c r="M288" s="9"/>
      <c r="N288" s="10">
        <f t="shared" si="73"/>
        <v>112.90999999999997</v>
      </c>
      <c r="O288" s="8">
        <f>IFERROR(N288/N444, "NA")</f>
        <v>3.9316476218598352E-3</v>
      </c>
      <c r="P288" s="9"/>
      <c r="Q288" s="7">
        <v>3356.9</v>
      </c>
      <c r="R288" s="8">
        <f>IFERROR(Q288/Q444, "NA")</f>
        <v>1.4354920883898447E-3</v>
      </c>
      <c r="S288" s="9"/>
      <c r="T288" s="7">
        <v>3372</v>
      </c>
      <c r="U288" s="8">
        <f>IFERROR(T288/T444, "NA")</f>
        <v>1.3938818696937801E-3</v>
      </c>
      <c r="V288" s="9"/>
      <c r="W288" s="10">
        <f t="shared" si="74"/>
        <v>15.099999999999909</v>
      </c>
      <c r="X288" s="8">
        <f>IFERROR(W288/W444, "NA")</f>
        <v>-1.8724713111974078E-4</v>
      </c>
      <c r="Y288" s="9"/>
      <c r="Z288" s="7">
        <v>3801.94</v>
      </c>
      <c r="AA288" s="8">
        <f>IFERROR(Z288/Z444, "NA")</f>
        <v>1.6803626560934915E-3</v>
      </c>
      <c r="AB288" s="9"/>
      <c r="AC288" s="10">
        <f t="shared" si="75"/>
        <v>445.03999999999996</v>
      </c>
      <c r="AD288" s="8">
        <f>IFERROR(AC288/AC444, "NA")</f>
        <v>5.8611794451502936E-3</v>
      </c>
    </row>
    <row r="289" spans="1:30" ht="16.5" customHeight="1" x14ac:dyDescent="0.45">
      <c r="A289" s="6" t="s">
        <v>262</v>
      </c>
      <c r="B289" s="7">
        <v>1470.6499999999999</v>
      </c>
      <c r="C289" s="8">
        <f>IFERROR(B289/B444, "NA")</f>
        <v>2.3262591002934899E-3</v>
      </c>
      <c r="D289" s="9"/>
      <c r="E289" s="7">
        <v>1149</v>
      </c>
      <c r="F289" s="8">
        <f>IFERROR(E289/E444, "NA")</f>
        <v>1.7368226892227885E-3</v>
      </c>
      <c r="G289" s="9"/>
      <c r="H289" s="10">
        <f t="shared" si="72"/>
        <v>-321.64999999999986</v>
      </c>
      <c r="I289" s="8">
        <f>IFERROR(H289/H444, "NA")</f>
        <v>1.0956284543889527E-2</v>
      </c>
      <c r="J289" s="9"/>
      <c r="K289" s="7">
        <v>1046.48</v>
      </c>
      <c r="L289" s="8">
        <f>IFERROR(K289/K444, "NA")</f>
        <v>1.7340842285248205E-3</v>
      </c>
      <c r="M289" s="9"/>
      <c r="N289" s="10">
        <f t="shared" si="73"/>
        <v>-424.16999999999985</v>
      </c>
      <c r="O289" s="8">
        <f>IFERROR(N289/N444, "NA")</f>
        <v>-1.4770055546579456E-2</v>
      </c>
      <c r="P289" s="9"/>
      <c r="Q289" s="7">
        <v>4909.17</v>
      </c>
      <c r="R289" s="8">
        <f>IFERROR(Q289/Q444, "NA")</f>
        <v>2.0992804955645905E-3</v>
      </c>
      <c r="S289" s="9"/>
      <c r="T289" s="7">
        <v>4596</v>
      </c>
      <c r="U289" s="8">
        <f>IFERROR(T289/T444, "NA")</f>
        <v>1.8998461070915225E-3</v>
      </c>
      <c r="V289" s="9"/>
      <c r="W289" s="10">
        <f t="shared" si="74"/>
        <v>-313.17000000000007</v>
      </c>
      <c r="X289" s="8">
        <f>IFERROR(W289/W444, "NA")</f>
        <v>3.8834558975344097E-3</v>
      </c>
      <c r="Y289" s="9"/>
      <c r="Z289" s="7">
        <v>4218.3900000000003</v>
      </c>
      <c r="AA289" s="8">
        <f>IFERROR(Z289/Z444, "NA")</f>
        <v>1.8644231694446057E-3</v>
      </c>
      <c r="AB289" s="9"/>
      <c r="AC289" s="10">
        <f t="shared" si="75"/>
        <v>-690.77999999999975</v>
      </c>
      <c r="AD289" s="8">
        <f>IFERROR(AC289/AC444, "NA")</f>
        <v>-9.0975767057363804E-3</v>
      </c>
    </row>
    <row r="290" spans="1:30" ht="16.5" customHeight="1" x14ac:dyDescent="0.45">
      <c r="A290" s="6" t="s">
        <v>263</v>
      </c>
      <c r="B290" s="7">
        <v>3894.8100000000004</v>
      </c>
      <c r="C290" s="8">
        <f>IFERROR(B290/B444, "NA")</f>
        <v>6.1607705479985644E-3</v>
      </c>
      <c r="D290" s="9"/>
      <c r="E290" s="7">
        <v>3556.37</v>
      </c>
      <c r="F290" s="8">
        <f>IFERROR(E290/E444, "NA")</f>
        <v>5.3757912160759345E-3</v>
      </c>
      <c r="G290" s="9"/>
      <c r="H290" s="10">
        <f t="shared" si="72"/>
        <v>-338.44000000000051</v>
      </c>
      <c r="I290" s="8">
        <f>IFERROR(H290/H444, "NA")</f>
        <v>1.1528198168922676E-2</v>
      </c>
      <c r="J290" s="9"/>
      <c r="K290" s="7">
        <v>3025.06</v>
      </c>
      <c r="L290" s="8">
        <f>IFERROR(K290/K444, "NA")</f>
        <v>5.0127177168615674E-3</v>
      </c>
      <c r="M290" s="9"/>
      <c r="N290" s="10">
        <f t="shared" si="73"/>
        <v>-869.75000000000045</v>
      </c>
      <c r="O290" s="8">
        <f>IFERROR(N290/N444, "NA")</f>
        <v>-3.0285630317178236E-2</v>
      </c>
      <c r="P290" s="9"/>
      <c r="Q290" s="7">
        <v>11764.54</v>
      </c>
      <c r="R290" s="8">
        <f>IFERROR(Q290/Q444, "NA")</f>
        <v>5.030803447688601E-3</v>
      </c>
      <c r="S290" s="9"/>
      <c r="T290" s="7">
        <v>12152.699999999999</v>
      </c>
      <c r="U290" s="8">
        <f>IFERROR(T290/T444, "NA")</f>
        <v>5.0235552188100828E-3</v>
      </c>
      <c r="V290" s="9"/>
      <c r="W290" s="10">
        <f t="shared" si="74"/>
        <v>388.15999999999804</v>
      </c>
      <c r="X290" s="8">
        <f>IFERROR(W290/W444, "NA")</f>
        <v>-4.8133673122807055E-3</v>
      </c>
      <c r="Y290" s="9"/>
      <c r="Z290" s="7">
        <v>12186.279999999999</v>
      </c>
      <c r="AA290" s="8">
        <f>IFERROR(Z290/Z444, "NA")</f>
        <v>5.3860318228848934E-3</v>
      </c>
      <c r="AB290" s="9"/>
      <c r="AC290" s="10">
        <f t="shared" si="75"/>
        <v>421.73999999999796</v>
      </c>
      <c r="AD290" s="8">
        <f>IFERROR(AC290/AC444, "NA")</f>
        <v>5.5543183066638349E-3</v>
      </c>
    </row>
    <row r="291" spans="1:30" ht="16.5" customHeight="1" x14ac:dyDescent="0.45">
      <c r="A291" s="6" t="s">
        <v>264</v>
      </c>
      <c r="B291" s="7">
        <v>9310.75</v>
      </c>
      <c r="C291" s="8">
        <f>IFERROR(B291/B444, "NA")</f>
        <v>1.4727648943023568E-2</v>
      </c>
      <c r="D291" s="9"/>
      <c r="E291" s="7">
        <v>3490.0200000000004</v>
      </c>
      <c r="F291" s="8">
        <f>IFERROR(E291/E444, "NA")</f>
        <v>5.2754968858497106E-3</v>
      </c>
      <c r="G291" s="9"/>
      <c r="H291" s="10">
        <f t="shared" si="72"/>
        <v>-5820.73</v>
      </c>
      <c r="I291" s="8">
        <f>IFERROR(H291/H444, "NA")</f>
        <v>0.1982700890195993</v>
      </c>
      <c r="J291" s="9"/>
      <c r="K291" s="7">
        <v>1522.3400000000001</v>
      </c>
      <c r="L291" s="8">
        <f>IFERROR(K291/K444, "NA")</f>
        <v>2.5226146552752805E-3</v>
      </c>
      <c r="M291" s="9"/>
      <c r="N291" s="10">
        <f t="shared" si="73"/>
        <v>-7788.41</v>
      </c>
      <c r="O291" s="8">
        <f>IFERROR(N291/N444, "NA")</f>
        <v>-0.27120081174890948</v>
      </c>
      <c r="P291" s="9"/>
      <c r="Q291" s="7">
        <v>24932.98</v>
      </c>
      <c r="R291" s="8">
        <f>IFERROR(Q291/Q444, "NA")</f>
        <v>1.0661948681814241E-2</v>
      </c>
      <c r="S291" s="9"/>
      <c r="T291" s="7">
        <v>12749.550000000001</v>
      </c>
      <c r="U291" s="8">
        <f>IFERROR(T291/T444, "NA")</f>
        <v>5.2702747899627334E-3</v>
      </c>
      <c r="V291" s="9"/>
      <c r="W291" s="10">
        <f t="shared" si="74"/>
        <v>-12183.429999999998</v>
      </c>
      <c r="X291" s="8">
        <f>IFERROR(W291/W444, "NA")</f>
        <v>0.15108028574160245</v>
      </c>
      <c r="Y291" s="9"/>
      <c r="Z291" s="7">
        <v>17153.14</v>
      </c>
      <c r="AA291" s="8">
        <f>IFERROR(Z291/Z444, "NA")</f>
        <v>7.5812600647941607E-3</v>
      </c>
      <c r="AB291" s="9"/>
      <c r="AC291" s="10">
        <f t="shared" si="75"/>
        <v>-7779.84</v>
      </c>
      <c r="AD291" s="8">
        <f>IFERROR(AC291/AC444, "NA")</f>
        <v>-0.10246053904044145</v>
      </c>
    </row>
    <row r="292" spans="1:30" ht="16.5" customHeight="1" x14ac:dyDescent="0.45">
      <c r="A292" s="6" t="s">
        <v>265</v>
      </c>
      <c r="B292" s="7">
        <v>522.95000000000005</v>
      </c>
      <c r="C292" s="8">
        <f>IFERROR(B292/B444, "NA")</f>
        <v>8.2719695134701027E-4</v>
      </c>
      <c r="D292" s="9"/>
      <c r="E292" s="7">
        <v>940.26</v>
      </c>
      <c r="F292" s="8">
        <f>IFERROR(E292/E444, "NA")</f>
        <v>1.4212923427054996E-3</v>
      </c>
      <c r="G292" s="9"/>
      <c r="H292" s="10">
        <f t="shared" si="72"/>
        <v>417.30999999999995</v>
      </c>
      <c r="I292" s="8">
        <f>IFERROR(H292/H444, "NA")</f>
        <v>-1.4214727508193813E-2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-522.95000000000005</v>
      </c>
      <c r="O292" s="8">
        <f>IFERROR(N292/N444, "NA")</f>
        <v>-1.8209681373231795E-2</v>
      </c>
      <c r="P292" s="9"/>
      <c r="Q292" s="7">
        <v>1327.02</v>
      </c>
      <c r="R292" s="8">
        <f>IFERROR(Q292/Q444, "NA")</f>
        <v>5.6746602851889892E-4</v>
      </c>
      <c r="S292" s="9"/>
      <c r="T292" s="7">
        <v>3498.85</v>
      </c>
      <c r="U292" s="8">
        <f>IFERROR(T292/T444, "NA")</f>
        <v>1.4463177875972961E-3</v>
      </c>
      <c r="V292" s="9"/>
      <c r="W292" s="10">
        <f t="shared" si="74"/>
        <v>2171.83</v>
      </c>
      <c r="X292" s="8">
        <f>IFERROR(W292/W444, "NA")</f>
        <v>-2.6931717667535698E-2</v>
      </c>
      <c r="Y292" s="9"/>
      <c r="Z292" s="7">
        <v>3424.1400000000003</v>
      </c>
      <c r="AA292" s="8">
        <f>IFERROR(Z292/Z444, "NA")</f>
        <v>1.5133844787755643E-3</v>
      </c>
      <c r="AB292" s="9"/>
      <c r="AC292" s="10">
        <f t="shared" si="75"/>
        <v>2097.1200000000003</v>
      </c>
      <c r="AD292" s="8">
        <f>IFERROR(AC292/AC444, "NA")</f>
        <v>2.7619082864492148E-2</v>
      </c>
    </row>
    <row r="293" spans="1:30" ht="16.5" customHeight="1" x14ac:dyDescent="0.45">
      <c r="A293" s="6" t="s">
        <v>266</v>
      </c>
      <c r="B293" s="7">
        <v>209.96</v>
      </c>
      <c r="C293" s="8">
        <f>IFERROR(B293/B444, "NA")</f>
        <v>3.3211257654616744E-4</v>
      </c>
      <c r="D293" s="9"/>
      <c r="E293" s="7">
        <v>921.43</v>
      </c>
      <c r="F293" s="8">
        <f>IFERROR(E293/E444, "NA")</f>
        <v>1.3928290082946509E-3</v>
      </c>
      <c r="G293" s="9"/>
      <c r="H293" s="10">
        <f t="shared" si="72"/>
        <v>711.46999999999991</v>
      </c>
      <c r="I293" s="8">
        <f>IFERROR(H293/H444, "NA")</f>
        <v>-2.423462696857169E-2</v>
      </c>
      <c r="J293" s="9"/>
      <c r="K293" s="7">
        <v>450.21</v>
      </c>
      <c r="L293" s="8">
        <f>IFERROR(K293/K444, "NA")</f>
        <v>7.4602673775338215E-4</v>
      </c>
      <c r="M293" s="9"/>
      <c r="N293" s="10">
        <f t="shared" si="73"/>
        <v>240.24999999999997</v>
      </c>
      <c r="O293" s="8">
        <f>IFERROR(N293/N444, "NA")</f>
        <v>8.365763361543049E-3</v>
      </c>
      <c r="P293" s="9"/>
      <c r="Q293" s="7">
        <v>1061.69</v>
      </c>
      <c r="R293" s="8">
        <f>IFERROR(Q293/Q444, "NA")</f>
        <v>4.5400446701498835E-4</v>
      </c>
      <c r="S293" s="9"/>
      <c r="T293" s="7">
        <v>3360.92</v>
      </c>
      <c r="U293" s="8">
        <f>IFERROR(T293/T444, "NA")</f>
        <v>1.3893017359108005E-3</v>
      </c>
      <c r="V293" s="9"/>
      <c r="W293" s="10">
        <f t="shared" si="74"/>
        <v>2299.23</v>
      </c>
      <c r="X293" s="8">
        <f>IFERROR(W293/W444, "NA")</f>
        <v>-2.8511537833406899E-2</v>
      </c>
      <c r="Y293" s="9"/>
      <c r="Z293" s="7">
        <v>820.14</v>
      </c>
      <c r="AA293" s="8">
        <f>IFERROR(Z293/Z444, "NA")</f>
        <v>3.6248142494845159E-4</v>
      </c>
      <c r="AB293" s="9"/>
      <c r="AC293" s="10">
        <f t="shared" si="75"/>
        <v>-241.55000000000007</v>
      </c>
      <c r="AD293" s="8">
        <f>IFERROR(AC293/AC444, "NA")</f>
        <v>-3.1812149356823067E-3</v>
      </c>
    </row>
    <row r="294" spans="1:30" ht="16.5" customHeight="1" x14ac:dyDescent="0.45">
      <c r="A294" s="6" t="s">
        <v>267</v>
      </c>
      <c r="B294" s="7">
        <v>1781.93</v>
      </c>
      <c r="C294" s="8">
        <f>IFERROR(B294/B444, "NA")</f>
        <v>2.8186386146166515E-3</v>
      </c>
      <c r="D294" s="9"/>
      <c r="E294" s="7">
        <v>1784</v>
      </c>
      <c r="F294" s="8">
        <f>IFERROR(E294/E444, "NA")</f>
        <v>2.6966855331361662E-3</v>
      </c>
      <c r="G294" s="9"/>
      <c r="H294" s="10">
        <f t="shared" si="72"/>
        <v>2.0699999999999363</v>
      </c>
      <c r="I294" s="8">
        <f>IFERROR(H294/H444, "NA")</f>
        <v>-7.0509898976684704E-5</v>
      </c>
      <c r="J294" s="9"/>
      <c r="K294" s="7">
        <v>1680.78</v>
      </c>
      <c r="L294" s="8">
        <f>IFERROR(K294/K444, "NA")</f>
        <v>2.7851598593570327E-3</v>
      </c>
      <c r="M294" s="9"/>
      <c r="N294" s="10">
        <f t="shared" si="73"/>
        <v>-101.15000000000009</v>
      </c>
      <c r="O294" s="8">
        <f>IFERROR(N294/N444, "NA")</f>
        <v>-3.5221517753177118E-3</v>
      </c>
      <c r="P294" s="9"/>
      <c r="Q294" s="7">
        <v>6553.3</v>
      </c>
      <c r="R294" s="8">
        <f>IFERROR(Q294/Q444, "NA")</f>
        <v>2.8023504730093746E-3</v>
      </c>
      <c r="S294" s="9"/>
      <c r="T294" s="7">
        <v>7136</v>
      </c>
      <c r="U294" s="8">
        <f>IFERROR(T294/T444, "NA")</f>
        <v>2.9498045735868372E-3</v>
      </c>
      <c r="V294" s="9"/>
      <c r="W294" s="10">
        <f t="shared" si="74"/>
        <v>582.69999999999982</v>
      </c>
      <c r="X294" s="8">
        <f>IFERROR(W294/W444, "NA")</f>
        <v>-7.2257551856605021E-3</v>
      </c>
      <c r="Y294" s="9"/>
      <c r="Z294" s="7">
        <v>7639.63</v>
      </c>
      <c r="AA294" s="8">
        <f>IFERROR(Z294/Z444, "NA")</f>
        <v>3.3765259205488568E-3</v>
      </c>
      <c r="AB294" s="9"/>
      <c r="AC294" s="10">
        <f t="shared" si="75"/>
        <v>1086.33</v>
      </c>
      <c r="AD294" s="8">
        <f>IFERROR(AC294/AC444, "NA")</f>
        <v>1.4306972556736738E-2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19097.86</v>
      </c>
      <c r="C295" s="15">
        <f>IFERROR(B295/B444, "NA")</f>
        <v>3.0208799252800483E-2</v>
      </c>
      <c r="D295" s="2"/>
      <c r="E295" s="14">
        <f>IFERROR(E286+E287+E288+E289+E290+E291+E292+E293+E294, "NA")</f>
        <v>13655.08</v>
      </c>
      <c r="F295" s="15">
        <f>IFERROR(E295/E444, "NA")</f>
        <v>2.0640951059314461E-2</v>
      </c>
      <c r="G295" s="2"/>
      <c r="H295" s="14">
        <f t="shared" si="72"/>
        <v>-5442.7800000000007</v>
      </c>
      <c r="I295" s="15">
        <f>IFERROR(H295/H444, "NA")</f>
        <v>0.18539607147455645</v>
      </c>
      <c r="J295" s="2"/>
      <c r="K295" s="14">
        <f>IFERROR(K286+K287+K288+K289+K290+K291+K292+K293+K294, "NA")</f>
        <v>9647.5300000000007</v>
      </c>
      <c r="L295" s="15">
        <f>IFERROR(K295/K444, "NA")</f>
        <v>1.5986573672903508E-2</v>
      </c>
      <c r="M295" s="2"/>
      <c r="N295" s="14">
        <f t="shared" si="73"/>
        <v>-9450.33</v>
      </c>
      <c r="O295" s="15">
        <f>IFERROR(N295/N444, "NA")</f>
        <v>-0.32907065335480179</v>
      </c>
      <c r="P295" s="2"/>
      <c r="Q295" s="14">
        <f>IFERROR(Q286+Q287+Q288+Q289+Q290+Q291+Q292+Q293+Q294, "NA")</f>
        <v>58175.96</v>
      </c>
      <c r="R295" s="15">
        <f>IFERROR(Q295/Q444, "NA")</f>
        <v>2.4877455484072827E-2</v>
      </c>
      <c r="S295" s="2"/>
      <c r="T295" s="14">
        <f>IFERROR(T286+T287+T288+T289+T290+T291+T292+T293+T294, "NA")</f>
        <v>50750.02</v>
      </c>
      <c r="U295" s="15">
        <f>IFERROR(T295/T444, "NA")</f>
        <v>2.0978509123545888E-2</v>
      </c>
      <c r="V295" s="2"/>
      <c r="W295" s="14">
        <f t="shared" si="74"/>
        <v>-7425.9400000000023</v>
      </c>
      <c r="X295" s="15">
        <f>IFERROR(W295/W444, "NA")</f>
        <v>9.2085162971346807E-2</v>
      </c>
      <c r="Y295" s="2"/>
      <c r="Z295" s="14">
        <f>IFERROR(Z286+Z287+Z288+Z289+Z290+Z291+Z292+Z293+Z294, "NA")</f>
        <v>53125.779999999992</v>
      </c>
      <c r="AA295" s="15">
        <f>IFERROR(Z295/Z444, "NA")</f>
        <v>2.3480269753820018E-2</v>
      </c>
      <c r="AB295" s="2"/>
      <c r="AC295" s="14">
        <f t="shared" si="75"/>
        <v>-5050.1800000000076</v>
      </c>
      <c r="AD295" s="15">
        <f>IFERROR(AC295/AC444, "NA")</f>
        <v>-6.6510900616369661E-2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2044.4999999999998</v>
      </c>
      <c r="C299" s="8">
        <f>IFERROR(B299/B444, "NA")</f>
        <v>3.2339691500697242E-3</v>
      </c>
      <c r="D299" s="9"/>
      <c r="E299" s="7">
        <v>2209</v>
      </c>
      <c r="F299" s="8">
        <f>IFERROR(E299/E444, "NA")</f>
        <v>3.3391134207947258E-3</v>
      </c>
      <c r="G299" s="9"/>
      <c r="H299" s="10">
        <f t="shared" si="76"/>
        <v>164.50000000000023</v>
      </c>
      <c r="I299" s="8">
        <f>IFERROR(H299/H444, "NA")</f>
        <v>-5.6033228896932401E-3</v>
      </c>
      <c r="J299" s="9"/>
      <c r="K299" s="7">
        <v>3026.8700000000003</v>
      </c>
      <c r="L299" s="8">
        <f>IFERROR(K299/K444, "NA")</f>
        <v>5.0157170025178924E-3</v>
      </c>
      <c r="M299" s="9"/>
      <c r="N299" s="10">
        <f t="shared" si="77"/>
        <v>982.37000000000057</v>
      </c>
      <c r="O299" s="8">
        <f>IFERROR(N299/N444, "NA")</f>
        <v>3.4207179827176068E-2</v>
      </c>
      <c r="P299" s="9"/>
      <c r="Q299" s="7">
        <v>8756.9199999999983</v>
      </c>
      <c r="R299" s="8">
        <f>IFERROR(Q299/Q444, "NA")</f>
        <v>3.7446719826812825E-3</v>
      </c>
      <c r="S299" s="9"/>
      <c r="T299" s="7">
        <v>8836</v>
      </c>
      <c r="U299" s="8">
        <f>IFERROR(T299/T444, "NA")</f>
        <v>3.6525326810837016E-3</v>
      </c>
      <c r="V299" s="9"/>
      <c r="W299" s="10">
        <f t="shared" si="78"/>
        <v>79.080000000001746</v>
      </c>
      <c r="X299" s="8">
        <f>IFERROR(W299/W444, "NA")</f>
        <v>-9.806293462880475E-4</v>
      </c>
      <c r="Y299" s="9"/>
      <c r="Z299" s="7">
        <v>8593.61</v>
      </c>
      <c r="AA299" s="8">
        <f>IFERROR(Z299/Z444, "NA")</f>
        <v>3.7981612874036915E-3</v>
      </c>
      <c r="AB299" s="9"/>
      <c r="AC299" s="10">
        <f t="shared" si="79"/>
        <v>-163.30999999999767</v>
      </c>
      <c r="AD299" s="8">
        <f>IFERROR(AC299/AC444, "NA")</f>
        <v>-2.1507936706531565E-3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230</v>
      </c>
      <c r="C304" s="8">
        <f>IFERROR(B304/B444, "NA")</f>
        <v>3.6381164319688753E-4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-230</v>
      </c>
      <c r="I304" s="8">
        <f>IFERROR(H304/H444, "NA")</f>
        <v>7.8344332196318752E-3</v>
      </c>
      <c r="J304" s="9"/>
      <c r="K304" s="7">
        <v>268.25</v>
      </c>
      <c r="L304" s="8">
        <f>IFERROR(K304/K444, "NA")</f>
        <v>4.4450739077840293E-4</v>
      </c>
      <c r="M304" s="9"/>
      <c r="N304" s="10">
        <f t="shared" si="77"/>
        <v>38.25</v>
      </c>
      <c r="O304" s="8">
        <f>IFERROR(N304/N444, "NA")</f>
        <v>1.3319061335235033E-3</v>
      </c>
      <c r="P304" s="9"/>
      <c r="Q304" s="7">
        <v>876.68000000000006</v>
      </c>
      <c r="R304" s="8">
        <f>IFERROR(Q304/Q444, "NA")</f>
        <v>3.7488969109881413E-4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-876.68000000000006</v>
      </c>
      <c r="X304" s="8">
        <f>IFERROR(W304/W444, "NA")</f>
        <v>1.0871246020533467E-2</v>
      </c>
      <c r="Y304" s="9"/>
      <c r="Z304" s="7">
        <v>465.26</v>
      </c>
      <c r="AA304" s="8">
        <f>IFERROR(Z304/Z444, "NA")</f>
        <v>2.0563331598448631E-4</v>
      </c>
      <c r="AB304" s="9"/>
      <c r="AC304" s="10">
        <f t="shared" si="79"/>
        <v>-411.42000000000007</v>
      </c>
      <c r="AD304" s="8">
        <f>IFERROR(AC304/AC444, "NA")</f>
        <v>-5.4184038453256658E-3</v>
      </c>
    </row>
    <row r="305" spans="1:30" ht="16.5" customHeight="1" x14ac:dyDescent="0.45">
      <c r="A305" s="6" t="s">
        <v>277</v>
      </c>
      <c r="B305" s="7">
        <v>245.71000000000004</v>
      </c>
      <c r="C305" s="8">
        <f>IFERROR(B305/B444, "NA")</f>
        <v>3.8866156021698809E-4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-245.71000000000004</v>
      </c>
      <c r="I305" s="8">
        <f>IFERROR(H305/H444, "NA")</f>
        <v>8.3695590712858613E-3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-245.71000000000004</v>
      </c>
      <c r="O305" s="8">
        <f>IFERROR(N305/N444, "NA")</f>
        <v>-8.5558864331518967E-3</v>
      </c>
      <c r="P305" s="9"/>
      <c r="Q305" s="7">
        <v>511.35999999999996</v>
      </c>
      <c r="R305" s="8">
        <f>IFERROR(Q305/Q444, "NA")</f>
        <v>2.1866997358248113E-4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-511.35999999999996</v>
      </c>
      <c r="X305" s="8">
        <f>IFERROR(W305/W444, "NA")</f>
        <v>6.3411054946616698E-3</v>
      </c>
      <c r="Y305" s="9"/>
      <c r="Z305" s="7">
        <v>-51.41</v>
      </c>
      <c r="AA305" s="8">
        <f>IFERROR(Z305/Z444, "NA")</f>
        <v>-2.2721937786963076E-5</v>
      </c>
      <c r="AB305" s="9"/>
      <c r="AC305" s="10">
        <f t="shared" si="79"/>
        <v>-562.77</v>
      </c>
      <c r="AD305" s="8">
        <f>IFERROR(AC305/AC444, "NA")</f>
        <v>-7.4116842448931118E-3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112.09</v>
      </c>
      <c r="C310" s="8">
        <f>IFERROR(B310/B444, "NA")</f>
        <v>1.7730281341712666E-4</v>
      </c>
      <c r="D310" s="9"/>
      <c r="E310" s="7">
        <v>275</v>
      </c>
      <c r="F310" s="8">
        <f>IFERROR(E310/E444, "NA")</f>
        <v>4.1568863319083277E-4</v>
      </c>
      <c r="G310" s="9"/>
      <c r="H310" s="10">
        <f t="shared" si="76"/>
        <v>162.91</v>
      </c>
      <c r="I310" s="8">
        <f>IFERROR(H310/H444, "NA")</f>
        <v>-5.5491631122183858E-3</v>
      </c>
      <c r="J310" s="9"/>
      <c r="K310" s="7">
        <v>306.11</v>
      </c>
      <c r="L310" s="8">
        <f>IFERROR(K310/K444, "NA")</f>
        <v>5.072438299764284E-4</v>
      </c>
      <c r="M310" s="9"/>
      <c r="N310" s="10">
        <f t="shared" si="77"/>
        <v>194.02</v>
      </c>
      <c r="O310" s="8">
        <f>IFERROR(N310/N444, "NA")</f>
        <v>6.7559850464373886E-3</v>
      </c>
      <c r="P310" s="9"/>
      <c r="Q310" s="7">
        <v>1244.19</v>
      </c>
      <c r="R310" s="8">
        <f>IFERROR(Q310/Q444, "NA")</f>
        <v>5.3204590588154575E-4</v>
      </c>
      <c r="S310" s="9"/>
      <c r="T310" s="7">
        <v>1100</v>
      </c>
      <c r="U310" s="8">
        <f>IFERROR(T310/T444, "NA")</f>
        <v>4.54706422497971E-4</v>
      </c>
      <c r="V310" s="9"/>
      <c r="W310" s="10">
        <f t="shared" si="78"/>
        <v>-144.19000000000005</v>
      </c>
      <c r="X310" s="8">
        <f>IFERROR(W310/W444, "NA")</f>
        <v>1.7880240951096422E-3</v>
      </c>
      <c r="Y310" s="9"/>
      <c r="Z310" s="7">
        <v>615.48</v>
      </c>
      <c r="AA310" s="8">
        <f>IFERROR(Z310/Z444, "NA")</f>
        <v>2.7202680935849123E-4</v>
      </c>
      <c r="AB310" s="9"/>
      <c r="AC310" s="10">
        <f t="shared" si="79"/>
        <v>-628.71</v>
      </c>
      <c r="AD310" s="8">
        <f>IFERROR(AC310/AC444, "NA")</f>
        <v>-8.2801144368156599E-3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167.48</v>
      </c>
      <c r="AA311" s="8">
        <f>IFERROR(Z311/Z444, "NA")</f>
        <v>7.4021982893611663E-5</v>
      </c>
      <c r="AB311" s="9"/>
      <c r="AC311" s="10">
        <f t="shared" si="79"/>
        <v>167.48</v>
      </c>
      <c r="AD311" s="8">
        <f>IFERROR(AC311/AC444, "NA")</f>
        <v>2.205712595438098E-3</v>
      </c>
    </row>
    <row r="312" spans="1:30" ht="16.5" customHeight="1" x14ac:dyDescent="0.45">
      <c r="A312" s="6" t="s">
        <v>284</v>
      </c>
      <c r="B312" s="7">
        <v>2337.1099999999997</v>
      </c>
      <c r="C312" s="8">
        <f>IFERROR(B312/B444, "NA")</f>
        <v>3.6968166497038163E-3</v>
      </c>
      <c r="D312" s="9"/>
      <c r="E312" s="7">
        <v>175</v>
      </c>
      <c r="F312" s="8">
        <f>IFERROR(E312/E444, "NA")</f>
        <v>2.6452913021234812E-4</v>
      </c>
      <c r="G312" s="9"/>
      <c r="H312" s="10">
        <f t="shared" si="76"/>
        <v>-2162.1099999999997</v>
      </c>
      <c r="I312" s="8">
        <f>IFERROR(H312/H444, "NA")</f>
        <v>7.3647419167383779E-2</v>
      </c>
      <c r="J312" s="9"/>
      <c r="K312" s="7">
        <v>699.28</v>
      </c>
      <c r="L312" s="8">
        <f>IFERROR(K312/K444, "NA")</f>
        <v>1.158751642958142E-3</v>
      </c>
      <c r="M312" s="9"/>
      <c r="N312" s="10">
        <f t="shared" si="77"/>
        <v>-1637.8299999999997</v>
      </c>
      <c r="O312" s="8">
        <f>IFERROR(N312/N444, "NA")</f>
        <v>-5.7031001899837883E-2</v>
      </c>
      <c r="P312" s="9"/>
      <c r="Q312" s="7">
        <v>7844.0499999999993</v>
      </c>
      <c r="R312" s="8">
        <f>IFERROR(Q312/Q444, "NA")</f>
        <v>3.3543065673491495E-3</v>
      </c>
      <c r="S312" s="9"/>
      <c r="T312" s="7">
        <v>700</v>
      </c>
      <c r="U312" s="8">
        <f>IFERROR(T312/T444, "NA")</f>
        <v>2.8935863249870882E-4</v>
      </c>
      <c r="V312" s="9"/>
      <c r="W312" s="10">
        <f t="shared" si="78"/>
        <v>-7144.0499999999993</v>
      </c>
      <c r="X312" s="8">
        <f>IFERROR(W312/W444, "NA")</f>
        <v>8.8589593846092191E-2</v>
      </c>
      <c r="Y312" s="9"/>
      <c r="Z312" s="7">
        <v>2778.81</v>
      </c>
      <c r="AA312" s="8">
        <f>IFERROR(Z312/Z444, "NA")</f>
        <v>1.228164713903732E-3</v>
      </c>
      <c r="AB312" s="9"/>
      <c r="AC312" s="10">
        <f t="shared" si="79"/>
        <v>-5065.24</v>
      </c>
      <c r="AD312" s="8">
        <f>IFERROR(AC312/AC444, "NA")</f>
        <v>-6.6709240905880526E-2</v>
      </c>
    </row>
    <row r="313" spans="1:30" ht="16.5" customHeight="1" x14ac:dyDescent="0.45">
      <c r="A313" s="6" t="s">
        <v>285</v>
      </c>
      <c r="B313" s="7">
        <v>536.95000000000005</v>
      </c>
      <c r="C313" s="8">
        <f>IFERROR(B313/B444, "NA")</f>
        <v>8.4934200788942956E-4</v>
      </c>
      <c r="D313" s="9"/>
      <c r="E313" s="7">
        <v>310</v>
      </c>
      <c r="F313" s="8">
        <f>IFERROR(E313/E444, "NA")</f>
        <v>4.6859445923330239E-4</v>
      </c>
      <c r="G313" s="9"/>
      <c r="H313" s="10">
        <f t="shared" si="76"/>
        <v>-226.95000000000005</v>
      </c>
      <c r="I313" s="8">
        <f>IFERROR(H313/H444, "NA")</f>
        <v>7.7305418225889315E-3</v>
      </c>
      <c r="J313" s="9"/>
      <c r="K313" s="7">
        <v>334</v>
      </c>
      <c r="L313" s="8">
        <f>IFERROR(K313/K444, "NA")</f>
        <v>5.5345934210619414E-4</v>
      </c>
      <c r="M313" s="9"/>
      <c r="N313" s="10">
        <f t="shared" si="77"/>
        <v>-202.95000000000005</v>
      </c>
      <c r="O313" s="8">
        <f>IFERROR(N313/N444, "NA")</f>
        <v>-7.0669372496364718E-3</v>
      </c>
      <c r="P313" s="9"/>
      <c r="Q313" s="7">
        <v>1621.5</v>
      </c>
      <c r="R313" s="8">
        <f>IFERROR(Q313/Q444, "NA")</f>
        <v>6.9339283902533091E-4</v>
      </c>
      <c r="S313" s="9"/>
      <c r="T313" s="7">
        <v>1245</v>
      </c>
      <c r="U313" s="8">
        <f>IFERROR(T313/T444, "NA")</f>
        <v>5.146449963727035E-4</v>
      </c>
      <c r="V313" s="9"/>
      <c r="W313" s="10">
        <f t="shared" si="78"/>
        <v>-376.5</v>
      </c>
      <c r="X313" s="8">
        <f>IFERROR(W313/W444, "NA")</f>
        <v>4.668777805733962E-3</v>
      </c>
      <c r="Y313" s="9"/>
      <c r="Z313" s="7">
        <v>1108.8</v>
      </c>
      <c r="AA313" s="8">
        <f>IFERROR(Z313/Z444, "NA")</f>
        <v>4.9006194550057689E-4</v>
      </c>
      <c r="AB313" s="9"/>
      <c r="AC313" s="10">
        <f t="shared" si="79"/>
        <v>-512.70000000000005</v>
      </c>
      <c r="AD313" s="8">
        <f>IFERROR(AC313/AC444, "NA")</f>
        <v>-6.752262047295874E-3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1690.37</v>
      </c>
      <c r="C315" s="8">
        <f>IFERROR(B315/B444, "NA")</f>
        <v>2.6738099448292297E-3</v>
      </c>
      <c r="D315" s="9"/>
      <c r="E315" s="7">
        <v>1785.1299999999999</v>
      </c>
      <c r="F315" s="8">
        <f>IFERROR(E315/E444, "NA")</f>
        <v>2.6983936355198229E-3</v>
      </c>
      <c r="G315" s="9"/>
      <c r="H315" s="10">
        <f t="shared" si="76"/>
        <v>94.759999999999991</v>
      </c>
      <c r="I315" s="8">
        <f>IFERROR(H315/H444, "NA")</f>
        <v>-3.2277864864883321E-3</v>
      </c>
      <c r="J315" s="9"/>
      <c r="K315" s="7">
        <v>1782.9700000000003</v>
      </c>
      <c r="L315" s="8">
        <f>IFERROR(K315/K444, "NA")</f>
        <v>2.9544952191469494E-3</v>
      </c>
      <c r="M315" s="9"/>
      <c r="N315" s="10">
        <f t="shared" si="77"/>
        <v>92.600000000000364</v>
      </c>
      <c r="O315" s="8">
        <f>IFERROR(N315/N444, "NA")</f>
        <v>3.2244315807654087E-3</v>
      </c>
      <c r="P315" s="9"/>
      <c r="Q315" s="7">
        <v>6761.48</v>
      </c>
      <c r="R315" s="8">
        <f>IFERROR(Q315/Q444, "NA")</f>
        <v>2.8913733044791824E-3</v>
      </c>
      <c r="S315" s="9"/>
      <c r="T315" s="7">
        <v>6568.3600000000006</v>
      </c>
      <c r="U315" s="8">
        <f>IFERROR(T315/T444, "NA")</f>
        <v>2.7151595247988844E-3</v>
      </c>
      <c r="V315" s="9"/>
      <c r="W315" s="10">
        <f t="shared" si="78"/>
        <v>-193.11999999999898</v>
      </c>
      <c r="X315" s="8">
        <f>IFERROR(W315/W444, "NA")</f>
        <v>2.3947792027711502E-3</v>
      </c>
      <c r="Y315" s="9"/>
      <c r="Z315" s="7">
        <v>5531.8600000000006</v>
      </c>
      <c r="AA315" s="8">
        <f>IFERROR(Z315/Z444, "NA")</f>
        <v>2.4449441502857341E-3</v>
      </c>
      <c r="AB315" s="9"/>
      <c r="AC315" s="10">
        <f t="shared" si="79"/>
        <v>-1229.619999999999</v>
      </c>
      <c r="AD315" s="8">
        <f>IFERROR(AC315/AC444, "NA")</f>
        <v>-1.6194102708398567E-2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1467.82</v>
      </c>
      <c r="R316" s="8">
        <f>IFERROR(Q316/Q444, "NA")</f>
        <v>6.2767553313485111E-4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-1467.82</v>
      </c>
      <c r="X316" s="8">
        <f>IFERROR(W316/W444, "NA")</f>
        <v>1.8201661192064872E-2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-1467.82</v>
      </c>
      <c r="AD316" s="8">
        <f>IFERROR(AC316/AC444, "NA")</f>
        <v>-1.9331198124169745E-2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2.0875670265612712E-3</v>
      </c>
      <c r="D318" s="9"/>
      <c r="E318" s="7">
        <v>1321</v>
      </c>
      <c r="F318" s="8">
        <f>IFERROR(E318/E444, "NA")</f>
        <v>1.996817034345782E-3</v>
      </c>
      <c r="G318" s="9"/>
      <c r="H318" s="10">
        <f t="shared" si="76"/>
        <v>1.25</v>
      </c>
      <c r="I318" s="8">
        <f>IFERROR(H318/H444, "NA")</f>
        <v>-4.25784414110428E-5</v>
      </c>
      <c r="J318" s="9"/>
      <c r="K318" s="7">
        <v>1319.75</v>
      </c>
      <c r="L318" s="8">
        <f>IFERROR(K318/K444, "NA")</f>
        <v>2.1869100800738016E-3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5279</v>
      </c>
      <c r="R318" s="8">
        <f>IFERROR(Q318/Q444, "NA")</f>
        <v>2.2574287987756534E-3</v>
      </c>
      <c r="S318" s="9"/>
      <c r="T318" s="7">
        <v>5284</v>
      </c>
      <c r="U318" s="8">
        <f>IFERROR(T318/T444, "NA")</f>
        <v>2.1842443058902533E-3</v>
      </c>
      <c r="V318" s="9"/>
      <c r="W318" s="10">
        <f t="shared" si="78"/>
        <v>5</v>
      </c>
      <c r="X318" s="8">
        <f>IFERROR(W318/W444, "NA")</f>
        <v>-6.2002361297927781E-5</v>
      </c>
      <c r="Y318" s="9"/>
      <c r="Z318" s="7">
        <v>5279</v>
      </c>
      <c r="AA318" s="8">
        <f>IFERROR(Z318/Z444, "NA")</f>
        <v>2.333186336848436E-3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1345.6799999999998</v>
      </c>
      <c r="C319" s="8">
        <f>IFERROR(B319/B444, "NA")</f>
        <v>2.1285828348573373E-3</v>
      </c>
      <c r="D319" s="9"/>
      <c r="E319" s="7">
        <v>1241</v>
      </c>
      <c r="F319" s="8">
        <f>IFERROR(E319/E444, "NA")</f>
        <v>1.8758894319629944E-3</v>
      </c>
      <c r="G319" s="9"/>
      <c r="H319" s="10">
        <f t="shared" si="76"/>
        <v>-104.67999999999984</v>
      </c>
      <c r="I319" s="8">
        <f>IFERROR(H319/H444, "NA")</f>
        <v>3.5656889975263623E-3</v>
      </c>
      <c r="J319" s="9"/>
      <c r="K319" s="7">
        <v>1197.77</v>
      </c>
      <c r="L319" s="8">
        <f>IFERROR(K319/K444, "NA")</f>
        <v>1.9847814257321441E-3</v>
      </c>
      <c r="M319" s="9"/>
      <c r="N319" s="10">
        <f t="shared" si="77"/>
        <v>-147.90999999999985</v>
      </c>
      <c r="O319" s="8">
        <f>IFERROR(N319/N444, "NA")</f>
        <v>-5.1503852603780702E-3</v>
      </c>
      <c r="P319" s="9"/>
      <c r="Q319" s="7">
        <v>5231.1100000000006</v>
      </c>
      <c r="R319" s="8">
        <f>IFERROR(Q319/Q444, "NA")</f>
        <v>2.2369498699684235E-3</v>
      </c>
      <c r="S319" s="9"/>
      <c r="T319" s="7">
        <v>4964</v>
      </c>
      <c r="U319" s="8">
        <f>IFERROR(T319/T444, "NA")</f>
        <v>2.0519660738908437E-3</v>
      </c>
      <c r="V319" s="9"/>
      <c r="W319" s="10">
        <f t="shared" si="78"/>
        <v>-267.11000000000058</v>
      </c>
      <c r="X319" s="8">
        <f>IFERROR(W319/W444, "NA")</f>
        <v>3.3122901452579054E-3</v>
      </c>
      <c r="Y319" s="9"/>
      <c r="Z319" s="7">
        <v>4647.8500000000004</v>
      </c>
      <c r="AA319" s="8">
        <f>IFERROR(Z319/Z444, "NA")</f>
        <v>2.0542337783142645E-3</v>
      </c>
      <c r="AB319" s="9"/>
      <c r="AC319" s="10">
        <f t="shared" si="79"/>
        <v>-583.26000000000022</v>
      </c>
      <c r="AD319" s="8">
        <f>IFERROR(AC319/AC444, "NA")</f>
        <v>-7.681537666677965E-3</v>
      </c>
    </row>
    <row r="320" spans="1:30" ht="16.5" customHeight="1" x14ac:dyDescent="0.45">
      <c r="A320" s="6" t="s">
        <v>292</v>
      </c>
      <c r="B320" s="7">
        <v>5299.96</v>
      </c>
      <c r="C320" s="8">
        <f>IFERROR(B320/B444, "NA")</f>
        <v>8.3834224194685916E-3</v>
      </c>
      <c r="D320" s="9"/>
      <c r="E320" s="7">
        <v>5783</v>
      </c>
      <c r="F320" s="8">
        <f>IFERROR(E320/E444, "NA")</f>
        <v>8.7415540572457675E-3</v>
      </c>
      <c r="G320" s="9"/>
      <c r="H320" s="10">
        <f t="shared" si="76"/>
        <v>483.03999999999996</v>
      </c>
      <c r="I320" s="8">
        <f>IFERROR(H320/H444, "NA")</f>
        <v>-1.6453672271352089E-2</v>
      </c>
      <c r="J320" s="9"/>
      <c r="K320" s="7">
        <v>6260.2700000000013</v>
      </c>
      <c r="L320" s="8">
        <f>IFERROR(K320/K444, "NA")</f>
        <v>1.0373667411997439E-2</v>
      </c>
      <c r="M320" s="9"/>
      <c r="N320" s="10">
        <f t="shared" si="77"/>
        <v>960.31000000000131</v>
      </c>
      <c r="O320" s="8">
        <f>IFERROR(N320/N444, "NA")</f>
        <v>3.343902690415574E-2</v>
      </c>
      <c r="P320" s="9"/>
      <c r="Q320" s="7">
        <v>23362.27</v>
      </c>
      <c r="R320" s="8">
        <f>IFERROR(Q320/Q444, "NA")</f>
        <v>9.9902748821315557E-3</v>
      </c>
      <c r="S320" s="9"/>
      <c r="T320" s="7">
        <v>23132</v>
      </c>
      <c r="U320" s="8">
        <f>IFERROR(T320/T444, "NA")</f>
        <v>9.5620626956573317E-3</v>
      </c>
      <c r="V320" s="9"/>
      <c r="W320" s="10">
        <f t="shared" si="78"/>
        <v>-230.27000000000044</v>
      </c>
      <c r="X320" s="8">
        <f>IFERROR(W320/W444, "NA")</f>
        <v>2.8554567472147715E-3</v>
      </c>
      <c r="Y320" s="9"/>
      <c r="Z320" s="7">
        <v>22049.03</v>
      </c>
      <c r="AA320" s="8">
        <f>IFERROR(Z320/Z444, "NA")</f>
        <v>9.7451213367609896E-3</v>
      </c>
      <c r="AB320" s="9"/>
      <c r="AC320" s="10">
        <f t="shared" si="79"/>
        <v>-1313.2400000000016</v>
      </c>
      <c r="AD320" s="8">
        <f>IFERROR(AC320/AC444, "NA")</f>
        <v>-1.7295378605404414E-2</v>
      </c>
    </row>
    <row r="321" spans="1:30" ht="16.5" customHeight="1" x14ac:dyDescent="0.45">
      <c r="A321" s="6" t="s">
        <v>293</v>
      </c>
      <c r="B321" s="7">
        <v>4717.8799999999992</v>
      </c>
      <c r="C321" s="8">
        <f>IFERROR(B321/B444, "NA")</f>
        <v>7.4626942400249198E-3</v>
      </c>
      <c r="D321" s="9"/>
      <c r="E321" s="7">
        <v>8484.69</v>
      </c>
      <c r="F321" s="8">
        <f>IFERROR(E321/E444, "NA")</f>
        <v>1.282541523326519E-2</v>
      </c>
      <c r="G321" s="9"/>
      <c r="H321" s="10">
        <f t="shared" si="76"/>
        <v>3766.8100000000013</v>
      </c>
      <c r="I321" s="8">
        <f>IFERROR(H321/H444, "NA")</f>
        <v>-0.12830791911322414</v>
      </c>
      <c r="J321" s="9"/>
      <c r="K321" s="7">
        <v>7008.26</v>
      </c>
      <c r="L321" s="8">
        <f>IFERROR(K321/K444, "NA")</f>
        <v>1.1613134637452564E-2</v>
      </c>
      <c r="M321" s="9"/>
      <c r="N321" s="10">
        <f t="shared" si="77"/>
        <v>2290.380000000001</v>
      </c>
      <c r="O321" s="8">
        <f>IFERROR(N321/N444, "NA")</f>
        <v>7.9753494643125825E-2</v>
      </c>
      <c r="P321" s="9"/>
      <c r="Q321" s="7">
        <v>20520.759999999998</v>
      </c>
      <c r="R321" s="8">
        <f>IFERROR(Q321/Q444, "NA")</f>
        <v>8.7751760933440937E-3</v>
      </c>
      <c r="S321" s="9"/>
      <c r="T321" s="7">
        <v>30849.059999999998</v>
      </c>
      <c r="U321" s="8">
        <f>IFERROR(T321/T444, "NA")</f>
        <v>1.2752059736386595E-2</v>
      </c>
      <c r="V321" s="9"/>
      <c r="W321" s="10">
        <f t="shared" si="78"/>
        <v>10328.299999999999</v>
      </c>
      <c r="X321" s="8">
        <f>IFERROR(W321/W444, "NA")</f>
        <v>-0.12807579763867749</v>
      </c>
      <c r="Y321" s="9"/>
      <c r="Z321" s="7">
        <v>47192.5</v>
      </c>
      <c r="AA321" s="8">
        <f>IFERROR(Z321/Z444, "NA")</f>
        <v>2.0857907975321048E-2</v>
      </c>
      <c r="AB321" s="9"/>
      <c r="AC321" s="10">
        <f t="shared" si="79"/>
        <v>26671.74</v>
      </c>
      <c r="AD321" s="8">
        <f>IFERROR(AC321/AC444, "NA")</f>
        <v>0.35126697432678616</v>
      </c>
    </row>
    <row r="322" spans="1:30" ht="16.5" customHeight="1" x14ac:dyDescent="0.45">
      <c r="A322" s="6" t="s">
        <v>294</v>
      </c>
      <c r="B322" s="7">
        <v>2077.2300000000005</v>
      </c>
      <c r="C322" s="8">
        <f>IFERROR(B322/B444, "NA")</f>
        <v>3.2857411286863953E-3</v>
      </c>
      <c r="D322" s="9"/>
      <c r="E322" s="7">
        <v>1413</v>
      </c>
      <c r="F322" s="8">
        <f>IFERROR(E322/E444, "NA")</f>
        <v>2.1358837770859879E-3</v>
      </c>
      <c r="G322" s="9"/>
      <c r="H322" s="10">
        <f t="shared" si="76"/>
        <v>-664.23000000000047</v>
      </c>
      <c r="I322" s="8">
        <f>IFERROR(H322/H444, "NA")</f>
        <v>2.2625502510765581E-2</v>
      </c>
      <c r="J322" s="9"/>
      <c r="K322" s="7">
        <v>1276.3399999999999</v>
      </c>
      <c r="L322" s="8">
        <f>IFERROR(K322/K444, "NA")</f>
        <v>2.1149769362389815E-3</v>
      </c>
      <c r="M322" s="9"/>
      <c r="N322" s="10">
        <f t="shared" si="77"/>
        <v>-800.89000000000055</v>
      </c>
      <c r="O322" s="8">
        <f>IFERROR(N322/N444, "NA")</f>
        <v>-2.7887851066082072E-2</v>
      </c>
      <c r="P322" s="9"/>
      <c r="Q322" s="7">
        <v>7195.9000000000005</v>
      </c>
      <c r="R322" s="8">
        <f>IFERROR(Q322/Q444, "NA")</f>
        <v>3.0771418626841683E-3</v>
      </c>
      <c r="S322" s="9"/>
      <c r="T322" s="7">
        <v>5652</v>
      </c>
      <c r="U322" s="8">
        <f>IFERROR(T322/T444, "NA")</f>
        <v>2.3363642726895745E-3</v>
      </c>
      <c r="V322" s="9"/>
      <c r="W322" s="10">
        <f t="shared" si="78"/>
        <v>-1543.9000000000005</v>
      </c>
      <c r="X322" s="8">
        <f>IFERROR(W322/W444, "NA")</f>
        <v>1.9145089121574147E-2</v>
      </c>
      <c r="Y322" s="9"/>
      <c r="Z322" s="7">
        <v>6287.1</v>
      </c>
      <c r="AA322" s="8">
        <f>IFERROR(Z322/Z444, "NA")</f>
        <v>2.7787413939003225E-3</v>
      </c>
      <c r="AB322" s="9"/>
      <c r="AC322" s="10">
        <f t="shared" si="79"/>
        <v>-908.80000000000018</v>
      </c>
      <c r="AD322" s="8">
        <f>IFERROR(AC322/AC444, "NA")</f>
        <v>-1.1968901401565226E-2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3.01</v>
      </c>
      <c r="R323" s="8">
        <f>IFERROR(Q323/Q444, "NA")</f>
        <v>1.287149210895002E-6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-3.01</v>
      </c>
      <c r="X323" s="8">
        <f>IFERROR(W323/W444, "NA")</f>
        <v>3.7325421501352524E-5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-3.01</v>
      </c>
      <c r="AD323" s="8">
        <f>IFERROR(AC323/AC444, "NA")</f>
        <v>-3.9641717890307349E-5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21957.23</v>
      </c>
      <c r="C324" s="15">
        <f>IFERROR(B324/B444, "NA")</f>
        <v>3.4731721418921717E-2</v>
      </c>
      <c r="D324" s="2"/>
      <c r="E324" s="14">
        <f>IFERROR(E297+E298+E299+E300+E301+E302+E303+E304+E305+E306+E307+E308+E309+E310+E311+E312+E313+E314+E315+E316+E317+E318+E319+E320+E321+E322+E323, "NA")</f>
        <v>22996.82</v>
      </c>
      <c r="F324" s="15">
        <f>IFERROR(E324/E444, "NA")</f>
        <v>3.476187881285675E-2</v>
      </c>
      <c r="G324" s="2"/>
      <c r="H324" s="14">
        <f t="shared" si="76"/>
        <v>1039.5900000000001</v>
      </c>
      <c r="I324" s="15">
        <f>IFERROR(H324/H444, "NA")</f>
        <v>-3.5411297525204791E-2</v>
      </c>
      <c r="J324" s="2"/>
      <c r="K324" s="14">
        <f>IFERROR(K297+K298+K299+K300+K301+K302+K303+K304+K305+K306+K307+K308+K309+K310+K311+K312+K313+K314+K315+K316+K317+K318+K319+K320+K321+K322+K323, "NA")</f>
        <v>23479.87</v>
      </c>
      <c r="L324" s="15">
        <f>IFERROR(K324/K444, "NA")</f>
        <v>3.8907644918978933E-2</v>
      </c>
      <c r="M324" s="2"/>
      <c r="N324" s="14">
        <f t="shared" si="77"/>
        <v>1522.6399999999994</v>
      </c>
      <c r="O324" s="15">
        <f>IFERROR(N324/N444, "NA")</f>
        <v>5.3019962226097415E-2</v>
      </c>
      <c r="P324" s="2"/>
      <c r="Q324" s="14">
        <f>IFERROR(Q297+Q298+Q299+Q300+Q301+Q302+Q303+Q304+Q305+Q306+Q307+Q308+Q309+Q310+Q311+Q312+Q313+Q314+Q315+Q316+Q317+Q318+Q319+Q320+Q321+Q322+Q323, "NA")</f>
        <v>90676.049999999988</v>
      </c>
      <c r="R324" s="15">
        <f>IFERROR(Q324/Q444, "NA")</f>
        <v>3.8775284453347422E-2</v>
      </c>
      <c r="S324" s="2"/>
      <c r="T324" s="14">
        <f>IFERROR(T297+T298+T299+T300+T301+T302+T303+T304+T305+T306+T307+T308+T309+T310+T311+T312+T313+T314+T315+T316+T317+T318+T319+T320+T321+T322+T323, "NA")</f>
        <v>88330.42</v>
      </c>
      <c r="U324" s="15">
        <f>IFERROR(T324/T444, "NA")</f>
        <v>3.6513099341766567E-2</v>
      </c>
      <c r="V324" s="2"/>
      <c r="W324" s="14">
        <f t="shared" si="78"/>
        <v>-2345.6299999999901</v>
      </c>
      <c r="X324" s="15">
        <f>IFERROR(W324/W444, "NA")</f>
        <v>2.9086919746251546E-2</v>
      </c>
      <c r="Y324" s="2"/>
      <c r="Z324" s="14">
        <f>IFERROR(Z297+Z298+Z299+Z300+Z301+Z302+Z303+Z304+Z305+Z306+Z307+Z308+Z309+Z310+Z311+Z312+Z313+Z314+Z315+Z316+Z317+Z318+Z319+Z320+Z321+Z322+Z323, "NA")</f>
        <v>104665.37</v>
      </c>
      <c r="AA324" s="15">
        <f>IFERROR(Z324/Z444, "NA")</f>
        <v>4.6259483088688415E-2</v>
      </c>
      <c r="AB324" s="2"/>
      <c r="AC324" s="14">
        <f t="shared" si="79"/>
        <v>13989.320000000007</v>
      </c>
      <c r="AD324" s="15">
        <f>IFERROR(AC324/AC444, "NA")</f>
        <v>0.18423942754725406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166412.35999999999</v>
      </c>
      <c r="C325" s="15">
        <f>IFERROR(B325/B444, "NA")</f>
        <v>0.26322936582553041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153345.02999999997</v>
      </c>
      <c r="F325" s="15">
        <f>IFERROR(E325/E444, "NA")</f>
        <v>0.23179558519020813</v>
      </c>
      <c r="G325" s="2"/>
      <c r="H325" s="14">
        <f t="shared" si="76"/>
        <v>-13067.330000000016</v>
      </c>
      <c r="I325" s="15">
        <f>IFERROR(H325/H444, "NA")</f>
        <v>0.44510923584301004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144222.93000000002</v>
      </c>
      <c r="L325" s="15">
        <f>IFERROR(K325/K444, "NA")</f>
        <v>0.23898661064199911</v>
      </c>
      <c r="M325" s="2"/>
      <c r="N325" s="14">
        <f t="shared" si="77"/>
        <v>-22189.429999999964</v>
      </c>
      <c r="O325" s="15">
        <f>IFERROR(N325/N444, "NA")</f>
        <v>-0.77265981480759161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626875.69000000018</v>
      </c>
      <c r="R325" s="15">
        <f>IFERROR(Q325/Q444, "NA")</f>
        <v>0.2680672922633755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566364.14999999991</v>
      </c>
      <c r="U325" s="15">
        <f>IFERROR(T325/T444, "NA")</f>
        <v>0.23411765134327653</v>
      </c>
      <c r="V325" s="2"/>
      <c r="W325" s="14">
        <f t="shared" si="78"/>
        <v>-60511.54000000027</v>
      </c>
      <c r="X325" s="15">
        <f>IFERROR(W325/W444, "NA")</f>
        <v>0.75037167315480513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614400.96000000008</v>
      </c>
      <c r="AA325" s="15">
        <f>IFERROR(Z325/Z444, "NA")</f>
        <v>0.27154990059074874</v>
      </c>
      <c r="AB325" s="2"/>
      <c r="AC325" s="14">
        <f t="shared" si="79"/>
        <v>-12474.730000000098</v>
      </c>
      <c r="AD325" s="15">
        <f>IFERROR(AC325/AC444, "NA")</f>
        <v>-0.16429226824510224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60203.63</v>
      </c>
      <c r="C329" s="8">
        <f>IFERROR(B329/B444, "NA")</f>
        <v>9.5229485029206237E-2</v>
      </c>
      <c r="D329" s="9"/>
      <c r="E329" s="7">
        <v>60203.63</v>
      </c>
      <c r="F329" s="8">
        <f>IFERROR(E329/E444, "NA")</f>
        <v>9.1003507883005874E-2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58545.11</v>
      </c>
      <c r="L329" s="8">
        <f>IFERROR(K329/K444, "NA")</f>
        <v>9.7012988215972359E-2</v>
      </c>
      <c r="M329" s="9"/>
      <c r="N329" s="10">
        <f t="shared" si="81"/>
        <v>-1658.5199999999968</v>
      </c>
      <c r="O329" s="8">
        <f>IFERROR(N329/N444, "NA")</f>
        <v>-5.7751449949578988E-2</v>
      </c>
      <c r="P329" s="9"/>
      <c r="Q329" s="7">
        <v>240814.52</v>
      </c>
      <c r="R329" s="8">
        <f>IFERROR(Q329/Q444, "NA")</f>
        <v>0.10297814597676369</v>
      </c>
      <c r="S329" s="9"/>
      <c r="T329" s="7">
        <v>240814.52</v>
      </c>
      <c r="U329" s="8">
        <f>IFERROR(T329/T444, "NA")</f>
        <v>9.9545371704332794E-2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217033.85</v>
      </c>
      <c r="AA329" s="8">
        <f>IFERROR(Z329/Z444, "NA")</f>
        <v>9.5923548674675674E-2</v>
      </c>
      <c r="AB329" s="9"/>
      <c r="AC329" s="10">
        <f t="shared" si="83"/>
        <v>-23780.669999999984</v>
      </c>
      <c r="AD329" s="8">
        <f>IFERROR(AC329/AC444, "NA")</f>
        <v>-0.31319156524335373</v>
      </c>
    </row>
    <row r="330" spans="1:30" ht="16.5" customHeight="1" x14ac:dyDescent="0.45">
      <c r="A330" s="6" t="s">
        <v>301</v>
      </c>
      <c r="B330" s="7">
        <v>6433.13</v>
      </c>
      <c r="C330" s="8">
        <f>IFERROR(B330/B444, "NA")</f>
        <v>1.0175859113909535E-2</v>
      </c>
      <c r="D330" s="9"/>
      <c r="E330" s="7">
        <v>6433.13</v>
      </c>
      <c r="F330" s="8">
        <f>IFERROR(E330/E444, "NA")</f>
        <v>9.7242873339597885E-3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6225.6100000000006</v>
      </c>
      <c r="L330" s="8">
        <f>IFERROR(K330/K444, "NA")</f>
        <v>1.0316233577274682E-2</v>
      </c>
      <c r="M330" s="9"/>
      <c r="N330" s="10">
        <f t="shared" si="81"/>
        <v>-207.51999999999953</v>
      </c>
      <c r="O330" s="8">
        <f>IFERROR(N330/N444, "NA")</f>
        <v>-7.2260695641515492E-3</v>
      </c>
      <c r="P330" s="9"/>
      <c r="Q330" s="7">
        <v>28161.57</v>
      </c>
      <c r="R330" s="8">
        <f>IFERROR(Q330/Q444, "NA")</f>
        <v>1.2042572293376866E-2</v>
      </c>
      <c r="S330" s="9"/>
      <c r="T330" s="7">
        <v>25732.52</v>
      </c>
      <c r="U330" s="8">
        <f>IFERROR(T330/T444, "NA")</f>
        <v>1.0637038282779536E-2</v>
      </c>
      <c r="V330" s="9"/>
      <c r="W330" s="10">
        <f t="shared" si="82"/>
        <v>-2429.0499999999993</v>
      </c>
      <c r="X330" s="8">
        <f>IFERROR(W330/W444, "NA")</f>
        <v>3.0121367142146287E-2</v>
      </c>
      <c r="Y330" s="9"/>
      <c r="Z330" s="7">
        <v>23943.85</v>
      </c>
      <c r="AA330" s="8">
        <f>IFERROR(Z330/Z444, "NA")</f>
        <v>1.0582584518194434E-2</v>
      </c>
      <c r="AB330" s="9"/>
      <c r="AC330" s="10">
        <f t="shared" si="83"/>
        <v>-4217.7200000000012</v>
      </c>
      <c r="AD330" s="8">
        <f>IFERROR(AC330/AC444, "NA")</f>
        <v>-5.5547397468540587E-2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195.16</v>
      </c>
      <c r="C332" s="8">
        <f>IFERROR(B332/B444, "NA")</f>
        <v>3.0870208820132423E-4</v>
      </c>
      <c r="D332" s="9"/>
      <c r="E332" s="7">
        <v>313</v>
      </c>
      <c r="F332" s="8">
        <f>IFERROR(E332/E444, "NA")</f>
        <v>4.7312924432265692E-4</v>
      </c>
      <c r="G332" s="9"/>
      <c r="H332" s="10">
        <f t="shared" si="80"/>
        <v>117.84</v>
      </c>
      <c r="I332" s="8">
        <f>IFERROR(H332/H444, "NA")</f>
        <v>-4.0139548287018269E-3</v>
      </c>
      <c r="J332" s="9"/>
      <c r="K332" s="7">
        <v>195.16</v>
      </c>
      <c r="L332" s="8">
        <f>IFERROR(K332/K444, "NA")</f>
        <v>3.2339259043546363E-4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2130.2600000000002</v>
      </c>
      <c r="R332" s="8">
        <f>IFERROR(Q332/Q444, "NA")</f>
        <v>9.1095098936916526E-4</v>
      </c>
      <c r="S332" s="9"/>
      <c r="T332" s="7">
        <v>1252</v>
      </c>
      <c r="U332" s="8">
        <f>IFERROR(T332/T444, "NA")</f>
        <v>5.1753858269769056E-4</v>
      </c>
      <c r="V332" s="9"/>
      <c r="W332" s="10">
        <f t="shared" si="82"/>
        <v>-878.26000000000022</v>
      </c>
      <c r="X332" s="8">
        <f>IFERROR(W332/W444, "NA")</f>
        <v>1.0890838766703614E-2</v>
      </c>
      <c r="Y332" s="9"/>
      <c r="Z332" s="7">
        <v>780.64</v>
      </c>
      <c r="AA332" s="8">
        <f>IFERROR(Z332/Z444, "NA")</f>
        <v>3.4502341011505262E-4</v>
      </c>
      <c r="AB332" s="9"/>
      <c r="AC332" s="10">
        <f t="shared" si="83"/>
        <v>-1349.6200000000003</v>
      </c>
      <c r="AD332" s="8">
        <f>IFERROR(AC332/AC444, "NA")</f>
        <v>-1.777450342163343E-2</v>
      </c>
    </row>
    <row r="333" spans="1:30" ht="16.5" customHeight="1" x14ac:dyDescent="0.45">
      <c r="A333" s="6" t="s">
        <v>304</v>
      </c>
      <c r="B333" s="7">
        <v>5737.81</v>
      </c>
      <c r="C333" s="8">
        <f>IFERROR(B333/B444, "NA")</f>
        <v>9.0760090628327541E-3</v>
      </c>
      <c r="D333" s="9"/>
      <c r="E333" s="7">
        <v>5619</v>
      </c>
      <c r="F333" s="8">
        <f>IFERROR(E333/E444, "NA")</f>
        <v>8.4936524723610522E-3</v>
      </c>
      <c r="G333" s="9"/>
      <c r="H333" s="10">
        <f t="shared" si="80"/>
        <v>-118.8100000000004</v>
      </c>
      <c r="I333" s="8">
        <f>IFERROR(H333/H444, "NA")</f>
        <v>4.0469956992368094E-3</v>
      </c>
      <c r="J333" s="9"/>
      <c r="K333" s="7">
        <v>4581.13</v>
      </c>
      <c r="L333" s="8">
        <f>IFERROR(K333/K444, "NA")</f>
        <v>7.5912251374339801E-3</v>
      </c>
      <c r="M333" s="9"/>
      <c r="N333" s="10">
        <f t="shared" si="81"/>
        <v>-1156.6800000000003</v>
      </c>
      <c r="O333" s="8">
        <f>IFERROR(N333/N444, "NA")</f>
        <v>-4.0276841477750749E-2</v>
      </c>
      <c r="P333" s="9"/>
      <c r="Q333" s="7">
        <v>21634.25</v>
      </c>
      <c r="R333" s="8">
        <f>IFERROR(Q333/Q444, "NA")</f>
        <v>9.2513315002675078E-3</v>
      </c>
      <c r="S333" s="9"/>
      <c r="T333" s="7">
        <v>22476</v>
      </c>
      <c r="U333" s="8">
        <f>IFERROR(T333/T444, "NA")</f>
        <v>9.2908923200585407E-3</v>
      </c>
      <c r="V333" s="9"/>
      <c r="W333" s="10">
        <f t="shared" si="82"/>
        <v>841.75</v>
      </c>
      <c r="X333" s="8">
        <f>IFERROR(W333/W444, "NA")</f>
        <v>-1.0438097524506142E-2</v>
      </c>
      <c r="Y333" s="9"/>
      <c r="Z333" s="7">
        <v>22910.560000000001</v>
      </c>
      <c r="AA333" s="8">
        <f>IFERROR(Z333/Z444, "NA")</f>
        <v>1.0125896109404489E-2</v>
      </c>
      <c r="AB333" s="9"/>
      <c r="AC333" s="10">
        <f t="shared" si="83"/>
        <v>1276.3100000000013</v>
      </c>
      <c r="AD333" s="8">
        <f>IFERROR(AC333/AC444, "NA")</f>
        <v>1.6809010285906388E-2</v>
      </c>
    </row>
    <row r="334" spans="1:30" ht="16.5" customHeight="1" x14ac:dyDescent="0.45">
      <c r="A334" s="6" t="s">
        <v>305</v>
      </c>
      <c r="B334" s="7">
        <v>-4635.6899999999996</v>
      </c>
      <c r="C334" s="8">
        <f>IFERROR(B334/B444, "NA")</f>
        <v>-7.3326869402233893E-3</v>
      </c>
      <c r="D334" s="9"/>
      <c r="E334" s="7">
        <v>-4635.6899999999996</v>
      </c>
      <c r="F334" s="8">
        <f>IFERROR(E334/E444, "NA")</f>
        <v>-7.0072859636233142E-3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-4507.97</v>
      </c>
      <c r="L334" s="8">
        <f>IFERROR(K334/K444, "NA")</f>
        <v>-7.4699943426181446E-3</v>
      </c>
      <c r="M334" s="9"/>
      <c r="N334" s="10">
        <f t="shared" si="81"/>
        <v>127.71999999999935</v>
      </c>
      <c r="O334" s="8">
        <f>IFERROR(N334/N444, "NA")</f>
        <v>4.4473477483299596E-3</v>
      </c>
      <c r="P334" s="9"/>
      <c r="Q334" s="7">
        <v>-4635.6899999999996</v>
      </c>
      <c r="R334" s="8">
        <f>IFERROR(Q334/Q444, "NA")</f>
        <v>-1.9823337958318446E-3</v>
      </c>
      <c r="S334" s="9"/>
      <c r="T334" s="7">
        <v>-4635.6899999999996</v>
      </c>
      <c r="U334" s="8">
        <f>IFERROR(T334/T444, "NA")</f>
        <v>-1.9162527415541989E-3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-4507.97</v>
      </c>
      <c r="AA334" s="8">
        <f>IFERROR(Z334/Z444, "NA")</f>
        <v>-1.9924103070510786E-3</v>
      </c>
      <c r="AB334" s="9"/>
      <c r="AC334" s="10">
        <f t="shared" si="83"/>
        <v>127.71999999999935</v>
      </c>
      <c r="AD334" s="8">
        <f>IFERROR(AC334/AC444, "NA")</f>
        <v>1.682073159119611E-3</v>
      </c>
    </row>
    <row r="335" spans="1:30" ht="16.5" customHeight="1" x14ac:dyDescent="0.45">
      <c r="A335" s="6" t="s">
        <v>306</v>
      </c>
      <c r="B335" s="7">
        <v>3510.01</v>
      </c>
      <c r="C335" s="8">
        <f>IFERROR(B335/B444, "NA")</f>
        <v>5.5520978510326408E-3</v>
      </c>
      <c r="D335" s="9"/>
      <c r="E335" s="7">
        <v>338.9</v>
      </c>
      <c r="F335" s="8">
        <f>IFERROR(E335/E444, "NA")</f>
        <v>5.1227955559408444E-4</v>
      </c>
      <c r="G335" s="9"/>
      <c r="H335" s="10">
        <f t="shared" si="80"/>
        <v>-3171.11</v>
      </c>
      <c r="I335" s="8">
        <f>IFERROR(H335/H444, "NA")</f>
        <v>0.10801673707437755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-3510.01</v>
      </c>
      <c r="O335" s="8">
        <f>IFERROR(N335/N444, "NA")</f>
        <v>-0.12222232281644005</v>
      </c>
      <c r="P335" s="9"/>
      <c r="Q335" s="7">
        <v>3510.01</v>
      </c>
      <c r="R335" s="8">
        <f>IFERROR(Q335/Q444, "NA")</f>
        <v>1.5009656484164674E-3</v>
      </c>
      <c r="S335" s="9"/>
      <c r="T335" s="7">
        <v>1150.96</v>
      </c>
      <c r="U335" s="8">
        <f>IFERROR(T335/T444, "NA")</f>
        <v>4.7577173094387698E-4</v>
      </c>
      <c r="V335" s="9"/>
      <c r="W335" s="10">
        <f t="shared" si="82"/>
        <v>-2359.0500000000002</v>
      </c>
      <c r="X335" s="8">
        <f>IFERROR(W335/W444, "NA")</f>
        <v>2.9253334083975312E-2</v>
      </c>
      <c r="Y335" s="9"/>
      <c r="Z335" s="7">
        <v>3309.62</v>
      </c>
      <c r="AA335" s="8">
        <f>IFERROR(Z335/Z444, "NA")</f>
        <v>1.4627694950104793E-3</v>
      </c>
      <c r="AB335" s="9"/>
      <c r="AC335" s="10">
        <f t="shared" si="83"/>
        <v>-200.39000000000033</v>
      </c>
      <c r="AD335" s="8">
        <f>IFERROR(AC335/AC444, "NA")</f>
        <v>-2.6391374910427587E-3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9032.1299999999992</v>
      </c>
      <c r="C338" s="8">
        <f>IFERROR(B338/B444, "NA")</f>
        <v>1.4286930682034365E-2</v>
      </c>
      <c r="D338" s="9"/>
      <c r="E338" s="7">
        <v>11209.43</v>
      </c>
      <c r="F338" s="8">
        <f>IFERROR(E338/E444, "NA")</f>
        <v>1.6944118674721152E-2</v>
      </c>
      <c r="G338" s="9"/>
      <c r="H338" s="10">
        <f t="shared" si="84"/>
        <v>2177.3000000000011</v>
      </c>
      <c r="I338" s="8">
        <f>IFERROR(H338/H444, "NA")</f>
        <v>-7.4164832387410826E-2</v>
      </c>
      <c r="J338" s="9"/>
      <c r="K338" s="7">
        <v>8608.8700000000008</v>
      </c>
      <c r="L338" s="8">
        <f>IFERROR(K338/K444, "NA")</f>
        <v>1.4265447684065126E-2</v>
      </c>
      <c r="M338" s="9"/>
      <c r="N338" s="10">
        <f t="shared" si="85"/>
        <v>-423.2599999999984</v>
      </c>
      <c r="O338" s="8">
        <f>IFERROR(N338/N444, "NA")</f>
        <v>-1.4738368367977931E-2</v>
      </c>
      <c r="P338" s="9"/>
      <c r="Q338" s="7">
        <v>37311.81</v>
      </c>
      <c r="R338" s="8">
        <f>IFERROR(Q338/Q444, "NA")</f>
        <v>1.5955437474606062E-2</v>
      </c>
      <c r="S338" s="9"/>
      <c r="T338" s="7">
        <v>41697.160000000003</v>
      </c>
      <c r="U338" s="8">
        <f>IFERROR(T338/T444, "NA")</f>
        <v>1.7236333138114089E-2</v>
      </c>
      <c r="V338" s="9"/>
      <c r="W338" s="10">
        <f t="shared" si="86"/>
        <v>4385.3500000000058</v>
      </c>
      <c r="X338" s="8">
        <f>IFERROR(W338/W444, "NA")</f>
        <v>-5.4380411023573591E-2</v>
      </c>
      <c r="Y338" s="9"/>
      <c r="Z338" s="7">
        <v>38733.29</v>
      </c>
      <c r="AA338" s="8">
        <f>IFERROR(Z338/Z444, "NA")</f>
        <v>1.711914813585682E-2</v>
      </c>
      <c r="AB338" s="9"/>
      <c r="AC338" s="10">
        <f t="shared" si="87"/>
        <v>1421.4800000000032</v>
      </c>
      <c r="AD338" s="8">
        <f>IFERROR(AC338/AC444, "NA")</f>
        <v>1.8720900048742266E-2</v>
      </c>
    </row>
    <row r="339" spans="1:30" ht="16.5" customHeight="1" x14ac:dyDescent="0.45">
      <c r="A339" s="12" t="s">
        <v>309</v>
      </c>
      <c r="B339" s="7">
        <v>2886.66</v>
      </c>
      <c r="C339" s="8">
        <f>IFERROR(B339/B444, "NA")</f>
        <v>4.5660892084814237E-3</v>
      </c>
      <c r="D339" s="9"/>
      <c r="E339" s="7">
        <v>2506.1400000000003</v>
      </c>
      <c r="F339" s="8">
        <f>IFERROR(E339/E444, "NA")</f>
        <v>3.7882687679449954E-3</v>
      </c>
      <c r="G339" s="9"/>
      <c r="H339" s="10">
        <f t="shared" si="84"/>
        <v>-380.51999999999953</v>
      </c>
      <c r="I339" s="8">
        <f>IFERROR(H339/H444, "NA")</f>
        <v>1.2961558820583988E-2</v>
      </c>
      <c r="J339" s="9"/>
      <c r="K339" s="7">
        <v>2451.92</v>
      </c>
      <c r="L339" s="8">
        <f>IFERROR(K339/K444, "NA")</f>
        <v>4.0629881140629327E-3</v>
      </c>
      <c r="M339" s="9"/>
      <c r="N339" s="10">
        <f t="shared" si="85"/>
        <v>-434.73999999999978</v>
      </c>
      <c r="O339" s="8">
        <f>IFERROR(N339/N444, "NA")</f>
        <v>-1.5138114313411961E-2</v>
      </c>
      <c r="P339" s="9"/>
      <c r="Q339" s="7">
        <v>11759.880000000001</v>
      </c>
      <c r="R339" s="8">
        <f>IFERROR(Q339/Q444, "NA")</f>
        <v>5.028810718345488E-3</v>
      </c>
      <c r="S339" s="9"/>
      <c r="T339" s="7">
        <v>9483.2000000000007</v>
      </c>
      <c r="U339" s="8">
        <f>IFERROR(T339/T444, "NA")</f>
        <v>3.9200654053025081E-3</v>
      </c>
      <c r="V339" s="9"/>
      <c r="W339" s="10">
        <f t="shared" si="86"/>
        <v>-2276.6800000000003</v>
      </c>
      <c r="X339" s="8">
        <f>IFERROR(W339/W444, "NA")</f>
        <v>2.8231907183953249E-2</v>
      </c>
      <c r="Y339" s="9"/>
      <c r="Z339" s="7">
        <v>11026.51</v>
      </c>
      <c r="AA339" s="8">
        <f>IFERROR(Z339/Z444, "NA")</f>
        <v>4.8734424086233465E-3</v>
      </c>
      <c r="AB339" s="9"/>
      <c r="AC339" s="10">
        <f t="shared" si="87"/>
        <v>-733.3700000000008</v>
      </c>
      <c r="AD339" s="8">
        <f>IFERROR(AC339/AC444, "NA")</f>
        <v>-9.6584872588753277E-3</v>
      </c>
    </row>
    <row r="340" spans="1:30" ht="16.5" customHeight="1" x14ac:dyDescent="0.45">
      <c r="A340" s="12" t="s">
        <v>310</v>
      </c>
      <c r="B340" s="7">
        <v>3084.65</v>
      </c>
      <c r="C340" s="8">
        <f>IFERROR(B340/B444, "NA")</f>
        <v>4.8792677616838224E-3</v>
      </c>
      <c r="D340" s="9"/>
      <c r="E340" s="7">
        <v>2855.0200000000004</v>
      </c>
      <c r="F340" s="8">
        <f>IFERROR(E340/E444, "NA")</f>
        <v>4.3156340419363325E-3</v>
      </c>
      <c r="G340" s="9"/>
      <c r="H340" s="10">
        <f t="shared" si="84"/>
        <v>-229.62999999999965</v>
      </c>
      <c r="I340" s="8">
        <f>IFERROR(H340/H444, "NA")</f>
        <v>7.8218300009741948E-3</v>
      </c>
      <c r="J340" s="9"/>
      <c r="K340" s="7">
        <v>2695.02</v>
      </c>
      <c r="L340" s="8">
        <f>IFERROR(K340/K444, "NA")</f>
        <v>4.4658203477935185E-3</v>
      </c>
      <c r="M340" s="9"/>
      <c r="N340" s="10">
        <f t="shared" si="85"/>
        <v>-389.63000000000011</v>
      </c>
      <c r="O340" s="8">
        <f>IFERROR(N340/N444, "NA")</f>
        <v>-1.3567335602738895E-2</v>
      </c>
      <c r="P340" s="9"/>
      <c r="Q340" s="7">
        <v>9688.07</v>
      </c>
      <c r="R340" s="8">
        <f>IFERROR(Q340/Q444, "NA")</f>
        <v>4.1428543706297487E-3</v>
      </c>
      <c r="S340" s="9"/>
      <c r="T340" s="7">
        <v>10633.55</v>
      </c>
      <c r="U340" s="8">
        <f>IFERROR(T340/T444, "NA")</f>
        <v>4.3955849808666354E-3</v>
      </c>
      <c r="V340" s="9"/>
      <c r="W340" s="10">
        <f t="shared" si="86"/>
        <v>945.47999999999956</v>
      </c>
      <c r="X340" s="8">
        <f>IFERROR(W340/W444, "NA")</f>
        <v>-1.1724398511992947E-2</v>
      </c>
      <c r="Y340" s="9"/>
      <c r="Z340" s="7">
        <v>10683.54</v>
      </c>
      <c r="AA340" s="8">
        <f>IFERROR(Z340/Z444, "NA")</f>
        <v>4.7218582226129452E-3</v>
      </c>
      <c r="AB340" s="9"/>
      <c r="AC340" s="10">
        <f t="shared" si="87"/>
        <v>995.47000000000116</v>
      </c>
      <c r="AD340" s="8">
        <f>IFERROR(AC340/AC444, "NA")</f>
        <v>1.3110345816699105E-2</v>
      </c>
    </row>
    <row r="341" spans="1:30" ht="16.5" customHeight="1" x14ac:dyDescent="0.45">
      <c r="A341" s="12" t="s">
        <v>311</v>
      </c>
      <c r="B341" s="7">
        <v>1951.3600000000001</v>
      </c>
      <c r="C341" s="8">
        <f>IFERROR(B341/B444, "NA")</f>
        <v>3.0866412524725153E-3</v>
      </c>
      <c r="D341" s="9"/>
      <c r="E341" s="7">
        <v>1997.95</v>
      </c>
      <c r="F341" s="8">
        <f>IFERROR(E341/E444, "NA")</f>
        <v>3.0200912897586341E-3</v>
      </c>
      <c r="G341" s="9"/>
      <c r="H341" s="10">
        <f t="shared" si="84"/>
        <v>46.589999999999918</v>
      </c>
      <c r="I341" s="8">
        <f>IFERROR(H341/H444, "NA")</f>
        <v>-1.5869836682723844E-3</v>
      </c>
      <c r="J341" s="9"/>
      <c r="K341" s="7">
        <v>1865.31</v>
      </c>
      <c r="L341" s="8">
        <f>IFERROR(K341/K444, "NA")</f>
        <v>3.0909378605512125E-3</v>
      </c>
      <c r="M341" s="9"/>
      <c r="N341" s="10">
        <f t="shared" si="85"/>
        <v>-86.050000000000182</v>
      </c>
      <c r="O341" s="8">
        <f>IFERROR(N341/N444, "NA")</f>
        <v>-2.9963535369855608E-3</v>
      </c>
      <c r="P341" s="9"/>
      <c r="Q341" s="7">
        <v>7671.9</v>
      </c>
      <c r="R341" s="8">
        <f>IFERROR(Q341/Q444, "NA")</f>
        <v>3.2806910402210518E-3</v>
      </c>
      <c r="S341" s="9"/>
      <c r="T341" s="7">
        <v>7559.99</v>
      </c>
      <c r="U341" s="8">
        <f>IFERROR(T341/T444, "NA")</f>
        <v>3.1250690972913051E-3</v>
      </c>
      <c r="V341" s="9"/>
      <c r="W341" s="10">
        <f t="shared" si="86"/>
        <v>-111.90999999999985</v>
      </c>
      <c r="X341" s="8">
        <f>IFERROR(W341/W444, "NA")</f>
        <v>1.3877368505702179E-3</v>
      </c>
      <c r="Y341" s="9"/>
      <c r="Z341" s="7">
        <v>7496.3</v>
      </c>
      <c r="AA341" s="8">
        <f>IFERROR(Z341/Z444, "NA")</f>
        <v>3.3131776353318679E-3</v>
      </c>
      <c r="AB341" s="9"/>
      <c r="AC341" s="10">
        <f t="shared" si="87"/>
        <v>-175.59999999999945</v>
      </c>
      <c r="AD341" s="8">
        <f>IFERROR(AC341/AC444, "NA")</f>
        <v>-2.3126530437003155E-3</v>
      </c>
    </row>
    <row r="342" spans="1:30" ht="16.5" customHeight="1" x14ac:dyDescent="0.45">
      <c r="A342" s="13" t="s">
        <v>312</v>
      </c>
      <c r="B342" s="14">
        <f>IFERROR(B337+B338+B339+B340+B341, "NA")</f>
        <v>16954.8</v>
      </c>
      <c r="C342" s="15">
        <f>IFERROR(B342/B444, "NA")</f>
        <v>2.6818928904672124E-2</v>
      </c>
      <c r="D342" s="2"/>
      <c r="E342" s="14">
        <f>IFERROR(E337+E338+E339+E340+E341, "NA")</f>
        <v>18568.54</v>
      </c>
      <c r="F342" s="15">
        <f>IFERROR(E342/E444, "NA")</f>
        <v>2.8068112774361113E-2</v>
      </c>
      <c r="G342" s="2"/>
      <c r="H342" s="14">
        <f t="shared" si="84"/>
        <v>1613.7400000000016</v>
      </c>
      <c r="I342" s="15">
        <f>IFERROR(H342/H444, "NA")</f>
        <v>-5.4968427234125018E-2</v>
      </c>
      <c r="J342" s="2"/>
      <c r="K342" s="14">
        <f>IFERROR(K337+K338+K339+K340+K341, "NA")</f>
        <v>15621.12</v>
      </c>
      <c r="L342" s="15">
        <f>IFERROR(K342/K444, "NA")</f>
        <v>2.5885194006472791E-2</v>
      </c>
      <c r="M342" s="2"/>
      <c r="N342" s="14">
        <f t="shared" si="85"/>
        <v>-1333.6799999999985</v>
      </c>
      <c r="O342" s="15">
        <f>IFERROR(N342/N444, "NA")</f>
        <v>-4.6440171821114345E-2</v>
      </c>
      <c r="P342" s="2"/>
      <c r="Q342" s="14">
        <f>IFERROR(Q337+Q338+Q339+Q340+Q341, "NA")</f>
        <v>66431.66</v>
      </c>
      <c r="R342" s="15">
        <f>IFERROR(Q342/Q444, "NA")</f>
        <v>2.8407793603802352E-2</v>
      </c>
      <c r="S342" s="2"/>
      <c r="T342" s="14">
        <f>IFERROR(T337+T338+T339+T340+T341, "NA")</f>
        <v>69373.900000000009</v>
      </c>
      <c r="U342" s="15">
        <f>IFERROR(T342/T444, "NA")</f>
        <v>2.867705262157454E-2</v>
      </c>
      <c r="V342" s="2"/>
      <c r="W342" s="14">
        <f t="shared" si="86"/>
        <v>2942.2400000000052</v>
      </c>
      <c r="X342" s="15">
        <f>IFERROR(W342/W444, "NA")</f>
        <v>-3.6485165501043075E-2</v>
      </c>
      <c r="Y342" s="2"/>
      <c r="Z342" s="14">
        <f>IFERROR(Z337+Z338+Z339+Z340+Z341, "NA")</f>
        <v>67939.64</v>
      </c>
      <c r="AA342" s="15">
        <f>IFERROR(Z342/Z444, "NA")</f>
        <v>3.0027626402424977E-2</v>
      </c>
      <c r="AB342" s="2"/>
      <c r="AC342" s="14">
        <f t="shared" si="87"/>
        <v>1507.9799999999959</v>
      </c>
      <c r="AD342" s="15">
        <f>IFERROR(AC342/AC444, "NA")</f>
        <v>1.9860105562865622E-2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88398.849999999991</v>
      </c>
      <c r="C343" s="15">
        <f>IFERROR(B343/B444, "NA")</f>
        <v>0.13982839510963121</v>
      </c>
      <c r="D343" s="2"/>
      <c r="E343" s="14">
        <f>IFERROR(E328+E329+E330+E331+E332+E333+E334+E335+E337+E338+E339+E340+E341, "NA")</f>
        <v>86840.51</v>
      </c>
      <c r="F343" s="15">
        <f>IFERROR(E343/E444, "NA")</f>
        <v>0.13126768329998126</v>
      </c>
      <c r="G343" s="2"/>
      <c r="H343" s="14">
        <f t="shared" si="84"/>
        <v>-1558.3399999999965</v>
      </c>
      <c r="I343" s="15">
        <f>IFERROR(H343/H444, "NA")</f>
        <v>5.3081350710787428E-2</v>
      </c>
      <c r="J343" s="2"/>
      <c r="K343" s="14">
        <f>IFERROR(K328+K329+K330+K331+K332+K333+K334+K335+K337+K338+K339+K340+K341, "NA")</f>
        <v>80660.160000000003</v>
      </c>
      <c r="L343" s="15">
        <f>IFERROR(K343/K444, "NA")</f>
        <v>0.13365903918497113</v>
      </c>
      <c r="M343" s="2"/>
      <c r="N343" s="14">
        <f t="shared" si="85"/>
        <v>-7738.6899999999878</v>
      </c>
      <c r="O343" s="15">
        <f>IFERROR(N343/N444, "NA")</f>
        <v>-0.26946950788070545</v>
      </c>
      <c r="P343" s="2"/>
      <c r="Q343" s="14">
        <f>IFERROR(Q328+Q329+Q330+Q331+Q332+Q333+Q334+Q335+Q337+Q338+Q339+Q340+Q341, "NA")</f>
        <v>358046.58</v>
      </c>
      <c r="R343" s="15">
        <f>IFERROR(Q343/Q444, "NA")</f>
        <v>0.15310942621616422</v>
      </c>
      <c r="S343" s="2"/>
      <c r="T343" s="14">
        <f>IFERROR(T328+T329+T330+T331+T332+T333+T334+T335+T337+T338+T339+T340+T341, "NA")</f>
        <v>356164.20999999996</v>
      </c>
      <c r="U343" s="15">
        <f>IFERROR(T343/T444, "NA")</f>
        <v>0.14722741250083277</v>
      </c>
      <c r="V343" s="2"/>
      <c r="W343" s="14">
        <f t="shared" si="86"/>
        <v>-1882.3700000000536</v>
      </c>
      <c r="X343" s="15">
        <f>IFERROR(W343/W444, "NA")</f>
        <v>2.334227696727673E-2</v>
      </c>
      <c r="Y343" s="2"/>
      <c r="Z343" s="14">
        <f>IFERROR(Z328+Z329+Z330+Z331+Z332+Z333+Z334+Z335+Z337+Z338+Z339+Z340+Z341, "NA")</f>
        <v>331410.19</v>
      </c>
      <c r="AA343" s="15">
        <f>IFERROR(Z343/Z444, "NA")</f>
        <v>0.14647503830277403</v>
      </c>
      <c r="AB343" s="2"/>
      <c r="AC343" s="14">
        <f t="shared" si="87"/>
        <v>-26636.390000000014</v>
      </c>
      <c r="AD343" s="15">
        <f>IFERROR(AC343/AC444, "NA")</f>
        <v>-0.35080141461667919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88398.849999999991</v>
      </c>
      <c r="C344" s="15">
        <f>IFERROR(B344/B444, "NA")</f>
        <v>0.13982839510963121</v>
      </c>
      <c r="D344" s="2"/>
      <c r="E344" s="14">
        <f>IFERROR(E328+E329+E330+E331+E332+E333+E334+E335+E337+E338+E339+E340+E341, "NA")</f>
        <v>86840.51</v>
      </c>
      <c r="F344" s="15">
        <f>IFERROR(E344/E444, "NA")</f>
        <v>0.13126768329998126</v>
      </c>
      <c r="G344" s="2"/>
      <c r="H344" s="14">
        <f t="shared" si="84"/>
        <v>-1558.3399999999965</v>
      </c>
      <c r="I344" s="15">
        <f>IFERROR(H344/H444, "NA")</f>
        <v>5.3081350710787428E-2</v>
      </c>
      <c r="J344" s="2"/>
      <c r="K344" s="14">
        <f>IFERROR(K328+K329+K330+K331+K332+K333+K334+K335+K337+K338+K339+K340+K341, "NA")</f>
        <v>80660.160000000003</v>
      </c>
      <c r="L344" s="15">
        <f>IFERROR(K344/K444, "NA")</f>
        <v>0.13365903918497113</v>
      </c>
      <c r="M344" s="2"/>
      <c r="N344" s="14">
        <f t="shared" si="85"/>
        <v>-7738.6899999999878</v>
      </c>
      <c r="O344" s="15">
        <f>IFERROR(N344/N444, "NA")</f>
        <v>-0.26946950788070545</v>
      </c>
      <c r="P344" s="2"/>
      <c r="Q344" s="14">
        <f>IFERROR(Q328+Q329+Q330+Q331+Q332+Q333+Q334+Q335+Q337+Q338+Q339+Q340+Q341, "NA")</f>
        <v>358046.58</v>
      </c>
      <c r="R344" s="15">
        <f>IFERROR(Q344/Q444, "NA")</f>
        <v>0.15310942621616422</v>
      </c>
      <c r="S344" s="2"/>
      <c r="T344" s="14">
        <f>IFERROR(T328+T329+T330+T331+T332+T333+T334+T335+T337+T338+T339+T340+T341, "NA")</f>
        <v>356164.20999999996</v>
      </c>
      <c r="U344" s="15">
        <f>IFERROR(T344/T444, "NA")</f>
        <v>0.14722741250083277</v>
      </c>
      <c r="V344" s="2"/>
      <c r="W344" s="14">
        <f t="shared" si="86"/>
        <v>-1882.3700000000536</v>
      </c>
      <c r="X344" s="15">
        <f>IFERROR(W344/W444, "NA")</f>
        <v>2.334227696727673E-2</v>
      </c>
      <c r="Y344" s="2"/>
      <c r="Z344" s="14">
        <f>IFERROR(Z328+Z329+Z330+Z331+Z332+Z333+Z334+Z335+Z337+Z338+Z339+Z340+Z341, "NA")</f>
        <v>331410.19</v>
      </c>
      <c r="AA344" s="15">
        <f>IFERROR(Z344/Z444, "NA")</f>
        <v>0.14647503830277403</v>
      </c>
      <c r="AB344" s="2"/>
      <c r="AC344" s="14">
        <f t="shared" si="87"/>
        <v>-26636.390000000014</v>
      </c>
      <c r="AD344" s="15">
        <f>IFERROR(AC344/AC444, "NA")</f>
        <v>-0.35080141461667919</v>
      </c>
    </row>
    <row r="345" spans="1:30" ht="16.5" customHeight="1" x14ac:dyDescent="0.45">
      <c r="A345" s="22" t="s">
        <v>315</v>
      </c>
      <c r="B345" s="23">
        <f>IFERROR(B198-B325-B344, "NA")</f>
        <v>45584.979999999967</v>
      </c>
      <c r="C345" s="24">
        <f>IFERROR(B345/B444, "NA")</f>
        <v>7.2105854256074978E-2</v>
      </c>
      <c r="D345" s="25"/>
      <c r="E345" s="23">
        <f>IFERROR(E198-E325-E344, "NA")</f>
        <v>74988.109999999884</v>
      </c>
      <c r="F345" s="24">
        <f>IFERROR(E345/E444, "NA")</f>
        <v>0.11335165436895916</v>
      </c>
      <c r="G345" s="25"/>
      <c r="H345" s="23">
        <f>IFERROR(B345-E345, "NA")</f>
        <v>-29403.129999999917</v>
      </c>
      <c r="I345" s="24">
        <f>IFERROR(H345/H444, "NA")</f>
        <v>1.001551558405017</v>
      </c>
      <c r="J345" s="25"/>
      <c r="K345" s="23">
        <f>IFERROR(K198-K325-K344, "NA")</f>
        <v>30510.299999999872</v>
      </c>
      <c r="L345" s="24">
        <f>IFERROR(K345/K444, "NA")</f>
        <v>5.0557516663061512E-2</v>
      </c>
      <c r="M345" s="25"/>
      <c r="N345" s="23">
        <f>IFERROR(B345-K345, "NA")</f>
        <v>15074.680000000095</v>
      </c>
      <c r="O345" s="24">
        <f>IFERROR(N345/N444, "NA")</f>
        <v>0.52491656870337811</v>
      </c>
      <c r="P345" s="25"/>
      <c r="Q345" s="23">
        <f>IFERROR(Q198-Q325-Q344, "NA")</f>
        <v>90784.100000000384</v>
      </c>
      <c r="R345" s="24">
        <f>IFERROR(Q345/Q444, "NA")</f>
        <v>3.8821489261399819E-2</v>
      </c>
      <c r="S345" s="25"/>
      <c r="T345" s="23">
        <f>IFERROR(T198-T325-T344, "NA")</f>
        <v>199376.88999999966</v>
      </c>
      <c r="U345" s="24">
        <f>IFERROR(T345/T444, "NA")</f>
        <v>8.2416320346064845E-2</v>
      </c>
      <c r="V345" s="25"/>
      <c r="W345" s="23">
        <f>IFERROR(Q345-T345, "NA")</f>
        <v>-108592.78999999928</v>
      </c>
      <c r="X345" s="24">
        <f>IFERROR(W345/W444, "NA")</f>
        <v>1.3466018799859909</v>
      </c>
      <c r="Y345" s="25"/>
      <c r="Z345" s="23">
        <f>IFERROR(Z198-Z325-Z344, "NA")</f>
        <v>45185.050000001036</v>
      </c>
      <c r="AA345" s="24">
        <f>IFERROR(Z345/Z444, "NA")</f>
        <v>1.9970665142984623E-2</v>
      </c>
      <c r="AB345" s="25"/>
      <c r="AC345" s="23">
        <f>IFERROR(Q345-Z345, "NA")</f>
        <v>45599.049999999348</v>
      </c>
      <c r="AD345" s="24">
        <f>IFERROR(AC345/AC444, "NA")</f>
        <v>0.60053975952358596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35384.6</v>
      </c>
      <c r="C350" s="8">
        <f>IFERROR(B350/B444, "NA")</f>
        <v>5.5970997695063425E-2</v>
      </c>
      <c r="D350" s="9"/>
      <c r="E350" s="7">
        <v>43307.69</v>
      </c>
      <c r="F350" s="8">
        <f>IFERROR(E350/E444, "NA")</f>
        <v>6.5463688955462895E-2</v>
      </c>
      <c r="G350" s="9"/>
      <c r="H350" s="10">
        <f t="shared" si="88"/>
        <v>7923.0900000000038</v>
      </c>
      <c r="I350" s="8">
        <f>IFERROR(H350/H444, "NA")</f>
        <v>-0.2698822586875354</v>
      </c>
      <c r="J350" s="9"/>
      <c r="K350" s="7">
        <v>42557.64</v>
      </c>
      <c r="L350" s="8">
        <f>IFERROR(K350/K444, "NA")</f>
        <v>7.0520728850276201E-2</v>
      </c>
      <c r="M350" s="9"/>
      <c r="N350" s="10">
        <f t="shared" si="89"/>
        <v>7173.0400000000009</v>
      </c>
      <c r="O350" s="8">
        <f>IFERROR(N350/N444, "NA")</f>
        <v>0.24977296658848186</v>
      </c>
      <c r="P350" s="9"/>
      <c r="Q350" s="7">
        <v>150418.22</v>
      </c>
      <c r="R350" s="8">
        <f>IFERROR(Q350/Q444, "NA")</f>
        <v>6.4322489427651439E-2</v>
      </c>
      <c r="S350" s="9"/>
      <c r="T350" s="7">
        <v>169634.61</v>
      </c>
      <c r="U350" s="8">
        <f>IFERROR(T350/T444, "NA")</f>
        <v>7.0121769677216839E-2</v>
      </c>
      <c r="V350" s="9"/>
      <c r="W350" s="10">
        <f t="shared" si="90"/>
        <v>19216.389999999985</v>
      </c>
      <c r="X350" s="8">
        <f>IFERROR(W350/W444, "NA")</f>
        <v>-0.23829231112437713</v>
      </c>
      <c r="Y350" s="9"/>
      <c r="Z350" s="7">
        <v>221429.61</v>
      </c>
      <c r="AA350" s="8">
        <f>IFERROR(Z350/Z444, "NA")</f>
        <v>9.7866364960348118E-2</v>
      </c>
      <c r="AB350" s="9"/>
      <c r="AC350" s="10">
        <f t="shared" si="91"/>
        <v>71011.389999999985</v>
      </c>
      <c r="AD350" s="8">
        <f>IFERROR(AC350/AC444, "NA")</f>
        <v>0.93522042836498076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6774.8</v>
      </c>
      <c r="AA353" s="8">
        <f>IFERROR(Z353/Z444, "NA")</f>
        <v>2.9942926302104155E-3</v>
      </c>
      <c r="AB353" s="9"/>
      <c r="AC353" s="10">
        <f t="shared" si="91"/>
        <v>6774.8</v>
      </c>
      <c r="AD353" s="8">
        <f>IFERROR(AC353/AC444, "NA")</f>
        <v>8.9224156266861879E-2</v>
      </c>
    </row>
    <row r="354" spans="1:30" ht="16.5" customHeight="1" x14ac:dyDescent="0.45">
      <c r="A354" s="6" t="s">
        <v>323</v>
      </c>
      <c r="B354" s="7">
        <v>2570.9699999999998</v>
      </c>
      <c r="C354" s="8">
        <f>IFERROR(B354/B444, "NA")</f>
        <v>4.0667340013473994E-3</v>
      </c>
      <c r="D354" s="9"/>
      <c r="E354" s="7">
        <v>3594.54</v>
      </c>
      <c r="F354" s="8">
        <f>IFERROR(E354/E444, "NA")</f>
        <v>5.4334887983628214E-3</v>
      </c>
      <c r="G354" s="9"/>
      <c r="H354" s="10">
        <f t="shared" si="88"/>
        <v>1023.5700000000002</v>
      </c>
      <c r="I354" s="8">
        <f>IFERROR(H354/H444, "NA")</f>
        <v>-3.4865612220080867E-2</v>
      </c>
      <c r="J354" s="9"/>
      <c r="K354" s="7">
        <v>3476.68</v>
      </c>
      <c r="L354" s="8">
        <f>IFERROR(K354/K444, "NA")</f>
        <v>5.7610809147118653E-3</v>
      </c>
      <c r="M354" s="9"/>
      <c r="N354" s="10">
        <f t="shared" si="89"/>
        <v>905.71</v>
      </c>
      <c r="O354" s="8">
        <f>IFERROR(N354/N444, "NA")</f>
        <v>3.1537796188067249E-2</v>
      </c>
      <c r="P354" s="9"/>
      <c r="Q354" s="7">
        <v>12383.23</v>
      </c>
      <c r="R354" s="8">
        <f>IFERROR(Q354/Q444, "NA")</f>
        <v>5.2953703398110688E-3</v>
      </c>
      <c r="S354" s="9"/>
      <c r="T354" s="7">
        <v>14079.67</v>
      </c>
      <c r="U354" s="8">
        <f>IFERROR(T354/T444, "NA")</f>
        <v>5.8201057960472792E-3</v>
      </c>
      <c r="V354" s="9"/>
      <c r="W354" s="10">
        <f t="shared" si="90"/>
        <v>1696.4400000000005</v>
      </c>
      <c r="X354" s="8">
        <f>IFERROR(W354/W444, "NA")</f>
        <v>-2.103665716005133E-2</v>
      </c>
      <c r="Y354" s="9"/>
      <c r="Z354" s="7">
        <v>20206.98</v>
      </c>
      <c r="AA354" s="8">
        <f>IFERROR(Z354/Z444, "NA")</f>
        <v>8.9309811791948475E-3</v>
      </c>
      <c r="AB354" s="9"/>
      <c r="AC354" s="10">
        <f t="shared" si="91"/>
        <v>7823.75</v>
      </c>
      <c r="AD354" s="8">
        <f>IFERROR(AC354/AC444, "NA")</f>
        <v>0.10303883400142597</v>
      </c>
    </row>
    <row r="355" spans="1:30" ht="16.5" customHeight="1" x14ac:dyDescent="0.45">
      <c r="A355" s="6" t="s">
        <v>324</v>
      </c>
      <c r="B355" s="7">
        <v>64.87</v>
      </c>
      <c r="C355" s="8">
        <f>IFERROR(B355/B444, "NA")</f>
        <v>1.0261070127905259E-4</v>
      </c>
      <c r="D355" s="9"/>
      <c r="E355" s="7">
        <v>212</v>
      </c>
      <c r="F355" s="8">
        <f>IFERROR(E355/E444, "NA")</f>
        <v>3.2045814631438745E-4</v>
      </c>
      <c r="G355" s="9"/>
      <c r="H355" s="10">
        <f t="shared" si="88"/>
        <v>147.13</v>
      </c>
      <c r="I355" s="8">
        <f>IFERROR(H355/H444, "NA")</f>
        <v>-5.0116528678453807E-3</v>
      </c>
      <c r="J355" s="9"/>
      <c r="K355" s="7">
        <v>212</v>
      </c>
      <c r="L355" s="8">
        <f>IFERROR(K355/K444, "NA")</f>
        <v>3.5129754648656632E-4</v>
      </c>
      <c r="M355" s="9"/>
      <c r="N355" s="10">
        <f t="shared" si="89"/>
        <v>147.13</v>
      </c>
      <c r="O355" s="8">
        <f>IFERROR(N355/N444, "NA")</f>
        <v>5.1232248215768109E-3</v>
      </c>
      <c r="P355" s="9"/>
      <c r="Q355" s="7">
        <v>506.04</v>
      </c>
      <c r="R355" s="8">
        <f>IFERROR(Q355/Q444, "NA")</f>
        <v>2.163950121864807E-4</v>
      </c>
      <c r="S355" s="9"/>
      <c r="T355" s="7">
        <v>869</v>
      </c>
      <c r="U355" s="8">
        <f>IFERROR(T355/T444, "NA")</f>
        <v>3.5921807377339707E-4</v>
      </c>
      <c r="V355" s="9"/>
      <c r="W355" s="10">
        <f t="shared" si="90"/>
        <v>362.96</v>
      </c>
      <c r="X355" s="8">
        <f>IFERROR(W355/W444, "NA")</f>
        <v>-4.5008754113391733E-3</v>
      </c>
      <c r="Y355" s="9"/>
      <c r="Z355" s="7">
        <v>1007</v>
      </c>
      <c r="AA355" s="8">
        <f>IFERROR(Z355/Z444, "NA")</f>
        <v>4.4506888448690561E-4</v>
      </c>
      <c r="AB355" s="9"/>
      <c r="AC355" s="10">
        <f t="shared" si="91"/>
        <v>500.96</v>
      </c>
      <c r="AD355" s="8">
        <f>IFERROR(AC355/AC444, "NA")</f>
        <v>6.597646177517731E-3</v>
      </c>
    </row>
    <row r="356" spans="1:30" ht="16.5" customHeight="1" x14ac:dyDescent="0.45">
      <c r="A356" s="6" t="s">
        <v>325</v>
      </c>
      <c r="B356" s="7">
        <v>5413</v>
      </c>
      <c r="C356" s="8">
        <f>IFERROR(B356/B444, "NA")</f>
        <v>8.5622279331510967E-3</v>
      </c>
      <c r="D356" s="9"/>
      <c r="E356" s="7">
        <v>5413.46</v>
      </c>
      <c r="F356" s="8">
        <f>IFERROR(E356/E444, "NA")</f>
        <v>8.1829592299390748E-3</v>
      </c>
      <c r="G356" s="9"/>
      <c r="H356" s="10">
        <f t="shared" si="88"/>
        <v>0.46000000000003638</v>
      </c>
      <c r="I356" s="8">
        <f>IFERROR(H356/H444, "NA")</f>
        <v>-1.566886643926499E-5</v>
      </c>
      <c r="J356" s="9"/>
      <c r="K356" s="7">
        <v>6515</v>
      </c>
      <c r="L356" s="8">
        <f>IFERROR(K356/K444, "NA")</f>
        <v>1.0795771298867829E-2</v>
      </c>
      <c r="M356" s="9"/>
      <c r="N356" s="10">
        <f t="shared" si="89"/>
        <v>1102</v>
      </c>
      <c r="O356" s="8">
        <f>IFERROR(N356/N444, "NA")</f>
        <v>3.8372825075631389E-2</v>
      </c>
      <c r="P356" s="9"/>
      <c r="Q356" s="7">
        <v>21204</v>
      </c>
      <c r="R356" s="8">
        <f>IFERROR(Q356/Q444, "NA")</f>
        <v>9.0673461354875834E-3</v>
      </c>
      <c r="S356" s="9"/>
      <c r="T356" s="7">
        <v>21204.33</v>
      </c>
      <c r="U356" s="8">
        <f>IFERROR(T356/T444, "NA")</f>
        <v>8.7652227597876387E-3</v>
      </c>
      <c r="V356" s="9"/>
      <c r="W356" s="10">
        <f t="shared" si="90"/>
        <v>0.33000000000174623</v>
      </c>
      <c r="X356" s="8">
        <f>IFERROR(W356/W444, "NA")</f>
        <v>-4.0921558456848882E-6</v>
      </c>
      <c r="Y356" s="9"/>
      <c r="Z356" s="7">
        <v>27362.5</v>
      </c>
      <c r="AA356" s="8">
        <f>IFERROR(Z356/Z444, "NA")</f>
        <v>1.2093542553895685E-2</v>
      </c>
      <c r="AB356" s="9"/>
      <c r="AC356" s="10">
        <f t="shared" si="91"/>
        <v>6158.5</v>
      </c>
      <c r="AD356" s="8">
        <f>IFERROR(AC356/AC444, "NA")</f>
        <v>8.1107481603806583E-2</v>
      </c>
    </row>
    <row r="357" spans="1:30" ht="16.5" customHeight="1" x14ac:dyDescent="0.45">
      <c r="A357" s="6" t="s">
        <v>326</v>
      </c>
      <c r="B357" s="7">
        <v>3319.24</v>
      </c>
      <c r="C357" s="8">
        <f>IFERROR(B357/B444, "NA")</f>
        <v>5.250339819847117E-3</v>
      </c>
      <c r="D357" s="9"/>
      <c r="E357" s="7">
        <v>3680</v>
      </c>
      <c r="F357" s="8">
        <f>IFERROR(E357/E444, "NA")</f>
        <v>5.5626697096082351E-3</v>
      </c>
      <c r="G357" s="9"/>
      <c r="H357" s="10">
        <f t="shared" si="88"/>
        <v>360.76000000000022</v>
      </c>
      <c r="I357" s="8">
        <f>IFERROR(H357/H444, "NA")</f>
        <v>-1.2288478818758247E-2</v>
      </c>
      <c r="J357" s="9"/>
      <c r="K357" s="7">
        <v>3674.43</v>
      </c>
      <c r="L357" s="8">
        <f>IFERROR(K357/K444, "NA")</f>
        <v>6.0887653006444992E-3</v>
      </c>
      <c r="M357" s="9"/>
      <c r="N357" s="10">
        <f t="shared" si="89"/>
        <v>355.19000000000005</v>
      </c>
      <c r="O357" s="8">
        <f>IFERROR(N357/N444, "NA")</f>
        <v>1.2368097766436947E-2</v>
      </c>
      <c r="P357" s="9"/>
      <c r="Q357" s="7">
        <v>12906.52</v>
      </c>
      <c r="R357" s="8">
        <f>IFERROR(Q357/Q444, "NA")</f>
        <v>5.5191418715616492E-3</v>
      </c>
      <c r="S357" s="9"/>
      <c r="T357" s="7">
        <v>14720</v>
      </c>
      <c r="U357" s="8">
        <f>IFERROR(T357/T444, "NA")</f>
        <v>6.0847986719728478E-3</v>
      </c>
      <c r="V357" s="9"/>
      <c r="W357" s="10">
        <f t="shared" si="90"/>
        <v>1813.4799999999996</v>
      </c>
      <c r="X357" s="8">
        <f>IFERROR(W357/W444, "NA")</f>
        <v>-2.2488008433313212E-2</v>
      </c>
      <c r="Y357" s="9"/>
      <c r="Z357" s="7">
        <v>13830.6</v>
      </c>
      <c r="AA357" s="8">
        <f>IFERROR(Z357/Z444, "NA")</f>
        <v>6.1127802520204539E-3</v>
      </c>
      <c r="AB357" s="9"/>
      <c r="AC357" s="10">
        <f t="shared" si="91"/>
        <v>924.07999999999993</v>
      </c>
      <c r="AD357" s="8">
        <f>IFERROR(AC357/AC444, "NA")</f>
        <v>1.2170139092383792E-2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46752.68</v>
      </c>
      <c r="C358" s="15">
        <f>IFERROR(B358/B444, "NA")</f>
        <v>7.3952910150688098E-2</v>
      </c>
      <c r="D358" s="2"/>
      <c r="E358" s="14">
        <f>IFERROR(E349+E350+E351+E352+E353+E354+E355+E356+E357, "NA")</f>
        <v>56207.69</v>
      </c>
      <c r="F358" s="15">
        <f>IFERROR(E358/E444, "NA")</f>
        <v>8.4963264839687413E-2</v>
      </c>
      <c r="G358" s="2"/>
      <c r="H358" s="14">
        <f t="shared" si="88"/>
        <v>9455.010000000002</v>
      </c>
      <c r="I358" s="15">
        <f>IFERROR(H358/H444, "NA")</f>
        <v>-0.32206367146065906</v>
      </c>
      <c r="J358" s="2"/>
      <c r="K358" s="14">
        <f>IFERROR(K349+K350+K351+K352+K353+K354+K355+K356+K357, "NA")</f>
        <v>56435.75</v>
      </c>
      <c r="L358" s="15">
        <f>IFERROR(K358/K444, "NA")</f>
        <v>9.3517643910986964E-2</v>
      </c>
      <c r="M358" s="2"/>
      <c r="N358" s="14">
        <f t="shared" si="89"/>
        <v>9683.07</v>
      </c>
      <c r="O358" s="15">
        <f>IFERROR(N358/N444, "NA")</f>
        <v>0.33717491044019421</v>
      </c>
      <c r="P358" s="2"/>
      <c r="Q358" s="14">
        <f>IFERROR(Q349+Q350+Q351+Q352+Q353+Q354+Q355+Q356+Q357, "NA")</f>
        <v>197418.01</v>
      </c>
      <c r="R358" s="15">
        <f>IFERROR(Q358/Q444, "NA")</f>
        <v>8.4420742786698227E-2</v>
      </c>
      <c r="S358" s="2"/>
      <c r="T358" s="14">
        <f>IFERROR(T349+T350+T351+T352+T353+T354+T355+T356+T357, "NA")</f>
        <v>220507.61</v>
      </c>
      <c r="U358" s="15">
        <f>IFERROR(T358/T444, "NA")</f>
        <v>9.1151114978798006E-2</v>
      </c>
      <c r="V358" s="2"/>
      <c r="W358" s="14">
        <f t="shared" si="90"/>
        <v>23089.599999999977</v>
      </c>
      <c r="X358" s="15">
        <f>IFERROR(W358/W444, "NA")</f>
        <v>-0.28632194428492641</v>
      </c>
      <c r="Y358" s="2"/>
      <c r="Z358" s="14">
        <f>IFERROR(Z349+Z350+Z351+Z352+Z353+Z354+Z355+Z356+Z357, "NA")</f>
        <v>290611.49</v>
      </c>
      <c r="AA358" s="15">
        <f>IFERROR(Z358/Z444, "NA")</f>
        <v>0.12844303046015643</v>
      </c>
      <c r="AB358" s="2"/>
      <c r="AC358" s="14">
        <f t="shared" si="91"/>
        <v>93193.479999999981</v>
      </c>
      <c r="AD358" s="15">
        <f>IFERROR(AC358/AC444, "NA")</f>
        <v>1.2273586855069767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customHeight="1" x14ac:dyDescent="0.45">
      <c r="A362" s="6" t="s">
        <v>330</v>
      </c>
      <c r="B362" s="7">
        <v>238.34</v>
      </c>
      <c r="C362" s="8">
        <f>IFERROR(B362/B444, "NA")</f>
        <v>3.7700376973715731E-4</v>
      </c>
      <c r="D362" s="9"/>
      <c r="E362" s="7">
        <v>864</v>
      </c>
      <c r="F362" s="8">
        <f>IFERROR(E362/E444, "NA")</f>
        <v>1.3060181057341074E-3</v>
      </c>
      <c r="G362" s="9"/>
      <c r="H362" s="10">
        <f t="shared" si="92"/>
        <v>625.66</v>
      </c>
      <c r="I362" s="8">
        <f>IFERROR(H362/H444, "NA")</f>
        <v>-2.1311702122586429E-2</v>
      </c>
      <c r="J362" s="9"/>
      <c r="K362" s="7">
        <v>744.11</v>
      </c>
      <c r="L362" s="8">
        <f>IFERROR(K362/K444, "NA")</f>
        <v>1.2330378175288627E-3</v>
      </c>
      <c r="M362" s="9"/>
      <c r="N362" s="10">
        <f t="shared" si="93"/>
        <v>505.77</v>
      </c>
      <c r="O362" s="8">
        <f>IFERROR(N362/N444, "NA")</f>
        <v>1.7611455298096268E-2</v>
      </c>
      <c r="P362" s="9"/>
      <c r="Q362" s="7">
        <v>1369.36</v>
      </c>
      <c r="R362" s="8">
        <f>IFERROR(Q362/Q444, "NA")</f>
        <v>5.855716423359402E-4</v>
      </c>
      <c r="S362" s="9"/>
      <c r="T362" s="7">
        <v>3672</v>
      </c>
      <c r="U362" s="8">
        <f>IFERROR(T362/T444, "NA")</f>
        <v>1.5178927121932268E-3</v>
      </c>
      <c r="V362" s="9"/>
      <c r="W362" s="10">
        <f t="shared" si="94"/>
        <v>2302.6400000000003</v>
      </c>
      <c r="X362" s="8">
        <f>IFERROR(W362/W444, "NA")</f>
        <v>-2.855382344381209E-2</v>
      </c>
      <c r="Y362" s="9"/>
      <c r="Z362" s="7">
        <v>3496.95</v>
      </c>
      <c r="AA362" s="8">
        <f>IFERROR(Z362/Z444, "NA")</f>
        <v>1.5455646828266977E-3</v>
      </c>
      <c r="AB362" s="9"/>
      <c r="AC362" s="10">
        <f t="shared" si="95"/>
        <v>2127.59</v>
      </c>
      <c r="AD362" s="8">
        <f>IFERROR(AC362/AC444, "NA")</f>
        <v>2.8020372945594361E-2</v>
      </c>
    </row>
    <row r="363" spans="1:30" ht="16.5" customHeight="1" x14ac:dyDescent="0.45">
      <c r="A363" s="6" t="s">
        <v>331</v>
      </c>
      <c r="B363" s="7">
        <v>1123.1600000000001</v>
      </c>
      <c r="C363" s="8">
        <f>IFERROR(B363/B444, "NA")</f>
        <v>1.7766029790131142E-3</v>
      </c>
      <c r="D363" s="9"/>
      <c r="E363" s="7">
        <v>150</v>
      </c>
      <c r="F363" s="8">
        <f>IFERROR(E363/E444, "NA")</f>
        <v>2.2673925446772697E-4</v>
      </c>
      <c r="G363" s="9"/>
      <c r="H363" s="10">
        <f t="shared" si="92"/>
        <v>-973.16000000000008</v>
      </c>
      <c r="I363" s="8">
        <f>IFERROR(H363/H444, "NA")</f>
        <v>3.314850883485633E-2</v>
      </c>
      <c r="J363" s="9"/>
      <c r="K363" s="7">
        <v>732.85</v>
      </c>
      <c r="L363" s="8">
        <f>IFERROR(K363/K444, "NA")</f>
        <v>1.2143792780315102E-3</v>
      </c>
      <c r="M363" s="9"/>
      <c r="N363" s="10">
        <f t="shared" si="93"/>
        <v>-390.31000000000006</v>
      </c>
      <c r="O363" s="8">
        <f>IFERROR(N363/N444, "NA")</f>
        <v>-1.3591013934001533E-2</v>
      </c>
      <c r="P363" s="9"/>
      <c r="Q363" s="7">
        <v>3538.01</v>
      </c>
      <c r="R363" s="8">
        <f>IFERROR(Q363/Q444, "NA")</f>
        <v>1.5129391294480487E-3</v>
      </c>
      <c r="S363" s="9"/>
      <c r="T363" s="7">
        <v>675</v>
      </c>
      <c r="U363" s="8">
        <f>IFERROR(T363/T444, "NA")</f>
        <v>2.790243956237549E-4</v>
      </c>
      <c r="V363" s="9"/>
      <c r="W363" s="10">
        <f t="shared" si="94"/>
        <v>-2863.01</v>
      </c>
      <c r="X363" s="8">
        <f>IFERROR(W363/W444, "NA")</f>
        <v>3.5502676083916052E-2</v>
      </c>
      <c r="Y363" s="9"/>
      <c r="Z363" s="7">
        <v>3427.7</v>
      </c>
      <c r="AA363" s="8">
        <f>IFERROR(Z363/Z444, "NA")</f>
        <v>1.5149579099858652E-3</v>
      </c>
      <c r="AB363" s="9"/>
      <c r="AC363" s="10">
        <f t="shared" si="95"/>
        <v>-110.3100000000004</v>
      </c>
      <c r="AD363" s="8">
        <f>IFERROR(AC363/AC444, "NA")</f>
        <v>-1.4527833556411361E-3</v>
      </c>
    </row>
    <row r="364" spans="1:30" ht="16.5" customHeight="1" x14ac:dyDescent="0.45">
      <c r="A364" s="6" t="s">
        <v>332</v>
      </c>
      <c r="B364" s="7">
        <v>-2085.4899999999998</v>
      </c>
      <c r="C364" s="8">
        <f>IFERROR(B364/B444, "NA")</f>
        <v>-3.2988067120464214E-3</v>
      </c>
      <c r="D364" s="9"/>
      <c r="E364" s="7">
        <v>500</v>
      </c>
      <c r="F364" s="8">
        <f>IFERROR(E364/E444, "NA")</f>
        <v>7.5579751489242319E-4</v>
      </c>
      <c r="G364" s="9"/>
      <c r="H364" s="10">
        <f t="shared" si="92"/>
        <v>2585.4899999999998</v>
      </c>
      <c r="I364" s="8">
        <f>IFERROR(H364/H444, "NA")</f>
        <v>-8.8068907587069631E-2</v>
      </c>
      <c r="J364" s="9"/>
      <c r="K364" s="7">
        <v>338.78</v>
      </c>
      <c r="L364" s="8">
        <f>IFERROR(K364/K444, "NA")</f>
        <v>5.6138010754112704E-4</v>
      </c>
      <c r="M364" s="9"/>
      <c r="N364" s="10">
        <f t="shared" si="93"/>
        <v>2424.2699999999995</v>
      </c>
      <c r="O364" s="8">
        <f>IFERROR(N364/N444, "NA")</f>
        <v>8.4415688426588822E-2</v>
      </c>
      <c r="P364" s="9"/>
      <c r="Q364" s="7">
        <v>592.69000000000005</v>
      </c>
      <c r="R364" s="8">
        <f>IFERROR(Q364/Q444, "NA")</f>
        <v>2.5344865973599964E-4</v>
      </c>
      <c r="S364" s="9"/>
      <c r="T364" s="7">
        <v>2400</v>
      </c>
      <c r="U364" s="8">
        <f>IFERROR(T364/T444, "NA")</f>
        <v>9.9208673999557294E-4</v>
      </c>
      <c r="V364" s="9"/>
      <c r="W364" s="10">
        <f t="shared" si="94"/>
        <v>1807.31</v>
      </c>
      <c r="X364" s="8">
        <f>IFERROR(W364/W444, "NA")</f>
        <v>-2.2411497519471572E-2</v>
      </c>
      <c r="Y364" s="9"/>
      <c r="Z364" s="7">
        <v>2924.75</v>
      </c>
      <c r="AA364" s="8">
        <f>IFERROR(Z364/Z444, "NA")</f>
        <v>1.2926665540249028E-3</v>
      </c>
      <c r="AB364" s="9"/>
      <c r="AC364" s="10">
        <f t="shared" si="95"/>
        <v>2332.06</v>
      </c>
      <c r="AD364" s="8">
        <f>IFERROR(AC364/AC444, "NA")</f>
        <v>3.0713244060887098E-2</v>
      </c>
    </row>
    <row r="365" spans="1:30" ht="16.5" customHeight="1" x14ac:dyDescent="0.45">
      <c r="A365" s="6" t="s">
        <v>333</v>
      </c>
      <c r="B365" s="7">
        <v>4163.79</v>
      </c>
      <c r="C365" s="8">
        <f>IFERROR(B365/B444, "NA")</f>
        <v>6.586240355768558E-3</v>
      </c>
      <c r="D365" s="9"/>
      <c r="E365" s="7">
        <v>900</v>
      </c>
      <c r="F365" s="8">
        <f>IFERROR(E365/E444, "NA")</f>
        <v>1.3604355268063617E-3</v>
      </c>
      <c r="G365" s="9"/>
      <c r="H365" s="10">
        <f t="shared" si="92"/>
        <v>-3263.79</v>
      </c>
      <c r="I365" s="8">
        <f>IFERROR(H365/H444, "NA")</f>
        <v>0.11117367303435789</v>
      </c>
      <c r="J365" s="9"/>
      <c r="K365" s="7">
        <v>1655.67</v>
      </c>
      <c r="L365" s="8">
        <f>IFERROR(K365/K444, "NA")</f>
        <v>2.7435509848651573E-3</v>
      </c>
      <c r="M365" s="9"/>
      <c r="N365" s="10">
        <f t="shared" si="93"/>
        <v>-2508.12</v>
      </c>
      <c r="O365" s="8">
        <f>IFERROR(N365/N444, "NA")</f>
        <v>-8.7335435597724678E-2</v>
      </c>
      <c r="P365" s="9"/>
      <c r="Q365" s="7">
        <v>4667.46</v>
      </c>
      <c r="R365" s="8">
        <f>IFERROR(Q365/Q444, "NA")</f>
        <v>1.9959194205594641E-3</v>
      </c>
      <c r="S365" s="9"/>
      <c r="T365" s="7">
        <v>2925</v>
      </c>
      <c r="U365" s="8">
        <f>IFERROR(T365/T444, "NA")</f>
        <v>1.2091057143696047E-3</v>
      </c>
      <c r="V365" s="9"/>
      <c r="W365" s="10">
        <f t="shared" si="94"/>
        <v>-1742.46</v>
      </c>
      <c r="X365" s="8">
        <f>IFERROR(W365/W444, "NA")</f>
        <v>2.1607326893437449E-2</v>
      </c>
      <c r="Y365" s="9"/>
      <c r="Z365" s="7">
        <v>2535.06</v>
      </c>
      <c r="AA365" s="8">
        <f>IFERROR(Z365/Z444, "NA")</f>
        <v>1.1204332932545928E-3</v>
      </c>
      <c r="AB365" s="9"/>
      <c r="AC365" s="10">
        <f t="shared" si="95"/>
        <v>-2132.4</v>
      </c>
      <c r="AD365" s="8">
        <f>IFERROR(AC365/AC444, "NA")</f>
        <v>-2.8083720674183188E-2</v>
      </c>
    </row>
    <row r="366" spans="1:30" ht="16.5" customHeight="1" x14ac:dyDescent="0.45">
      <c r="A366" s="6" t="s">
        <v>334</v>
      </c>
      <c r="B366" s="7">
        <v>34</v>
      </c>
      <c r="C366" s="8">
        <f>IFERROR(B366/B444, "NA")</f>
        <v>5.3780851603018162E-5</v>
      </c>
      <c r="D366" s="9"/>
      <c r="E366" s="7">
        <v>225</v>
      </c>
      <c r="F366" s="8">
        <f>IFERROR(E366/E444, "NA")</f>
        <v>3.4010888170159042E-4</v>
      </c>
      <c r="G366" s="9"/>
      <c r="H366" s="10">
        <f t="shared" si="92"/>
        <v>191</v>
      </c>
      <c r="I366" s="8">
        <f>IFERROR(H366/H444, "NA")</f>
        <v>-6.5059858476073391E-3</v>
      </c>
      <c r="J366" s="9"/>
      <c r="K366" s="7">
        <v>1417.91</v>
      </c>
      <c r="L366" s="8">
        <f>IFERROR(K366/K444, "NA")</f>
        <v>2.349567472352676E-3</v>
      </c>
      <c r="M366" s="9"/>
      <c r="N366" s="10">
        <f t="shared" si="93"/>
        <v>1383.91</v>
      </c>
      <c r="O366" s="8">
        <f>IFERROR(N366/N444, "NA")</f>
        <v>4.8189234437765009E-2</v>
      </c>
      <c r="P366" s="9"/>
      <c r="Q366" s="7">
        <v>2548.41</v>
      </c>
      <c r="R366" s="8">
        <f>IFERROR(Q366/Q444, "NA")</f>
        <v>1.0897620998461569E-3</v>
      </c>
      <c r="S366" s="9"/>
      <c r="T366" s="7">
        <v>1575</v>
      </c>
      <c r="U366" s="8">
        <f>IFERROR(T366/T444, "NA")</f>
        <v>6.5105692312209483E-4</v>
      </c>
      <c r="V366" s="9"/>
      <c r="W366" s="10">
        <f t="shared" si="94"/>
        <v>-973.40999999999985</v>
      </c>
      <c r="X366" s="8">
        <f>IFERROR(W366/W444, "NA")</f>
        <v>1.2070743702203176E-2</v>
      </c>
      <c r="Y366" s="9"/>
      <c r="Z366" s="7">
        <v>1417.91</v>
      </c>
      <c r="AA366" s="8">
        <f>IFERROR(Z366/Z444, "NA")</f>
        <v>6.2668085601075318E-4</v>
      </c>
      <c r="AB366" s="9"/>
      <c r="AC366" s="10">
        <f t="shared" si="95"/>
        <v>-1130.4999999999998</v>
      </c>
      <c r="AD366" s="8">
        <f>IFERROR(AC366/AC444, "NA")</f>
        <v>-1.4888691719266595E-2</v>
      </c>
    </row>
    <row r="367" spans="1:30" ht="16.5" customHeight="1" x14ac:dyDescent="0.45">
      <c r="A367" s="6" t="s">
        <v>335</v>
      </c>
      <c r="B367" s="7">
        <v>2848.93</v>
      </c>
      <c r="C367" s="8">
        <f>IFERROR(B367/B444, "NA")</f>
        <v>4.5064082810996036E-3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-2848.93</v>
      </c>
      <c r="I367" s="8">
        <f>IFERROR(H367/H444, "NA")</f>
        <v>9.7042399271329724E-2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-2848.93</v>
      </c>
      <c r="O367" s="8">
        <f>IFERROR(N367/N444, "NA")</f>
        <v>-9.9202806300107554E-2</v>
      </c>
      <c r="P367" s="9"/>
      <c r="Q367" s="7">
        <v>6935.41</v>
      </c>
      <c r="R367" s="8">
        <f>IFERROR(Q367/Q444, "NA")</f>
        <v>2.9657500029014309E-3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-6935.41</v>
      </c>
      <c r="X367" s="8">
        <f>IFERROR(W367/W444, "NA")</f>
        <v>8.6002359313852264E-2</v>
      </c>
      <c r="Y367" s="9"/>
      <c r="Z367" s="7">
        <v>5481.74</v>
      </c>
      <c r="AA367" s="8">
        <f>IFERROR(Z367/Z444, "NA")</f>
        <v>2.4227923603249752E-3</v>
      </c>
      <c r="AB367" s="9"/>
      <c r="AC367" s="10">
        <f t="shared" si="95"/>
        <v>-1453.67</v>
      </c>
      <c r="AD367" s="8">
        <f>IFERROR(AC367/AC444, "NA")</f>
        <v>-1.9144842540067472E-2</v>
      </c>
    </row>
    <row r="368" spans="1:30" ht="16.5" customHeight="1" x14ac:dyDescent="0.45">
      <c r="A368" s="19" t="s">
        <v>336</v>
      </c>
      <c r="B368" s="14">
        <f>IFERROR(B360+B361+B362+B363+B364+B365+B366+B367, "NA")</f>
        <v>6322.73</v>
      </c>
      <c r="C368" s="15">
        <f>IFERROR(B368/B444, "NA")</f>
        <v>1.0001229525175029E-2</v>
      </c>
      <c r="D368" s="2"/>
      <c r="E368" s="14">
        <f>IFERROR(E360+E361+E362+E363+E364+E365+E366+E367, "NA")</f>
        <v>2639</v>
      </c>
      <c r="F368" s="15">
        <f>IFERROR(E368/E444, "NA")</f>
        <v>3.9890992836022097E-3</v>
      </c>
      <c r="G368" s="2"/>
      <c r="H368" s="14">
        <f t="shared" si="92"/>
        <v>-3683.7299999999996</v>
      </c>
      <c r="I368" s="15">
        <f>IFERROR(H368/H444, "NA")</f>
        <v>0.12547798558328052</v>
      </c>
      <c r="J368" s="2"/>
      <c r="K368" s="14">
        <f>IFERROR(K360+K361+K362+K363+K364+K365+K366+K367, "NA")</f>
        <v>4889.32</v>
      </c>
      <c r="L368" s="15">
        <f>IFERROR(K368/K444, "NA")</f>
        <v>8.1019156603193317E-3</v>
      </c>
      <c r="M368" s="2"/>
      <c r="N368" s="14">
        <f t="shared" si="93"/>
        <v>-1433.4099999999999</v>
      </c>
      <c r="O368" s="15">
        <f>IFERROR(N368/N444, "NA")</f>
        <v>-4.9912877669383647E-2</v>
      </c>
      <c r="P368" s="2"/>
      <c r="Q368" s="14">
        <f>IFERROR(Q360+Q361+Q362+Q363+Q364+Q365+Q366+Q367, "NA")</f>
        <v>19651.34</v>
      </c>
      <c r="R368" s="15">
        <f>IFERROR(Q368/Q444, "NA")</f>
        <v>8.4033909548270405E-3</v>
      </c>
      <c r="S368" s="2"/>
      <c r="T368" s="14">
        <f>IFERROR(T360+T361+T362+T363+T364+T365+T366+T367, "NA")</f>
        <v>11247</v>
      </c>
      <c r="U368" s="15">
        <f>IFERROR(T368/T444, "NA")</f>
        <v>4.649166485304254E-3</v>
      </c>
      <c r="V368" s="2"/>
      <c r="W368" s="14">
        <f t="shared" si="94"/>
        <v>-8404.34</v>
      </c>
      <c r="X368" s="15">
        <f>IFERROR(W368/W444, "NA")</f>
        <v>0.10421778503012528</v>
      </c>
      <c r="Y368" s="2"/>
      <c r="Z368" s="14">
        <f>IFERROR(Z360+Z361+Z362+Z363+Z364+Z365+Z366+Z367, "NA")</f>
        <v>19284.11</v>
      </c>
      <c r="AA368" s="15">
        <f>IFERROR(Z368/Z444, "NA")</f>
        <v>8.5230956564277868E-3</v>
      </c>
      <c r="AB368" s="2"/>
      <c r="AC368" s="14">
        <f t="shared" si="95"/>
        <v>-367.22999999999956</v>
      </c>
      <c r="AD368" s="15">
        <f>IFERROR(AC368/AC444, "NA")</f>
        <v>-4.8364212826769275E-3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114.95</v>
      </c>
      <c r="C370" s="8">
        <f>IFERROR(B370/B444, "NA")</f>
        <v>1.818267321107923E-4</v>
      </c>
      <c r="D370" s="9"/>
      <c r="E370" s="7">
        <v>300</v>
      </c>
      <c r="F370" s="8">
        <f>IFERROR(E370/E444, "NA")</f>
        <v>4.5347850893545394E-4</v>
      </c>
      <c r="G370" s="9"/>
      <c r="H370" s="10">
        <f t="shared" si="92"/>
        <v>185.05</v>
      </c>
      <c r="I370" s="8">
        <f>IFERROR(H370/H444, "NA")</f>
        <v>-6.3033124664907758E-3</v>
      </c>
      <c r="J370" s="9"/>
      <c r="K370" s="7">
        <v>317</v>
      </c>
      <c r="L370" s="8">
        <f>IFERROR(K370/K444, "NA")</f>
        <v>5.2528925583132798E-4</v>
      </c>
      <c r="M370" s="9"/>
      <c r="N370" s="10">
        <f t="shared" si="93"/>
        <v>202.05</v>
      </c>
      <c r="O370" s="8">
        <f>IFERROR(N370/N444, "NA")</f>
        <v>7.0355982817888584E-3</v>
      </c>
      <c r="P370" s="9"/>
      <c r="Q370" s="7">
        <v>458.95</v>
      </c>
      <c r="R370" s="8">
        <f>IFERROR(Q370/Q444, "NA")</f>
        <v>1.9625818283729607E-4</v>
      </c>
      <c r="S370" s="9"/>
      <c r="T370" s="7">
        <v>1300</v>
      </c>
      <c r="U370" s="8">
        <f>IFERROR(T370/T444, "NA")</f>
        <v>5.3738031749760206E-4</v>
      </c>
      <c r="V370" s="9"/>
      <c r="W370" s="10">
        <f t="shared" si="94"/>
        <v>841.05</v>
      </c>
      <c r="X370" s="8">
        <f>IFERROR(W370/W444, "NA")</f>
        <v>-1.0429417193924432E-2</v>
      </c>
      <c r="Y370" s="9"/>
      <c r="Z370" s="7">
        <v>1291</v>
      </c>
      <c r="AA370" s="8">
        <f>IFERROR(Z370/Z444, "NA")</f>
        <v>5.7058980126374896E-4</v>
      </c>
      <c r="AB370" s="9"/>
      <c r="AC370" s="10">
        <f t="shared" si="95"/>
        <v>832.05</v>
      </c>
      <c r="AD370" s="8">
        <f>IFERROR(AC370/AC444, "NA")</f>
        <v>1.0958103445392104E-2</v>
      </c>
    </row>
    <row r="371" spans="1:30" ht="16.5" customHeight="1" x14ac:dyDescent="0.45">
      <c r="A371" s="20" t="s">
        <v>339</v>
      </c>
      <c r="B371" s="7">
        <v>339.2</v>
      </c>
      <c r="C371" s="8">
        <f>IFERROR(B371/B444, "NA")</f>
        <v>5.3654308422775758E-4</v>
      </c>
      <c r="D371" s="9"/>
      <c r="E371" s="7">
        <v>125</v>
      </c>
      <c r="F371" s="8">
        <f>IFERROR(E371/E444, "NA")</f>
        <v>1.889493787231058E-4</v>
      </c>
      <c r="G371" s="9"/>
      <c r="H371" s="10">
        <f t="shared" si="92"/>
        <v>-214.2</v>
      </c>
      <c r="I371" s="8">
        <f>IFERROR(H371/H444, "NA")</f>
        <v>7.2962417201962934E-3</v>
      </c>
      <c r="J371" s="9"/>
      <c r="K371" s="7">
        <v>368.86</v>
      </c>
      <c r="L371" s="8">
        <f>IFERROR(K371/K444, "NA")</f>
        <v>6.1122458960865503E-4</v>
      </c>
      <c r="M371" s="9"/>
      <c r="N371" s="10">
        <f t="shared" si="93"/>
        <v>29.660000000000025</v>
      </c>
      <c r="O371" s="8">
        <f>IFERROR(N371/N444, "NA")</f>
        <v>1.0327930959557422E-3</v>
      </c>
      <c r="P371" s="9"/>
      <c r="Q371" s="7">
        <v>1620.61</v>
      </c>
      <c r="R371" s="8">
        <f>IFERROR(Q371/Q444, "NA")</f>
        <v>6.9301225337825556E-4</v>
      </c>
      <c r="S371" s="9"/>
      <c r="T371" s="7">
        <v>500</v>
      </c>
      <c r="U371" s="8">
        <f>IFERROR(T371/T444, "NA")</f>
        <v>2.0668473749907771E-4</v>
      </c>
      <c r="V371" s="9"/>
      <c r="W371" s="10">
        <f t="shared" si="94"/>
        <v>-1120.6099999999999</v>
      </c>
      <c r="X371" s="8">
        <f>IFERROR(W371/W444, "NA")</f>
        <v>1.389609321881417E-2</v>
      </c>
      <c r="Y371" s="9"/>
      <c r="Z371" s="7">
        <v>875.47</v>
      </c>
      <c r="AA371" s="8">
        <f>IFERROR(Z371/Z444, "NA")</f>
        <v>3.8693590496698241E-4</v>
      </c>
      <c r="AB371" s="9"/>
      <c r="AC371" s="10">
        <f t="shared" si="95"/>
        <v>-745.13999999999987</v>
      </c>
      <c r="AD371" s="8">
        <f>IFERROR(AC371/AC444, "NA")</f>
        <v>-9.8134982288317664E-3</v>
      </c>
    </row>
    <row r="372" spans="1:30" ht="16.5" customHeight="1" x14ac:dyDescent="0.45">
      <c r="A372" s="20" t="s">
        <v>340</v>
      </c>
      <c r="B372" s="7">
        <v>781.8</v>
      </c>
      <c r="C372" s="8">
        <f>IFERROR(B372/B444, "NA")</f>
        <v>1.2366432289188116E-3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-781.8</v>
      </c>
      <c r="I372" s="8">
        <f>IFERROR(H372/H444, "NA")</f>
        <v>2.6630260396122606E-2</v>
      </c>
      <c r="J372" s="9"/>
      <c r="K372" s="7">
        <v>1277.17</v>
      </c>
      <c r="L372" s="8">
        <f>IFERROR(K372/K444, "NA")</f>
        <v>2.1163522992747544E-3</v>
      </c>
      <c r="M372" s="9"/>
      <c r="N372" s="10">
        <f t="shared" si="93"/>
        <v>495.37000000000012</v>
      </c>
      <c r="O372" s="8">
        <f>IFERROR(N372/N444, "NA")</f>
        <v>1.7249316114079424E-2</v>
      </c>
      <c r="P372" s="9"/>
      <c r="Q372" s="7">
        <v>2071.7600000000002</v>
      </c>
      <c r="R372" s="8">
        <f>IFERROR(Q372/Q444, "NA")</f>
        <v>8.8593496649961125E-4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-2071.7600000000002</v>
      </c>
      <c r="X372" s="8">
        <f>IFERROR(W372/W444, "NA")</f>
        <v>2.5690802408518978E-2</v>
      </c>
      <c r="Y372" s="9"/>
      <c r="Z372" s="7">
        <v>1831.51</v>
      </c>
      <c r="AA372" s="8">
        <f>IFERROR(Z372/Z444, "NA")</f>
        <v>8.0948174044350796E-4</v>
      </c>
      <c r="AB372" s="9"/>
      <c r="AC372" s="10">
        <f t="shared" si="95"/>
        <v>-240.25000000000023</v>
      </c>
      <c r="AD372" s="8">
        <f>IFERROR(AC372/AC444, "NA")</f>
        <v>-3.164093927955598E-3</v>
      </c>
    </row>
    <row r="373" spans="1:30" ht="16.5" customHeight="1" x14ac:dyDescent="0.45">
      <c r="A373" s="20" t="s">
        <v>341</v>
      </c>
      <c r="B373" s="7">
        <v>677.78</v>
      </c>
      <c r="C373" s="8">
        <f>IFERROR(B373/B444, "NA")</f>
        <v>1.0721054588086368E-3</v>
      </c>
      <c r="D373" s="9"/>
      <c r="E373" s="7">
        <v>629</v>
      </c>
      <c r="F373" s="8">
        <f>IFERROR(E373/E444, "NA")</f>
        <v>9.5079327373466841E-4</v>
      </c>
      <c r="G373" s="9"/>
      <c r="H373" s="10">
        <f t="shared" si="92"/>
        <v>-48.779999999999973</v>
      </c>
      <c r="I373" s="8">
        <f>IFERROR(H373/H444, "NA")</f>
        <v>1.6615810976245331E-3</v>
      </c>
      <c r="J373" s="9"/>
      <c r="K373" s="7">
        <v>337.08</v>
      </c>
      <c r="L373" s="8">
        <f>IFERROR(K373/K444, "NA")</f>
        <v>5.585630989136405E-4</v>
      </c>
      <c r="M373" s="9"/>
      <c r="N373" s="10">
        <f t="shared" si="93"/>
        <v>-340.7</v>
      </c>
      <c r="O373" s="8">
        <f>IFERROR(N373/N444, "NA")</f>
        <v>-1.1863540384090394E-2</v>
      </c>
      <c r="P373" s="9"/>
      <c r="Q373" s="7">
        <v>2957.87</v>
      </c>
      <c r="R373" s="8">
        <f>IFERROR(Q373/Q444, "NA")</f>
        <v>1.2648571549601327E-3</v>
      </c>
      <c r="S373" s="9"/>
      <c r="T373" s="7">
        <v>2516</v>
      </c>
      <c r="U373" s="8">
        <f>IFERROR(T373/T444, "NA")</f>
        <v>1.040037599095359E-3</v>
      </c>
      <c r="V373" s="9"/>
      <c r="W373" s="10">
        <f t="shared" si="94"/>
        <v>-441.86999999999989</v>
      </c>
      <c r="X373" s="8">
        <f>IFERROR(W373/W444, "NA")</f>
        <v>5.4793966773430689E-3</v>
      </c>
      <c r="Y373" s="9"/>
      <c r="Z373" s="7">
        <v>1782.31</v>
      </c>
      <c r="AA373" s="8">
        <f>IFERROR(Z373/Z444, "NA")</f>
        <v>7.8773656753709711E-4</v>
      </c>
      <c r="AB373" s="9"/>
      <c r="AC373" s="10">
        <f t="shared" si="95"/>
        <v>-1175.56</v>
      </c>
      <c r="AD373" s="8">
        <f>IFERROR(AC373/AC444, "NA")</f>
        <v>-1.5482132187086281E-2</v>
      </c>
    </row>
    <row r="374" spans="1:30" ht="16.5" customHeight="1" x14ac:dyDescent="0.45">
      <c r="A374" s="20" t="s">
        <v>342</v>
      </c>
      <c r="B374" s="7">
        <v>2117.81</v>
      </c>
      <c r="C374" s="8">
        <f>IFERROR(B374/B444, "NA")</f>
        <v>3.3499301568643497E-3</v>
      </c>
      <c r="D374" s="9"/>
      <c r="E374" s="7">
        <v>2150</v>
      </c>
      <c r="F374" s="8">
        <f>IFERROR(E374/E444, "NA")</f>
        <v>3.2499293140374197E-3</v>
      </c>
      <c r="G374" s="9"/>
      <c r="H374" s="10">
        <f t="shared" si="92"/>
        <v>32.190000000000055</v>
      </c>
      <c r="I374" s="8">
        <f>IFERROR(H374/H444, "NA")</f>
        <v>-1.0964800232171759E-3</v>
      </c>
      <c r="J374" s="9"/>
      <c r="K374" s="7">
        <v>1924.98</v>
      </c>
      <c r="L374" s="8">
        <f>IFERROR(K374/K444, "NA")</f>
        <v>3.1898148633759927E-3</v>
      </c>
      <c r="M374" s="9"/>
      <c r="N374" s="10">
        <f t="shared" si="93"/>
        <v>-192.82999999999993</v>
      </c>
      <c r="O374" s="8">
        <f>IFERROR(N374/N444, "NA")</f>
        <v>-6.7145479667277659E-3</v>
      </c>
      <c r="P374" s="9"/>
      <c r="Q374" s="7">
        <v>8460.11</v>
      </c>
      <c r="R374" s="8">
        <f>IFERROR(Q374/Q444, "NA")</f>
        <v>3.6177488075032948E-3</v>
      </c>
      <c r="S374" s="9"/>
      <c r="T374" s="7">
        <v>8600</v>
      </c>
      <c r="U374" s="8">
        <f>IFERROR(T374/T444, "NA")</f>
        <v>3.5549774849841366E-3</v>
      </c>
      <c r="V374" s="9"/>
      <c r="W374" s="10">
        <f t="shared" si="94"/>
        <v>139.88999999999942</v>
      </c>
      <c r="X374" s="8">
        <f>IFERROR(W374/W444, "NA")</f>
        <v>-1.7347020643934162E-3</v>
      </c>
      <c r="Y374" s="9"/>
      <c r="Z374" s="7">
        <v>7659.01</v>
      </c>
      <c r="AA374" s="8">
        <f>IFERROR(Z374/Z444, "NA")</f>
        <v>3.3850913971936992E-3</v>
      </c>
      <c r="AB374" s="9"/>
      <c r="AC374" s="10">
        <f t="shared" si="95"/>
        <v>-801.10000000000036</v>
      </c>
      <c r="AD374" s="8">
        <f>IFERROR(AC374/AC444, "NA")</f>
        <v>-1.0550491761436956E-2</v>
      </c>
    </row>
    <row r="375" spans="1:30" ht="16.5" customHeight="1" x14ac:dyDescent="0.45">
      <c r="A375" s="20" t="s">
        <v>343</v>
      </c>
      <c r="B375" s="7">
        <v>75</v>
      </c>
      <c r="C375" s="8">
        <f>IFERROR(B375/B444, "NA")</f>
        <v>1.1863423147724594E-4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-75</v>
      </c>
      <c r="I375" s="8">
        <f>IFERROR(H375/H444, "NA")</f>
        <v>2.5547064846625678E-3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-75</v>
      </c>
      <c r="O375" s="8">
        <f>IFERROR(N375/N444, "NA")</f>
        <v>-2.6115806539676535E-3</v>
      </c>
      <c r="P375" s="9"/>
      <c r="Q375" s="7">
        <v>185</v>
      </c>
      <c r="R375" s="8">
        <f>IFERROR(Q375/Q444, "NA")</f>
        <v>7.911049967294864E-5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-185</v>
      </c>
      <c r="X375" s="8">
        <f>IFERROR(W375/W444, "NA")</f>
        <v>2.2940873680233282E-3</v>
      </c>
      <c r="Y375" s="9"/>
      <c r="Z375" s="7">
        <v>205.26</v>
      </c>
      <c r="AA375" s="8">
        <f>IFERROR(Z375/Z444, "NA")</f>
        <v>9.0719800625404417E-5</v>
      </c>
      <c r="AB375" s="9"/>
      <c r="AC375" s="10">
        <f t="shared" si="95"/>
        <v>20.259999999999991</v>
      </c>
      <c r="AD375" s="8">
        <f>IFERROR(AC375/AC444, "NA")</f>
        <v>2.6682432041781612E-4</v>
      </c>
    </row>
    <row r="376" spans="1:30" ht="16.5" customHeight="1" x14ac:dyDescent="0.45">
      <c r="A376" s="20" t="s">
        <v>344</v>
      </c>
      <c r="B376" s="7">
        <v>22.63</v>
      </c>
      <c r="C376" s="8">
        <f>IFERROR(B376/B444, "NA")</f>
        <v>3.5795902111067676E-5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-22.63</v>
      </c>
      <c r="I376" s="8">
        <f>IFERROR(H376/H444, "NA")</f>
        <v>7.7084010330551872E-4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-22.63</v>
      </c>
      <c r="O376" s="8">
        <f>IFERROR(N376/N444, "NA")</f>
        <v>-7.8800093599050664E-4</v>
      </c>
      <c r="P376" s="9"/>
      <c r="Q376" s="7">
        <v>138.78</v>
      </c>
      <c r="R376" s="8">
        <f>IFERROR(Q376/Q444, "NA")</f>
        <v>5.9345703484388169E-5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-138.78</v>
      </c>
      <c r="X376" s="8">
        <f>IFERROR(W376/W444, "NA")</f>
        <v>1.7209375401852835E-3</v>
      </c>
      <c r="Y376" s="9"/>
      <c r="Z376" s="7">
        <v>-2413</v>
      </c>
      <c r="AA376" s="8">
        <f>IFERROR(Z376/Z444, "NA")</f>
        <v>-1.0664858175440945E-3</v>
      </c>
      <c r="AB376" s="9"/>
      <c r="AC376" s="10">
        <f t="shared" si="95"/>
        <v>-2551.7800000000002</v>
      </c>
      <c r="AD376" s="8">
        <f>IFERROR(AC376/AC444, "NA")</f>
        <v>-3.36069577668201E-2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6248.34</v>
      </c>
      <c r="C378" s="8">
        <f>IFERROR(B378/B444, "NA")</f>
        <v>9.8835601854471329E-3</v>
      </c>
      <c r="D378" s="9"/>
      <c r="E378" s="7">
        <v>7484</v>
      </c>
      <c r="F378" s="8">
        <f>IFERROR(E378/E444, "NA")</f>
        <v>1.1312777202909791E-2</v>
      </c>
      <c r="G378" s="9"/>
      <c r="H378" s="10">
        <f t="shared" si="92"/>
        <v>1235.6599999999999</v>
      </c>
      <c r="I378" s="8">
        <f>IFERROR(H378/H444, "NA")</f>
        <v>-4.2089981531175311E-2</v>
      </c>
      <c r="J378" s="9"/>
      <c r="K378" s="7">
        <v>8749.64</v>
      </c>
      <c r="L378" s="8">
        <f>IFERROR(K378/K444, "NA")</f>
        <v>1.4498712569060001E-2</v>
      </c>
      <c r="M378" s="9"/>
      <c r="N378" s="10">
        <f t="shared" si="93"/>
        <v>2501.2999999999993</v>
      </c>
      <c r="O378" s="8">
        <f>IFERROR(N378/N444, "NA")</f>
        <v>8.7097955863590523E-2</v>
      </c>
      <c r="P378" s="9"/>
      <c r="Q378" s="7">
        <v>26416.400000000001</v>
      </c>
      <c r="R378" s="8">
        <f>IFERROR(Q378/Q444, "NA")</f>
        <v>1.1296295154380975E-2</v>
      </c>
      <c r="S378" s="9"/>
      <c r="T378" s="7">
        <v>31936</v>
      </c>
      <c r="U378" s="8">
        <f>IFERROR(T378/T444, "NA")</f>
        <v>1.3201367553541092E-2</v>
      </c>
      <c r="V378" s="9"/>
      <c r="W378" s="10">
        <f t="shared" si="94"/>
        <v>5519.5999999999985</v>
      </c>
      <c r="X378" s="8">
        <f>IFERROR(W378/W444, "NA")</f>
        <v>-6.8445646684008418E-2</v>
      </c>
      <c r="Y378" s="9"/>
      <c r="Z378" s="7">
        <v>34568.120000000003</v>
      </c>
      <c r="AA378" s="8">
        <f>IFERROR(Z378/Z444, "NA")</f>
        <v>1.5278246879056101E-2</v>
      </c>
      <c r="AB378" s="9"/>
      <c r="AC378" s="10">
        <f t="shared" si="95"/>
        <v>8151.7200000000012</v>
      </c>
      <c r="AD378" s="8">
        <f>IFERROR(AC378/AC444, "NA")</f>
        <v>0.10735820085075624</v>
      </c>
    </row>
    <row r="379" spans="1:30" ht="16.5" customHeight="1" x14ac:dyDescent="0.45">
      <c r="A379" s="20" t="s">
        <v>347</v>
      </c>
      <c r="B379" s="7">
        <v>120.49</v>
      </c>
      <c r="C379" s="8">
        <f>IFERROR(B379/B444, "NA")</f>
        <v>1.9058984734257817E-4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-120.49</v>
      </c>
      <c r="I379" s="8">
        <f>IFERROR(H379/H444, "NA")</f>
        <v>4.1042211244932368E-3</v>
      </c>
      <c r="J379" s="9"/>
      <c r="K379" s="7">
        <v>2421.58</v>
      </c>
      <c r="L379" s="8">
        <f>IFERROR(K379/K444, "NA")</f>
        <v>4.012712795381789E-3</v>
      </c>
      <c r="M379" s="9"/>
      <c r="N379" s="10">
        <f t="shared" si="93"/>
        <v>2301.09</v>
      </c>
      <c r="O379" s="8">
        <f>IFERROR(N379/N444, "NA")</f>
        <v>8.0126428360512369E-2</v>
      </c>
      <c r="P379" s="9"/>
      <c r="Q379" s="7">
        <v>1920.56</v>
      </c>
      <c r="R379" s="8">
        <f>IFERROR(Q379/Q444, "NA")</f>
        <v>8.2127816892907152E-4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-1920.56</v>
      </c>
      <c r="X379" s="8">
        <f>IFERROR(W379/W444, "NA")</f>
        <v>2.3815851002869638E-2</v>
      </c>
      <c r="Y379" s="9"/>
      <c r="Z379" s="7">
        <v>3811.64</v>
      </c>
      <c r="AA379" s="8">
        <f>IFERROR(Z379/Z444, "NA")</f>
        <v>1.6846498141665034E-3</v>
      </c>
      <c r="AB379" s="9"/>
      <c r="AC379" s="10">
        <f t="shared" si="95"/>
        <v>1891.08</v>
      </c>
      <c r="AD379" s="8">
        <f>IFERROR(AC379/AC444, "NA")</f>
        <v>2.4905534839867915E-2</v>
      </c>
    </row>
    <row r="380" spans="1:30" ht="16.5" customHeight="1" x14ac:dyDescent="0.45">
      <c r="A380" s="20" t="s">
        <v>348</v>
      </c>
      <c r="B380" s="7">
        <v>11800</v>
      </c>
      <c r="C380" s="8">
        <f>IFERROR(B380/B444, "NA")</f>
        <v>1.866511908575336E-2</v>
      </c>
      <c r="D380" s="9"/>
      <c r="E380" s="7">
        <v>11800</v>
      </c>
      <c r="F380" s="8">
        <f>IFERROR(E380/E444, "NA")</f>
        <v>1.7836821351461189E-2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11500</v>
      </c>
      <c r="L380" s="8">
        <f>IFERROR(K380/K444, "NA")</f>
        <v>1.9056234832997704E-2</v>
      </c>
      <c r="M380" s="9"/>
      <c r="N380" s="10">
        <f t="shared" si="93"/>
        <v>-300</v>
      </c>
      <c r="O380" s="8">
        <f>IFERROR(N380/N444, "NA")</f>
        <v>-1.0446322615870614E-2</v>
      </c>
      <c r="P380" s="9"/>
      <c r="Q380" s="7">
        <v>47255.67</v>
      </c>
      <c r="R380" s="8">
        <f>IFERROR(Q380/Q444, "NA")</f>
        <v>2.0207673870702533E-2</v>
      </c>
      <c r="S380" s="9"/>
      <c r="T380" s="7">
        <v>47200</v>
      </c>
      <c r="U380" s="8">
        <f>IFERROR(T380/T444, "NA")</f>
        <v>1.9511039219912936E-2</v>
      </c>
      <c r="V380" s="9"/>
      <c r="W380" s="10">
        <f t="shared" si="94"/>
        <v>-55.669999999998254</v>
      </c>
      <c r="X380" s="8">
        <f>IFERROR(W380/W444, "NA")</f>
        <v>6.903342906911063E-4</v>
      </c>
      <c r="Y380" s="9"/>
      <c r="Z380" s="7">
        <v>46000</v>
      </c>
      <c r="AA380" s="8">
        <f>IFERROR(Z380/Z444, "NA")</f>
        <v>2.0330852717376027E-2</v>
      </c>
      <c r="AB380" s="9"/>
      <c r="AC380" s="10">
        <f t="shared" si="95"/>
        <v>-1255.6699999999983</v>
      </c>
      <c r="AD380" s="8">
        <f>IFERROR(AC380/AC444, "NA")</f>
        <v>-1.6537181363229955E-2</v>
      </c>
    </row>
    <row r="381" spans="1:30" ht="16.5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2500</v>
      </c>
      <c r="F381" s="8">
        <f>IFERROR(E381/E444, "NA")</f>
        <v>3.778987574462116E-3</v>
      </c>
      <c r="G381" s="9"/>
      <c r="H381" s="10">
        <f t="shared" si="92"/>
        <v>2500</v>
      </c>
      <c r="I381" s="8">
        <f>IFERROR(H381/H444, "NA")</f>
        <v>-8.5156882822085597E-2</v>
      </c>
      <c r="J381" s="9"/>
      <c r="K381" s="7">
        <v>4275</v>
      </c>
      <c r="L381" s="8">
        <f>IFERROR(K381/K444, "NA")</f>
        <v>7.083948166179581E-3</v>
      </c>
      <c r="M381" s="9"/>
      <c r="N381" s="10">
        <f t="shared" si="93"/>
        <v>4275</v>
      </c>
      <c r="O381" s="8">
        <f>IFERROR(N381/N444, "NA")</f>
        <v>0.14886009727615623</v>
      </c>
      <c r="P381" s="9"/>
      <c r="Q381" s="7">
        <v>3672.5</v>
      </c>
      <c r="R381" s="8">
        <f>IFERROR(Q381/Q444, "NA")</f>
        <v>1.5704503245886695E-3</v>
      </c>
      <c r="S381" s="9"/>
      <c r="T381" s="7">
        <v>11000</v>
      </c>
      <c r="U381" s="8">
        <f>IFERROR(T381/T444, "NA")</f>
        <v>4.5470642249797102E-3</v>
      </c>
      <c r="V381" s="9"/>
      <c r="W381" s="10">
        <f t="shared" si="94"/>
        <v>7327.5</v>
      </c>
      <c r="X381" s="8">
        <f>IFERROR(W381/W444, "NA")</f>
        <v>-9.0864460482113163E-2</v>
      </c>
      <c r="Y381" s="9"/>
      <c r="Z381" s="7">
        <v>26491.51</v>
      </c>
      <c r="AA381" s="8">
        <f>IFERROR(Z381/Z444, "NA")</f>
        <v>1.1708586697193352E-2</v>
      </c>
      <c r="AB381" s="9"/>
      <c r="AC381" s="10">
        <f t="shared" si="95"/>
        <v>22819.01</v>
      </c>
      <c r="AD381" s="8">
        <f>IFERROR(AC381/AC444, "NA")</f>
        <v>0.30052649732760872</v>
      </c>
    </row>
    <row r="382" spans="1:30" ht="16.5" customHeight="1" x14ac:dyDescent="0.45">
      <c r="A382" s="20" t="s">
        <v>350</v>
      </c>
      <c r="B382" s="7">
        <v>674.16</v>
      </c>
      <c r="C382" s="8">
        <f>IFERROR(B382/B444, "NA")</f>
        <v>1.0663793799026682E-3</v>
      </c>
      <c r="D382" s="9"/>
      <c r="E382" s="7">
        <v>506</v>
      </c>
      <c r="F382" s="8">
        <f>IFERROR(E382/E444, "NA")</f>
        <v>7.6486708507113223E-4</v>
      </c>
      <c r="G382" s="9"/>
      <c r="H382" s="10">
        <f t="shared" si="92"/>
        <v>-168.15999999999997</v>
      </c>
      <c r="I382" s="8">
        <f>IFERROR(H382/H444, "NA")</f>
        <v>5.7279925661447642E-3</v>
      </c>
      <c r="J382" s="9"/>
      <c r="K382" s="7">
        <v>1131.8</v>
      </c>
      <c r="L382" s="8">
        <f>IFERROR(K382/K444, "NA")</f>
        <v>1.8754649203466781E-3</v>
      </c>
      <c r="M382" s="9"/>
      <c r="N382" s="10">
        <f t="shared" si="93"/>
        <v>457.64</v>
      </c>
      <c r="O382" s="8">
        <f>IFERROR(N382/N444, "NA")</f>
        <v>1.5935516939756759E-2</v>
      </c>
      <c r="P382" s="9"/>
      <c r="Q382" s="7">
        <v>2741.64</v>
      </c>
      <c r="R382" s="8">
        <f>IFERROR(Q382/Q444, "NA")</f>
        <v>1.1723919476937454E-3</v>
      </c>
      <c r="S382" s="9"/>
      <c r="T382" s="7">
        <v>2024</v>
      </c>
      <c r="U382" s="8">
        <f>IFERROR(T382/T444, "NA")</f>
        <v>8.3665981739626657E-4</v>
      </c>
      <c r="V382" s="9"/>
      <c r="W382" s="10">
        <f t="shared" si="94"/>
        <v>-717.63999999999987</v>
      </c>
      <c r="X382" s="8">
        <f>IFERROR(W382/W444, "NA")</f>
        <v>8.8990749123689771E-3</v>
      </c>
      <c r="Y382" s="9"/>
      <c r="Z382" s="7">
        <v>2143.04</v>
      </c>
      <c r="AA382" s="8">
        <f>IFERROR(Z382/Z444, "NA")</f>
        <v>9.4717023059664172E-4</v>
      </c>
      <c r="AB382" s="9"/>
      <c r="AC382" s="10">
        <f t="shared" si="95"/>
        <v>-598.59999999999991</v>
      </c>
      <c r="AD382" s="8">
        <f>IFERROR(AC382/AC444, "NA")</f>
        <v>-7.8835655578531495E-3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566.12</v>
      </c>
      <c r="C385" s="8">
        <f>IFERROR(B385/B444, "NA")</f>
        <v>8.9548281498531303E-4</v>
      </c>
      <c r="D385" s="9"/>
      <c r="E385" s="7">
        <v>1000</v>
      </c>
      <c r="F385" s="8">
        <f>IFERROR(E385/E444, "NA")</f>
        <v>1.5115950297848464E-3</v>
      </c>
      <c r="G385" s="9"/>
      <c r="H385" s="10">
        <f>IFERROR(-(B385-E385), "NA")</f>
        <v>433.88</v>
      </c>
      <c r="I385" s="8">
        <f>IFERROR(H385/H444, "NA")</f>
        <v>-1.4779147327538598E-2</v>
      </c>
      <c r="J385" s="9"/>
      <c r="K385" s="7">
        <v>573.57000000000005</v>
      </c>
      <c r="L385" s="8">
        <f>IFERROR(K385/K444, "NA")</f>
        <v>9.5044214027499943E-4</v>
      </c>
      <c r="M385" s="9"/>
      <c r="N385" s="10">
        <f>IFERROR(-(B385-K385), "NA")</f>
        <v>7.4500000000000455</v>
      </c>
      <c r="O385" s="8">
        <f>IFERROR(N385/N444, "NA")</f>
        <v>2.5941701162745514E-4</v>
      </c>
      <c r="P385" s="9"/>
      <c r="Q385" s="7">
        <v>11347.43</v>
      </c>
      <c r="R385" s="8">
        <f>IFERROR(Q385/Q444, "NA")</f>
        <v>4.8524370665070675E-3</v>
      </c>
      <c r="S385" s="9"/>
      <c r="T385" s="7">
        <v>3750</v>
      </c>
      <c r="U385" s="8">
        <f>IFERROR(T385/T444, "NA")</f>
        <v>1.550135531243083E-3</v>
      </c>
      <c r="V385" s="9"/>
      <c r="W385" s="10">
        <f>IFERROR(-(Q385-T385), "NA")</f>
        <v>-7597.43</v>
      </c>
      <c r="X385" s="8">
        <f>IFERROR(W385/W444, "NA")</f>
        <v>9.4211719959143098E-2</v>
      </c>
      <c r="Y385" s="9"/>
      <c r="Z385" s="7">
        <v>13817.76</v>
      </c>
      <c r="AA385" s="8">
        <f>IFERROR(Z385/Z444, "NA")</f>
        <v>6.1071052922619514E-3</v>
      </c>
      <c r="AB385" s="9"/>
      <c r="AC385" s="10">
        <f>IFERROR(-(Q385-Z385), "NA")</f>
        <v>2470.33</v>
      </c>
      <c r="AD385" s="8">
        <f>IFERROR(AC385/AC444, "NA")</f>
        <v>3.2534260782711946E-2</v>
      </c>
    </row>
    <row r="386" spans="1:30" ht="16.5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51.47</v>
      </c>
      <c r="AA386" s="8">
        <f>IFERROR(Z386/Z444, "NA")</f>
        <v>2.274845629050748E-5</v>
      </c>
      <c r="AB386" s="9"/>
      <c r="AC386" s="10">
        <f>IFERROR(-(Q386-Z386), "NA")</f>
        <v>51.47</v>
      </c>
      <c r="AD386" s="8">
        <f>IFERROR(AC386/AC444, "NA")</f>
        <v>6.778602059183121E-4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13892.61</v>
      </c>
      <c r="F388" s="8">
        <f>IFERROR(E388/E444, "NA")</f>
        <v>2.1000000226739257E-2</v>
      </c>
      <c r="G388" s="9"/>
      <c r="H388" s="10">
        <f t="shared" ref="H388:H403" si="96">IFERROR(-(B388-E388), "NA")</f>
        <v>13892.61</v>
      </c>
      <c r="I388" s="8">
        <f>IFERROR(H388/H444, "NA")</f>
        <v>-0.47322054474517383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50802.01</v>
      </c>
      <c r="U388" s="8">
        <f>IFERROR(T388/T444, "NA")</f>
        <v>2.1000000202551043E-2</v>
      </c>
      <c r="V388" s="9"/>
      <c r="W388" s="10">
        <f t="shared" ref="W388:W403" si="98">IFERROR(-(Q388-T388), "NA")</f>
        <v>50802.01</v>
      </c>
      <c r="X388" s="8">
        <f>IFERROR(W388/W444, "NA")</f>
        <v>-0.62996891573618807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6112.62</v>
      </c>
      <c r="C389" s="8">
        <f>IFERROR(B389/B444, "NA")</f>
        <v>9.668879680165908E-3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-6112.62</v>
      </c>
      <c r="I389" s="8">
        <f>IFERROR(H389/H444, "NA")</f>
        <v>0.20821266603037472</v>
      </c>
      <c r="J389" s="9"/>
      <c r="K389" s="7">
        <v>5544.91</v>
      </c>
      <c r="L389" s="8">
        <f>IFERROR(K389/K444, "NA")</f>
        <v>9.1882701815510677E-3</v>
      </c>
      <c r="M389" s="9"/>
      <c r="N389" s="10">
        <f t="shared" si="97"/>
        <v>-567.71</v>
      </c>
      <c r="O389" s="8">
        <f>IFERROR(N389/N444, "NA")</f>
        <v>-1.9768272707519689E-2</v>
      </c>
      <c r="P389" s="9"/>
      <c r="Q389" s="7">
        <v>26628.38</v>
      </c>
      <c r="R389" s="8">
        <f>IFERROR(Q389/Q444, "NA")</f>
        <v>1.1386942958276497E-2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-26628.38</v>
      </c>
      <c r="X389" s="8">
        <f>IFERROR(W389/W444, "NA")</f>
        <v>0.33020448750770287</v>
      </c>
      <c r="Y389" s="9"/>
      <c r="Z389" s="7">
        <v>16542.3</v>
      </c>
      <c r="AA389" s="8">
        <f>IFERROR(Z389/Z444, "NA")</f>
        <v>7.3112840197097706E-3</v>
      </c>
      <c r="AB389" s="9"/>
      <c r="AC389" s="10">
        <f t="shared" si="99"/>
        <v>-10086.080000000002</v>
      </c>
      <c r="AD389" s="8">
        <f>IFERROR(AC389/AC444, "NA")</f>
        <v>-0.13283373354786421</v>
      </c>
    </row>
    <row r="390" spans="1:30" ht="16.5" customHeight="1" x14ac:dyDescent="0.45">
      <c r="A390" s="12" t="s">
        <v>356</v>
      </c>
      <c r="B390" s="7">
        <v>4150.93</v>
      </c>
      <c r="C390" s="8">
        <f>IFERROR(B390/B444, "NA")</f>
        <v>6.5658985395445936E-3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-4150.93</v>
      </c>
      <c r="I390" s="8">
        <f>IFERROR(H390/H444, "NA")</f>
        <v>0.14139210384507192</v>
      </c>
      <c r="J390" s="9"/>
      <c r="K390" s="7">
        <v>8822.19</v>
      </c>
      <c r="L390" s="8">
        <f>IFERROR(K390/K444, "NA")</f>
        <v>1.461893255489774E-2</v>
      </c>
      <c r="M390" s="9"/>
      <c r="N390" s="10">
        <f t="shared" si="97"/>
        <v>4671.26</v>
      </c>
      <c r="O390" s="8">
        <f>IFERROR(N390/N444, "NA")</f>
        <v>0.1626582966087059</v>
      </c>
      <c r="P390" s="9"/>
      <c r="Q390" s="7">
        <v>23458</v>
      </c>
      <c r="R390" s="8">
        <f>IFERROR(Q390/Q444, "NA")</f>
        <v>1.0031211358529886E-2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-23458</v>
      </c>
      <c r="X390" s="8">
        <f>IFERROR(W390/W444, "NA")</f>
        <v>0.29089027826535802</v>
      </c>
      <c r="Y390" s="9"/>
      <c r="Z390" s="7">
        <v>44969.22</v>
      </c>
      <c r="AA390" s="8">
        <f>IFERROR(Z390/Z444, "NA")</f>
        <v>1.9875273665984357E-2</v>
      </c>
      <c r="AB390" s="9"/>
      <c r="AC390" s="10">
        <f t="shared" si="99"/>
        <v>21511.22</v>
      </c>
      <c r="AD390" s="8">
        <f>IFERROR(AC390/AC444, "NA")</f>
        <v>0.28330289525459712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2695.72</v>
      </c>
      <c r="C392" s="8">
        <f>IFERROR(B392/B444, "NA")</f>
        <v>4.2640622730378856E-3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-2695.72</v>
      </c>
      <c r="I392" s="8">
        <f>IFERROR(H392/H444, "NA")</f>
        <v>9.1823644864461026E-2</v>
      </c>
      <c r="J392" s="9"/>
      <c r="K392" s="7">
        <v>4697.71</v>
      </c>
      <c r="L392" s="8">
        <f>IFERROR(K392/K444, "NA")</f>
        <v>7.7844056467236203E-3</v>
      </c>
      <c r="M392" s="9"/>
      <c r="N392" s="10">
        <f t="shared" si="97"/>
        <v>2001.9900000000002</v>
      </c>
      <c r="O392" s="8">
        <f>IFERROR(N392/N444, "NA")</f>
        <v>6.971144471248937E-2</v>
      </c>
      <c r="P392" s="9"/>
      <c r="Q392" s="7">
        <v>15222.23</v>
      </c>
      <c r="R392" s="8">
        <f>IFERROR(Q392/Q444, "NA")</f>
        <v>6.5093957915489126E-3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-15222.23</v>
      </c>
      <c r="X392" s="8">
        <f>IFERROR(W392/W444, "NA")</f>
        <v>0.18876284084403105</v>
      </c>
      <c r="Y392" s="9"/>
      <c r="Z392" s="7">
        <v>19974.88</v>
      </c>
      <c r="AA392" s="8">
        <f>IFERROR(Z392/Z444, "NA")</f>
        <v>8.8283987679839138E-3</v>
      </c>
      <c r="AB392" s="9"/>
      <c r="AC392" s="10">
        <f t="shared" si="99"/>
        <v>4752.6500000000015</v>
      </c>
      <c r="AD392" s="8">
        <f>IFERROR(AC392/AC444, "NA")</f>
        <v>6.2592428747963225E-2</v>
      </c>
    </row>
    <row r="393" spans="1:30" ht="16.5" customHeight="1" x14ac:dyDescent="0.45">
      <c r="A393" s="13" t="s">
        <v>359</v>
      </c>
      <c r="B393" s="14">
        <f>IFERROR(B388+B389+B390+B391+B392, "NA")</f>
        <v>12959.269999999999</v>
      </c>
      <c r="C393" s="15">
        <f>IFERROR(B393/B444, "NA")</f>
        <v>2.0498840492748385E-2</v>
      </c>
      <c r="D393" s="2"/>
      <c r="E393" s="14">
        <f>IFERROR(E388+E389+E390+E391+E392, "NA")</f>
        <v>13892.61</v>
      </c>
      <c r="F393" s="15">
        <f>IFERROR(E393/E444, "NA")</f>
        <v>2.1000000226739257E-2</v>
      </c>
      <c r="G393" s="2"/>
      <c r="H393" s="14">
        <f t="shared" si="96"/>
        <v>933.34000000000196</v>
      </c>
      <c r="I393" s="15">
        <f>IFERROR(H393/H444, "NA")</f>
        <v>-3.1792130005266213E-2</v>
      </c>
      <c r="J393" s="2"/>
      <c r="K393" s="14">
        <f>IFERROR(K388+K389+K390+K391+K392, "NA")</f>
        <v>19064.810000000001</v>
      </c>
      <c r="L393" s="15">
        <f>IFERROR(K393/K444, "NA")</f>
        <v>3.1591608383172431E-2</v>
      </c>
      <c r="M393" s="2"/>
      <c r="N393" s="14">
        <f t="shared" si="97"/>
        <v>6105.5400000000027</v>
      </c>
      <c r="O393" s="15">
        <f>IFERROR(N393/N444, "NA")</f>
        <v>0.21260146861367565</v>
      </c>
      <c r="P393" s="2"/>
      <c r="Q393" s="14">
        <f>IFERROR(Q388+Q389+Q390+Q391+Q392, "NA")</f>
        <v>65308.61</v>
      </c>
      <c r="R393" s="15">
        <f>IFERROR(Q393/Q444, "NA")</f>
        <v>2.7927550108355296E-2</v>
      </c>
      <c r="S393" s="2"/>
      <c r="T393" s="14">
        <f>IFERROR(T388+T389+T390+T391+T392, "NA")</f>
        <v>50802.01</v>
      </c>
      <c r="U393" s="15">
        <f>IFERROR(T393/T444, "NA")</f>
        <v>2.1000000202551043E-2</v>
      </c>
      <c r="V393" s="2"/>
      <c r="W393" s="14">
        <f t="shared" si="98"/>
        <v>-14506.599999999999</v>
      </c>
      <c r="X393" s="15">
        <f>IFERROR(W393/W444, "NA")</f>
        <v>0.17988869088090381</v>
      </c>
      <c r="Y393" s="2"/>
      <c r="Z393" s="14">
        <f>IFERROR(Z388+Z389+Z390+Z391+Z392, "NA")</f>
        <v>81486.400000000009</v>
      </c>
      <c r="AA393" s="15">
        <f>IFERROR(Z393/Z444, "NA")</f>
        <v>3.6014956453678047E-2</v>
      </c>
      <c r="AB393" s="2"/>
      <c r="AC393" s="14">
        <f t="shared" si="99"/>
        <v>16177.790000000008</v>
      </c>
      <c r="AD393" s="15">
        <f>IFERROR(AC393/AC444, "NA")</f>
        <v>0.21306159045469625</v>
      </c>
    </row>
    <row r="394" spans="1:30" ht="16.5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5292.42</v>
      </c>
      <c r="F394" s="8">
        <f>IFERROR(E394/E444, "NA")</f>
        <v>7.9999957675339177E-3</v>
      </c>
      <c r="G394" s="9"/>
      <c r="H394" s="10">
        <f t="shared" si="96"/>
        <v>5292.42</v>
      </c>
      <c r="I394" s="8">
        <f>IFERROR(H394/H444, "NA")</f>
        <v>-0.18027439591410491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15763.48</v>
      </c>
      <c r="U394" s="8">
        <f>IFERROR(T394/T444, "NA")</f>
        <v>6.5161414517439231E-3</v>
      </c>
      <c r="V394" s="9"/>
      <c r="W394" s="10">
        <f t="shared" si="98"/>
        <v>15763.48</v>
      </c>
      <c r="X394" s="8">
        <f>IFERROR(W394/W444, "NA")</f>
        <v>-0.19547459645453172</v>
      </c>
      <c r="Y394" s="9"/>
      <c r="Z394" s="7">
        <v>6612.06</v>
      </c>
      <c r="AA394" s="8">
        <f>IFERROR(Z394/Z444, "NA")</f>
        <v>2.9223656090968117E-3</v>
      </c>
      <c r="AB394" s="9"/>
      <c r="AC394" s="10">
        <f t="shared" si="99"/>
        <v>6612.06</v>
      </c>
      <c r="AD394" s="8">
        <f>IFERROR(AC394/AC444, "NA")</f>
        <v>8.7080869499596564E-2</v>
      </c>
    </row>
    <row r="395" spans="1:30" ht="16.5" customHeight="1" x14ac:dyDescent="0.45">
      <c r="A395" s="6" t="s">
        <v>361</v>
      </c>
      <c r="B395" s="7">
        <v>176.65</v>
      </c>
      <c r="C395" s="8">
        <f>IFERROR(B395/B444, "NA")</f>
        <v>2.7942315987273994E-4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-176.65</v>
      </c>
      <c r="I395" s="8">
        <f>IFERROR(H395/H444, "NA")</f>
        <v>6.0171853402085683E-3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-176.65</v>
      </c>
      <c r="O395" s="8">
        <f>IFERROR(N395/N444, "NA")</f>
        <v>-6.15114296697848E-3</v>
      </c>
      <c r="P395" s="9"/>
      <c r="Q395" s="7">
        <v>493.55</v>
      </c>
      <c r="R395" s="8">
        <f>IFERROR(Q395/Q444, "NA")</f>
        <v>2.1105398439775027E-4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-493.55</v>
      </c>
      <c r="X395" s="8">
        <f>IFERROR(W395/W444, "NA")</f>
        <v>6.1202530837184514E-3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-493.55</v>
      </c>
      <c r="AD395" s="8">
        <f>IFERROR(AC395/AC444, "NA")</f>
        <v>-6.5000564334754801E-3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13702.039999999999</v>
      </c>
      <c r="C396" s="15">
        <f>IFERROR(B396/B444, "NA")</f>
        <v>2.1673746467606437E-2</v>
      </c>
      <c r="D396" s="2"/>
      <c r="E396" s="14">
        <f>IFERROR(E385+E386+E388+E389+E390+E391+E392+E394+E395, "NA")</f>
        <v>20185.03</v>
      </c>
      <c r="F396" s="15">
        <f>IFERROR(E396/E444, "NA")</f>
        <v>3.0511591024058017E-2</v>
      </c>
      <c r="G396" s="2"/>
      <c r="H396" s="14">
        <f t="shared" si="96"/>
        <v>6482.99</v>
      </c>
      <c r="I396" s="15">
        <f>IFERROR(H396/H444, "NA")</f>
        <v>-0.22082848790670107</v>
      </c>
      <c r="J396" s="2"/>
      <c r="K396" s="14">
        <f>IFERROR(K385+K386+K388+K389+K390+K391+K392+K394+K395, "NA")</f>
        <v>19638.38</v>
      </c>
      <c r="L396" s="15">
        <f>IFERROR(K396/K444, "NA")</f>
        <v>3.2542050523447427E-2</v>
      </c>
      <c r="M396" s="2"/>
      <c r="N396" s="14">
        <f t="shared" si="97"/>
        <v>5936.340000000002</v>
      </c>
      <c r="O396" s="15">
        <f>IFERROR(N396/N444, "NA")</f>
        <v>0.20670974265832459</v>
      </c>
      <c r="P396" s="2"/>
      <c r="Q396" s="14">
        <f>IFERROR(Q385+Q386+Q388+Q389+Q390+Q391+Q392+Q394+Q395, "NA")</f>
        <v>77149.59</v>
      </c>
      <c r="R396" s="15">
        <f>IFERROR(Q396/Q444, "NA")</f>
        <v>3.2991041159260111E-2</v>
      </c>
      <c r="S396" s="2"/>
      <c r="T396" s="14">
        <f>IFERROR(T385+T386+T388+T389+T390+T391+T392+T394+T395, "NA")</f>
        <v>70315.490000000005</v>
      </c>
      <c r="U396" s="15">
        <f>IFERROR(T396/T444, "NA")</f>
        <v>2.9066277185538052E-2</v>
      </c>
      <c r="V396" s="2"/>
      <c r="W396" s="14">
        <f t="shared" si="98"/>
        <v>-6834.0999999999913</v>
      </c>
      <c r="X396" s="15">
        <f>IFERROR(W396/W444, "NA")</f>
        <v>8.4746067469233549E-2</v>
      </c>
      <c r="Y396" s="2"/>
      <c r="Z396" s="14">
        <f>IFERROR(Z385+Z386+Z388+Z389+Z390+Z391+Z392+Z394+Z395, "NA")</f>
        <v>101967.69</v>
      </c>
      <c r="AA396" s="15">
        <f>IFERROR(Z396/Z444, "NA")</f>
        <v>4.5067175811327312E-2</v>
      </c>
      <c r="AB396" s="2"/>
      <c r="AC396" s="14">
        <f t="shared" si="99"/>
        <v>24818.100000000006</v>
      </c>
      <c r="AD396" s="15">
        <f>IFERROR(AC396/AC444, "NA")</f>
        <v>0.32685452450944757</v>
      </c>
    </row>
    <row r="397" spans="1:30" ht="16.5" customHeight="1" x14ac:dyDescent="0.45">
      <c r="A397" s="20" t="s">
        <v>363</v>
      </c>
      <c r="B397" s="7">
        <v>12032.5</v>
      </c>
      <c r="C397" s="8">
        <f>IFERROR(B397/B444, "NA")</f>
        <v>1.9032885203332826E-2</v>
      </c>
      <c r="D397" s="9"/>
      <c r="E397" s="7">
        <v>9200</v>
      </c>
      <c r="F397" s="8">
        <f>IFERROR(E397/E444, "NA")</f>
        <v>1.3906674274020587E-2</v>
      </c>
      <c r="G397" s="9"/>
      <c r="H397" s="10">
        <f t="shared" si="96"/>
        <v>-2832.5</v>
      </c>
      <c r="I397" s="8">
        <f>IFERROR(H397/H444, "NA")</f>
        <v>9.6482748237422977E-2</v>
      </c>
      <c r="J397" s="9"/>
      <c r="K397" s="7">
        <v>7124.99</v>
      </c>
      <c r="L397" s="8">
        <f>IFERROR(K397/K444, "NA")</f>
        <v>1.1806563706326982E-2</v>
      </c>
      <c r="M397" s="9"/>
      <c r="N397" s="10">
        <f t="shared" si="97"/>
        <v>-4907.51</v>
      </c>
      <c r="O397" s="8">
        <f>IFERROR(N397/N444, "NA")</f>
        <v>-0.170884775668704</v>
      </c>
      <c r="P397" s="9"/>
      <c r="Q397" s="7">
        <v>46912</v>
      </c>
      <c r="R397" s="8">
        <f>IFERROR(Q397/Q444, "NA")</f>
        <v>2.0060712219769548E-2</v>
      </c>
      <c r="S397" s="9"/>
      <c r="T397" s="7">
        <v>34800</v>
      </c>
      <c r="U397" s="8">
        <f>IFERROR(T397/T444, "NA")</f>
        <v>1.4385257729935808E-2</v>
      </c>
      <c r="V397" s="9"/>
      <c r="W397" s="10">
        <f t="shared" si="98"/>
        <v>-12112</v>
      </c>
      <c r="X397" s="8">
        <f>IFERROR(W397/W444, "NA")</f>
        <v>0.15019452000810027</v>
      </c>
      <c r="Y397" s="9"/>
      <c r="Z397" s="7">
        <v>15800.27</v>
      </c>
      <c r="AA397" s="8">
        <f>IFERROR(Z397/Z444, "NA")</f>
        <v>6.9833252666255414E-3</v>
      </c>
      <c r="AB397" s="9"/>
      <c r="AC397" s="10">
        <f t="shared" si="99"/>
        <v>-31111.73</v>
      </c>
      <c r="AD397" s="8">
        <f>IFERROR(AC397/AC444, "NA")</f>
        <v>-0.4097416690164159</v>
      </c>
    </row>
    <row r="398" spans="1:30" ht="16.5" customHeight="1" x14ac:dyDescent="0.45">
      <c r="A398" s="20" t="s">
        <v>364</v>
      </c>
      <c r="B398" s="7">
        <v>134.47999999999999</v>
      </c>
      <c r="C398" s="8">
        <f>IFERROR(B398/B444, "NA")</f>
        <v>2.1271908598746711E-4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-134.47999999999999</v>
      </c>
      <c r="I398" s="8">
        <f>IFERROR(H398/H444, "NA")</f>
        <v>4.5807590407656281E-3</v>
      </c>
      <c r="J398" s="9"/>
      <c r="K398" s="7">
        <v>84.26</v>
      </c>
      <c r="L398" s="8">
        <f>IFERROR(K398/K444, "NA")</f>
        <v>1.3962420408942492E-4</v>
      </c>
      <c r="M398" s="9"/>
      <c r="N398" s="10">
        <f t="shared" si="97"/>
        <v>-50.219999999999985</v>
      </c>
      <c r="O398" s="8">
        <f>IFERROR(N398/N444, "NA")</f>
        <v>-1.7487144058967402E-3</v>
      </c>
      <c r="P398" s="9"/>
      <c r="Q398" s="7">
        <v>1006.21</v>
      </c>
      <c r="R398" s="8">
        <f>IFERROR(Q398/Q444, "NA")</f>
        <v>4.3027986959955485E-4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-1006.21</v>
      </c>
      <c r="X398" s="8">
        <f>IFERROR(W398/W444, "NA")</f>
        <v>1.2477479192317583E-2</v>
      </c>
      <c r="Y398" s="9"/>
      <c r="Z398" s="7">
        <v>582.91</v>
      </c>
      <c r="AA398" s="8">
        <f>IFERROR(Z398/Z444, "NA")</f>
        <v>2.5763168168447083E-4</v>
      </c>
      <c r="AB398" s="9"/>
      <c r="AC398" s="10">
        <f t="shared" si="99"/>
        <v>-423.30000000000007</v>
      </c>
      <c r="AD398" s="8">
        <f>IFERROR(AC398/AC444, "NA")</f>
        <v>-5.5748635159359149E-3</v>
      </c>
    </row>
    <row r="399" spans="1:30" ht="16.5" customHeight="1" x14ac:dyDescent="0.45">
      <c r="A399" s="20" t="s">
        <v>365</v>
      </c>
      <c r="B399" s="7">
        <v>1806</v>
      </c>
      <c r="C399" s="8">
        <f>IFERROR(B399/B444, "NA")</f>
        <v>2.8567122939720823E-3</v>
      </c>
      <c r="D399" s="9"/>
      <c r="E399" s="7">
        <v>500</v>
      </c>
      <c r="F399" s="8">
        <f>IFERROR(E399/E444, "NA")</f>
        <v>7.5579751489242319E-4</v>
      </c>
      <c r="G399" s="9"/>
      <c r="H399" s="10">
        <f t="shared" si="96"/>
        <v>-1306</v>
      </c>
      <c r="I399" s="8">
        <f>IFERROR(H399/H444, "NA")</f>
        <v>4.4485955586257515E-2</v>
      </c>
      <c r="J399" s="9"/>
      <c r="K399" s="7">
        <v>400</v>
      </c>
      <c r="L399" s="8">
        <f>IFERROR(K399/K444, "NA")</f>
        <v>6.628255594086157E-4</v>
      </c>
      <c r="M399" s="9"/>
      <c r="N399" s="10">
        <f t="shared" si="97"/>
        <v>-1406</v>
      </c>
      <c r="O399" s="8">
        <f>IFERROR(N399/N444, "NA")</f>
        <v>-4.8958431993046947E-2</v>
      </c>
      <c r="P399" s="9"/>
      <c r="Q399" s="7">
        <v>2676.84</v>
      </c>
      <c r="R399" s="8">
        <f>IFERROR(Q399/Q444, "NA")</f>
        <v>1.1446818915920856E-3</v>
      </c>
      <c r="S399" s="9"/>
      <c r="T399" s="7">
        <v>600</v>
      </c>
      <c r="U399" s="8">
        <f>IFERROR(T399/T444, "NA")</f>
        <v>2.4802168499889324E-4</v>
      </c>
      <c r="V399" s="9"/>
      <c r="W399" s="10">
        <f t="shared" si="98"/>
        <v>-2076.84</v>
      </c>
      <c r="X399" s="8">
        <f>IFERROR(W399/W444, "NA")</f>
        <v>2.5753796807597668E-2</v>
      </c>
      <c r="Y399" s="9"/>
      <c r="Z399" s="7">
        <v>500</v>
      </c>
      <c r="AA399" s="8">
        <f>IFERROR(Z399/Z444, "NA")</f>
        <v>2.2098752953669595E-4</v>
      </c>
      <c r="AB399" s="9"/>
      <c r="AC399" s="10">
        <f t="shared" si="99"/>
        <v>-2176.84</v>
      </c>
      <c r="AD399" s="8">
        <f>IFERROR(AC399/AC444, "NA")</f>
        <v>-2.8668995738317826E-2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103722.58999999998</v>
      </c>
      <c r="C403" s="15">
        <f>IFERROR(B403/B444, "NA")</f>
        <v>0.16406733001972632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114225.72</v>
      </c>
      <c r="F403" s="15">
        <f>IFERROR(E403/E444, "NA")</f>
        <v>0.17266303062559554</v>
      </c>
      <c r="G403" s="2"/>
      <c r="H403" s="14">
        <f t="shared" si="96"/>
        <v>10503.130000000019</v>
      </c>
      <c r="I403" s="15">
        <f>IFERROR(H403/H444, "NA")</f>
        <v>-0.35776552427005337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120875.81000000003</v>
      </c>
      <c r="L403" s="15">
        <f>IFERROR(K403/K444, "NA")</f>
        <v>0.20029894095554893</v>
      </c>
      <c r="M403" s="2"/>
      <c r="N403" s="14">
        <f t="shared" si="97"/>
        <v>17153.220000000045</v>
      </c>
      <c r="O403" s="15">
        <f>IFERROR(N403/N444, "NA")</f>
        <v>0.59729356673668199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442713.84</v>
      </c>
      <c r="R403" s="15">
        <f>IFERROR(Q403/Q444, "NA")</f>
        <v>0.18931520591637749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442546.1</v>
      </c>
      <c r="U403" s="15">
        <f>IFERROR(T403/T444, "NA")</f>
        <v>0.18293504901948118</v>
      </c>
      <c r="V403" s="2"/>
      <c r="W403" s="14">
        <f t="shared" si="98"/>
        <v>-167.74000000004889</v>
      </c>
      <c r="X403" s="15">
        <f>IFERROR(W403/W444, "NA")</f>
        <v>2.0800552168234875E-3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552992.34000000008</v>
      </c>
      <c r="AA403" s="15">
        <f>IFERROR(Z403/Z444, "NA")</f>
        <v>0.24440882213863324</v>
      </c>
      <c r="AB403" s="2"/>
      <c r="AC403" s="14">
        <f t="shared" si="99"/>
        <v>110278.50000000006</v>
      </c>
      <c r="AD403" s="15">
        <f>IFERROR(AC403/AC444, "NA")</f>
        <v>1.4523685004539075</v>
      </c>
    </row>
    <row r="404" spans="1:30" ht="16.5" customHeight="1" x14ac:dyDescent="0.45">
      <c r="A404" s="22" t="s">
        <v>370</v>
      </c>
      <c r="B404" s="23">
        <f>IFERROR(B345-B403, "NA")</f>
        <v>-58137.610000000015</v>
      </c>
      <c r="C404" s="24">
        <f>IFERROR(B404/B444, "NA")</f>
        <v>-9.1961475763651337E-2</v>
      </c>
      <c r="D404" s="25"/>
      <c r="E404" s="23">
        <f>IFERROR(E345-E403, "NA")</f>
        <v>-39237.610000000117</v>
      </c>
      <c r="F404" s="24">
        <f>IFERROR(E404/E444, "NA")</f>
        <v>-5.9311376256636364E-2</v>
      </c>
      <c r="G404" s="25"/>
      <c r="H404" s="23">
        <f>IFERROR(B404-E404, "NA")</f>
        <v>-18899.999999999898</v>
      </c>
      <c r="I404" s="24">
        <f>IFERROR(H404/H444, "NA")</f>
        <v>0.6437860341349636</v>
      </c>
      <c r="J404" s="25"/>
      <c r="K404" s="23">
        <f>IFERROR(K345-K403, "NA")</f>
        <v>-90365.510000000155</v>
      </c>
      <c r="L404" s="24">
        <f>IFERROR(K404/K444, "NA")</f>
        <v>-0.14974142429248741</v>
      </c>
      <c r="M404" s="25"/>
      <c r="N404" s="23">
        <f>IFERROR(B404-K404, "NA")</f>
        <v>32227.90000000014</v>
      </c>
      <c r="O404" s="24">
        <f>IFERROR(N404/N444, "NA")</f>
        <v>1.12221013544006</v>
      </c>
      <c r="P404" s="25"/>
      <c r="Q404" s="23">
        <f>IFERROR(Q345-Q403, "NA")</f>
        <v>-351929.73999999964</v>
      </c>
      <c r="R404" s="24">
        <f>IFERROR(Q404/Q444, "NA")</f>
        <v>-0.15049371665497768</v>
      </c>
      <c r="S404" s="25"/>
      <c r="T404" s="23">
        <f>IFERROR(T345-T403, "NA")</f>
        <v>-243169.21000000031</v>
      </c>
      <c r="U404" s="24">
        <f>IFERROR(T404/T444, "NA")</f>
        <v>-0.10051872867341634</v>
      </c>
      <c r="V404" s="25"/>
      <c r="W404" s="23">
        <f>IFERROR(Q404-T404, "NA")</f>
        <v>-108760.52999999933</v>
      </c>
      <c r="X404" s="24">
        <f>IFERROR(W404/W444, "NA")</f>
        <v>1.3486819352028145</v>
      </c>
      <c r="Y404" s="25"/>
      <c r="Z404" s="23">
        <f>IFERROR(Z345-Z403, "NA")</f>
        <v>-507807.28999999905</v>
      </c>
      <c r="AA404" s="24">
        <f>IFERROR(Z404/Z444, "NA")</f>
        <v>-0.22443815699564862</v>
      </c>
      <c r="AB404" s="25"/>
      <c r="AC404" s="23">
        <f>IFERROR(Q404-Z404, "NA")</f>
        <v>155877.54999999941</v>
      </c>
      <c r="AD404" s="24">
        <f>IFERROR(AC404/AC444, "NA")</f>
        <v>2.0529082599774933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16790.71</v>
      </c>
      <c r="F407" s="8">
        <f>IFERROR(E407/E444, "NA")</f>
        <v>2.5380753782558718E-2</v>
      </c>
      <c r="G407" s="9"/>
      <c r="H407" s="10">
        <f t="shared" ref="H407:H429" si="100">IFERROR(-(B407-E407), "NA")</f>
        <v>16790.71</v>
      </c>
      <c r="I407" s="8">
        <f>IFERROR(H407/H444, "NA")</f>
        <v>-0.57193780958784823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64051.649999999994</v>
      </c>
      <c r="U407" s="8">
        <f>IFERROR(T407/T444, "NA")</f>
        <v>2.6476996933265599E-2</v>
      </c>
      <c r="V407" s="9"/>
      <c r="W407" s="10">
        <f t="shared" ref="W407:W429" si="102">IFERROR(-(Q407-T407), "NA")</f>
        <v>64051.649999999994</v>
      </c>
      <c r="X407" s="8">
        <f>IFERROR(W407/W444, "NA")</f>
        <v>-0.7942707090056832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32301.49</v>
      </c>
      <c r="C410" s="8">
        <f>IFERROR(B410/B444, "NA")</f>
        <v>5.1094165889599273E-2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-32301.49</v>
      </c>
      <c r="I410" s="8">
        <f>IFERROR(H410/H444, "NA")</f>
        <v>1.1002776795635079</v>
      </c>
      <c r="J410" s="9"/>
      <c r="K410" s="7">
        <v>28107.67</v>
      </c>
      <c r="L410" s="8">
        <f>IFERROR(K410/K444, "NA")</f>
        <v>4.6576205228556912E-2</v>
      </c>
      <c r="M410" s="9"/>
      <c r="N410" s="10">
        <f t="shared" si="101"/>
        <v>-4193.8200000000033</v>
      </c>
      <c r="O410" s="8">
        <f>IFERROR(N410/N444, "NA")</f>
        <v>-0.14603332237630179</v>
      </c>
      <c r="P410" s="9"/>
      <c r="Q410" s="7">
        <v>127207.97</v>
      </c>
      <c r="R410" s="8">
        <f>IFERROR(Q410/Q444, "NA")</f>
        <v>5.4397221995034918E-2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-127207.97</v>
      </c>
      <c r="X410" s="8">
        <f>IFERROR(W410/W444, "NA")</f>
        <v>1.5774389031831917</v>
      </c>
      <c r="Y410" s="9"/>
      <c r="Z410" s="7">
        <v>112052.04</v>
      </c>
      <c r="AA410" s="8">
        <f>IFERROR(Z410/Z444, "NA")</f>
        <v>4.9524206998294067E-2</v>
      </c>
      <c r="AB410" s="9"/>
      <c r="AC410" s="10">
        <f t="shared" si="103"/>
        <v>-15155.930000000008</v>
      </c>
      <c r="AD410" s="8">
        <f>IFERROR(AC410/AC444, "NA")</f>
        <v>-0.19960368818114491</v>
      </c>
    </row>
    <row r="411" spans="1:30" ht="16.5" customHeight="1" x14ac:dyDescent="0.45">
      <c r="A411" s="6" t="s">
        <v>376</v>
      </c>
      <c r="B411" s="7">
        <v>268.36</v>
      </c>
      <c r="C411" s="8">
        <f>IFERROR(B411/B444, "NA")</f>
        <v>4.244890981231163E-4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-268.36</v>
      </c>
      <c r="I411" s="8">
        <f>IFERROR(H411/H444, "NA")</f>
        <v>9.1410804296539559E-3</v>
      </c>
      <c r="J411" s="9"/>
      <c r="K411" s="7">
        <v>268.37</v>
      </c>
      <c r="L411" s="8">
        <f>IFERROR(K411/K444, "NA")</f>
        <v>4.447062384462255E-4</v>
      </c>
      <c r="M411" s="9"/>
      <c r="N411" s="10">
        <f t="shared" si="101"/>
        <v>9.9999999999909051E-3</v>
      </c>
      <c r="O411" s="8">
        <f>IFERROR(N411/N444, "NA")</f>
        <v>3.4821075386203707E-7</v>
      </c>
      <c r="P411" s="9"/>
      <c r="Q411" s="7">
        <v>1073.49</v>
      </c>
      <c r="R411" s="8">
        <f>IFERROR(Q411/Q444, "NA")</f>
        <v>4.5905043402115475E-4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-1073.49</v>
      </c>
      <c r="X411" s="8">
        <f>IFERROR(W411/W444, "NA")</f>
        <v>1.3311782965942499E-2</v>
      </c>
      <c r="Y411" s="9"/>
      <c r="Z411" s="7">
        <v>805.11</v>
      </c>
      <c r="AA411" s="8">
        <f>IFERROR(Z411/Z444, "NA")</f>
        <v>3.5583853981057854E-4</v>
      </c>
      <c r="AB411" s="9"/>
      <c r="AC411" s="10">
        <f t="shared" si="103"/>
        <v>-268.38</v>
      </c>
      <c r="AD411" s="8">
        <f>IFERROR(AC411/AC444, "NA")</f>
        <v>-3.53456619514973E-3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-167.37</v>
      </c>
      <c r="C416" s="8">
        <f>IFERROR(B416/B444, "NA")</f>
        <v>-2.6474415096462207E-4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167.37</v>
      </c>
      <c r="I416" s="8">
        <f>IFERROR(H416/H444, "NA")</f>
        <v>-5.7010829911729862E-3</v>
      </c>
      <c r="J416" s="9"/>
      <c r="K416" s="7">
        <v>-145.5</v>
      </c>
      <c r="L416" s="8">
        <f>IFERROR(K416/K444, "NA")</f>
        <v>-2.4110279723488397E-4</v>
      </c>
      <c r="M416" s="9"/>
      <c r="N416" s="10">
        <f t="shared" si="101"/>
        <v>21.870000000000005</v>
      </c>
      <c r="O416" s="8">
        <f>IFERROR(N416/N444, "NA")</f>
        <v>7.6153691869696794E-4</v>
      </c>
      <c r="P416" s="9"/>
      <c r="Q416" s="7">
        <v>-645.80999999999995</v>
      </c>
      <c r="R416" s="8">
        <f>IFERROR(Q416/Q444, "NA")</f>
        <v>-2.7616406375019975E-4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645.80999999999995</v>
      </c>
      <c r="X416" s="8">
        <f>IFERROR(W416/W444, "NA")</f>
        <v>-8.0083489899629486E-3</v>
      </c>
      <c r="Y416" s="9"/>
      <c r="Z416" s="7">
        <v>-10.899999999999977</v>
      </c>
      <c r="AA416" s="8">
        <f>IFERROR(Z416/Z444, "NA")</f>
        <v>-4.8175281438999617E-6</v>
      </c>
      <c r="AB416" s="9"/>
      <c r="AC416" s="10">
        <f t="shared" si="103"/>
        <v>634.91</v>
      </c>
      <c r="AD416" s="8">
        <f>IFERROR(AC416/AC444, "NA")</f>
        <v>8.3617684736661257E-3</v>
      </c>
    </row>
    <row r="417" spans="1:30" ht="16.5" customHeight="1" x14ac:dyDescent="0.45">
      <c r="A417" s="6" t="s">
        <v>382</v>
      </c>
      <c r="B417" s="7">
        <v>-242.41</v>
      </c>
      <c r="C417" s="8">
        <f>IFERROR(B417/B444, "NA")</f>
        <v>-3.834416540319892E-4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242.41</v>
      </c>
      <c r="I417" s="8">
        <f>IFERROR(H417/H444, "NA")</f>
        <v>-8.2571519859607079E-3</v>
      </c>
      <c r="J417" s="9"/>
      <c r="K417" s="7">
        <v>-90.02000000000001</v>
      </c>
      <c r="L417" s="8">
        <f>IFERROR(K417/K444, "NA")</f>
        <v>-1.4916889214490898E-4</v>
      </c>
      <c r="M417" s="9"/>
      <c r="N417" s="10">
        <f t="shared" si="101"/>
        <v>152.38999999999999</v>
      </c>
      <c r="O417" s="8">
        <f>IFERROR(N417/N444, "NA")</f>
        <v>5.3063836781084093E-3</v>
      </c>
      <c r="P417" s="9"/>
      <c r="Q417" s="7">
        <v>371.51000000000005</v>
      </c>
      <c r="R417" s="8">
        <f>IFERROR(Q417/Q444, "NA")</f>
        <v>1.5886671207295758E-4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-371.51000000000005</v>
      </c>
      <c r="X417" s="8">
        <f>IFERROR(W417/W444, "NA")</f>
        <v>4.6068994491586307E-3</v>
      </c>
      <c r="Y417" s="9"/>
      <c r="Z417" s="7">
        <v>-356.47</v>
      </c>
      <c r="AA417" s="8">
        <f>IFERROR(Z417/Z444, "NA")</f>
        <v>-1.5755084930789201E-4</v>
      </c>
      <c r="AB417" s="9"/>
      <c r="AC417" s="10">
        <f t="shared" si="103"/>
        <v>-727.98</v>
      </c>
      <c r="AD417" s="8">
        <f>IFERROR(AC417/AC444, "NA")</f>
        <v>-9.5875009268391858E-3</v>
      </c>
    </row>
    <row r="418" spans="1:30" ht="16.5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-1725.69</v>
      </c>
      <c r="AA418" s="8">
        <f>IFERROR(Z418/Z444, "NA")</f>
        <v>-7.6271193969236169E-4</v>
      </c>
      <c r="AB418" s="9"/>
      <c r="AC418" s="10">
        <f t="shared" si="103"/>
        <v>-1725.69</v>
      </c>
      <c r="AD418" s="8">
        <f>IFERROR(AC418/AC444, "NA")</f>
        <v>-2.2727347556851994E-2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-30</v>
      </c>
      <c r="L421" s="8">
        <f>IFERROR(K421/K444, "NA")</f>
        <v>-4.9711916955646178E-5</v>
      </c>
      <c r="M421" s="9"/>
      <c r="N421" s="10">
        <f t="shared" si="101"/>
        <v>-30</v>
      </c>
      <c r="O421" s="8">
        <f>IFERROR(N421/N444, "NA")</f>
        <v>-1.0446322615870615E-3</v>
      </c>
      <c r="P421" s="9"/>
      <c r="Q421" s="7">
        <v>76</v>
      </c>
      <c r="R421" s="8">
        <f>IFERROR(Q421/Q444, "NA")</f>
        <v>3.2499448514292412E-5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-76</v>
      </c>
      <c r="X421" s="8">
        <f>IFERROR(W421/W444, "NA")</f>
        <v>9.4243589172850228E-4</v>
      </c>
      <c r="Y421" s="9"/>
      <c r="Z421" s="7">
        <v>-50</v>
      </c>
      <c r="AA421" s="8">
        <f>IFERROR(Z421/Z444, "NA")</f>
        <v>-2.2098752953669596E-5</v>
      </c>
      <c r="AB421" s="9"/>
      <c r="AC421" s="10">
        <f t="shared" si="103"/>
        <v>-126</v>
      </c>
      <c r="AD421" s="8">
        <f>IFERROR(AC421/AC444, "NA")</f>
        <v>-1.6594207488965869E-3</v>
      </c>
    </row>
    <row r="422" spans="1:30" ht="16.5" customHeight="1" x14ac:dyDescent="0.45">
      <c r="A422" s="6" t="s">
        <v>387</v>
      </c>
      <c r="B422" s="7">
        <v>1529.42</v>
      </c>
      <c r="C422" s="8">
        <f>IFERROR(B422/B444, "NA")</f>
        <v>2.4192208840790601E-3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-1529.42</v>
      </c>
      <c r="I422" s="8">
        <f>IFERROR(H422/H444, "NA")</f>
        <v>5.209625589030166E-2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-1529.42</v>
      </c>
      <c r="O422" s="8">
        <f>IFERROR(N422/N444, "NA")</f>
        <v>-5.3256049117216119E-2</v>
      </c>
      <c r="P422" s="9"/>
      <c r="Q422" s="7">
        <v>517.38</v>
      </c>
      <c r="R422" s="8">
        <f>IFERROR(Q422/Q444, "NA")</f>
        <v>2.2124427200427116E-4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-517.38</v>
      </c>
      <c r="X422" s="8">
        <f>IFERROR(W422/W444, "NA")</f>
        <v>6.4157563376643755E-3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-517.38</v>
      </c>
      <c r="AD422" s="8">
        <f>IFERROR(AC422/AC444, "NA")</f>
        <v>-6.8138976751120324E-3</v>
      </c>
    </row>
    <row r="423" spans="1:30" ht="16.5" customHeight="1" x14ac:dyDescent="0.45">
      <c r="A423" s="6" t="s">
        <v>388</v>
      </c>
      <c r="B423" s="7">
        <v>-15602.76</v>
      </c>
      <c r="C423" s="8">
        <f>IFERROR(B423/B444, "NA")</f>
        <v>-2.4680285886985519E-2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15602.76</v>
      </c>
      <c r="I423" s="8">
        <f>IFERROR(H423/H444, "NA")</f>
        <v>-0.53147296200844973</v>
      </c>
      <c r="J423" s="9"/>
      <c r="K423" s="7">
        <v>-2.85</v>
      </c>
      <c r="L423" s="8">
        <f>IFERROR(K423/K444, "NA")</f>
        <v>-4.7226321107863872E-6</v>
      </c>
      <c r="M423" s="9"/>
      <c r="N423" s="10">
        <f t="shared" si="101"/>
        <v>15599.91</v>
      </c>
      <c r="O423" s="8">
        <f>IFERROR(N423/N444, "NA")</f>
        <v>0.5432056421284871</v>
      </c>
      <c r="P423" s="9"/>
      <c r="Q423" s="7">
        <v>-60543.57</v>
      </c>
      <c r="R423" s="8">
        <f>IFERROR(Q423/Q444, "NA")</f>
        <v>-2.5889903106400772E-2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60543.57</v>
      </c>
      <c r="X423" s="8">
        <f>IFERROR(W423/W444, "NA")</f>
        <v>-0.75076886028127632</v>
      </c>
      <c r="Y423" s="9"/>
      <c r="Z423" s="7">
        <v>-3.84</v>
      </c>
      <c r="AA423" s="8">
        <f>IFERROR(Z423/Z444, "NA")</f>
        <v>-1.6971842268418247E-6</v>
      </c>
      <c r="AB423" s="9"/>
      <c r="AC423" s="10">
        <f t="shared" si="103"/>
        <v>60539.73</v>
      </c>
      <c r="AD423" s="8">
        <f>IFERROR(AC423/AC444, "NA")</f>
        <v>0.79730860392537439</v>
      </c>
    </row>
    <row r="424" spans="1:30" ht="16.5" customHeight="1" x14ac:dyDescent="0.45">
      <c r="A424" s="6" t="s">
        <v>389</v>
      </c>
      <c r="B424" s="7">
        <v>67.08</v>
      </c>
      <c r="C424" s="8">
        <f>IFERROR(B424/B444, "NA")</f>
        <v>1.0610645663324877E-4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-67.08</v>
      </c>
      <c r="I424" s="8">
        <f>IFERROR(H424/H444, "NA")</f>
        <v>2.2849294798822006E-3</v>
      </c>
      <c r="J424" s="9"/>
      <c r="K424" s="7">
        <v>47.92</v>
      </c>
      <c r="L424" s="8">
        <f>IFERROR(K424/K444, "NA")</f>
        <v>7.9406502017152165E-5</v>
      </c>
      <c r="M424" s="9"/>
      <c r="N424" s="10">
        <f t="shared" si="101"/>
        <v>-19.159999999999997</v>
      </c>
      <c r="O424" s="8">
        <f>IFERROR(N424/N444, "NA")</f>
        <v>-6.6717180440026974E-4</v>
      </c>
      <c r="P424" s="9"/>
      <c r="Q424" s="7">
        <v>268.32</v>
      </c>
      <c r="R424" s="8">
        <f>IFERROR(Q424/Q444, "NA")</f>
        <v>1.1474015822835447E-4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-268.32</v>
      </c>
      <c r="X424" s="8">
        <f>IFERROR(W424/W444, "NA")</f>
        <v>3.3272947166919967E-3</v>
      </c>
      <c r="Y424" s="9"/>
      <c r="Z424" s="7">
        <v>191.68</v>
      </c>
      <c r="AA424" s="8">
        <f>IFERROR(Z424/Z444, "NA")</f>
        <v>8.4717779323187765E-5</v>
      </c>
      <c r="AB424" s="9"/>
      <c r="AC424" s="10">
        <f t="shared" si="103"/>
        <v>-76.639999999999986</v>
      </c>
      <c r="AD424" s="8">
        <f>IFERROR(AC424/AC444, "NA")</f>
        <v>-1.0093492555193206E-3</v>
      </c>
    </row>
    <row r="425" spans="1:30" ht="16.5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12875.21</v>
      </c>
      <c r="R425" s="8">
        <f>IFERROR(Q425/Q444, "NA")</f>
        <v>5.5057529540224054E-3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-12875.21</v>
      </c>
      <c r="X425" s="8">
        <f>IFERROR(W425/W444, "NA")</f>
        <v>0.15965868444133854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-12875.21</v>
      </c>
      <c r="AD425" s="8">
        <f>IFERROR(AC425/AC444, "NA")</f>
        <v>-0.16956659222540335</v>
      </c>
    </row>
    <row r="426" spans="1:30" ht="16.5" customHeight="1" x14ac:dyDescent="0.45">
      <c r="A426" s="6" t="s">
        <v>391</v>
      </c>
      <c r="B426" s="7">
        <v>-1254.05</v>
      </c>
      <c r="C426" s="8">
        <f>IFERROR(B426/B444, "NA")</f>
        <v>-1.9836434397872034E-3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1254.05</v>
      </c>
      <c r="I426" s="8">
        <f>IFERROR(H426/H444, "NA")</f>
        <v>-4.2716395561214572E-2</v>
      </c>
      <c r="J426" s="9"/>
      <c r="K426" s="7">
        <v>-17066.7</v>
      </c>
      <c r="L426" s="8">
        <f>IFERROR(K426/K444, "NA")</f>
        <v>-2.8280612436897556E-2</v>
      </c>
      <c r="M426" s="9"/>
      <c r="N426" s="10">
        <f t="shared" si="101"/>
        <v>-15812.650000000001</v>
      </c>
      <c r="O426" s="8">
        <f>IFERROR(N426/N444, "NA")</f>
        <v>-0.55061347770615487</v>
      </c>
      <c r="P426" s="9"/>
      <c r="Q426" s="7">
        <v>-6798.13</v>
      </c>
      <c r="R426" s="8">
        <f>IFERROR(Q426/Q444, "NA")</f>
        <v>-2.9070457359008772E-3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6798.13</v>
      </c>
      <c r="X426" s="8">
        <f>IFERROR(W426/W444, "NA")</f>
        <v>-8.4300022482056369E-2</v>
      </c>
      <c r="Y426" s="9"/>
      <c r="Z426" s="7">
        <v>-29950.59</v>
      </c>
      <c r="AA426" s="8">
        <f>IFERROR(Z426/Z444, "NA")</f>
        <v>-1.323741378453294E-2</v>
      </c>
      <c r="AB426" s="9"/>
      <c r="AC426" s="10">
        <f t="shared" si="103"/>
        <v>-23152.46</v>
      </c>
      <c r="AD426" s="8">
        <f>IFERROR(AC426/AC444, "NA")</f>
        <v>-0.30491803580951005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16899.760000000006</v>
      </c>
      <c r="C428" s="15">
        <f>IFERROR(B428/B444, "NA")</f>
        <v>2.6731867196665367E-2</v>
      </c>
      <c r="D428" s="2"/>
      <c r="E428" s="14">
        <f>IFERROR(E407+E408+E409+E410+E411+E412+E413+E414+E415+E416+E417+E418+E419+E420+E421+E422+E423+E424+E425+E426+E427, "NA")</f>
        <v>16790.71</v>
      </c>
      <c r="F428" s="15">
        <f>IFERROR(E428/E444, "NA")</f>
        <v>2.5380753782558718E-2</v>
      </c>
      <c r="G428" s="2"/>
      <c r="H428" s="14">
        <f t="shared" si="100"/>
        <v>-109.05000000000655</v>
      </c>
      <c r="I428" s="15">
        <f>IFERROR(H428/H444, "NA")</f>
        <v>3.7145432286995964E-3</v>
      </c>
      <c r="J428" s="2"/>
      <c r="K428" s="14">
        <f>IFERROR(K407+K408+K409+K410+K411+K412+K413+K414+K415+K416+K417+K418+K419+K420+K421+K422+K423+K424+K425+K426+K427, "NA")</f>
        <v>11088.889999999996</v>
      </c>
      <c r="L428" s="15">
        <f>IFERROR(K428/K444, "NA")</f>
        <v>1.8374999293676506E-2</v>
      </c>
      <c r="M428" s="2"/>
      <c r="N428" s="14">
        <f t="shared" si="101"/>
        <v>-5810.8700000000099</v>
      </c>
      <c r="O428" s="15">
        <f>IFERROR(N428/N444, "NA")</f>
        <v>-0.20234074232961394</v>
      </c>
      <c r="P428" s="2"/>
      <c r="Q428" s="14">
        <f>IFERROR(Q407+Q408+Q409+Q410+Q411+Q412+Q413+Q414+Q415+Q416+Q417+Q418+Q419+Q420+Q421+Q422+Q423+Q424+Q425+Q426+Q427, "NA")</f>
        <v>74402.37</v>
      </c>
      <c r="R428" s="15">
        <f>IFERROR(Q428/Q444, "NA")</f>
        <v>3.1816263067846504E-2</v>
      </c>
      <c r="S428" s="2"/>
      <c r="T428" s="14">
        <f>IFERROR(T407+T408+T409+T410+T411+T412+T413+T414+T415+T416+T417+T418+T419+T420+T421+T422+T423+T424+T425+T426+T427, "NA")</f>
        <v>64051.649999999994</v>
      </c>
      <c r="U428" s="15">
        <f>IFERROR(T428/T444, "NA")</f>
        <v>2.6476996933265599E-2</v>
      </c>
      <c r="V428" s="2"/>
      <c r="W428" s="14">
        <f t="shared" si="102"/>
        <v>-10350.720000000001</v>
      </c>
      <c r="X428" s="15">
        <f>IFERROR(W428/W444, "NA")</f>
        <v>0.12835381622673744</v>
      </c>
      <c r="Y428" s="2"/>
      <c r="Z428" s="14">
        <f>IFERROR(Z407+Z408+Z409+Z410+Z411+Z412+Z413+Z414+Z415+Z416+Z417+Z418+Z419+Z420+Z421+Z422+Z423+Z424+Z425+Z426+Z427, "NA")</f>
        <v>80951.34</v>
      </c>
      <c r="AA428" s="15">
        <f>IFERROR(Z428/Z444, "NA")</f>
        <v>3.5778473278570228E-2</v>
      </c>
      <c r="AB428" s="2"/>
      <c r="AC428" s="14">
        <f t="shared" si="103"/>
        <v>6548.9700000000012</v>
      </c>
      <c r="AD428" s="15">
        <f>IFERROR(AC428/AC444, "NA")</f>
        <v>8.6249973824613357E-2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16899.760000000006</v>
      </c>
      <c r="C429" s="15">
        <f>IFERROR(B429/B444, "NA")</f>
        <v>2.6731867196665367E-2</v>
      </c>
      <c r="D429" s="2"/>
      <c r="E429" s="14">
        <f>IFERROR(E407+E408+E409+E410+E411+E412+E413+E414+E415+E416+E417+E418+E419+E420+E421+E422+E423+E424+E425+E426+E427, "NA")</f>
        <v>16790.71</v>
      </c>
      <c r="F429" s="15">
        <f>IFERROR(E429/E444, "NA")</f>
        <v>2.5380753782558718E-2</v>
      </c>
      <c r="G429" s="2"/>
      <c r="H429" s="14">
        <f t="shared" si="100"/>
        <v>-109.05000000000655</v>
      </c>
      <c r="I429" s="15">
        <f>IFERROR(H429/H444, "NA")</f>
        <v>3.7145432286995964E-3</v>
      </c>
      <c r="J429" s="2"/>
      <c r="K429" s="14">
        <f>IFERROR(K407+K408+K409+K410+K411+K412+K413+K414+K415+K416+K417+K418+K419+K420+K421+K422+K423+K424+K425+K426+K427, "NA")</f>
        <v>11088.889999999996</v>
      </c>
      <c r="L429" s="15">
        <f>IFERROR(K429/K444, "NA")</f>
        <v>1.8374999293676506E-2</v>
      </c>
      <c r="M429" s="2"/>
      <c r="N429" s="14">
        <f t="shared" si="101"/>
        <v>-5810.8700000000099</v>
      </c>
      <c r="O429" s="15">
        <f>IFERROR(N429/N444, "NA")</f>
        <v>-0.20234074232961394</v>
      </c>
      <c r="P429" s="2"/>
      <c r="Q429" s="14">
        <f>IFERROR(Q407+Q408+Q409+Q410+Q411+Q412+Q413+Q414+Q415+Q416+Q417+Q418+Q419+Q420+Q421+Q422+Q423+Q424+Q425+Q426+Q427, "NA")</f>
        <v>74402.37</v>
      </c>
      <c r="R429" s="15">
        <f>IFERROR(Q429/Q444, "NA")</f>
        <v>3.1816263067846504E-2</v>
      </c>
      <c r="S429" s="2"/>
      <c r="T429" s="14">
        <f>IFERROR(T407+T408+T409+T410+T411+T412+T413+T414+T415+T416+T417+T418+T419+T420+T421+T422+T423+T424+T425+T426+T427, "NA")</f>
        <v>64051.649999999994</v>
      </c>
      <c r="U429" s="15">
        <f>IFERROR(T429/T444, "NA")</f>
        <v>2.6476996933265599E-2</v>
      </c>
      <c r="V429" s="2"/>
      <c r="W429" s="14">
        <f t="shared" si="102"/>
        <v>-10350.720000000001</v>
      </c>
      <c r="X429" s="15">
        <f>IFERROR(W429/W444, "NA")</f>
        <v>0.12835381622673744</v>
      </c>
      <c r="Y429" s="2"/>
      <c r="Z429" s="14">
        <f>IFERROR(Z407+Z408+Z409+Z410+Z411+Z412+Z413+Z414+Z415+Z416+Z417+Z418+Z419+Z420+Z421+Z422+Z423+Z424+Z425+Z426+Z427, "NA")</f>
        <v>80951.34</v>
      </c>
      <c r="AA429" s="15">
        <f>IFERROR(Z429/Z444, "NA")</f>
        <v>3.5778473278570228E-2</v>
      </c>
      <c r="AB429" s="2"/>
      <c r="AC429" s="14">
        <f t="shared" si="103"/>
        <v>6548.9700000000012</v>
      </c>
      <c r="AD429" s="15">
        <f>IFERROR(AC429/AC444, "NA")</f>
        <v>8.6249973824613357E-2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-75037.370000000024</v>
      </c>
      <c r="C443" s="24">
        <f>IFERROR(B443/B444, "NA")</f>
        <v>-0.11869334296031671</v>
      </c>
      <c r="D443" s="25"/>
      <c r="E443" s="23">
        <f>IFERROR(E404-E429-E442, "NA")</f>
        <v>-56028.320000000116</v>
      </c>
      <c r="F443" s="24">
        <f>IFERROR(E443/E444, "NA")</f>
        <v>-8.4692130039195082E-2</v>
      </c>
      <c r="G443" s="25"/>
      <c r="H443" s="23">
        <f>IFERROR(B443-E443, "NA")</f>
        <v>-19009.049999999908</v>
      </c>
      <c r="I443" s="24">
        <f>IFERROR(H443/H444, "NA")</f>
        <v>0.64750057736366329</v>
      </c>
      <c r="J443" s="25"/>
      <c r="K443" s="23">
        <f>IFERROR(K404-K429-K442, "NA")</f>
        <v>-101454.40000000015</v>
      </c>
      <c r="L443" s="24">
        <f>IFERROR(K443/K444, "NA")</f>
        <v>-0.16811642358616391</v>
      </c>
      <c r="M443" s="25"/>
      <c r="N443" s="23">
        <f>IFERROR(B443-K443, "NA")</f>
        <v>26417.03000000013</v>
      </c>
      <c r="O443" s="24">
        <f>IFERROR(N443/N444, "NA")</f>
        <v>0.91986939311044613</v>
      </c>
      <c r="P443" s="25"/>
      <c r="Q443" s="23">
        <f>IFERROR(Q404-Q429-Q442, "NA")</f>
        <v>-426332.10999999964</v>
      </c>
      <c r="R443" s="24">
        <f>IFERROR(Q443/Q444, "NA")</f>
        <v>-0.18230997972282417</v>
      </c>
      <c r="S443" s="25"/>
      <c r="T443" s="23">
        <f>IFERROR(T404-T429-T442, "NA")</f>
        <v>-307220.86000000034</v>
      </c>
      <c r="U443" s="24">
        <f>IFERROR(T443/T444, "NA")</f>
        <v>-0.12699572560668196</v>
      </c>
      <c r="V443" s="25"/>
      <c r="W443" s="23">
        <f>IFERROR(Q443-T443, "NA")</f>
        <v>-119111.2499999993</v>
      </c>
      <c r="X443" s="24">
        <f>IFERROR(W443/W444, "NA")</f>
        <v>1.4770357514295516</v>
      </c>
      <c r="Y443" s="25"/>
      <c r="Z443" s="23">
        <f>IFERROR(Z404-Z429-Z442, "NA")</f>
        <v>-588758.62999999907</v>
      </c>
      <c r="AA443" s="24">
        <f>IFERROR(Z443/Z444, "NA")</f>
        <v>-0.26021663027421887</v>
      </c>
      <c r="AB443" s="25"/>
      <c r="AC443" s="23">
        <f>IFERROR(Q443-Z443, "NA")</f>
        <v>162426.51999999944</v>
      </c>
      <c r="AD443" s="24">
        <f>IFERROR(AC443/AC444, "NA")</f>
        <v>2.1391582338021071</v>
      </c>
    </row>
    <row r="444" spans="1:30" ht="15.75" hidden="1" x14ac:dyDescent="0.45">
      <c r="A444" s="26" t="s">
        <v>117</v>
      </c>
      <c r="B444" s="7">
        <v>632195.27</v>
      </c>
      <c r="C444" s="27"/>
      <c r="D444" s="9"/>
      <c r="E444" s="7">
        <v>661552.85</v>
      </c>
      <c r="F444" s="27"/>
      <c r="G444" s="9"/>
      <c r="H444" s="10">
        <f>IFERROR(B444-E444, "NA")</f>
        <v>-29357.579999999958</v>
      </c>
      <c r="I444" s="27"/>
      <c r="J444" s="9"/>
      <c r="K444" s="7">
        <v>603477.03</v>
      </c>
      <c r="L444" s="27"/>
      <c r="M444" s="9"/>
      <c r="N444" s="10">
        <f>IFERROR(B444-K444, "NA")</f>
        <v>28718.239999999991</v>
      </c>
      <c r="O444" s="27"/>
      <c r="P444" s="9"/>
      <c r="Q444" s="7">
        <v>2338501.2200000002</v>
      </c>
      <c r="R444" s="27"/>
      <c r="S444" s="9"/>
      <c r="T444" s="7">
        <v>2419143.31</v>
      </c>
      <c r="U444" s="27"/>
      <c r="V444" s="9"/>
      <c r="W444" s="10">
        <f>IFERROR(Q444-T444, "NA")</f>
        <v>-80642.089999999851</v>
      </c>
      <c r="X444" s="27"/>
      <c r="Y444" s="9"/>
      <c r="Z444" s="7">
        <v>2262571.1100000003</v>
      </c>
      <c r="AA444" s="27"/>
      <c r="AB444" s="9"/>
      <c r="AC444" s="10">
        <f>IFERROR(Q444-Z444, "NA")</f>
        <v>75930.10999999987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35384.6</v>
      </c>
      <c r="C350" s="8" t="str">
        <f>IFERROR(B350/B444, "NA")</f>
        <v>NA</v>
      </c>
      <c r="D350" s="9"/>
      <c r="E350" s="7">
        <v>43307.69</v>
      </c>
      <c r="F350" s="8" t="str">
        <f>IFERROR(E350/E444, "NA")</f>
        <v>NA</v>
      </c>
      <c r="G350" s="9"/>
      <c r="H350" s="10">
        <f t="shared" si="88"/>
        <v>7923.0900000000038</v>
      </c>
      <c r="I350" s="8" t="str">
        <f>IFERROR(H350/H444, "NA")</f>
        <v>NA</v>
      </c>
      <c r="J350" s="9"/>
      <c r="K350" s="7">
        <v>42557.64</v>
      </c>
      <c r="L350" s="8" t="str">
        <f>IFERROR(K350/K444, "NA")</f>
        <v>NA</v>
      </c>
      <c r="M350" s="9"/>
      <c r="N350" s="10">
        <f t="shared" si="89"/>
        <v>7173.0400000000009</v>
      </c>
      <c r="O350" s="8" t="str">
        <f>IFERROR(N350/N444, "NA")</f>
        <v>NA</v>
      </c>
      <c r="P350" s="9"/>
      <c r="Q350" s="7">
        <v>150418.22</v>
      </c>
      <c r="R350" s="8" t="str">
        <f>IFERROR(Q350/Q444, "NA")</f>
        <v>NA</v>
      </c>
      <c r="S350" s="9"/>
      <c r="T350" s="7">
        <v>169634.61</v>
      </c>
      <c r="U350" s="8" t="str">
        <f>IFERROR(T350/T444, "NA")</f>
        <v>NA</v>
      </c>
      <c r="V350" s="9"/>
      <c r="W350" s="10">
        <f t="shared" si="90"/>
        <v>19216.389999999985</v>
      </c>
      <c r="X350" s="8" t="str">
        <f>IFERROR(W350/W444, "NA")</f>
        <v>NA</v>
      </c>
      <c r="Y350" s="9"/>
      <c r="Z350" s="7">
        <v>221429.61</v>
      </c>
      <c r="AA350" s="8" t="str">
        <f>IFERROR(Z350/Z444, "NA")</f>
        <v>NA</v>
      </c>
      <c r="AB350" s="9"/>
      <c r="AC350" s="10">
        <f t="shared" si="91"/>
        <v>71011.389999999985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hidden="1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0</v>
      </c>
      <c r="F352" s="8" t="str">
        <f>IFERROR(E352/E444, "NA")</f>
        <v>NA</v>
      </c>
      <c r="G352" s="9"/>
      <c r="H352" s="10">
        <f t="shared" si="88"/>
        <v>0</v>
      </c>
      <c r="I352" s="8" t="str">
        <f>IFERROR(H352/H444, "NA")</f>
        <v>NA</v>
      </c>
      <c r="J352" s="9"/>
      <c r="K352" s="7">
        <v>0</v>
      </c>
      <c r="L352" s="8" t="str">
        <f>IFERROR(K352/K444, "NA")</f>
        <v>NA</v>
      </c>
      <c r="M352" s="9"/>
      <c r="N352" s="10">
        <f t="shared" si="89"/>
        <v>0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0</v>
      </c>
      <c r="U352" s="8" t="str">
        <f>IFERROR(T352/T444, "NA")</f>
        <v>NA</v>
      </c>
      <c r="V352" s="9"/>
      <c r="W352" s="10">
        <f t="shared" si="90"/>
        <v>0</v>
      </c>
      <c r="X352" s="8" t="str">
        <f>IFERROR(W352/W444, "NA")</f>
        <v>NA</v>
      </c>
      <c r="Y352" s="9"/>
      <c r="Z352" s="7">
        <v>0</v>
      </c>
      <c r="AA352" s="8" t="str">
        <f>IFERROR(Z352/Z444, "NA")</f>
        <v>NA</v>
      </c>
      <c r="AB352" s="9"/>
      <c r="AC352" s="10">
        <f t="shared" si="91"/>
        <v>0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0</v>
      </c>
      <c r="C353" s="8" t="str">
        <f>IFERROR(B353/B444, "NA")</f>
        <v>NA</v>
      </c>
      <c r="D353" s="9"/>
      <c r="E353" s="7">
        <v>0</v>
      </c>
      <c r="F353" s="8" t="str">
        <f>IFERROR(E353/E444, "NA")</f>
        <v>NA</v>
      </c>
      <c r="G353" s="9"/>
      <c r="H353" s="10">
        <f t="shared" si="88"/>
        <v>0</v>
      </c>
      <c r="I353" s="8" t="str">
        <f>IFERROR(H353/H444, "NA")</f>
        <v>NA</v>
      </c>
      <c r="J353" s="9"/>
      <c r="K353" s="7">
        <v>0</v>
      </c>
      <c r="L353" s="8" t="str">
        <f>IFERROR(K353/K444, "NA")</f>
        <v>NA</v>
      </c>
      <c r="M353" s="9"/>
      <c r="N353" s="10">
        <f t="shared" si="89"/>
        <v>0</v>
      </c>
      <c r="O353" s="8" t="str">
        <f>IFERROR(N353/N444, "NA")</f>
        <v>NA</v>
      </c>
      <c r="P353" s="9"/>
      <c r="Q353" s="7">
        <v>0</v>
      </c>
      <c r="R353" s="8" t="str">
        <f>IFERROR(Q353/Q444, "NA")</f>
        <v>NA</v>
      </c>
      <c r="S353" s="9"/>
      <c r="T353" s="7">
        <v>0</v>
      </c>
      <c r="U353" s="8" t="str">
        <f>IFERROR(T353/T444, "NA")</f>
        <v>NA</v>
      </c>
      <c r="V353" s="9"/>
      <c r="W353" s="10">
        <f t="shared" si="90"/>
        <v>0</v>
      </c>
      <c r="X353" s="8" t="str">
        <f>IFERROR(W353/W444, "NA")</f>
        <v>NA</v>
      </c>
      <c r="Y353" s="9"/>
      <c r="Z353" s="7">
        <v>6774.8</v>
      </c>
      <c r="AA353" s="8" t="str">
        <f>IFERROR(Z353/Z444, "NA")</f>
        <v>NA</v>
      </c>
      <c r="AB353" s="9"/>
      <c r="AC353" s="10">
        <f t="shared" si="91"/>
        <v>6774.8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2570.9699999999998</v>
      </c>
      <c r="C354" s="8" t="str">
        <f>IFERROR(B354/B444, "NA")</f>
        <v>NA</v>
      </c>
      <c r="D354" s="9"/>
      <c r="E354" s="7">
        <v>3594.54</v>
      </c>
      <c r="F354" s="8" t="str">
        <f>IFERROR(E354/E444, "NA")</f>
        <v>NA</v>
      </c>
      <c r="G354" s="9"/>
      <c r="H354" s="10">
        <f t="shared" si="88"/>
        <v>1023.5700000000002</v>
      </c>
      <c r="I354" s="8" t="str">
        <f>IFERROR(H354/H444, "NA")</f>
        <v>NA</v>
      </c>
      <c r="J354" s="9"/>
      <c r="K354" s="7">
        <v>3476.68</v>
      </c>
      <c r="L354" s="8" t="str">
        <f>IFERROR(K354/K444, "NA")</f>
        <v>NA</v>
      </c>
      <c r="M354" s="9"/>
      <c r="N354" s="10">
        <f t="shared" si="89"/>
        <v>905.71</v>
      </c>
      <c r="O354" s="8" t="str">
        <f>IFERROR(N354/N444, "NA")</f>
        <v>NA</v>
      </c>
      <c r="P354" s="9"/>
      <c r="Q354" s="7">
        <v>12383.23</v>
      </c>
      <c r="R354" s="8" t="str">
        <f>IFERROR(Q354/Q444, "NA")</f>
        <v>NA</v>
      </c>
      <c r="S354" s="9"/>
      <c r="T354" s="7">
        <v>14079.67</v>
      </c>
      <c r="U354" s="8" t="str">
        <f>IFERROR(T354/T444, "NA")</f>
        <v>NA</v>
      </c>
      <c r="V354" s="9"/>
      <c r="W354" s="10">
        <f t="shared" si="90"/>
        <v>1696.4400000000005</v>
      </c>
      <c r="X354" s="8" t="str">
        <f>IFERROR(W354/W444, "NA")</f>
        <v>NA</v>
      </c>
      <c r="Y354" s="9"/>
      <c r="Z354" s="7">
        <v>20206.98</v>
      </c>
      <c r="AA354" s="8" t="str">
        <f>IFERROR(Z354/Z444, "NA")</f>
        <v>NA</v>
      </c>
      <c r="AB354" s="9"/>
      <c r="AC354" s="10">
        <f t="shared" si="91"/>
        <v>7823.75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64.87</v>
      </c>
      <c r="C355" s="8" t="str">
        <f>IFERROR(B355/B444, "NA")</f>
        <v>NA</v>
      </c>
      <c r="D355" s="9"/>
      <c r="E355" s="7">
        <v>212</v>
      </c>
      <c r="F355" s="8" t="str">
        <f>IFERROR(E355/E444, "NA")</f>
        <v>NA</v>
      </c>
      <c r="G355" s="9"/>
      <c r="H355" s="10">
        <f t="shared" si="88"/>
        <v>147.13</v>
      </c>
      <c r="I355" s="8" t="str">
        <f>IFERROR(H355/H444, "NA")</f>
        <v>NA</v>
      </c>
      <c r="J355" s="9"/>
      <c r="K355" s="7">
        <v>212</v>
      </c>
      <c r="L355" s="8" t="str">
        <f>IFERROR(K355/K444, "NA")</f>
        <v>NA</v>
      </c>
      <c r="M355" s="9"/>
      <c r="N355" s="10">
        <f t="shared" si="89"/>
        <v>147.13</v>
      </c>
      <c r="O355" s="8" t="str">
        <f>IFERROR(N355/N444, "NA")</f>
        <v>NA</v>
      </c>
      <c r="P355" s="9"/>
      <c r="Q355" s="7">
        <v>506.04</v>
      </c>
      <c r="R355" s="8" t="str">
        <f>IFERROR(Q355/Q444, "NA")</f>
        <v>NA</v>
      </c>
      <c r="S355" s="9"/>
      <c r="T355" s="7">
        <v>869</v>
      </c>
      <c r="U355" s="8" t="str">
        <f>IFERROR(T355/T444, "NA")</f>
        <v>NA</v>
      </c>
      <c r="V355" s="9"/>
      <c r="W355" s="10">
        <f t="shared" si="90"/>
        <v>362.96</v>
      </c>
      <c r="X355" s="8" t="str">
        <f>IFERROR(W355/W444, "NA")</f>
        <v>NA</v>
      </c>
      <c r="Y355" s="9"/>
      <c r="Z355" s="7">
        <v>1007</v>
      </c>
      <c r="AA355" s="8" t="str">
        <f>IFERROR(Z355/Z444, "NA")</f>
        <v>NA</v>
      </c>
      <c r="AB355" s="9"/>
      <c r="AC355" s="10">
        <f t="shared" si="91"/>
        <v>500.96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5413</v>
      </c>
      <c r="C356" s="8" t="str">
        <f>IFERROR(B356/B444, "NA")</f>
        <v>NA</v>
      </c>
      <c r="D356" s="9"/>
      <c r="E356" s="7">
        <v>5413.46</v>
      </c>
      <c r="F356" s="8" t="str">
        <f>IFERROR(E356/E444, "NA")</f>
        <v>NA</v>
      </c>
      <c r="G356" s="9"/>
      <c r="H356" s="10">
        <f t="shared" si="88"/>
        <v>0.46000000000003638</v>
      </c>
      <c r="I356" s="8" t="str">
        <f>IFERROR(H356/H444, "NA")</f>
        <v>NA</v>
      </c>
      <c r="J356" s="9"/>
      <c r="K356" s="7">
        <v>6515</v>
      </c>
      <c r="L356" s="8" t="str">
        <f>IFERROR(K356/K444, "NA")</f>
        <v>NA</v>
      </c>
      <c r="M356" s="9"/>
      <c r="N356" s="10">
        <f t="shared" si="89"/>
        <v>1102</v>
      </c>
      <c r="O356" s="8" t="str">
        <f>IFERROR(N356/N444, "NA")</f>
        <v>NA</v>
      </c>
      <c r="P356" s="9"/>
      <c r="Q356" s="7">
        <v>21204</v>
      </c>
      <c r="R356" s="8" t="str">
        <f>IFERROR(Q356/Q444, "NA")</f>
        <v>NA</v>
      </c>
      <c r="S356" s="9"/>
      <c r="T356" s="7">
        <v>21204.33</v>
      </c>
      <c r="U356" s="8" t="str">
        <f>IFERROR(T356/T444, "NA")</f>
        <v>NA</v>
      </c>
      <c r="V356" s="9"/>
      <c r="W356" s="10">
        <f t="shared" si="90"/>
        <v>0.33000000000174623</v>
      </c>
      <c r="X356" s="8" t="str">
        <f>IFERROR(W356/W444, "NA")</f>
        <v>NA</v>
      </c>
      <c r="Y356" s="9"/>
      <c r="Z356" s="7">
        <v>27362.5</v>
      </c>
      <c r="AA356" s="8" t="str">
        <f>IFERROR(Z356/Z444, "NA")</f>
        <v>NA</v>
      </c>
      <c r="AB356" s="9"/>
      <c r="AC356" s="10">
        <f t="shared" si="91"/>
        <v>6158.5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3319.24</v>
      </c>
      <c r="C357" s="8" t="str">
        <f>IFERROR(B357/B444, "NA")</f>
        <v>NA</v>
      </c>
      <c r="D357" s="9"/>
      <c r="E357" s="7">
        <v>3680</v>
      </c>
      <c r="F357" s="8" t="str">
        <f>IFERROR(E357/E444, "NA")</f>
        <v>NA</v>
      </c>
      <c r="G357" s="9"/>
      <c r="H357" s="10">
        <f t="shared" si="88"/>
        <v>360.76000000000022</v>
      </c>
      <c r="I357" s="8" t="str">
        <f>IFERROR(H357/H444, "NA")</f>
        <v>NA</v>
      </c>
      <c r="J357" s="9"/>
      <c r="K357" s="7">
        <v>3674.43</v>
      </c>
      <c r="L357" s="8" t="str">
        <f>IFERROR(K357/K444, "NA")</f>
        <v>NA</v>
      </c>
      <c r="M357" s="9"/>
      <c r="N357" s="10">
        <f t="shared" si="89"/>
        <v>355.19000000000005</v>
      </c>
      <c r="O357" s="8" t="str">
        <f>IFERROR(N357/N444, "NA")</f>
        <v>NA</v>
      </c>
      <c r="P357" s="9"/>
      <c r="Q357" s="7">
        <v>12906.52</v>
      </c>
      <c r="R357" s="8" t="str">
        <f>IFERROR(Q357/Q444, "NA")</f>
        <v>NA</v>
      </c>
      <c r="S357" s="9"/>
      <c r="T357" s="7">
        <v>14720</v>
      </c>
      <c r="U357" s="8" t="str">
        <f>IFERROR(T357/T444, "NA")</f>
        <v>NA</v>
      </c>
      <c r="V357" s="9"/>
      <c r="W357" s="10">
        <f t="shared" si="90"/>
        <v>1813.4799999999996</v>
      </c>
      <c r="X357" s="8" t="str">
        <f>IFERROR(W357/W444, "NA")</f>
        <v>NA</v>
      </c>
      <c r="Y357" s="9"/>
      <c r="Z357" s="7">
        <v>13830.6</v>
      </c>
      <c r="AA357" s="8" t="str">
        <f>IFERROR(Z357/Z444, "NA")</f>
        <v>NA</v>
      </c>
      <c r="AB357" s="9"/>
      <c r="AC357" s="10">
        <f t="shared" si="91"/>
        <v>924.07999999999993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46752.68</v>
      </c>
      <c r="C358" s="15" t="str">
        <f>IFERROR(B358/B444, "NA")</f>
        <v>NA</v>
      </c>
      <c r="D358" s="2"/>
      <c r="E358" s="14">
        <f>IFERROR(E349+E350+E351+E352+E353+E354+E355+E356+E357, "NA")</f>
        <v>56207.69</v>
      </c>
      <c r="F358" s="15" t="str">
        <f>IFERROR(E358/E444, "NA")</f>
        <v>NA</v>
      </c>
      <c r="G358" s="2"/>
      <c r="H358" s="14">
        <f t="shared" si="88"/>
        <v>9455.010000000002</v>
      </c>
      <c r="I358" s="15" t="str">
        <f>IFERROR(H358/H444, "NA")</f>
        <v>NA</v>
      </c>
      <c r="J358" s="2"/>
      <c r="K358" s="14">
        <f>IFERROR(K349+K350+K351+K352+K353+K354+K355+K356+K357, "NA")</f>
        <v>56435.75</v>
      </c>
      <c r="L358" s="15" t="str">
        <f>IFERROR(K358/K444, "NA")</f>
        <v>NA</v>
      </c>
      <c r="M358" s="2"/>
      <c r="N358" s="14">
        <f t="shared" si="89"/>
        <v>9683.07</v>
      </c>
      <c r="O358" s="15" t="str">
        <f>IFERROR(N358/N444, "NA")</f>
        <v>NA</v>
      </c>
      <c r="P358" s="2"/>
      <c r="Q358" s="14">
        <f>IFERROR(Q349+Q350+Q351+Q352+Q353+Q354+Q355+Q356+Q357, "NA")</f>
        <v>197418.01</v>
      </c>
      <c r="R358" s="15" t="str">
        <f>IFERROR(Q358/Q444, "NA")</f>
        <v>NA</v>
      </c>
      <c r="S358" s="2"/>
      <c r="T358" s="14">
        <f>IFERROR(T349+T350+T351+T352+T353+T354+T355+T356+T357, "NA")</f>
        <v>220507.61</v>
      </c>
      <c r="U358" s="15" t="str">
        <f>IFERROR(T358/T444, "NA")</f>
        <v>NA</v>
      </c>
      <c r="V358" s="2"/>
      <c r="W358" s="14">
        <f t="shared" si="90"/>
        <v>23089.599999999977</v>
      </c>
      <c r="X358" s="15" t="str">
        <f>IFERROR(W358/W444, "NA")</f>
        <v>NA</v>
      </c>
      <c r="Y358" s="2"/>
      <c r="Z358" s="14">
        <f>IFERROR(Z349+Z350+Z351+Z352+Z353+Z354+Z355+Z356+Z357, "NA")</f>
        <v>290611.49</v>
      </c>
      <c r="AA358" s="15" t="str">
        <f>IFERROR(Z358/Z444, "NA")</f>
        <v>NA</v>
      </c>
      <c r="AB358" s="2"/>
      <c r="AC358" s="14">
        <f t="shared" si="91"/>
        <v>93193.479999999981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0</v>
      </c>
      <c r="F360" s="8" t="str">
        <f>IFERROR(E360/E444, "NA")</f>
        <v>NA</v>
      </c>
      <c r="G360" s="9"/>
      <c r="H360" s="10">
        <f t="shared" ref="H360:H383" si="92">IFERROR(-(B360-E360), "NA")</f>
        <v>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0</v>
      </c>
      <c r="U360" s="8" t="str">
        <f>IFERROR(T360/T444, "NA")</f>
        <v>NA</v>
      </c>
      <c r="V360" s="9"/>
      <c r="W360" s="10">
        <f t="shared" ref="W360:W383" si="94">IFERROR(-(Q360-T360), "NA")</f>
        <v>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hidden="1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0</v>
      </c>
      <c r="L361" s="8" t="str">
        <f>IFERROR(K361/K444, "NA")</f>
        <v>NA</v>
      </c>
      <c r="M361" s="9"/>
      <c r="N361" s="10">
        <f t="shared" si="93"/>
        <v>0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0</v>
      </c>
      <c r="AA361" s="8" t="str">
        <f>IFERROR(Z361/Z444, "NA")</f>
        <v>NA</v>
      </c>
      <c r="AB361" s="9"/>
      <c r="AC361" s="10">
        <f t="shared" si="95"/>
        <v>0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238.34</v>
      </c>
      <c r="C362" s="8" t="str">
        <f>IFERROR(B362/B444, "NA")</f>
        <v>NA</v>
      </c>
      <c r="D362" s="9"/>
      <c r="E362" s="7">
        <v>864</v>
      </c>
      <c r="F362" s="8" t="str">
        <f>IFERROR(E362/E444, "NA")</f>
        <v>NA</v>
      </c>
      <c r="G362" s="9"/>
      <c r="H362" s="10">
        <f t="shared" si="92"/>
        <v>625.66</v>
      </c>
      <c r="I362" s="8" t="str">
        <f>IFERROR(H362/H444, "NA")</f>
        <v>NA</v>
      </c>
      <c r="J362" s="9"/>
      <c r="K362" s="7">
        <v>744.11</v>
      </c>
      <c r="L362" s="8" t="str">
        <f>IFERROR(K362/K444, "NA")</f>
        <v>NA</v>
      </c>
      <c r="M362" s="9"/>
      <c r="N362" s="10">
        <f t="shared" si="93"/>
        <v>505.77</v>
      </c>
      <c r="O362" s="8" t="str">
        <f>IFERROR(N362/N444, "NA")</f>
        <v>NA</v>
      </c>
      <c r="P362" s="9"/>
      <c r="Q362" s="7">
        <v>1369.36</v>
      </c>
      <c r="R362" s="8" t="str">
        <f>IFERROR(Q362/Q444, "NA")</f>
        <v>NA</v>
      </c>
      <c r="S362" s="9"/>
      <c r="T362" s="7">
        <v>3672</v>
      </c>
      <c r="U362" s="8" t="str">
        <f>IFERROR(T362/T444, "NA")</f>
        <v>NA</v>
      </c>
      <c r="V362" s="9"/>
      <c r="W362" s="10">
        <f t="shared" si="94"/>
        <v>2302.6400000000003</v>
      </c>
      <c r="X362" s="8" t="str">
        <f>IFERROR(W362/W444, "NA")</f>
        <v>NA</v>
      </c>
      <c r="Y362" s="9"/>
      <c r="Z362" s="7">
        <v>3496.95</v>
      </c>
      <c r="AA362" s="8" t="str">
        <f>IFERROR(Z362/Z444, "NA")</f>
        <v>NA</v>
      </c>
      <c r="AB362" s="9"/>
      <c r="AC362" s="10">
        <f t="shared" si="95"/>
        <v>2127.59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1123.1600000000001</v>
      </c>
      <c r="C363" s="8" t="str">
        <f>IFERROR(B363/B444, "NA")</f>
        <v>NA</v>
      </c>
      <c r="D363" s="9"/>
      <c r="E363" s="7">
        <v>150</v>
      </c>
      <c r="F363" s="8" t="str">
        <f>IFERROR(E363/E444, "NA")</f>
        <v>NA</v>
      </c>
      <c r="G363" s="9"/>
      <c r="H363" s="10">
        <f t="shared" si="92"/>
        <v>-973.16000000000008</v>
      </c>
      <c r="I363" s="8" t="str">
        <f>IFERROR(H363/H444, "NA")</f>
        <v>NA</v>
      </c>
      <c r="J363" s="9"/>
      <c r="K363" s="7">
        <v>732.85</v>
      </c>
      <c r="L363" s="8" t="str">
        <f>IFERROR(K363/K444, "NA")</f>
        <v>NA</v>
      </c>
      <c r="M363" s="9"/>
      <c r="N363" s="10">
        <f t="shared" si="93"/>
        <v>-390.31000000000006</v>
      </c>
      <c r="O363" s="8" t="str">
        <f>IFERROR(N363/N444, "NA")</f>
        <v>NA</v>
      </c>
      <c r="P363" s="9"/>
      <c r="Q363" s="7">
        <v>3538.01</v>
      </c>
      <c r="R363" s="8" t="str">
        <f>IFERROR(Q363/Q444, "NA")</f>
        <v>NA</v>
      </c>
      <c r="S363" s="9"/>
      <c r="T363" s="7">
        <v>675</v>
      </c>
      <c r="U363" s="8" t="str">
        <f>IFERROR(T363/T444, "NA")</f>
        <v>NA</v>
      </c>
      <c r="V363" s="9"/>
      <c r="W363" s="10">
        <f t="shared" si="94"/>
        <v>-2863.01</v>
      </c>
      <c r="X363" s="8" t="str">
        <f>IFERROR(W363/W444, "NA")</f>
        <v>NA</v>
      </c>
      <c r="Y363" s="9"/>
      <c r="Z363" s="7">
        <v>3427.7</v>
      </c>
      <c r="AA363" s="8" t="str">
        <f>IFERROR(Z363/Z444, "NA")</f>
        <v>NA</v>
      </c>
      <c r="AB363" s="9"/>
      <c r="AC363" s="10">
        <f t="shared" si="95"/>
        <v>-110.3100000000004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-2085.4899999999998</v>
      </c>
      <c r="C364" s="8" t="str">
        <f>IFERROR(B364/B444, "NA")</f>
        <v>NA</v>
      </c>
      <c r="D364" s="9"/>
      <c r="E364" s="7">
        <v>500</v>
      </c>
      <c r="F364" s="8" t="str">
        <f>IFERROR(E364/E444, "NA")</f>
        <v>NA</v>
      </c>
      <c r="G364" s="9"/>
      <c r="H364" s="10">
        <f t="shared" si="92"/>
        <v>2585.4899999999998</v>
      </c>
      <c r="I364" s="8" t="str">
        <f>IFERROR(H364/H444, "NA")</f>
        <v>NA</v>
      </c>
      <c r="J364" s="9"/>
      <c r="K364" s="7">
        <v>338.78</v>
      </c>
      <c r="L364" s="8" t="str">
        <f>IFERROR(K364/K444, "NA")</f>
        <v>NA</v>
      </c>
      <c r="M364" s="9"/>
      <c r="N364" s="10">
        <f t="shared" si="93"/>
        <v>2424.2699999999995</v>
      </c>
      <c r="O364" s="8" t="str">
        <f>IFERROR(N364/N444, "NA")</f>
        <v>NA</v>
      </c>
      <c r="P364" s="9"/>
      <c r="Q364" s="7">
        <v>592.69000000000005</v>
      </c>
      <c r="R364" s="8" t="str">
        <f>IFERROR(Q364/Q444, "NA")</f>
        <v>NA</v>
      </c>
      <c r="S364" s="9"/>
      <c r="T364" s="7">
        <v>2400</v>
      </c>
      <c r="U364" s="8" t="str">
        <f>IFERROR(T364/T444, "NA")</f>
        <v>NA</v>
      </c>
      <c r="V364" s="9"/>
      <c r="W364" s="10">
        <f t="shared" si="94"/>
        <v>1807.31</v>
      </c>
      <c r="X364" s="8" t="str">
        <f>IFERROR(W364/W444, "NA")</f>
        <v>NA</v>
      </c>
      <c r="Y364" s="9"/>
      <c r="Z364" s="7">
        <v>2924.75</v>
      </c>
      <c r="AA364" s="8" t="str">
        <f>IFERROR(Z364/Z444, "NA")</f>
        <v>NA</v>
      </c>
      <c r="AB364" s="9"/>
      <c r="AC364" s="10">
        <f t="shared" si="95"/>
        <v>2332.06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4163.79</v>
      </c>
      <c r="C365" s="8" t="str">
        <f>IFERROR(B365/B444, "NA")</f>
        <v>NA</v>
      </c>
      <c r="D365" s="9"/>
      <c r="E365" s="7">
        <v>900</v>
      </c>
      <c r="F365" s="8" t="str">
        <f>IFERROR(E365/E444, "NA")</f>
        <v>NA</v>
      </c>
      <c r="G365" s="9"/>
      <c r="H365" s="10">
        <f t="shared" si="92"/>
        <v>-3263.79</v>
      </c>
      <c r="I365" s="8" t="str">
        <f>IFERROR(H365/H444, "NA")</f>
        <v>NA</v>
      </c>
      <c r="J365" s="9"/>
      <c r="K365" s="7">
        <v>1655.67</v>
      </c>
      <c r="L365" s="8" t="str">
        <f>IFERROR(K365/K444, "NA")</f>
        <v>NA</v>
      </c>
      <c r="M365" s="9"/>
      <c r="N365" s="10">
        <f t="shared" si="93"/>
        <v>-2508.12</v>
      </c>
      <c r="O365" s="8" t="str">
        <f>IFERROR(N365/N444, "NA")</f>
        <v>NA</v>
      </c>
      <c r="P365" s="9"/>
      <c r="Q365" s="7">
        <v>4667.46</v>
      </c>
      <c r="R365" s="8" t="str">
        <f>IFERROR(Q365/Q444, "NA")</f>
        <v>NA</v>
      </c>
      <c r="S365" s="9"/>
      <c r="T365" s="7">
        <v>2925</v>
      </c>
      <c r="U365" s="8" t="str">
        <f>IFERROR(T365/T444, "NA")</f>
        <v>NA</v>
      </c>
      <c r="V365" s="9"/>
      <c r="W365" s="10">
        <f t="shared" si="94"/>
        <v>-1742.46</v>
      </c>
      <c r="X365" s="8" t="str">
        <f>IFERROR(W365/W444, "NA")</f>
        <v>NA</v>
      </c>
      <c r="Y365" s="9"/>
      <c r="Z365" s="7">
        <v>2535.06</v>
      </c>
      <c r="AA365" s="8" t="str">
        <f>IFERROR(Z365/Z444, "NA")</f>
        <v>NA</v>
      </c>
      <c r="AB365" s="9"/>
      <c r="AC365" s="10">
        <f t="shared" si="95"/>
        <v>-2132.4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34</v>
      </c>
      <c r="C366" s="8" t="str">
        <f>IFERROR(B366/B444, "NA")</f>
        <v>NA</v>
      </c>
      <c r="D366" s="9"/>
      <c r="E366" s="7">
        <v>225</v>
      </c>
      <c r="F366" s="8" t="str">
        <f>IFERROR(E366/E444, "NA")</f>
        <v>NA</v>
      </c>
      <c r="G366" s="9"/>
      <c r="H366" s="10">
        <f t="shared" si="92"/>
        <v>191</v>
      </c>
      <c r="I366" s="8" t="str">
        <f>IFERROR(H366/H444, "NA")</f>
        <v>NA</v>
      </c>
      <c r="J366" s="9"/>
      <c r="K366" s="7">
        <v>1417.91</v>
      </c>
      <c r="L366" s="8" t="str">
        <f>IFERROR(K366/K444, "NA")</f>
        <v>NA</v>
      </c>
      <c r="M366" s="9"/>
      <c r="N366" s="10">
        <f t="shared" si="93"/>
        <v>1383.91</v>
      </c>
      <c r="O366" s="8" t="str">
        <f>IFERROR(N366/N444, "NA")</f>
        <v>NA</v>
      </c>
      <c r="P366" s="9"/>
      <c r="Q366" s="7">
        <v>2548.41</v>
      </c>
      <c r="R366" s="8" t="str">
        <f>IFERROR(Q366/Q444, "NA")</f>
        <v>NA</v>
      </c>
      <c r="S366" s="9"/>
      <c r="T366" s="7">
        <v>1575</v>
      </c>
      <c r="U366" s="8" t="str">
        <f>IFERROR(T366/T444, "NA")</f>
        <v>NA</v>
      </c>
      <c r="V366" s="9"/>
      <c r="W366" s="10">
        <f t="shared" si="94"/>
        <v>-973.40999999999985</v>
      </c>
      <c r="X366" s="8" t="str">
        <f>IFERROR(W366/W444, "NA")</f>
        <v>NA</v>
      </c>
      <c r="Y366" s="9"/>
      <c r="Z366" s="7">
        <v>1417.91</v>
      </c>
      <c r="AA366" s="8" t="str">
        <f>IFERROR(Z366/Z444, "NA")</f>
        <v>NA</v>
      </c>
      <c r="AB366" s="9"/>
      <c r="AC366" s="10">
        <f t="shared" si="95"/>
        <v>-1130.4999999999998</v>
      </c>
      <c r="AD366" s="8" t="str">
        <f>IFERROR(AC366/AC444, "NA")</f>
        <v>NA</v>
      </c>
    </row>
    <row r="367" spans="1:30" ht="16.5" customHeight="1" x14ac:dyDescent="0.45">
      <c r="A367" s="6" t="s">
        <v>335</v>
      </c>
      <c r="B367" s="7">
        <v>2848.93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-2848.93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-2848.93</v>
      </c>
      <c r="O367" s="8" t="str">
        <f>IFERROR(N367/N444, "NA")</f>
        <v>NA</v>
      </c>
      <c r="P367" s="9"/>
      <c r="Q367" s="7">
        <v>6935.41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-6935.41</v>
      </c>
      <c r="X367" s="8" t="str">
        <f>IFERROR(W367/W444, "NA")</f>
        <v>NA</v>
      </c>
      <c r="Y367" s="9"/>
      <c r="Z367" s="7">
        <v>5481.74</v>
      </c>
      <c r="AA367" s="8" t="str">
        <f>IFERROR(Z367/Z444, "NA")</f>
        <v>NA</v>
      </c>
      <c r="AB367" s="9"/>
      <c r="AC367" s="10">
        <f t="shared" si="95"/>
        <v>-1453.67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6322.73</v>
      </c>
      <c r="C368" s="15" t="str">
        <f>IFERROR(B368/B444, "NA")</f>
        <v>NA</v>
      </c>
      <c r="D368" s="2"/>
      <c r="E368" s="14">
        <f>IFERROR(E360+E361+E362+E363+E364+E365+E366+E367, "NA")</f>
        <v>2639</v>
      </c>
      <c r="F368" s="15" t="str">
        <f>IFERROR(E368/E444, "NA")</f>
        <v>NA</v>
      </c>
      <c r="G368" s="2"/>
      <c r="H368" s="14">
        <f t="shared" si="92"/>
        <v>-3683.7299999999996</v>
      </c>
      <c r="I368" s="15" t="str">
        <f>IFERROR(H368/H444, "NA")</f>
        <v>NA</v>
      </c>
      <c r="J368" s="2"/>
      <c r="K368" s="14">
        <f>IFERROR(K360+K361+K362+K363+K364+K365+K366+K367, "NA")</f>
        <v>4889.32</v>
      </c>
      <c r="L368" s="15" t="str">
        <f>IFERROR(K368/K444, "NA")</f>
        <v>NA</v>
      </c>
      <c r="M368" s="2"/>
      <c r="N368" s="14">
        <f t="shared" si="93"/>
        <v>-1433.4099999999999</v>
      </c>
      <c r="O368" s="15" t="str">
        <f>IFERROR(N368/N444, "NA")</f>
        <v>NA</v>
      </c>
      <c r="P368" s="2"/>
      <c r="Q368" s="14">
        <f>IFERROR(Q360+Q361+Q362+Q363+Q364+Q365+Q366+Q367, "NA")</f>
        <v>19651.34</v>
      </c>
      <c r="R368" s="15" t="str">
        <f>IFERROR(Q368/Q444, "NA")</f>
        <v>NA</v>
      </c>
      <c r="S368" s="2"/>
      <c r="T368" s="14">
        <f>IFERROR(T360+T361+T362+T363+T364+T365+T366+T367, "NA")</f>
        <v>11247</v>
      </c>
      <c r="U368" s="15" t="str">
        <f>IFERROR(T368/T444, "NA")</f>
        <v>NA</v>
      </c>
      <c r="V368" s="2"/>
      <c r="W368" s="14">
        <f t="shared" si="94"/>
        <v>-8404.34</v>
      </c>
      <c r="X368" s="15" t="str">
        <f>IFERROR(W368/W444, "NA")</f>
        <v>NA</v>
      </c>
      <c r="Y368" s="2"/>
      <c r="Z368" s="14">
        <f>IFERROR(Z360+Z361+Z362+Z363+Z364+Z365+Z366+Z367, "NA")</f>
        <v>19284.11</v>
      </c>
      <c r="AA368" s="15" t="str">
        <f>IFERROR(Z368/Z444, "NA")</f>
        <v>NA</v>
      </c>
      <c r="AB368" s="2"/>
      <c r="AC368" s="14">
        <f t="shared" si="95"/>
        <v>-367.22999999999956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114.95</v>
      </c>
      <c r="C370" s="8" t="str">
        <f>IFERROR(B370/B444, "NA")</f>
        <v>NA</v>
      </c>
      <c r="D370" s="9"/>
      <c r="E370" s="7">
        <v>300</v>
      </c>
      <c r="F370" s="8" t="str">
        <f>IFERROR(E370/E444, "NA")</f>
        <v>NA</v>
      </c>
      <c r="G370" s="9"/>
      <c r="H370" s="10">
        <f t="shared" si="92"/>
        <v>185.05</v>
      </c>
      <c r="I370" s="8" t="str">
        <f>IFERROR(H370/H444, "NA")</f>
        <v>NA</v>
      </c>
      <c r="J370" s="9"/>
      <c r="K370" s="7">
        <v>317</v>
      </c>
      <c r="L370" s="8" t="str">
        <f>IFERROR(K370/K444, "NA")</f>
        <v>NA</v>
      </c>
      <c r="M370" s="9"/>
      <c r="N370" s="10">
        <f t="shared" si="93"/>
        <v>202.05</v>
      </c>
      <c r="O370" s="8" t="str">
        <f>IFERROR(N370/N444, "NA")</f>
        <v>NA</v>
      </c>
      <c r="P370" s="9"/>
      <c r="Q370" s="7">
        <v>458.95</v>
      </c>
      <c r="R370" s="8" t="str">
        <f>IFERROR(Q370/Q444, "NA")</f>
        <v>NA</v>
      </c>
      <c r="S370" s="9"/>
      <c r="T370" s="7">
        <v>1300</v>
      </c>
      <c r="U370" s="8" t="str">
        <f>IFERROR(T370/T444, "NA")</f>
        <v>NA</v>
      </c>
      <c r="V370" s="9"/>
      <c r="W370" s="10">
        <f t="shared" si="94"/>
        <v>841.05</v>
      </c>
      <c r="X370" s="8" t="str">
        <f>IFERROR(W370/W444, "NA")</f>
        <v>NA</v>
      </c>
      <c r="Y370" s="9"/>
      <c r="Z370" s="7">
        <v>1291</v>
      </c>
      <c r="AA370" s="8" t="str">
        <f>IFERROR(Z370/Z444, "NA")</f>
        <v>NA</v>
      </c>
      <c r="AB370" s="9"/>
      <c r="AC370" s="10">
        <f t="shared" si="95"/>
        <v>832.05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339.2</v>
      </c>
      <c r="C371" s="8" t="str">
        <f>IFERROR(B371/B444, "NA")</f>
        <v>NA</v>
      </c>
      <c r="D371" s="9"/>
      <c r="E371" s="7">
        <v>125</v>
      </c>
      <c r="F371" s="8" t="str">
        <f>IFERROR(E371/E444, "NA")</f>
        <v>NA</v>
      </c>
      <c r="G371" s="9"/>
      <c r="H371" s="10">
        <f t="shared" si="92"/>
        <v>-214.2</v>
      </c>
      <c r="I371" s="8" t="str">
        <f>IFERROR(H371/H444, "NA")</f>
        <v>NA</v>
      </c>
      <c r="J371" s="9"/>
      <c r="K371" s="7">
        <v>368.86</v>
      </c>
      <c r="L371" s="8" t="str">
        <f>IFERROR(K371/K444, "NA")</f>
        <v>NA</v>
      </c>
      <c r="M371" s="9"/>
      <c r="N371" s="10">
        <f t="shared" si="93"/>
        <v>29.660000000000025</v>
      </c>
      <c r="O371" s="8" t="str">
        <f>IFERROR(N371/N444, "NA")</f>
        <v>NA</v>
      </c>
      <c r="P371" s="9"/>
      <c r="Q371" s="7">
        <v>1620.61</v>
      </c>
      <c r="R371" s="8" t="str">
        <f>IFERROR(Q371/Q444, "NA")</f>
        <v>NA</v>
      </c>
      <c r="S371" s="9"/>
      <c r="T371" s="7">
        <v>500</v>
      </c>
      <c r="U371" s="8" t="str">
        <f>IFERROR(T371/T444, "NA")</f>
        <v>NA</v>
      </c>
      <c r="V371" s="9"/>
      <c r="W371" s="10">
        <f t="shared" si="94"/>
        <v>-1120.6099999999999</v>
      </c>
      <c r="X371" s="8" t="str">
        <f>IFERROR(W371/W444, "NA")</f>
        <v>NA</v>
      </c>
      <c r="Y371" s="9"/>
      <c r="Z371" s="7">
        <v>875.47</v>
      </c>
      <c r="AA371" s="8" t="str">
        <f>IFERROR(Z371/Z444, "NA")</f>
        <v>NA</v>
      </c>
      <c r="AB371" s="9"/>
      <c r="AC371" s="10">
        <f t="shared" si="95"/>
        <v>-745.13999999999987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781.8</v>
      </c>
      <c r="C372" s="8" t="str">
        <f>IFERROR(B372/B444, "NA")</f>
        <v>NA</v>
      </c>
      <c r="D372" s="9"/>
      <c r="E372" s="7">
        <v>0</v>
      </c>
      <c r="F372" s="8" t="str">
        <f>IFERROR(E372/E444, "NA")</f>
        <v>NA</v>
      </c>
      <c r="G372" s="9"/>
      <c r="H372" s="10">
        <f t="shared" si="92"/>
        <v>-781.8</v>
      </c>
      <c r="I372" s="8" t="str">
        <f>IFERROR(H372/H444, "NA")</f>
        <v>NA</v>
      </c>
      <c r="J372" s="9"/>
      <c r="K372" s="7">
        <v>1277.17</v>
      </c>
      <c r="L372" s="8" t="str">
        <f>IFERROR(K372/K444, "NA")</f>
        <v>NA</v>
      </c>
      <c r="M372" s="9"/>
      <c r="N372" s="10">
        <f t="shared" si="93"/>
        <v>495.37000000000012</v>
      </c>
      <c r="O372" s="8" t="str">
        <f>IFERROR(N372/N444, "NA")</f>
        <v>NA</v>
      </c>
      <c r="P372" s="9"/>
      <c r="Q372" s="7">
        <v>2071.7600000000002</v>
      </c>
      <c r="R372" s="8" t="str">
        <f>IFERROR(Q372/Q444, "NA")</f>
        <v>NA</v>
      </c>
      <c r="S372" s="9"/>
      <c r="T372" s="7">
        <v>0</v>
      </c>
      <c r="U372" s="8" t="str">
        <f>IFERROR(T372/T444, "NA")</f>
        <v>NA</v>
      </c>
      <c r="V372" s="9"/>
      <c r="W372" s="10">
        <f t="shared" si="94"/>
        <v>-2071.7600000000002</v>
      </c>
      <c r="X372" s="8" t="str">
        <f>IFERROR(W372/W444, "NA")</f>
        <v>NA</v>
      </c>
      <c r="Y372" s="9"/>
      <c r="Z372" s="7">
        <v>1831.51</v>
      </c>
      <c r="AA372" s="8" t="str">
        <f>IFERROR(Z372/Z444, "NA")</f>
        <v>NA</v>
      </c>
      <c r="AB372" s="9"/>
      <c r="AC372" s="10">
        <f t="shared" si="95"/>
        <v>-240.25000000000023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677.78</v>
      </c>
      <c r="C373" s="8" t="str">
        <f>IFERROR(B373/B444, "NA")</f>
        <v>NA</v>
      </c>
      <c r="D373" s="9"/>
      <c r="E373" s="7">
        <v>629</v>
      </c>
      <c r="F373" s="8" t="str">
        <f>IFERROR(E373/E444, "NA")</f>
        <v>NA</v>
      </c>
      <c r="G373" s="9"/>
      <c r="H373" s="10">
        <f t="shared" si="92"/>
        <v>-48.779999999999973</v>
      </c>
      <c r="I373" s="8" t="str">
        <f>IFERROR(H373/H444, "NA")</f>
        <v>NA</v>
      </c>
      <c r="J373" s="9"/>
      <c r="K373" s="7">
        <v>337.08</v>
      </c>
      <c r="L373" s="8" t="str">
        <f>IFERROR(K373/K444, "NA")</f>
        <v>NA</v>
      </c>
      <c r="M373" s="9"/>
      <c r="N373" s="10">
        <f t="shared" si="93"/>
        <v>-340.7</v>
      </c>
      <c r="O373" s="8" t="str">
        <f>IFERROR(N373/N444, "NA")</f>
        <v>NA</v>
      </c>
      <c r="P373" s="9"/>
      <c r="Q373" s="7">
        <v>2957.87</v>
      </c>
      <c r="R373" s="8" t="str">
        <f>IFERROR(Q373/Q444, "NA")</f>
        <v>NA</v>
      </c>
      <c r="S373" s="9"/>
      <c r="T373" s="7">
        <v>2516</v>
      </c>
      <c r="U373" s="8" t="str">
        <f>IFERROR(T373/T444, "NA")</f>
        <v>NA</v>
      </c>
      <c r="V373" s="9"/>
      <c r="W373" s="10">
        <f t="shared" si="94"/>
        <v>-441.86999999999989</v>
      </c>
      <c r="X373" s="8" t="str">
        <f>IFERROR(W373/W444, "NA")</f>
        <v>NA</v>
      </c>
      <c r="Y373" s="9"/>
      <c r="Z373" s="7">
        <v>1782.31</v>
      </c>
      <c r="AA373" s="8" t="str">
        <f>IFERROR(Z373/Z444, "NA")</f>
        <v>NA</v>
      </c>
      <c r="AB373" s="9"/>
      <c r="AC373" s="10">
        <f t="shared" si="95"/>
        <v>-1175.56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2117.81</v>
      </c>
      <c r="C374" s="8" t="str">
        <f>IFERROR(B374/B444, "NA")</f>
        <v>NA</v>
      </c>
      <c r="D374" s="9"/>
      <c r="E374" s="7">
        <v>2150</v>
      </c>
      <c r="F374" s="8" t="str">
        <f>IFERROR(E374/E444, "NA")</f>
        <v>NA</v>
      </c>
      <c r="G374" s="9"/>
      <c r="H374" s="10">
        <f t="shared" si="92"/>
        <v>32.190000000000055</v>
      </c>
      <c r="I374" s="8" t="str">
        <f>IFERROR(H374/H444, "NA")</f>
        <v>NA</v>
      </c>
      <c r="J374" s="9"/>
      <c r="K374" s="7">
        <v>1924.98</v>
      </c>
      <c r="L374" s="8" t="str">
        <f>IFERROR(K374/K444, "NA")</f>
        <v>NA</v>
      </c>
      <c r="M374" s="9"/>
      <c r="N374" s="10">
        <f t="shared" si="93"/>
        <v>-192.82999999999993</v>
      </c>
      <c r="O374" s="8" t="str">
        <f>IFERROR(N374/N444, "NA")</f>
        <v>NA</v>
      </c>
      <c r="P374" s="9"/>
      <c r="Q374" s="7">
        <v>8460.11</v>
      </c>
      <c r="R374" s="8" t="str">
        <f>IFERROR(Q374/Q444, "NA")</f>
        <v>NA</v>
      </c>
      <c r="S374" s="9"/>
      <c r="T374" s="7">
        <v>8600</v>
      </c>
      <c r="U374" s="8" t="str">
        <f>IFERROR(T374/T444, "NA")</f>
        <v>NA</v>
      </c>
      <c r="V374" s="9"/>
      <c r="W374" s="10">
        <f t="shared" si="94"/>
        <v>139.88999999999942</v>
      </c>
      <c r="X374" s="8" t="str">
        <f>IFERROR(W374/W444, "NA")</f>
        <v>NA</v>
      </c>
      <c r="Y374" s="9"/>
      <c r="Z374" s="7">
        <v>7659.01</v>
      </c>
      <c r="AA374" s="8" t="str">
        <f>IFERROR(Z374/Z444, "NA")</f>
        <v>NA</v>
      </c>
      <c r="AB374" s="9"/>
      <c r="AC374" s="10">
        <f t="shared" si="95"/>
        <v>-801.10000000000036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75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-75</v>
      </c>
      <c r="I375" s="8" t="str">
        <f>IFERROR(H375/H444, "NA")</f>
        <v>NA</v>
      </c>
      <c r="J375" s="9"/>
      <c r="K375" s="7">
        <v>0</v>
      </c>
      <c r="L375" s="8" t="str">
        <f>IFERROR(K375/K444, "NA")</f>
        <v>NA</v>
      </c>
      <c r="M375" s="9"/>
      <c r="N375" s="10">
        <f t="shared" si="93"/>
        <v>-75</v>
      </c>
      <c r="O375" s="8" t="str">
        <f>IFERROR(N375/N444, "NA")</f>
        <v>NA</v>
      </c>
      <c r="P375" s="9"/>
      <c r="Q375" s="7">
        <v>185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-185</v>
      </c>
      <c r="X375" s="8" t="str">
        <f>IFERROR(W375/W444, "NA")</f>
        <v>NA</v>
      </c>
      <c r="Y375" s="9"/>
      <c r="Z375" s="7">
        <v>205.26</v>
      </c>
      <c r="AA375" s="8" t="str">
        <f>IFERROR(Z375/Z444, "NA")</f>
        <v>NA</v>
      </c>
      <c r="AB375" s="9"/>
      <c r="AC375" s="10">
        <f t="shared" si="95"/>
        <v>20.259999999999991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22.63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-22.63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-22.63</v>
      </c>
      <c r="O376" s="8" t="str">
        <f>IFERROR(N376/N444, "NA")</f>
        <v>NA</v>
      </c>
      <c r="P376" s="9"/>
      <c r="Q376" s="7">
        <v>138.78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-138.78</v>
      </c>
      <c r="X376" s="8" t="str">
        <f>IFERROR(W376/W444, "NA")</f>
        <v>NA</v>
      </c>
      <c r="Y376" s="9"/>
      <c r="Z376" s="7">
        <v>-2413</v>
      </c>
      <c r="AA376" s="8" t="str">
        <f>IFERROR(Z376/Z444, "NA")</f>
        <v>NA</v>
      </c>
      <c r="AB376" s="9"/>
      <c r="AC376" s="10">
        <f t="shared" si="95"/>
        <v>-2551.7800000000002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6248.34</v>
      </c>
      <c r="C378" s="8" t="str">
        <f>IFERROR(B378/B444, "NA")</f>
        <v>NA</v>
      </c>
      <c r="D378" s="9"/>
      <c r="E378" s="7">
        <v>7484</v>
      </c>
      <c r="F378" s="8" t="str">
        <f>IFERROR(E378/E444, "NA")</f>
        <v>NA</v>
      </c>
      <c r="G378" s="9"/>
      <c r="H378" s="10">
        <f t="shared" si="92"/>
        <v>1235.6599999999999</v>
      </c>
      <c r="I378" s="8" t="str">
        <f>IFERROR(H378/H444, "NA")</f>
        <v>NA</v>
      </c>
      <c r="J378" s="9"/>
      <c r="K378" s="7">
        <v>8749.64</v>
      </c>
      <c r="L378" s="8" t="str">
        <f>IFERROR(K378/K444, "NA")</f>
        <v>NA</v>
      </c>
      <c r="M378" s="9"/>
      <c r="N378" s="10">
        <f t="shared" si="93"/>
        <v>2501.2999999999993</v>
      </c>
      <c r="O378" s="8" t="str">
        <f>IFERROR(N378/N444, "NA")</f>
        <v>NA</v>
      </c>
      <c r="P378" s="9"/>
      <c r="Q378" s="7">
        <v>26416.400000000001</v>
      </c>
      <c r="R378" s="8" t="str">
        <f>IFERROR(Q378/Q444, "NA")</f>
        <v>NA</v>
      </c>
      <c r="S378" s="9"/>
      <c r="T378" s="7">
        <v>31936</v>
      </c>
      <c r="U378" s="8" t="str">
        <f>IFERROR(T378/T444, "NA")</f>
        <v>NA</v>
      </c>
      <c r="V378" s="9"/>
      <c r="W378" s="10">
        <f t="shared" si="94"/>
        <v>5519.5999999999985</v>
      </c>
      <c r="X378" s="8" t="str">
        <f>IFERROR(W378/W444, "NA")</f>
        <v>NA</v>
      </c>
      <c r="Y378" s="9"/>
      <c r="Z378" s="7">
        <v>34568.120000000003</v>
      </c>
      <c r="AA378" s="8" t="str">
        <f>IFERROR(Z378/Z444, "NA")</f>
        <v>NA</v>
      </c>
      <c r="AB378" s="9"/>
      <c r="AC378" s="10">
        <f t="shared" si="95"/>
        <v>8151.7200000000012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120.49</v>
      </c>
      <c r="C379" s="8" t="str">
        <f>IFERROR(B379/B444, "NA")</f>
        <v>NA</v>
      </c>
      <c r="D379" s="9"/>
      <c r="E379" s="7">
        <v>0</v>
      </c>
      <c r="F379" s="8" t="str">
        <f>IFERROR(E379/E444, "NA")</f>
        <v>NA</v>
      </c>
      <c r="G379" s="9"/>
      <c r="H379" s="10">
        <f t="shared" si="92"/>
        <v>-120.49</v>
      </c>
      <c r="I379" s="8" t="str">
        <f>IFERROR(H379/H444, "NA")</f>
        <v>NA</v>
      </c>
      <c r="J379" s="9"/>
      <c r="K379" s="7">
        <v>2421.58</v>
      </c>
      <c r="L379" s="8" t="str">
        <f>IFERROR(K379/K444, "NA")</f>
        <v>NA</v>
      </c>
      <c r="M379" s="9"/>
      <c r="N379" s="10">
        <f t="shared" si="93"/>
        <v>2301.09</v>
      </c>
      <c r="O379" s="8" t="str">
        <f>IFERROR(N379/N444, "NA")</f>
        <v>NA</v>
      </c>
      <c r="P379" s="9"/>
      <c r="Q379" s="7">
        <v>1920.56</v>
      </c>
      <c r="R379" s="8" t="str">
        <f>IFERROR(Q379/Q444, "NA")</f>
        <v>NA</v>
      </c>
      <c r="S379" s="9"/>
      <c r="T379" s="7">
        <v>0</v>
      </c>
      <c r="U379" s="8" t="str">
        <f>IFERROR(T379/T444, "NA")</f>
        <v>NA</v>
      </c>
      <c r="V379" s="9"/>
      <c r="W379" s="10">
        <f t="shared" si="94"/>
        <v>-1920.56</v>
      </c>
      <c r="X379" s="8" t="str">
        <f>IFERROR(W379/W444, "NA")</f>
        <v>NA</v>
      </c>
      <c r="Y379" s="9"/>
      <c r="Z379" s="7">
        <v>3811.64</v>
      </c>
      <c r="AA379" s="8" t="str">
        <f>IFERROR(Z379/Z444, "NA")</f>
        <v>NA</v>
      </c>
      <c r="AB379" s="9"/>
      <c r="AC379" s="10">
        <f t="shared" si="95"/>
        <v>1891.08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11800</v>
      </c>
      <c r="C380" s="8" t="str">
        <f>IFERROR(B380/B444, "NA")</f>
        <v>NA</v>
      </c>
      <c r="D380" s="9"/>
      <c r="E380" s="7">
        <v>11800</v>
      </c>
      <c r="F380" s="8" t="str">
        <f>IFERROR(E380/E444, "NA")</f>
        <v>NA</v>
      </c>
      <c r="G380" s="9"/>
      <c r="H380" s="10">
        <f t="shared" si="92"/>
        <v>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-300</v>
      </c>
      <c r="O380" s="8" t="str">
        <f>IFERROR(N380/N444, "NA")</f>
        <v>NA</v>
      </c>
      <c r="P380" s="9"/>
      <c r="Q380" s="7">
        <v>47255.67</v>
      </c>
      <c r="R380" s="8" t="str">
        <f>IFERROR(Q380/Q444, "NA")</f>
        <v>NA</v>
      </c>
      <c r="S380" s="9"/>
      <c r="T380" s="7">
        <v>47200</v>
      </c>
      <c r="U380" s="8" t="str">
        <f>IFERROR(T380/T444, "NA")</f>
        <v>NA</v>
      </c>
      <c r="V380" s="9"/>
      <c r="W380" s="10">
        <f t="shared" si="94"/>
        <v>-55.669999999998254</v>
      </c>
      <c r="X380" s="8" t="str">
        <f>IFERROR(W380/W444, "NA")</f>
        <v>NA</v>
      </c>
      <c r="Y380" s="9"/>
      <c r="Z380" s="7">
        <v>46000</v>
      </c>
      <c r="AA380" s="8" t="str">
        <f>IFERROR(Z380/Z444, "NA")</f>
        <v>NA</v>
      </c>
      <c r="AB380" s="9"/>
      <c r="AC380" s="10">
        <f t="shared" si="95"/>
        <v>-1255.6699999999983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0</v>
      </c>
      <c r="C381" s="8" t="str">
        <f>IFERROR(B381/B444, "NA")</f>
        <v>NA</v>
      </c>
      <c r="D381" s="9"/>
      <c r="E381" s="7">
        <v>2500</v>
      </c>
      <c r="F381" s="8" t="str">
        <f>IFERROR(E381/E444, "NA")</f>
        <v>NA</v>
      </c>
      <c r="G381" s="9"/>
      <c r="H381" s="10">
        <f t="shared" si="92"/>
        <v>2500</v>
      </c>
      <c r="I381" s="8" t="str">
        <f>IFERROR(H381/H444, "NA")</f>
        <v>NA</v>
      </c>
      <c r="J381" s="9"/>
      <c r="K381" s="7">
        <v>4275</v>
      </c>
      <c r="L381" s="8" t="str">
        <f>IFERROR(K381/K444, "NA")</f>
        <v>NA</v>
      </c>
      <c r="M381" s="9"/>
      <c r="N381" s="10">
        <f t="shared" si="93"/>
        <v>4275</v>
      </c>
      <c r="O381" s="8" t="str">
        <f>IFERROR(N381/N444, "NA")</f>
        <v>NA</v>
      </c>
      <c r="P381" s="9"/>
      <c r="Q381" s="7">
        <v>3672.5</v>
      </c>
      <c r="R381" s="8" t="str">
        <f>IFERROR(Q381/Q444, "NA")</f>
        <v>NA</v>
      </c>
      <c r="S381" s="9"/>
      <c r="T381" s="7">
        <v>11000</v>
      </c>
      <c r="U381" s="8" t="str">
        <f>IFERROR(T381/T444, "NA")</f>
        <v>NA</v>
      </c>
      <c r="V381" s="9"/>
      <c r="W381" s="10">
        <f t="shared" si="94"/>
        <v>7327.5</v>
      </c>
      <c r="X381" s="8" t="str">
        <f>IFERROR(W381/W444, "NA")</f>
        <v>NA</v>
      </c>
      <c r="Y381" s="9"/>
      <c r="Z381" s="7">
        <v>26491.51</v>
      </c>
      <c r="AA381" s="8" t="str">
        <f>IFERROR(Z381/Z444, "NA")</f>
        <v>NA</v>
      </c>
      <c r="AB381" s="9"/>
      <c r="AC381" s="10">
        <f t="shared" si="95"/>
        <v>22819.01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674.16</v>
      </c>
      <c r="C382" s="8" t="str">
        <f>IFERROR(B382/B444, "NA")</f>
        <v>NA</v>
      </c>
      <c r="D382" s="9"/>
      <c r="E382" s="7">
        <v>506</v>
      </c>
      <c r="F382" s="8" t="str">
        <f>IFERROR(E382/E444, "NA")</f>
        <v>NA</v>
      </c>
      <c r="G382" s="9"/>
      <c r="H382" s="10">
        <f t="shared" si="92"/>
        <v>-168.15999999999997</v>
      </c>
      <c r="I382" s="8" t="str">
        <f>IFERROR(H382/H444, "NA")</f>
        <v>NA</v>
      </c>
      <c r="J382" s="9"/>
      <c r="K382" s="7">
        <v>1131.8</v>
      </c>
      <c r="L382" s="8" t="str">
        <f>IFERROR(K382/K444, "NA")</f>
        <v>NA</v>
      </c>
      <c r="M382" s="9"/>
      <c r="N382" s="10">
        <f t="shared" si="93"/>
        <v>457.64</v>
      </c>
      <c r="O382" s="8" t="str">
        <f>IFERROR(N382/N444, "NA")</f>
        <v>NA</v>
      </c>
      <c r="P382" s="9"/>
      <c r="Q382" s="7">
        <v>2741.64</v>
      </c>
      <c r="R382" s="8" t="str">
        <f>IFERROR(Q382/Q444, "NA")</f>
        <v>NA</v>
      </c>
      <c r="S382" s="9"/>
      <c r="T382" s="7">
        <v>2024</v>
      </c>
      <c r="U382" s="8" t="str">
        <f>IFERROR(T382/T444, "NA")</f>
        <v>NA</v>
      </c>
      <c r="V382" s="9"/>
      <c r="W382" s="10">
        <f t="shared" si="94"/>
        <v>-717.63999999999987</v>
      </c>
      <c r="X382" s="8" t="str">
        <f>IFERROR(W382/W444, "NA")</f>
        <v>NA</v>
      </c>
      <c r="Y382" s="9"/>
      <c r="Z382" s="7">
        <v>2143.04</v>
      </c>
      <c r="AA382" s="8" t="str">
        <f>IFERROR(Z382/Z444, "NA")</f>
        <v>NA</v>
      </c>
      <c r="AB382" s="9"/>
      <c r="AC382" s="10">
        <f t="shared" si="95"/>
        <v>-598.59999999999991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566.12</v>
      </c>
      <c r="C385" s="8" t="str">
        <f>IFERROR(B385/B444, "NA")</f>
        <v>NA</v>
      </c>
      <c r="D385" s="9"/>
      <c r="E385" s="7">
        <v>1000</v>
      </c>
      <c r="F385" s="8" t="str">
        <f>IFERROR(E385/E444, "NA")</f>
        <v>NA</v>
      </c>
      <c r="G385" s="9"/>
      <c r="H385" s="10">
        <f>IFERROR(-(B385-E385), "NA")</f>
        <v>433.88</v>
      </c>
      <c r="I385" s="8" t="str">
        <f>IFERROR(H385/H444, "NA")</f>
        <v>NA</v>
      </c>
      <c r="J385" s="9"/>
      <c r="K385" s="7">
        <v>573.57000000000005</v>
      </c>
      <c r="L385" s="8" t="str">
        <f>IFERROR(K385/K444, "NA")</f>
        <v>NA</v>
      </c>
      <c r="M385" s="9"/>
      <c r="N385" s="10">
        <f>IFERROR(-(B385-K385), "NA")</f>
        <v>7.4500000000000455</v>
      </c>
      <c r="O385" s="8" t="str">
        <f>IFERROR(N385/N444, "NA")</f>
        <v>NA</v>
      </c>
      <c r="P385" s="9"/>
      <c r="Q385" s="7">
        <v>11347.43</v>
      </c>
      <c r="R385" s="8" t="str">
        <f>IFERROR(Q385/Q444, "NA")</f>
        <v>NA</v>
      </c>
      <c r="S385" s="9"/>
      <c r="T385" s="7">
        <v>3750</v>
      </c>
      <c r="U385" s="8" t="str">
        <f>IFERROR(T385/T444, "NA")</f>
        <v>NA</v>
      </c>
      <c r="V385" s="9"/>
      <c r="W385" s="10">
        <f>IFERROR(-(Q385-T385), "NA")</f>
        <v>-7597.43</v>
      </c>
      <c r="X385" s="8" t="str">
        <f>IFERROR(W385/W444, "NA")</f>
        <v>NA</v>
      </c>
      <c r="Y385" s="9"/>
      <c r="Z385" s="7">
        <v>13817.76</v>
      </c>
      <c r="AA385" s="8" t="str">
        <f>IFERROR(Z385/Z444, "NA")</f>
        <v>NA</v>
      </c>
      <c r="AB385" s="9"/>
      <c r="AC385" s="10">
        <f>IFERROR(-(Q385-Z385), "NA")</f>
        <v>2470.33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0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0</v>
      </c>
      <c r="I386" s="8" t="str">
        <f>IFERROR(H386/H444, "NA")</f>
        <v>NA</v>
      </c>
      <c r="J386" s="9"/>
      <c r="K386" s="7">
        <v>0</v>
      </c>
      <c r="L386" s="8" t="str">
        <f>IFERROR(K386/K444, "NA")</f>
        <v>NA</v>
      </c>
      <c r="M386" s="9"/>
      <c r="N386" s="10">
        <f>IFERROR(-(B386-K386), "NA")</f>
        <v>0</v>
      </c>
      <c r="O386" s="8" t="str">
        <f>IFERROR(N386/N444, "NA")</f>
        <v>NA</v>
      </c>
      <c r="P386" s="9"/>
      <c r="Q386" s="7">
        <v>0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0</v>
      </c>
      <c r="X386" s="8" t="str">
        <f>IFERROR(W386/W444, "NA")</f>
        <v>NA</v>
      </c>
      <c r="Y386" s="9"/>
      <c r="Z386" s="7">
        <v>51.47</v>
      </c>
      <c r="AA386" s="8" t="str">
        <f>IFERROR(Z386/Z444, "NA")</f>
        <v>NA</v>
      </c>
      <c r="AB386" s="9"/>
      <c r="AC386" s="10">
        <f>IFERROR(-(Q386-Z386), "NA")</f>
        <v>51.47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13892.61</v>
      </c>
      <c r="F388" s="8" t="str">
        <f>IFERROR(E388/E444, "NA")</f>
        <v>NA</v>
      </c>
      <c r="G388" s="9"/>
      <c r="H388" s="10">
        <f t="shared" ref="H388:H403" si="96">IFERROR(-(B388-E388), "NA")</f>
        <v>13892.61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50802.01</v>
      </c>
      <c r="U388" s="8" t="str">
        <f>IFERROR(T388/T444, "NA")</f>
        <v>NA</v>
      </c>
      <c r="V388" s="9"/>
      <c r="W388" s="10">
        <f t="shared" ref="W388:W403" si="98">IFERROR(-(Q388-T388), "NA")</f>
        <v>50802.01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6112.62</v>
      </c>
      <c r="C389" s="8" t="str">
        <f>IFERROR(B389/B444, "NA")</f>
        <v>NA</v>
      </c>
      <c r="D389" s="9"/>
      <c r="E389" s="7">
        <v>0</v>
      </c>
      <c r="F389" s="8" t="str">
        <f>IFERROR(E389/E444, "NA")</f>
        <v>NA</v>
      </c>
      <c r="G389" s="9"/>
      <c r="H389" s="10">
        <f t="shared" si="96"/>
        <v>-6112.62</v>
      </c>
      <c r="I389" s="8" t="str">
        <f>IFERROR(H389/H444, "NA")</f>
        <v>NA</v>
      </c>
      <c r="J389" s="9"/>
      <c r="K389" s="7">
        <v>5544.91</v>
      </c>
      <c r="L389" s="8" t="str">
        <f>IFERROR(K389/K444, "NA")</f>
        <v>NA</v>
      </c>
      <c r="M389" s="9"/>
      <c r="N389" s="10">
        <f t="shared" si="97"/>
        <v>-567.71</v>
      </c>
      <c r="O389" s="8" t="str">
        <f>IFERROR(N389/N444, "NA")</f>
        <v>NA</v>
      </c>
      <c r="P389" s="9"/>
      <c r="Q389" s="7">
        <v>26628.38</v>
      </c>
      <c r="R389" s="8" t="str">
        <f>IFERROR(Q389/Q444, "NA")</f>
        <v>NA</v>
      </c>
      <c r="S389" s="9"/>
      <c r="T389" s="7">
        <v>0</v>
      </c>
      <c r="U389" s="8" t="str">
        <f>IFERROR(T389/T444, "NA")</f>
        <v>NA</v>
      </c>
      <c r="V389" s="9"/>
      <c r="W389" s="10">
        <f t="shared" si="98"/>
        <v>-26628.38</v>
      </c>
      <c r="X389" s="8" t="str">
        <f>IFERROR(W389/W444, "NA")</f>
        <v>NA</v>
      </c>
      <c r="Y389" s="9"/>
      <c r="Z389" s="7">
        <v>16542.3</v>
      </c>
      <c r="AA389" s="8" t="str">
        <f>IFERROR(Z389/Z444, "NA")</f>
        <v>NA</v>
      </c>
      <c r="AB389" s="9"/>
      <c r="AC389" s="10">
        <f t="shared" si="99"/>
        <v>-10086.080000000002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4150.93</v>
      </c>
      <c r="C390" s="8" t="str">
        <f>IFERROR(B390/B444, "NA")</f>
        <v>NA</v>
      </c>
      <c r="D390" s="9"/>
      <c r="E390" s="7">
        <v>0</v>
      </c>
      <c r="F390" s="8" t="str">
        <f>IFERROR(E390/E444, "NA")</f>
        <v>NA</v>
      </c>
      <c r="G390" s="9"/>
      <c r="H390" s="10">
        <f t="shared" si="96"/>
        <v>-4150.93</v>
      </c>
      <c r="I390" s="8" t="str">
        <f>IFERROR(H390/H444, "NA")</f>
        <v>NA</v>
      </c>
      <c r="J390" s="9"/>
      <c r="K390" s="7">
        <v>8822.19</v>
      </c>
      <c r="L390" s="8" t="str">
        <f>IFERROR(K390/K444, "NA")</f>
        <v>NA</v>
      </c>
      <c r="M390" s="9"/>
      <c r="N390" s="10">
        <f t="shared" si="97"/>
        <v>4671.26</v>
      </c>
      <c r="O390" s="8" t="str">
        <f>IFERROR(N390/N444, "NA")</f>
        <v>NA</v>
      </c>
      <c r="P390" s="9"/>
      <c r="Q390" s="7">
        <v>23458</v>
      </c>
      <c r="R390" s="8" t="str">
        <f>IFERROR(Q390/Q444, "NA")</f>
        <v>NA</v>
      </c>
      <c r="S390" s="9"/>
      <c r="T390" s="7">
        <v>0</v>
      </c>
      <c r="U390" s="8" t="str">
        <f>IFERROR(T390/T444, "NA")</f>
        <v>NA</v>
      </c>
      <c r="V390" s="9"/>
      <c r="W390" s="10">
        <f t="shared" si="98"/>
        <v>-23458</v>
      </c>
      <c r="X390" s="8" t="str">
        <f>IFERROR(W390/W444, "NA")</f>
        <v>NA</v>
      </c>
      <c r="Y390" s="9"/>
      <c r="Z390" s="7">
        <v>44969.22</v>
      </c>
      <c r="AA390" s="8" t="str">
        <f>IFERROR(Z390/Z444, "NA")</f>
        <v>NA</v>
      </c>
      <c r="AB390" s="9"/>
      <c r="AC390" s="10">
        <f t="shared" si="99"/>
        <v>21511.22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2695.72</v>
      </c>
      <c r="C392" s="8" t="str">
        <f>IFERROR(B392/B444, "NA")</f>
        <v>NA</v>
      </c>
      <c r="D392" s="9"/>
      <c r="E392" s="7">
        <v>0</v>
      </c>
      <c r="F392" s="8" t="str">
        <f>IFERROR(E392/E444, "NA")</f>
        <v>NA</v>
      </c>
      <c r="G392" s="9"/>
      <c r="H392" s="10">
        <f t="shared" si="96"/>
        <v>-2695.72</v>
      </c>
      <c r="I392" s="8" t="str">
        <f>IFERROR(H392/H444, "NA")</f>
        <v>NA</v>
      </c>
      <c r="J392" s="9"/>
      <c r="K392" s="7">
        <v>4697.71</v>
      </c>
      <c r="L392" s="8" t="str">
        <f>IFERROR(K392/K444, "NA")</f>
        <v>NA</v>
      </c>
      <c r="M392" s="9"/>
      <c r="N392" s="10">
        <f t="shared" si="97"/>
        <v>2001.9900000000002</v>
      </c>
      <c r="O392" s="8" t="str">
        <f>IFERROR(N392/N444, "NA")</f>
        <v>NA</v>
      </c>
      <c r="P392" s="9"/>
      <c r="Q392" s="7">
        <v>15222.23</v>
      </c>
      <c r="R392" s="8" t="str">
        <f>IFERROR(Q392/Q444, "NA")</f>
        <v>NA</v>
      </c>
      <c r="S392" s="9"/>
      <c r="T392" s="7">
        <v>0</v>
      </c>
      <c r="U392" s="8" t="str">
        <f>IFERROR(T392/T444, "NA")</f>
        <v>NA</v>
      </c>
      <c r="V392" s="9"/>
      <c r="W392" s="10">
        <f t="shared" si="98"/>
        <v>-15222.23</v>
      </c>
      <c r="X392" s="8" t="str">
        <f>IFERROR(W392/W444, "NA")</f>
        <v>NA</v>
      </c>
      <c r="Y392" s="9"/>
      <c r="Z392" s="7">
        <v>19974.88</v>
      </c>
      <c r="AA392" s="8" t="str">
        <f>IFERROR(Z392/Z444, "NA")</f>
        <v>NA</v>
      </c>
      <c r="AB392" s="9"/>
      <c r="AC392" s="10">
        <f t="shared" si="99"/>
        <v>4752.6500000000015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12959.269999999999</v>
      </c>
      <c r="C393" s="15" t="str">
        <f>IFERROR(B393/B444, "NA")</f>
        <v>NA</v>
      </c>
      <c r="D393" s="2"/>
      <c r="E393" s="14">
        <f>IFERROR(E388+E389+E390+E391+E392, "NA")</f>
        <v>13892.61</v>
      </c>
      <c r="F393" s="15" t="str">
        <f>IFERROR(E393/E444, "NA")</f>
        <v>NA</v>
      </c>
      <c r="G393" s="2"/>
      <c r="H393" s="14">
        <f t="shared" si="96"/>
        <v>933.34000000000196</v>
      </c>
      <c r="I393" s="15" t="str">
        <f>IFERROR(H393/H444, "NA")</f>
        <v>NA</v>
      </c>
      <c r="J393" s="2"/>
      <c r="K393" s="14">
        <f>IFERROR(K388+K389+K390+K391+K392, "NA")</f>
        <v>19064.810000000001</v>
      </c>
      <c r="L393" s="15" t="str">
        <f>IFERROR(K393/K444, "NA")</f>
        <v>NA</v>
      </c>
      <c r="M393" s="2"/>
      <c r="N393" s="14">
        <f t="shared" si="97"/>
        <v>6105.5400000000027</v>
      </c>
      <c r="O393" s="15" t="str">
        <f>IFERROR(N393/N444, "NA")</f>
        <v>NA</v>
      </c>
      <c r="P393" s="2"/>
      <c r="Q393" s="14">
        <f>IFERROR(Q388+Q389+Q390+Q391+Q392, "NA")</f>
        <v>65308.61</v>
      </c>
      <c r="R393" s="15" t="str">
        <f>IFERROR(Q393/Q444, "NA")</f>
        <v>NA</v>
      </c>
      <c r="S393" s="2"/>
      <c r="T393" s="14">
        <f>IFERROR(T388+T389+T390+T391+T392, "NA")</f>
        <v>50802.01</v>
      </c>
      <c r="U393" s="15" t="str">
        <f>IFERROR(T393/T444, "NA")</f>
        <v>NA</v>
      </c>
      <c r="V393" s="2"/>
      <c r="W393" s="14">
        <f t="shared" si="98"/>
        <v>-14506.599999999999</v>
      </c>
      <c r="X393" s="15" t="str">
        <f>IFERROR(W393/W444, "NA")</f>
        <v>NA</v>
      </c>
      <c r="Y393" s="2"/>
      <c r="Z393" s="14">
        <f>IFERROR(Z388+Z389+Z390+Z391+Z392, "NA")</f>
        <v>81486.400000000009</v>
      </c>
      <c r="AA393" s="15" t="str">
        <f>IFERROR(Z393/Z444, "NA")</f>
        <v>NA</v>
      </c>
      <c r="AB393" s="2"/>
      <c r="AC393" s="14">
        <f t="shared" si="99"/>
        <v>16177.790000000008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0</v>
      </c>
      <c r="C394" s="8" t="str">
        <f>IFERROR(B394/B444, "NA")</f>
        <v>NA</v>
      </c>
      <c r="D394" s="9"/>
      <c r="E394" s="7">
        <v>5292.42</v>
      </c>
      <c r="F394" s="8" t="str">
        <f>IFERROR(E394/E444, "NA")</f>
        <v>NA</v>
      </c>
      <c r="G394" s="9"/>
      <c r="H394" s="10">
        <f t="shared" si="96"/>
        <v>5292.42</v>
      </c>
      <c r="I394" s="8" t="str">
        <f>IFERROR(H394/H444, "NA")</f>
        <v>NA</v>
      </c>
      <c r="J394" s="9"/>
      <c r="K394" s="7">
        <v>0</v>
      </c>
      <c r="L394" s="8" t="str">
        <f>IFERROR(K394/K444, "NA")</f>
        <v>NA</v>
      </c>
      <c r="M394" s="9"/>
      <c r="N394" s="10">
        <f t="shared" si="97"/>
        <v>0</v>
      </c>
      <c r="O394" s="8" t="str">
        <f>IFERROR(N394/N444, "NA")</f>
        <v>NA</v>
      </c>
      <c r="P394" s="9"/>
      <c r="Q394" s="7">
        <v>0</v>
      </c>
      <c r="R394" s="8" t="str">
        <f>IFERROR(Q394/Q444, "NA")</f>
        <v>NA</v>
      </c>
      <c r="S394" s="9"/>
      <c r="T394" s="7">
        <v>15763.48</v>
      </c>
      <c r="U394" s="8" t="str">
        <f>IFERROR(T394/T444, "NA")</f>
        <v>NA</v>
      </c>
      <c r="V394" s="9"/>
      <c r="W394" s="10">
        <f t="shared" si="98"/>
        <v>15763.48</v>
      </c>
      <c r="X394" s="8" t="str">
        <f>IFERROR(W394/W444, "NA")</f>
        <v>NA</v>
      </c>
      <c r="Y394" s="9"/>
      <c r="Z394" s="7">
        <v>6612.06</v>
      </c>
      <c r="AA394" s="8" t="str">
        <f>IFERROR(Z394/Z444, "NA")</f>
        <v>NA</v>
      </c>
      <c r="AB394" s="9"/>
      <c r="AC394" s="10">
        <f t="shared" si="99"/>
        <v>6612.06</v>
      </c>
      <c r="AD394" s="8" t="str">
        <f>IFERROR(AC394/AC444, "NA")</f>
        <v>NA</v>
      </c>
    </row>
    <row r="395" spans="1:30" ht="16.5" customHeight="1" x14ac:dyDescent="0.45">
      <c r="A395" s="6" t="s">
        <v>361</v>
      </c>
      <c r="B395" s="7">
        <v>176.65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-176.65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-176.65</v>
      </c>
      <c r="O395" s="8" t="str">
        <f>IFERROR(N395/N444, "NA")</f>
        <v>NA</v>
      </c>
      <c r="P395" s="9"/>
      <c r="Q395" s="7">
        <v>493.55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-493.55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-493.55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13702.039999999999</v>
      </c>
      <c r="C396" s="15" t="str">
        <f>IFERROR(B396/B444, "NA")</f>
        <v>NA</v>
      </c>
      <c r="D396" s="2"/>
      <c r="E396" s="14">
        <f>IFERROR(E385+E386+E388+E389+E390+E391+E392+E394+E395, "NA")</f>
        <v>20185.03</v>
      </c>
      <c r="F396" s="15" t="str">
        <f>IFERROR(E396/E444, "NA")</f>
        <v>NA</v>
      </c>
      <c r="G396" s="2"/>
      <c r="H396" s="14">
        <f t="shared" si="96"/>
        <v>6482.99</v>
      </c>
      <c r="I396" s="15" t="str">
        <f>IFERROR(H396/H444, "NA")</f>
        <v>NA</v>
      </c>
      <c r="J396" s="2"/>
      <c r="K396" s="14">
        <f>IFERROR(K385+K386+K388+K389+K390+K391+K392+K394+K395, "NA")</f>
        <v>19638.38</v>
      </c>
      <c r="L396" s="15" t="str">
        <f>IFERROR(K396/K444, "NA")</f>
        <v>NA</v>
      </c>
      <c r="M396" s="2"/>
      <c r="N396" s="14">
        <f t="shared" si="97"/>
        <v>5936.340000000002</v>
      </c>
      <c r="O396" s="15" t="str">
        <f>IFERROR(N396/N444, "NA")</f>
        <v>NA</v>
      </c>
      <c r="P396" s="2"/>
      <c r="Q396" s="14">
        <f>IFERROR(Q385+Q386+Q388+Q389+Q390+Q391+Q392+Q394+Q395, "NA")</f>
        <v>77149.59</v>
      </c>
      <c r="R396" s="15" t="str">
        <f>IFERROR(Q396/Q444, "NA")</f>
        <v>NA</v>
      </c>
      <c r="S396" s="2"/>
      <c r="T396" s="14">
        <f>IFERROR(T385+T386+T388+T389+T390+T391+T392+T394+T395, "NA")</f>
        <v>70315.490000000005</v>
      </c>
      <c r="U396" s="15" t="str">
        <f>IFERROR(T396/T444, "NA")</f>
        <v>NA</v>
      </c>
      <c r="V396" s="2"/>
      <c r="W396" s="14">
        <f t="shared" si="98"/>
        <v>-6834.0999999999913</v>
      </c>
      <c r="X396" s="15" t="str">
        <f>IFERROR(W396/W444, "NA")</f>
        <v>NA</v>
      </c>
      <c r="Y396" s="2"/>
      <c r="Z396" s="14">
        <f>IFERROR(Z385+Z386+Z388+Z389+Z390+Z391+Z392+Z394+Z395, "NA")</f>
        <v>101967.69</v>
      </c>
      <c r="AA396" s="15" t="str">
        <f>IFERROR(Z396/Z444, "NA")</f>
        <v>NA</v>
      </c>
      <c r="AB396" s="2"/>
      <c r="AC396" s="14">
        <f t="shared" si="99"/>
        <v>24818.100000000006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12032.5</v>
      </c>
      <c r="C397" s="8" t="str">
        <f>IFERROR(B397/B444, "NA")</f>
        <v>NA</v>
      </c>
      <c r="D397" s="9"/>
      <c r="E397" s="7">
        <v>9200</v>
      </c>
      <c r="F397" s="8" t="str">
        <f>IFERROR(E397/E444, "NA")</f>
        <v>NA</v>
      </c>
      <c r="G397" s="9"/>
      <c r="H397" s="10">
        <f t="shared" si="96"/>
        <v>-2832.5</v>
      </c>
      <c r="I397" s="8" t="str">
        <f>IFERROR(H397/H444, "NA")</f>
        <v>NA</v>
      </c>
      <c r="J397" s="9"/>
      <c r="K397" s="7">
        <v>7124.99</v>
      </c>
      <c r="L397" s="8" t="str">
        <f>IFERROR(K397/K444, "NA")</f>
        <v>NA</v>
      </c>
      <c r="M397" s="9"/>
      <c r="N397" s="10">
        <f t="shared" si="97"/>
        <v>-4907.51</v>
      </c>
      <c r="O397" s="8" t="str">
        <f>IFERROR(N397/N444, "NA")</f>
        <v>NA</v>
      </c>
      <c r="P397" s="9"/>
      <c r="Q397" s="7">
        <v>46912</v>
      </c>
      <c r="R397" s="8" t="str">
        <f>IFERROR(Q397/Q444, "NA")</f>
        <v>NA</v>
      </c>
      <c r="S397" s="9"/>
      <c r="T397" s="7">
        <v>34800</v>
      </c>
      <c r="U397" s="8" t="str">
        <f>IFERROR(T397/T444, "NA")</f>
        <v>NA</v>
      </c>
      <c r="V397" s="9"/>
      <c r="W397" s="10">
        <f t="shared" si="98"/>
        <v>-12112</v>
      </c>
      <c r="X397" s="8" t="str">
        <f>IFERROR(W397/W444, "NA")</f>
        <v>NA</v>
      </c>
      <c r="Y397" s="9"/>
      <c r="Z397" s="7">
        <v>15800.27</v>
      </c>
      <c r="AA397" s="8" t="str">
        <f>IFERROR(Z397/Z444, "NA")</f>
        <v>NA</v>
      </c>
      <c r="AB397" s="9"/>
      <c r="AC397" s="10">
        <f t="shared" si="99"/>
        <v>-31111.73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134.47999999999999</v>
      </c>
      <c r="C398" s="8" t="str">
        <f>IFERROR(B398/B444, "NA")</f>
        <v>NA</v>
      </c>
      <c r="D398" s="9"/>
      <c r="E398" s="7">
        <v>0</v>
      </c>
      <c r="F398" s="8" t="str">
        <f>IFERROR(E398/E444, "NA")</f>
        <v>NA</v>
      </c>
      <c r="G398" s="9"/>
      <c r="H398" s="10">
        <f t="shared" si="96"/>
        <v>-134.47999999999999</v>
      </c>
      <c r="I398" s="8" t="str">
        <f>IFERROR(H398/H444, "NA")</f>
        <v>NA</v>
      </c>
      <c r="J398" s="9"/>
      <c r="K398" s="7">
        <v>84.26</v>
      </c>
      <c r="L398" s="8" t="str">
        <f>IFERROR(K398/K444, "NA")</f>
        <v>NA</v>
      </c>
      <c r="M398" s="9"/>
      <c r="N398" s="10">
        <f t="shared" si="97"/>
        <v>-50.219999999999985</v>
      </c>
      <c r="O398" s="8" t="str">
        <f>IFERROR(N398/N444, "NA")</f>
        <v>NA</v>
      </c>
      <c r="P398" s="9"/>
      <c r="Q398" s="7">
        <v>1006.21</v>
      </c>
      <c r="R398" s="8" t="str">
        <f>IFERROR(Q398/Q444, "NA")</f>
        <v>NA</v>
      </c>
      <c r="S398" s="9"/>
      <c r="T398" s="7">
        <v>0</v>
      </c>
      <c r="U398" s="8" t="str">
        <f>IFERROR(T398/T444, "NA")</f>
        <v>NA</v>
      </c>
      <c r="V398" s="9"/>
      <c r="W398" s="10">
        <f t="shared" si="98"/>
        <v>-1006.21</v>
      </c>
      <c r="X398" s="8" t="str">
        <f>IFERROR(W398/W444, "NA")</f>
        <v>NA</v>
      </c>
      <c r="Y398" s="9"/>
      <c r="Z398" s="7">
        <v>582.91</v>
      </c>
      <c r="AA398" s="8" t="str">
        <f>IFERROR(Z398/Z444, "NA")</f>
        <v>NA</v>
      </c>
      <c r="AB398" s="9"/>
      <c r="AC398" s="10">
        <f t="shared" si="99"/>
        <v>-423.30000000000007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1806</v>
      </c>
      <c r="C399" s="8" t="str">
        <f>IFERROR(B399/B444, "NA")</f>
        <v>NA</v>
      </c>
      <c r="D399" s="9"/>
      <c r="E399" s="7">
        <v>500</v>
      </c>
      <c r="F399" s="8" t="str">
        <f>IFERROR(E399/E444, "NA")</f>
        <v>NA</v>
      </c>
      <c r="G399" s="9"/>
      <c r="H399" s="10">
        <f t="shared" si="96"/>
        <v>-1306</v>
      </c>
      <c r="I399" s="8" t="str">
        <f>IFERROR(H399/H444, "NA")</f>
        <v>NA</v>
      </c>
      <c r="J399" s="9"/>
      <c r="K399" s="7">
        <v>400</v>
      </c>
      <c r="L399" s="8" t="str">
        <f>IFERROR(K399/K444, "NA")</f>
        <v>NA</v>
      </c>
      <c r="M399" s="9"/>
      <c r="N399" s="10">
        <f t="shared" si="97"/>
        <v>-1406</v>
      </c>
      <c r="O399" s="8" t="str">
        <f>IFERROR(N399/N444, "NA")</f>
        <v>NA</v>
      </c>
      <c r="P399" s="9"/>
      <c r="Q399" s="7">
        <v>2676.84</v>
      </c>
      <c r="R399" s="8" t="str">
        <f>IFERROR(Q399/Q444, "NA")</f>
        <v>NA</v>
      </c>
      <c r="S399" s="9"/>
      <c r="T399" s="7">
        <v>600</v>
      </c>
      <c r="U399" s="8" t="str">
        <f>IFERROR(T399/T444, "NA")</f>
        <v>NA</v>
      </c>
      <c r="V399" s="9"/>
      <c r="W399" s="10">
        <f t="shared" si="98"/>
        <v>-2076.84</v>
      </c>
      <c r="X399" s="8" t="str">
        <f>IFERROR(W399/W444, "NA")</f>
        <v>NA</v>
      </c>
      <c r="Y399" s="9"/>
      <c r="Z399" s="7">
        <v>500</v>
      </c>
      <c r="AA399" s="8" t="str">
        <f>IFERROR(Z399/Z444, "NA")</f>
        <v>NA</v>
      </c>
      <c r="AB399" s="9"/>
      <c r="AC399" s="10">
        <f t="shared" si="99"/>
        <v>-2176.84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hidden="1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0</v>
      </c>
      <c r="L401" s="8" t="str">
        <f>IFERROR(K401/K444, "NA")</f>
        <v>NA</v>
      </c>
      <c r="M401" s="9"/>
      <c r="N401" s="10">
        <f t="shared" si="97"/>
        <v>0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0</v>
      </c>
      <c r="AA401" s="8" t="str">
        <f>IFERROR(Z401/Z444, "NA")</f>
        <v>NA</v>
      </c>
      <c r="AB401" s="9"/>
      <c r="AC401" s="10">
        <f t="shared" si="99"/>
        <v>0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103722.58999999998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114225.72</v>
      </c>
      <c r="F403" s="15" t="str">
        <f>IFERROR(E403/E444, "NA")</f>
        <v>NA</v>
      </c>
      <c r="G403" s="2"/>
      <c r="H403" s="14">
        <f t="shared" si="96"/>
        <v>10503.130000000019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120875.81000000003</v>
      </c>
      <c r="L403" s="15" t="str">
        <f>IFERROR(K403/K444, "NA")</f>
        <v>NA</v>
      </c>
      <c r="M403" s="2"/>
      <c r="N403" s="14">
        <f t="shared" si="97"/>
        <v>17153.220000000045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442713.84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442546.1</v>
      </c>
      <c r="U403" s="15" t="str">
        <f>IFERROR(T403/T444, "NA")</f>
        <v>NA</v>
      </c>
      <c r="V403" s="2"/>
      <c r="W403" s="14">
        <f t="shared" si="98"/>
        <v>-167.74000000004889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552992.34000000008</v>
      </c>
      <c r="AA403" s="15" t="str">
        <f>IFERROR(Z403/Z444, "NA")</f>
        <v>NA</v>
      </c>
      <c r="AB403" s="2"/>
      <c r="AC403" s="14">
        <f t="shared" si="99"/>
        <v>110278.50000000006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-103722.58999999998</v>
      </c>
      <c r="C404" s="24" t="str">
        <f>IFERROR(B404/B444, "NA")</f>
        <v>NA</v>
      </c>
      <c r="D404" s="25"/>
      <c r="E404" s="23">
        <f>IFERROR(E345-E403, "NA")</f>
        <v>-114225.72</v>
      </c>
      <c r="F404" s="24" t="str">
        <f>IFERROR(E404/E444, "NA")</f>
        <v>NA</v>
      </c>
      <c r="G404" s="25"/>
      <c r="H404" s="23">
        <f>IFERROR(B404-E404, "NA")</f>
        <v>10503.130000000019</v>
      </c>
      <c r="I404" s="24" t="str">
        <f>IFERROR(H404/H444, "NA")</f>
        <v>NA</v>
      </c>
      <c r="J404" s="25"/>
      <c r="K404" s="23">
        <f>IFERROR(K345-K403, "NA")</f>
        <v>-120875.81000000003</v>
      </c>
      <c r="L404" s="24" t="str">
        <f>IFERROR(K404/K444, "NA")</f>
        <v>NA</v>
      </c>
      <c r="M404" s="25"/>
      <c r="N404" s="23">
        <f>IFERROR(B404-K404, "NA")</f>
        <v>17153.220000000045</v>
      </c>
      <c r="O404" s="24" t="str">
        <f>IFERROR(N404/N444, "NA")</f>
        <v>NA</v>
      </c>
      <c r="P404" s="25"/>
      <c r="Q404" s="23">
        <f>IFERROR(Q345-Q403, "NA")</f>
        <v>-442713.84</v>
      </c>
      <c r="R404" s="24" t="str">
        <f>IFERROR(Q404/Q444, "NA")</f>
        <v>NA</v>
      </c>
      <c r="S404" s="25"/>
      <c r="T404" s="23">
        <f>IFERROR(T345-T403, "NA")</f>
        <v>-442546.1</v>
      </c>
      <c r="U404" s="24" t="str">
        <f>IFERROR(T404/T444, "NA")</f>
        <v>NA</v>
      </c>
      <c r="V404" s="25"/>
      <c r="W404" s="23">
        <f>IFERROR(Q404-T404, "NA")</f>
        <v>-167.74000000004889</v>
      </c>
      <c r="X404" s="24" t="str">
        <f>IFERROR(W404/W444, "NA")</f>
        <v>NA</v>
      </c>
      <c r="Y404" s="25"/>
      <c r="Z404" s="23">
        <f>IFERROR(Z345-Z403, "NA")</f>
        <v>-552992.34000000008</v>
      </c>
      <c r="AA404" s="24" t="str">
        <f>IFERROR(Z404/Z444, "NA")</f>
        <v>NA</v>
      </c>
      <c r="AB404" s="25"/>
      <c r="AC404" s="23">
        <f>IFERROR(Q404-Z404, "NA")</f>
        <v>110278.50000000006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-13500</v>
      </c>
      <c r="F407" s="8" t="str">
        <f>IFERROR(E407/E444, "NA")</f>
        <v>NA</v>
      </c>
      <c r="G407" s="9"/>
      <c r="H407" s="10">
        <f t="shared" ref="H407:H429" si="100">IFERROR(-(B407-E407), "NA")</f>
        <v>-13500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-54000</v>
      </c>
      <c r="U407" s="8" t="str">
        <f>IFERROR(T407/T444, "NA")</f>
        <v>NA</v>
      </c>
      <c r="V407" s="9"/>
      <c r="W407" s="10">
        <f t="shared" ref="W407:W429" si="102">IFERROR(-(Q407-T407), "NA")</f>
        <v>-54000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59.7</v>
      </c>
      <c r="L410" s="8" t="str">
        <f>IFERROR(K410/K444, "NA")</f>
        <v>NA</v>
      </c>
      <c r="M410" s="9"/>
      <c r="N410" s="10">
        <f t="shared" si="101"/>
        <v>0</v>
      </c>
      <c r="O410" s="8" t="str">
        <f>IFERROR(N410/N444, "NA")</f>
        <v>NA</v>
      </c>
      <c r="P410" s="9"/>
      <c r="Q410" s="7">
        <v>238.8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-238.8</v>
      </c>
      <c r="X410" s="8" t="str">
        <f>IFERROR(W410/W444, "NA")</f>
        <v>NA</v>
      </c>
      <c r="Y410" s="9"/>
      <c r="Z410" s="7">
        <v>363.99</v>
      </c>
      <c r="AA410" s="8" t="str">
        <f>IFERROR(Z410/Z444, "NA")</f>
        <v>NA</v>
      </c>
      <c r="AB410" s="9"/>
      <c r="AC410" s="10">
        <f t="shared" si="103"/>
        <v>125.19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268.36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-268.36</v>
      </c>
      <c r="I411" s="8" t="str">
        <f>IFERROR(H411/H444, "NA")</f>
        <v>NA</v>
      </c>
      <c r="J411" s="9"/>
      <c r="K411" s="7">
        <v>268.37</v>
      </c>
      <c r="L411" s="8" t="str">
        <f>IFERROR(K411/K444, "NA")</f>
        <v>NA</v>
      </c>
      <c r="M411" s="9"/>
      <c r="N411" s="10">
        <f t="shared" si="101"/>
        <v>9.9999999999909051E-3</v>
      </c>
      <c r="O411" s="8" t="str">
        <f>IFERROR(N411/N444, "NA")</f>
        <v>NA</v>
      </c>
      <c r="P411" s="9"/>
      <c r="Q411" s="7">
        <v>1073.49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-1073.49</v>
      </c>
      <c r="X411" s="8" t="str">
        <f>IFERROR(W411/W444, "NA")</f>
        <v>NA</v>
      </c>
      <c r="Y411" s="9"/>
      <c r="Z411" s="7">
        <v>805.11</v>
      </c>
      <c r="AA411" s="8" t="str">
        <f>IFERROR(Z411/Z444, "NA")</f>
        <v>NA</v>
      </c>
      <c r="AB411" s="9"/>
      <c r="AC411" s="10">
        <f t="shared" si="103"/>
        <v>-268.38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0</v>
      </c>
      <c r="I418" s="8" t="str">
        <f>IFERROR(H418/H444, "NA")</f>
        <v>NA</v>
      </c>
      <c r="J418" s="9"/>
      <c r="K418" s="7">
        <v>0</v>
      </c>
      <c r="L418" s="8" t="str">
        <f>IFERROR(K418/K444, "NA")</f>
        <v>NA</v>
      </c>
      <c r="M418" s="9"/>
      <c r="N418" s="10">
        <f t="shared" si="101"/>
        <v>0</v>
      </c>
      <c r="O418" s="8" t="str">
        <f>IFERROR(N418/N444, "NA")</f>
        <v>NA</v>
      </c>
      <c r="P418" s="9"/>
      <c r="Q418" s="7">
        <v>0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0</v>
      </c>
      <c r="X418" s="8" t="str">
        <f>IFERROR(W418/W444, "NA")</f>
        <v>NA</v>
      </c>
      <c r="Y418" s="9"/>
      <c r="Z418" s="7">
        <v>-1725.69</v>
      </c>
      <c r="AA418" s="8" t="str">
        <f>IFERROR(Z418/Z444, "NA")</f>
        <v>NA</v>
      </c>
      <c r="AB418" s="9"/>
      <c r="AC418" s="10">
        <f t="shared" si="103"/>
        <v>-1725.69</v>
      </c>
      <c r="AD418" s="8" t="str">
        <f>IFERROR(AC418/AC444, "NA")</f>
        <v>NA</v>
      </c>
    </row>
    <row r="419" spans="1:30" ht="16.5" hidden="1" customHeight="1" x14ac:dyDescent="0.45">
      <c r="A419" s="6" t="s">
        <v>384</v>
      </c>
      <c r="B419" s="7">
        <v>0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0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0</v>
      </c>
      <c r="O419" s="8" t="str">
        <f>IFERROR(N419/N444, "NA")</f>
        <v>NA</v>
      </c>
      <c r="P419" s="9"/>
      <c r="Q419" s="7">
        <v>0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0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0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customHeight="1" x14ac:dyDescent="0.45">
      <c r="A422" s="6" t="s">
        <v>387</v>
      </c>
      <c r="B422" s="7">
        <v>1529.42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-1529.42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-1529.42</v>
      </c>
      <c r="O422" s="8" t="str">
        <f>IFERROR(N422/N444, "NA")</f>
        <v>NA</v>
      </c>
      <c r="P422" s="9"/>
      <c r="Q422" s="7">
        <v>517.38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-517.38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-517.38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-15602.76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15602.76</v>
      </c>
      <c r="I423" s="8" t="str">
        <f>IFERROR(H423/H444, "NA")</f>
        <v>NA</v>
      </c>
      <c r="J423" s="9"/>
      <c r="K423" s="7">
        <v>-2.85</v>
      </c>
      <c r="L423" s="8" t="str">
        <f>IFERROR(K423/K444, "NA")</f>
        <v>NA</v>
      </c>
      <c r="M423" s="9"/>
      <c r="N423" s="10">
        <f t="shared" si="101"/>
        <v>15599.91</v>
      </c>
      <c r="O423" s="8" t="str">
        <f>IFERROR(N423/N444, "NA")</f>
        <v>NA</v>
      </c>
      <c r="P423" s="9"/>
      <c r="Q423" s="7">
        <v>-60543.57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60543.57</v>
      </c>
      <c r="X423" s="8" t="str">
        <f>IFERROR(W423/W444, "NA")</f>
        <v>NA</v>
      </c>
      <c r="Y423" s="9"/>
      <c r="Z423" s="7">
        <v>-3.84</v>
      </c>
      <c r="AA423" s="8" t="str">
        <f>IFERROR(Z423/Z444, "NA")</f>
        <v>NA</v>
      </c>
      <c r="AB423" s="9"/>
      <c r="AC423" s="10">
        <f t="shared" si="103"/>
        <v>60539.73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-1140.7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1140.7</v>
      </c>
      <c r="I426" s="8" t="str">
        <f>IFERROR(H426/H444, "NA")</f>
        <v>NA</v>
      </c>
      <c r="J426" s="9"/>
      <c r="K426" s="7">
        <v>-16931.27</v>
      </c>
      <c r="L426" s="8" t="str">
        <f>IFERROR(K426/K444, "NA")</f>
        <v>NA</v>
      </c>
      <c r="M426" s="9"/>
      <c r="N426" s="10">
        <f t="shared" si="101"/>
        <v>-15790.57</v>
      </c>
      <c r="O426" s="8" t="str">
        <f>IFERROR(N426/N444, "NA")</f>
        <v>NA</v>
      </c>
      <c r="P426" s="9"/>
      <c r="Q426" s="7">
        <v>-6353.56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6353.56</v>
      </c>
      <c r="X426" s="8" t="str">
        <f>IFERROR(W426/W444, "NA")</f>
        <v>NA</v>
      </c>
      <c r="Y426" s="9"/>
      <c r="Z426" s="7">
        <v>-29415.07</v>
      </c>
      <c r="AA426" s="8" t="str">
        <f>IFERROR(Z426/Z444, "NA")</f>
        <v>NA</v>
      </c>
      <c r="AB426" s="9"/>
      <c r="AC426" s="10">
        <f t="shared" si="103"/>
        <v>-23061.51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-14885.980000000001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-13500</v>
      </c>
      <c r="F428" s="15" t="str">
        <f>IFERROR(E428/E444, "NA")</f>
        <v>NA</v>
      </c>
      <c r="G428" s="2"/>
      <c r="H428" s="14">
        <f t="shared" si="100"/>
        <v>1385.9800000000014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-16606.05</v>
      </c>
      <c r="L428" s="15" t="str">
        <f>IFERROR(K428/K444, "NA")</f>
        <v>NA</v>
      </c>
      <c r="M428" s="2"/>
      <c r="N428" s="14">
        <f t="shared" si="101"/>
        <v>-1720.0699999999979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-65067.46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-54000</v>
      </c>
      <c r="U428" s="15" t="str">
        <f>IFERROR(T428/T444, "NA")</f>
        <v>NA</v>
      </c>
      <c r="V428" s="2"/>
      <c r="W428" s="14">
        <f t="shared" si="102"/>
        <v>11067.46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-29975.5</v>
      </c>
      <c r="AA428" s="15" t="str">
        <f>IFERROR(Z428/Z444, "NA")</f>
        <v>NA</v>
      </c>
      <c r="AB428" s="2"/>
      <c r="AC428" s="14">
        <f t="shared" si="103"/>
        <v>35091.96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-14885.980000000001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-13500</v>
      </c>
      <c r="F429" s="15" t="str">
        <f>IFERROR(E429/E444, "NA")</f>
        <v>NA</v>
      </c>
      <c r="G429" s="2"/>
      <c r="H429" s="14">
        <f t="shared" si="100"/>
        <v>1385.9800000000014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-16606.05</v>
      </c>
      <c r="L429" s="15" t="str">
        <f>IFERROR(K429/K444, "NA")</f>
        <v>NA</v>
      </c>
      <c r="M429" s="2"/>
      <c r="N429" s="14">
        <f t="shared" si="101"/>
        <v>-1720.0699999999979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-65067.46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-54000</v>
      </c>
      <c r="U429" s="15" t="str">
        <f>IFERROR(T429/T444, "NA")</f>
        <v>NA</v>
      </c>
      <c r="V429" s="2"/>
      <c r="W429" s="14">
        <f t="shared" si="102"/>
        <v>11067.46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-29975.5</v>
      </c>
      <c r="AA429" s="15" t="str">
        <f>IFERROR(Z429/Z444, "NA")</f>
        <v>NA</v>
      </c>
      <c r="AB429" s="2"/>
      <c r="AC429" s="14">
        <f t="shared" si="103"/>
        <v>35091.96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-88836.609999999986</v>
      </c>
      <c r="C443" s="24" t="str">
        <f>IFERROR(B443/B444, "NA")</f>
        <v>NA</v>
      </c>
      <c r="D443" s="25"/>
      <c r="E443" s="23">
        <f>IFERROR(E404-E429-E442, "NA")</f>
        <v>-100725.72</v>
      </c>
      <c r="F443" s="24" t="str">
        <f>IFERROR(E443/E444, "NA")</f>
        <v>NA</v>
      </c>
      <c r="G443" s="25"/>
      <c r="H443" s="23">
        <f>IFERROR(B443-E443, "NA")</f>
        <v>11889.110000000015</v>
      </c>
      <c r="I443" s="24" t="str">
        <f>IFERROR(H443/H444, "NA")</f>
        <v>NA</v>
      </c>
      <c r="J443" s="25"/>
      <c r="K443" s="23">
        <f>IFERROR(K404-K429-K442, "NA")</f>
        <v>-104269.76000000002</v>
      </c>
      <c r="L443" s="24" t="str">
        <f>IFERROR(K443/K444, "NA")</f>
        <v>NA</v>
      </c>
      <c r="M443" s="25"/>
      <c r="N443" s="23">
        <f>IFERROR(B443-K443, "NA")</f>
        <v>15433.150000000038</v>
      </c>
      <c r="O443" s="24" t="str">
        <f>IFERROR(N443/N444, "NA")</f>
        <v>NA</v>
      </c>
      <c r="P443" s="25"/>
      <c r="Q443" s="23">
        <f>IFERROR(Q404-Q429-Q442, "NA")</f>
        <v>-377646.38</v>
      </c>
      <c r="R443" s="24" t="str">
        <f>IFERROR(Q443/Q444, "NA")</f>
        <v>NA</v>
      </c>
      <c r="S443" s="25"/>
      <c r="T443" s="23">
        <f>IFERROR(T404-T429-T442, "NA")</f>
        <v>-388546.1</v>
      </c>
      <c r="U443" s="24" t="str">
        <f>IFERROR(T443/T444, "NA")</f>
        <v>NA</v>
      </c>
      <c r="V443" s="25"/>
      <c r="W443" s="23">
        <f>IFERROR(Q443-T443, "NA")</f>
        <v>10899.719999999972</v>
      </c>
      <c r="X443" s="24" t="str">
        <f>IFERROR(W443/W444, "NA")</f>
        <v>NA</v>
      </c>
      <c r="Y443" s="25"/>
      <c r="Z443" s="23">
        <f>IFERROR(Z404-Z429-Z442, "NA")</f>
        <v>-523016.84000000008</v>
      </c>
      <c r="AA443" s="24" t="str">
        <f>IFERROR(Z443/Z444, "NA")</f>
        <v>NA</v>
      </c>
      <c r="AB443" s="25"/>
      <c r="AC443" s="23">
        <f>IFERROR(Q443-Z443, "NA")</f>
        <v>145370.46000000008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40331.230000000003</v>
      </c>
      <c r="F10" s="8">
        <f>IFERROR(E10/E444, "NA")</f>
        <v>0.45900007044690772</v>
      </c>
      <c r="G10" s="9"/>
      <c r="H10" s="10">
        <f t="shared" ref="H10:H19" si="0">IFERROR(B10-E10, "NA")</f>
        <v>-40331.230000000003</v>
      </c>
      <c r="I10" s="8">
        <f>IFERROR(H10/H444, "NA")</f>
        <v>-4.1329502810894319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159602.84</v>
      </c>
      <c r="U10" s="8">
        <f>IFERROR(T10/T444, "NA")</f>
        <v>0.45900002067764045</v>
      </c>
      <c r="V10" s="9"/>
      <c r="W10" s="10">
        <f t="shared" ref="W10:W19" si="2">IFERROR(Q10-T10, "NA")</f>
        <v>-159602.84</v>
      </c>
      <c r="X10" s="8">
        <f>IFERROR(W10/W444, "NA")</f>
        <v>-12.930196007265426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44108.23</v>
      </c>
      <c r="C11" s="8">
        <f>IFERROR(B11/B444, "NA")</f>
        <v>0.45180799591912202</v>
      </c>
      <c r="D11" s="9"/>
      <c r="E11" s="7">
        <v>0</v>
      </c>
      <c r="F11" s="8">
        <f>IFERROR(E11/E444, "NA")</f>
        <v>0</v>
      </c>
      <c r="G11" s="9"/>
      <c r="H11" s="10">
        <f t="shared" si="0"/>
        <v>44108.23</v>
      </c>
      <c r="I11" s="8">
        <f>IFERROR(H11/H444, "NA")</f>
        <v>4.5199990572282891</v>
      </c>
      <c r="J11" s="9"/>
      <c r="K11" s="7">
        <v>42487.07</v>
      </c>
      <c r="L11" s="8">
        <f>IFERROR(K11/K444, "NA")</f>
        <v>0.53128421964546679</v>
      </c>
      <c r="M11" s="9"/>
      <c r="N11" s="10">
        <f t="shared" si="1"/>
        <v>1621.1600000000035</v>
      </c>
      <c r="O11" s="8">
        <f>IFERROR(N11/N444, "NA")</f>
        <v>9.1821603870513316E-2</v>
      </c>
      <c r="P11" s="9"/>
      <c r="Q11" s="7">
        <v>138526.97</v>
      </c>
      <c r="R11" s="8">
        <f>IFERROR(Q11/Q444, "NA")</f>
        <v>0.38473086899670422</v>
      </c>
      <c r="S11" s="9"/>
      <c r="T11" s="7">
        <v>0</v>
      </c>
      <c r="U11" s="8">
        <f>IFERROR(T11/T444, "NA")</f>
        <v>0</v>
      </c>
      <c r="V11" s="9"/>
      <c r="W11" s="10">
        <f t="shared" si="2"/>
        <v>138526.97</v>
      </c>
      <c r="X11" s="8">
        <f>IFERROR(W11/W444, "NA")</f>
        <v>11.222738106618763</v>
      </c>
      <c r="Y11" s="9"/>
      <c r="Z11" s="7">
        <v>148394.41</v>
      </c>
      <c r="AA11" s="8">
        <f>IFERROR(Z11/Z444, "NA")</f>
        <v>0.45631291182330996</v>
      </c>
      <c r="AB11" s="9"/>
      <c r="AC11" s="10">
        <f t="shared" si="3"/>
        <v>-9867.4400000000023</v>
      </c>
      <c r="AD11" s="8">
        <f>IFERROR(AC11/AC444, "NA")</f>
        <v>-0.28306859409796592</v>
      </c>
    </row>
    <row r="12" spans="1:30" ht="16.5" customHeight="1" x14ac:dyDescent="0.45">
      <c r="A12" s="12" t="s">
        <v>14</v>
      </c>
      <c r="B12" s="7">
        <v>4840.8</v>
      </c>
      <c r="C12" s="8">
        <f>IFERROR(B12/B444, "NA")</f>
        <v>4.9585126101076508E-2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4840.8</v>
      </c>
      <c r="I12" s="8">
        <f>IFERROR(H12/H444, "NA")</f>
        <v>0.4960618786160928</v>
      </c>
      <c r="J12" s="9"/>
      <c r="K12" s="7">
        <v>5111.1000000000004</v>
      </c>
      <c r="L12" s="8">
        <f>IFERROR(K12/K444, "NA")</f>
        <v>6.3912309675154017E-2</v>
      </c>
      <c r="M12" s="9"/>
      <c r="N12" s="10">
        <f t="shared" si="1"/>
        <v>-270.30000000000018</v>
      </c>
      <c r="O12" s="8">
        <f>IFERROR(N12/N444, "NA")</f>
        <v>-1.5309642185965429E-2</v>
      </c>
      <c r="P12" s="9"/>
      <c r="Q12" s="7">
        <v>13825.9</v>
      </c>
      <c r="R12" s="8">
        <f>IFERROR(Q12/Q444, "NA")</f>
        <v>3.8398663607971305E-2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13825.9</v>
      </c>
      <c r="X12" s="8">
        <f>IFERROR(W12/W444, "NA")</f>
        <v>1.1201028564206692</v>
      </c>
      <c r="Y12" s="9"/>
      <c r="Z12" s="7">
        <v>15383.3</v>
      </c>
      <c r="AA12" s="8">
        <f>IFERROR(Z12/Z444, "NA")</f>
        <v>4.730365797776024E-2</v>
      </c>
      <c r="AB12" s="9"/>
      <c r="AC12" s="10">
        <f t="shared" si="3"/>
        <v>-1557.3999999999996</v>
      </c>
      <c r="AD12" s="8">
        <f>IFERROR(AC12/AC444, "NA")</f>
        <v>-4.4677345739945917E-2</v>
      </c>
    </row>
    <row r="13" spans="1:30" ht="16.5" customHeight="1" x14ac:dyDescent="0.45">
      <c r="A13" s="12" t="s">
        <v>15</v>
      </c>
      <c r="B13" s="7">
        <v>270.5</v>
      </c>
      <c r="C13" s="8">
        <f>IFERROR(B13/B444, "NA")</f>
        <v>2.7707768572015358E-3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270.5</v>
      </c>
      <c r="I13" s="8">
        <f>IFERROR(H13/H444, "NA")</f>
        <v>2.771953771394255E-2</v>
      </c>
      <c r="J13" s="9"/>
      <c r="K13" s="7">
        <v>227</v>
      </c>
      <c r="L13" s="8">
        <f>IFERROR(K13/K444, "NA")</f>
        <v>2.8385463591516424E-3</v>
      </c>
      <c r="M13" s="9"/>
      <c r="N13" s="10">
        <f t="shared" si="1"/>
        <v>43.5</v>
      </c>
      <c r="O13" s="8">
        <f>IFERROR(N13/N444, "NA")</f>
        <v>2.4638158900832248E-3</v>
      </c>
      <c r="P13" s="9"/>
      <c r="Q13" s="7">
        <v>750</v>
      </c>
      <c r="R13" s="8">
        <f>IFERROR(Q13/Q444, "NA")</f>
        <v>2.0829745409686514E-3</v>
      </c>
      <c r="S13" s="9"/>
      <c r="T13" s="7">
        <v>0</v>
      </c>
      <c r="U13" s="8">
        <f>IFERROR(T13/T444, "NA")</f>
        <v>0</v>
      </c>
      <c r="V13" s="9"/>
      <c r="W13" s="10">
        <f t="shared" si="2"/>
        <v>750</v>
      </c>
      <c r="X13" s="8">
        <f>IFERROR(W13/W444, "NA")</f>
        <v>6.0761118069384418E-2</v>
      </c>
      <c r="Y13" s="9"/>
      <c r="Z13" s="7">
        <v>676.5</v>
      </c>
      <c r="AA13" s="8">
        <f>IFERROR(Z13/Z444, "NA")</f>
        <v>2.0802379607727083E-3</v>
      </c>
      <c r="AB13" s="9"/>
      <c r="AC13" s="10">
        <f t="shared" si="3"/>
        <v>73.5</v>
      </c>
      <c r="AD13" s="8">
        <f>IFERROR(AC13/AC444, "NA")</f>
        <v>2.1085045023025721E-3</v>
      </c>
    </row>
    <row r="14" spans="1:30" ht="16.5" customHeight="1" x14ac:dyDescent="0.45">
      <c r="A14" s="12" t="s">
        <v>16</v>
      </c>
      <c r="B14" s="7">
        <v>125</v>
      </c>
      <c r="C14" s="8">
        <f>IFERROR(B14/B444, "NA")</f>
        <v>1.2803959598898041E-3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125</v>
      </c>
      <c r="I14" s="8">
        <f>IFERROR(H14/H444, "NA")</f>
        <v>1.2809398204224838E-2</v>
      </c>
      <c r="J14" s="9"/>
      <c r="K14" s="7">
        <v>425</v>
      </c>
      <c r="L14" s="8">
        <f>IFERROR(K14/K444, "NA")</f>
        <v>5.314459042464529E-3</v>
      </c>
      <c r="M14" s="9"/>
      <c r="N14" s="10">
        <f t="shared" si="1"/>
        <v>-300</v>
      </c>
      <c r="O14" s="8">
        <f>IFERROR(N14/N444, "NA")</f>
        <v>-1.6991833724711896E-2</v>
      </c>
      <c r="P14" s="9"/>
      <c r="Q14" s="7">
        <v>246</v>
      </c>
      <c r="R14" s="8">
        <f>IFERROR(Q14/Q444, "NA")</f>
        <v>6.8321564943771762E-4</v>
      </c>
      <c r="S14" s="9"/>
      <c r="T14" s="7">
        <v>0</v>
      </c>
      <c r="U14" s="8">
        <f>IFERROR(T14/T444, "NA")</f>
        <v>0</v>
      </c>
      <c r="V14" s="9"/>
      <c r="W14" s="10">
        <f t="shared" si="2"/>
        <v>246</v>
      </c>
      <c r="X14" s="8">
        <f>IFERROR(W14/W444, "NA")</f>
        <v>1.992964672675809E-2</v>
      </c>
      <c r="Y14" s="9"/>
      <c r="Z14" s="7">
        <v>1245</v>
      </c>
      <c r="AA14" s="8">
        <f>IFERROR(Z14/Z444, "NA")</f>
        <v>3.8283758479852503E-3</v>
      </c>
      <c r="AB14" s="9"/>
      <c r="AC14" s="10">
        <f t="shared" si="3"/>
        <v>-999</v>
      </c>
      <c r="AD14" s="8">
        <f>IFERROR(AC14/AC444, "NA")</f>
        <v>-2.8658448949663528E-2</v>
      </c>
    </row>
    <row r="15" spans="1:30" ht="16.5" customHeight="1" x14ac:dyDescent="0.45">
      <c r="A15" s="12" t="s">
        <v>17</v>
      </c>
      <c r="B15" s="7">
        <v>31</v>
      </c>
      <c r="C15" s="8">
        <f>IFERROR(B15/B444, "NA")</f>
        <v>3.175381980526714E-4</v>
      </c>
      <c r="D15" s="9"/>
      <c r="E15" s="7">
        <v>0</v>
      </c>
      <c r="F15" s="8">
        <f>IFERROR(E15/E444, "NA")</f>
        <v>0</v>
      </c>
      <c r="G15" s="9"/>
      <c r="H15" s="10">
        <f t="shared" si="0"/>
        <v>31</v>
      </c>
      <c r="I15" s="8">
        <f>IFERROR(H15/H444, "NA")</f>
        <v>3.1767307546477601E-3</v>
      </c>
      <c r="J15" s="9"/>
      <c r="K15" s="7">
        <v>5</v>
      </c>
      <c r="L15" s="8">
        <f>IFERROR(K15/K444, "NA")</f>
        <v>6.2523047558406226E-5</v>
      </c>
      <c r="M15" s="9"/>
      <c r="N15" s="10">
        <f t="shared" si="1"/>
        <v>26</v>
      </c>
      <c r="O15" s="8">
        <f>IFERROR(N15/N444, "NA")</f>
        <v>1.472625589475031E-3</v>
      </c>
      <c r="P15" s="9"/>
      <c r="Q15" s="7">
        <v>257</v>
      </c>
      <c r="R15" s="8">
        <f>IFERROR(Q15/Q444, "NA")</f>
        <v>7.1376594270525793E-4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257</v>
      </c>
      <c r="X15" s="8">
        <f>IFERROR(W15/W444, "NA")</f>
        <v>2.0820809791775727E-2</v>
      </c>
      <c r="Y15" s="9"/>
      <c r="Z15" s="7">
        <v>158</v>
      </c>
      <c r="AA15" s="8">
        <f>IFERROR(Z15/Z444, "NA")</f>
        <v>4.8585010761579883E-4</v>
      </c>
      <c r="AB15" s="9"/>
      <c r="AC15" s="10">
        <f t="shared" si="3"/>
        <v>99</v>
      </c>
      <c r="AD15" s="8">
        <f>IFERROR(AC15/AC444, "NA")</f>
        <v>2.8400264724891787E-3</v>
      </c>
    </row>
    <row r="16" spans="1:30" ht="16.5" customHeight="1" x14ac:dyDescent="0.45">
      <c r="A16" s="12" t="s">
        <v>18</v>
      </c>
      <c r="B16" s="7">
        <v>0.38</v>
      </c>
      <c r="C16" s="8">
        <f>IFERROR(B16/B444, "NA")</f>
        <v>3.8924037180650042E-6</v>
      </c>
      <c r="D16" s="9"/>
      <c r="E16" s="7">
        <v>0</v>
      </c>
      <c r="F16" s="8">
        <f>IFERROR(E16/E444, "NA")</f>
        <v>0</v>
      </c>
      <c r="G16" s="9"/>
      <c r="H16" s="10">
        <f t="shared" si="0"/>
        <v>0.38</v>
      </c>
      <c r="I16" s="8">
        <f>IFERROR(H16/H444, "NA")</f>
        <v>3.8940570540843509E-5</v>
      </c>
      <c r="J16" s="9"/>
      <c r="K16" s="7">
        <v>0</v>
      </c>
      <c r="L16" s="8">
        <f>IFERROR(K16/K444, "NA")</f>
        <v>0</v>
      </c>
      <c r="M16" s="9"/>
      <c r="N16" s="10">
        <f t="shared" si="1"/>
        <v>0.38</v>
      </c>
      <c r="O16" s="8">
        <f>IFERROR(N16/N444, "NA")</f>
        <v>2.1522989384635066E-5</v>
      </c>
      <c r="P16" s="9"/>
      <c r="Q16" s="7">
        <v>3.3</v>
      </c>
      <c r="R16" s="8">
        <f>IFERROR(Q16/Q444, "NA")</f>
        <v>9.1650879802620658E-6</v>
      </c>
      <c r="S16" s="9"/>
      <c r="T16" s="7">
        <v>0</v>
      </c>
      <c r="U16" s="8">
        <f>IFERROR(T16/T444, "NA")</f>
        <v>0</v>
      </c>
      <c r="V16" s="9"/>
      <c r="W16" s="10">
        <f t="shared" si="2"/>
        <v>3.3</v>
      </c>
      <c r="X16" s="8">
        <f>IFERROR(W16/W444, "NA")</f>
        <v>2.673489195052914E-4</v>
      </c>
      <c r="Y16" s="9"/>
      <c r="Z16" s="7">
        <v>1.35</v>
      </c>
      <c r="AA16" s="8">
        <f>IFERROR(Z16/Z444, "NA")</f>
        <v>4.1512509195020787E-6</v>
      </c>
      <c r="AB16" s="9"/>
      <c r="AC16" s="10">
        <f t="shared" si="3"/>
        <v>1.9499999999999997</v>
      </c>
      <c r="AD16" s="8">
        <f>IFERROR(AC16/AC444, "NA")</f>
        <v>5.5939915367211087E-5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49375.91</v>
      </c>
      <c r="C18" s="15">
        <f>IFERROR(B18/B444, "NA")</f>
        <v>0.50576572543906062</v>
      </c>
      <c r="D18" s="2"/>
      <c r="E18" s="14">
        <f>IFERROR(E10+E11+E12+E13+E14+E15+E16+E17, "NA")</f>
        <v>40331.230000000003</v>
      </c>
      <c r="F18" s="15">
        <f>IFERROR(E18/E444, "NA")</f>
        <v>0.45900007044690772</v>
      </c>
      <c r="G18" s="2"/>
      <c r="H18" s="14">
        <f t="shared" si="0"/>
        <v>9044.68</v>
      </c>
      <c r="I18" s="15">
        <f>IFERROR(H18/H444, "NA")</f>
        <v>0.92685526199830648</v>
      </c>
      <c r="J18" s="2"/>
      <c r="K18" s="14">
        <f>IFERROR(K10+K11+K12+K13+K14+K15+K16+K17, "NA")</f>
        <v>48255.17</v>
      </c>
      <c r="L18" s="15">
        <f>IFERROR(K18/K444, "NA")</f>
        <v>0.60341205776979545</v>
      </c>
      <c r="M18" s="2"/>
      <c r="N18" s="14">
        <f t="shared" si="1"/>
        <v>1120.7400000000052</v>
      </c>
      <c r="O18" s="15">
        <f>IFERROR(N18/N444, "NA")</f>
        <v>6.3478092428778998E-2</v>
      </c>
      <c r="P18" s="2"/>
      <c r="Q18" s="14">
        <f>IFERROR(Q10+Q11+Q12+Q13+Q14+Q15+Q16+Q17, "NA")</f>
        <v>153609.16999999998</v>
      </c>
      <c r="R18" s="15">
        <f>IFERROR(Q18/Q444, "NA")</f>
        <v>0.42661865382576736</v>
      </c>
      <c r="S18" s="2"/>
      <c r="T18" s="14">
        <f>IFERROR(T10+T11+T12+T13+T14+T15+T16+T17, "NA")</f>
        <v>159602.84</v>
      </c>
      <c r="U18" s="15">
        <f>IFERROR(T18/T444, "NA")</f>
        <v>0.45900002067764045</v>
      </c>
      <c r="V18" s="2"/>
      <c r="W18" s="14">
        <f t="shared" si="2"/>
        <v>-5993.6700000000128</v>
      </c>
      <c r="X18" s="15">
        <f>IFERROR(W18/W444, "NA")</f>
        <v>-0.48557612071857076</v>
      </c>
      <c r="Y18" s="2"/>
      <c r="Z18" s="14">
        <f>IFERROR(Z10+Z11+Z12+Z13+Z14+Z15+Z16+Z17, "NA")</f>
        <v>165858.56</v>
      </c>
      <c r="AA18" s="15">
        <f>IFERROR(Z18/Z444, "NA")</f>
        <v>0.51001518496836351</v>
      </c>
      <c r="AB18" s="2"/>
      <c r="AC18" s="14">
        <f t="shared" si="3"/>
        <v>-12249.390000000014</v>
      </c>
      <c r="AD18" s="15">
        <f>IFERROR(AC18/AC444, "NA")</f>
        <v>-0.35139991789741676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8786.76</v>
      </c>
      <c r="F21" s="8">
        <f>IFERROR(E21/E444, "NA")</f>
        <v>0.10000001138076053</v>
      </c>
      <c r="G21" s="9"/>
      <c r="H21" s="10">
        <f t="shared" ref="H21:H29" si="4">IFERROR(B21-E21, "NA")</f>
        <v>-8786.76</v>
      </c>
      <c r="I21" s="8">
        <f>IFERROR(H21/H444, "NA")</f>
        <v>-0.90042486211963713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34771.86</v>
      </c>
      <c r="U21" s="8">
        <f>IFERROR(T21/T444, "NA")</f>
        <v>0.1000000028758888</v>
      </c>
      <c r="V21" s="9"/>
      <c r="W21" s="10">
        <f t="shared" ref="W21:W29" si="6">IFERROR(Q21-T21, "NA")</f>
        <v>-34771.86</v>
      </c>
      <c r="X21" s="8">
        <f>IFERROR(W21/W444, "NA")</f>
        <v>-2.8170361212694734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IFERROR(B22/B444, "NA")</f>
        <v>0</v>
      </c>
      <c r="D22" s="9"/>
      <c r="E22" s="7">
        <v>0</v>
      </c>
      <c r="F22" s="8">
        <f>IFERROR(E22/E444, "NA")</f>
        <v>0</v>
      </c>
      <c r="G22" s="9"/>
      <c r="H22" s="10">
        <f t="shared" si="4"/>
        <v>0</v>
      </c>
      <c r="I22" s="8">
        <f>IFERROR(H22/H444, "NA")</f>
        <v>0</v>
      </c>
      <c r="J22" s="9"/>
      <c r="K22" s="7">
        <v>6560.35</v>
      </c>
      <c r="L22" s="8">
        <f>IFERROR(K22/K444, "NA")</f>
        <v>8.2034615009958053E-2</v>
      </c>
      <c r="M22" s="9"/>
      <c r="N22" s="10">
        <f t="shared" si="5"/>
        <v>-6560.35</v>
      </c>
      <c r="O22" s="8">
        <f>IFERROR(N22/N444, "NA")</f>
        <v>-0.37157458791971232</v>
      </c>
      <c r="P22" s="9"/>
      <c r="Q22" s="7">
        <v>1956.45</v>
      </c>
      <c r="R22" s="8">
        <f>IFERROR(Q22/Q444, "NA")</f>
        <v>5.4336473875708242E-3</v>
      </c>
      <c r="S22" s="9"/>
      <c r="T22" s="7">
        <v>0</v>
      </c>
      <c r="U22" s="8">
        <f>IFERROR(T22/T444, "NA")</f>
        <v>0</v>
      </c>
      <c r="V22" s="9"/>
      <c r="W22" s="10">
        <f t="shared" si="6"/>
        <v>1956.45</v>
      </c>
      <c r="X22" s="8">
        <f>IFERROR(W22/W444, "NA")</f>
        <v>0.15850145259579621</v>
      </c>
      <c r="Y22" s="9"/>
      <c r="Z22" s="7">
        <v>26487.85</v>
      </c>
      <c r="AA22" s="8">
        <f>IFERROR(Z22/Z444, "NA")</f>
        <v>8.1450156791209732E-2</v>
      </c>
      <c r="AB22" s="9"/>
      <c r="AC22" s="10">
        <f t="shared" si="7"/>
        <v>-24531.399999999998</v>
      </c>
      <c r="AD22" s="8">
        <f>IFERROR(AC22/AC444, "NA")</f>
        <v>-0.70373561017394981</v>
      </c>
    </row>
    <row r="23" spans="1:30" ht="16.5" customHeight="1" x14ac:dyDescent="0.45">
      <c r="A23" s="12" t="s">
        <v>24</v>
      </c>
      <c r="B23" s="7">
        <v>5401.31</v>
      </c>
      <c r="C23" s="8">
        <f>IFERROR(B23/B444, "NA")</f>
        <v>5.5326524016899178E-2</v>
      </c>
      <c r="D23" s="9"/>
      <c r="E23" s="7">
        <v>0</v>
      </c>
      <c r="F23" s="8">
        <f>IFERROR(E23/E444, "NA")</f>
        <v>0</v>
      </c>
      <c r="G23" s="9"/>
      <c r="H23" s="10">
        <f t="shared" si="4"/>
        <v>5401.31</v>
      </c>
      <c r="I23" s="8">
        <f>IFERROR(H23/H444, "NA")</f>
        <v>0.55350024491569338</v>
      </c>
      <c r="J23" s="9"/>
      <c r="K23" s="7">
        <v>0</v>
      </c>
      <c r="L23" s="8">
        <f>IFERROR(K23/K444, "NA")</f>
        <v>0</v>
      </c>
      <c r="M23" s="9"/>
      <c r="N23" s="10">
        <f t="shared" si="5"/>
        <v>5401.31</v>
      </c>
      <c r="O23" s="8">
        <f>IFERROR(N23/N444, "NA")</f>
        <v>0.3059272047187454</v>
      </c>
      <c r="P23" s="9"/>
      <c r="Q23" s="7">
        <v>19054.97</v>
      </c>
      <c r="R23" s="8">
        <f>IFERROR(Q23/Q444, "NA")</f>
        <v>5.2921356518561904E-2</v>
      </c>
      <c r="S23" s="9"/>
      <c r="T23" s="7">
        <v>0</v>
      </c>
      <c r="U23" s="8">
        <f>IFERROR(T23/T444, "NA")</f>
        <v>0</v>
      </c>
      <c r="V23" s="9"/>
      <c r="W23" s="10">
        <f t="shared" si="6"/>
        <v>19054.97</v>
      </c>
      <c r="X23" s="8">
        <f>IFERROR(W23/W444, "NA")</f>
        <v>1.543735042638104</v>
      </c>
      <c r="Y23" s="9"/>
      <c r="Z23" s="7">
        <v>0</v>
      </c>
      <c r="AA23" s="8">
        <f>IFERROR(Z23/Z444, "NA")</f>
        <v>0</v>
      </c>
      <c r="AB23" s="9"/>
      <c r="AC23" s="10">
        <f t="shared" si="7"/>
        <v>19054.97</v>
      </c>
      <c r="AD23" s="8">
        <f>IFERROR(AC23/AC444, "NA")</f>
        <v>0.54663251749986996</v>
      </c>
    </row>
    <row r="24" spans="1:30" ht="16.5" customHeight="1" x14ac:dyDescent="0.45">
      <c r="A24" s="12" t="s">
        <v>25</v>
      </c>
      <c r="B24" s="7">
        <v>602.13</v>
      </c>
      <c r="C24" s="8">
        <f>IFERROR(B24/B444, "NA")</f>
        <v>6.1677185546275808E-3</v>
      </c>
      <c r="D24" s="9"/>
      <c r="E24" s="7">
        <v>0</v>
      </c>
      <c r="F24" s="8">
        <f>IFERROR(E24/E444, "NA")</f>
        <v>0</v>
      </c>
      <c r="G24" s="9"/>
      <c r="H24" s="10">
        <f t="shared" si="4"/>
        <v>602.13</v>
      </c>
      <c r="I24" s="8">
        <f>IFERROR(H24/H444, "NA")</f>
        <v>6.1703383525679216E-2</v>
      </c>
      <c r="J24" s="9"/>
      <c r="K24" s="7">
        <v>636.16</v>
      </c>
      <c r="L24" s="8">
        <f>IFERROR(K24/K444, "NA")</f>
        <v>7.9549323869511392E-3</v>
      </c>
      <c r="M24" s="9"/>
      <c r="N24" s="10">
        <f t="shared" si="5"/>
        <v>-34.029999999999973</v>
      </c>
      <c r="O24" s="8">
        <f>IFERROR(N24/N444, "NA")</f>
        <v>-1.9274403388398178E-3</v>
      </c>
      <c r="P24" s="9"/>
      <c r="Q24" s="7">
        <v>2733.9</v>
      </c>
      <c r="R24" s="8">
        <f>IFERROR(Q24/Q444, "NA")</f>
        <v>7.5928587967389284E-3</v>
      </c>
      <c r="S24" s="9"/>
      <c r="T24" s="7">
        <v>0</v>
      </c>
      <c r="U24" s="8">
        <f>IFERROR(T24/T444, "NA")</f>
        <v>0</v>
      </c>
      <c r="V24" s="9"/>
      <c r="W24" s="10">
        <f t="shared" si="6"/>
        <v>2733.9</v>
      </c>
      <c r="X24" s="8">
        <f>IFERROR(W24/W444, "NA")</f>
        <v>0.22148642758652007</v>
      </c>
      <c r="Y24" s="9"/>
      <c r="Z24" s="7">
        <v>2662.2</v>
      </c>
      <c r="AA24" s="8">
        <f>IFERROR(Z24/Z444, "NA")</f>
        <v>8.1862668132580991E-3</v>
      </c>
      <c r="AB24" s="9"/>
      <c r="AC24" s="10">
        <f t="shared" si="7"/>
        <v>71.700000000000273</v>
      </c>
      <c r="AD24" s="8">
        <f>IFERROR(AC24/AC444, "NA")</f>
        <v>2.056867657348231E-3</v>
      </c>
    </row>
    <row r="25" spans="1:30" ht="16.5" customHeight="1" x14ac:dyDescent="0.45">
      <c r="A25" s="12" t="s">
        <v>26</v>
      </c>
      <c r="B25" s="7">
        <v>177.8</v>
      </c>
      <c r="C25" s="8">
        <f>IFERROR(B25/B444, "NA")</f>
        <v>1.8212352133472572E-3</v>
      </c>
      <c r="D25" s="9"/>
      <c r="E25" s="7">
        <v>0</v>
      </c>
      <c r="F25" s="8">
        <f>IFERROR(E25/E444, "NA")</f>
        <v>0</v>
      </c>
      <c r="G25" s="9"/>
      <c r="H25" s="10">
        <f t="shared" si="4"/>
        <v>177.8</v>
      </c>
      <c r="I25" s="8">
        <f>IFERROR(H25/H444, "NA")</f>
        <v>1.8220088005689413E-2</v>
      </c>
      <c r="J25" s="9"/>
      <c r="K25" s="7">
        <v>0</v>
      </c>
      <c r="L25" s="8">
        <f>IFERROR(K25/K444, "NA")</f>
        <v>0</v>
      </c>
      <c r="M25" s="9"/>
      <c r="N25" s="10">
        <f t="shared" si="5"/>
        <v>177.8</v>
      </c>
      <c r="O25" s="8">
        <f>IFERROR(N25/N444, "NA")</f>
        <v>1.0070493454179251E-2</v>
      </c>
      <c r="P25" s="9"/>
      <c r="Q25" s="7">
        <v>846.98</v>
      </c>
      <c r="R25" s="8">
        <f>IFERROR(Q25/Q444, "NA")</f>
        <v>2.3523170356128378E-3</v>
      </c>
      <c r="S25" s="9"/>
      <c r="T25" s="7">
        <v>0</v>
      </c>
      <c r="U25" s="8">
        <f>IFERROR(T25/T444, "NA")</f>
        <v>0</v>
      </c>
      <c r="V25" s="9"/>
      <c r="W25" s="10">
        <f t="shared" si="6"/>
        <v>846.98</v>
      </c>
      <c r="X25" s="8">
        <f>IFERROR(W25/W444, "NA")</f>
        <v>6.8617935709876288E-2</v>
      </c>
      <c r="Y25" s="9"/>
      <c r="Z25" s="7">
        <v>0</v>
      </c>
      <c r="AA25" s="8">
        <f>IFERROR(Z25/Z444, "NA")</f>
        <v>0</v>
      </c>
      <c r="AB25" s="9"/>
      <c r="AC25" s="10">
        <f t="shared" si="7"/>
        <v>846.98</v>
      </c>
      <c r="AD25" s="8">
        <f>IFERROR(AC25/AC444, "NA")</f>
        <v>2.4297430521907925E-2</v>
      </c>
    </row>
    <row r="26" spans="1:30" ht="16.5" customHeight="1" x14ac:dyDescent="0.45">
      <c r="A26" s="12" t="s">
        <v>27</v>
      </c>
      <c r="B26" s="7">
        <v>1432.66</v>
      </c>
      <c r="C26" s="8">
        <f>IFERROR(B26/B444, "NA")</f>
        <v>1.4674976607165813E-2</v>
      </c>
      <c r="D26" s="9"/>
      <c r="E26" s="7">
        <v>0</v>
      </c>
      <c r="F26" s="8">
        <f>IFERROR(E26/E444, "NA")</f>
        <v>0</v>
      </c>
      <c r="G26" s="9"/>
      <c r="H26" s="10">
        <f t="shared" si="4"/>
        <v>1432.66</v>
      </c>
      <c r="I26" s="8">
        <f>IFERROR(H26/H444, "NA")</f>
        <v>0.14681209945011806</v>
      </c>
      <c r="J26" s="9"/>
      <c r="K26" s="7">
        <v>0</v>
      </c>
      <c r="L26" s="8">
        <f>IFERROR(K26/K444, "NA")</f>
        <v>0</v>
      </c>
      <c r="M26" s="9"/>
      <c r="N26" s="10">
        <f t="shared" si="5"/>
        <v>1432.66</v>
      </c>
      <c r="O26" s="8">
        <f>IFERROR(N26/N444, "NA")</f>
        <v>8.1145068346819157E-2</v>
      </c>
      <c r="P26" s="9"/>
      <c r="Q26" s="7">
        <v>6353.46</v>
      </c>
      <c r="R26" s="8">
        <f>IFERROR(Q26/Q444, "NA")</f>
        <v>1.7645460569416918E-2</v>
      </c>
      <c r="S26" s="9"/>
      <c r="T26" s="7">
        <v>0</v>
      </c>
      <c r="U26" s="8">
        <f>IFERROR(T26/T444, "NA")</f>
        <v>0</v>
      </c>
      <c r="V26" s="9"/>
      <c r="W26" s="10">
        <f t="shared" si="6"/>
        <v>6353.46</v>
      </c>
      <c r="X26" s="8">
        <f>IFERROR(W26/W444, "NA")</f>
        <v>0.51472444427881481</v>
      </c>
      <c r="Y26" s="9"/>
      <c r="Z26" s="7">
        <v>0</v>
      </c>
      <c r="AA26" s="8">
        <f>IFERROR(Z26/Z444, "NA")</f>
        <v>0</v>
      </c>
      <c r="AB26" s="9"/>
      <c r="AC26" s="10">
        <f t="shared" si="7"/>
        <v>6353.46</v>
      </c>
      <c r="AD26" s="8">
        <f>IFERROR(AC26/AC444, "NA")</f>
        <v>0.18226257163536461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850.58</v>
      </c>
      <c r="C28" s="8">
        <f>IFERROR(B28/B444, "NA")</f>
        <v>8.7126335645045568E-3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850.58</v>
      </c>
      <c r="I28" s="8">
        <f>IFERROR(H28/H444, "NA")</f>
        <v>8.7163343396396503E-2</v>
      </c>
      <c r="J28" s="9"/>
      <c r="K28" s="7">
        <v>838.6</v>
      </c>
      <c r="L28" s="8">
        <f>IFERROR(K28/K444, "NA")</f>
        <v>1.0486365536495892E-2</v>
      </c>
      <c r="M28" s="9"/>
      <c r="N28" s="10">
        <f t="shared" si="5"/>
        <v>11.980000000000018</v>
      </c>
      <c r="O28" s="8">
        <f>IFERROR(N28/N444, "NA")</f>
        <v>6.7854056007349609E-4</v>
      </c>
      <c r="P28" s="9"/>
      <c r="Q28" s="7">
        <v>3246.58</v>
      </c>
      <c r="R28" s="8">
        <f>IFERROR(Q28/Q444, "NA")</f>
        <v>9.0167246469573387E-3</v>
      </c>
      <c r="S28" s="9"/>
      <c r="T28" s="7">
        <v>0</v>
      </c>
      <c r="U28" s="8">
        <f>IFERROR(T28/T444, "NA")</f>
        <v>0</v>
      </c>
      <c r="V28" s="9"/>
      <c r="W28" s="10">
        <f t="shared" si="6"/>
        <v>3246.58</v>
      </c>
      <c r="X28" s="8">
        <f>IFERROR(W28/W444, "NA")</f>
        <v>0.26302110760226938</v>
      </c>
      <c r="Y28" s="9"/>
      <c r="Z28" s="7">
        <v>3216.63</v>
      </c>
      <c r="AA28" s="8">
        <f>IFERROR(Z28/Z444, "NA")</f>
        <v>9.8911394408873875E-3</v>
      </c>
      <c r="AB28" s="9"/>
      <c r="AC28" s="10">
        <f t="shared" si="7"/>
        <v>29.949999999999818</v>
      </c>
      <c r="AD28" s="8">
        <f>IFERROR(AC28/AC444, "NA")</f>
        <v>8.5917972576818563E-4</v>
      </c>
    </row>
    <row r="29" spans="1:30" ht="16.5" customHeight="1" x14ac:dyDescent="0.45">
      <c r="A29" s="13" t="s">
        <v>30</v>
      </c>
      <c r="B29" s="14">
        <f>IFERROR(B21+B22+B23+B24+B25+B26+B27+B28, "NA")</f>
        <v>8464.4800000000014</v>
      </c>
      <c r="C29" s="15">
        <f>IFERROR(B29/B444, "NA")</f>
        <v>8.6703087956544397E-2</v>
      </c>
      <c r="D29" s="2"/>
      <c r="E29" s="14">
        <f>IFERROR(E21+E22+E23+E24+E25+E26+E27+E28, "NA")</f>
        <v>8786.76</v>
      </c>
      <c r="F29" s="15">
        <f>IFERROR(E29/E444, "NA")</f>
        <v>0.10000001138076053</v>
      </c>
      <c r="G29" s="2"/>
      <c r="H29" s="14">
        <f t="shared" si="4"/>
        <v>-322.27999999999884</v>
      </c>
      <c r="I29" s="15">
        <f>IFERROR(H29/H444, "NA")</f>
        <v>-3.302570282606053E-2</v>
      </c>
      <c r="J29" s="2"/>
      <c r="K29" s="14">
        <f>IFERROR(K21+K22+K23+K24+K25+K26+K27+K28, "NA")</f>
        <v>8035.1100000000006</v>
      </c>
      <c r="L29" s="15">
        <f>IFERROR(K29/K444, "NA")</f>
        <v>0.10047591293340509</v>
      </c>
      <c r="M29" s="2"/>
      <c r="N29" s="14">
        <f t="shared" si="5"/>
        <v>429.3700000000008</v>
      </c>
      <c r="O29" s="15">
        <f>IFERROR(N29/N444, "NA")</f>
        <v>2.4319278821265201E-2</v>
      </c>
      <c r="P29" s="2"/>
      <c r="Q29" s="14">
        <f>IFERROR(Q21+Q22+Q23+Q24+Q25+Q26+Q27+Q28, "NA")</f>
        <v>34192.340000000004</v>
      </c>
      <c r="R29" s="15">
        <f>IFERROR(Q29/Q444, "NA")</f>
        <v>9.4962364954858755E-2</v>
      </c>
      <c r="S29" s="2"/>
      <c r="T29" s="14">
        <f>IFERROR(T21+T22+T23+T24+T25+T26+T27+T28, "NA")</f>
        <v>34771.86</v>
      </c>
      <c r="U29" s="15">
        <f>IFERROR(T29/T444, "NA")</f>
        <v>0.1000000028758888</v>
      </c>
      <c r="V29" s="2"/>
      <c r="W29" s="14">
        <f t="shared" si="6"/>
        <v>-579.5199999999968</v>
      </c>
      <c r="X29" s="15">
        <f>IFERROR(W29/W444, "NA")</f>
        <v>-4.6949710858092616E-2</v>
      </c>
      <c r="Y29" s="2"/>
      <c r="Z29" s="14">
        <f>IFERROR(Z21+Z22+Z23+Z24+Z25+Z26+Z27+Z28, "NA")</f>
        <v>32366.68</v>
      </c>
      <c r="AA29" s="15">
        <f>IFERROR(Z29/Z444, "NA")</f>
        <v>9.9527563045355219E-2</v>
      </c>
      <c r="AB29" s="2"/>
      <c r="AC29" s="14">
        <f t="shared" si="7"/>
        <v>1825.6600000000035</v>
      </c>
      <c r="AD29" s="15">
        <f>IFERROR(AC29/AC444, "NA")</f>
        <v>5.2372956866309127E-2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16694.84</v>
      </c>
      <c r="F31" s="8">
        <f>IFERROR(E31/E444, "NA")</f>
        <v>0.1899999761004029</v>
      </c>
      <c r="G31" s="9"/>
      <c r="H31" s="10">
        <f t="shared" ref="H31:H40" si="8">IFERROR(B31-E31, "NA")</f>
        <v>-16694.84</v>
      </c>
      <c r="I31" s="8">
        <f>IFERROR(H31/H444, "NA")</f>
        <v>-1.710806828126568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66066.53</v>
      </c>
      <c r="U31" s="8">
        <f>IFERROR(T31/T444, "NA")</f>
        <v>0.1899999939606335</v>
      </c>
      <c r="V31" s="9"/>
      <c r="W31" s="10">
        <f t="shared" ref="W31:W40" si="10">IFERROR(Q31-T31, "NA")</f>
        <v>-66066.53</v>
      </c>
      <c r="X31" s="8">
        <f>IFERROR(W31/W444, "NA")</f>
        <v>-5.3523683063527034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5248.22</v>
      </c>
      <c r="C33" s="8">
        <f>IFERROR(B33/B444, "NA")</f>
        <v>5.375839747690294E-2</v>
      </c>
      <c r="D33" s="9"/>
      <c r="E33" s="7">
        <v>0</v>
      </c>
      <c r="F33" s="8">
        <f>IFERROR(E33/E444, "NA")</f>
        <v>0</v>
      </c>
      <c r="G33" s="9"/>
      <c r="H33" s="10">
        <f t="shared" si="8"/>
        <v>5248.22</v>
      </c>
      <c r="I33" s="8">
        <f>IFERROR(H33/H444, "NA")</f>
        <v>0.53781231874701507</v>
      </c>
      <c r="J33" s="9"/>
      <c r="K33" s="7">
        <v>5791.48</v>
      </c>
      <c r="L33" s="8">
        <f>IFERROR(K33/K444, "NA")</f>
        <v>7.2420195894711686E-2</v>
      </c>
      <c r="M33" s="9"/>
      <c r="N33" s="10">
        <f t="shared" si="9"/>
        <v>-543.25999999999931</v>
      </c>
      <c r="O33" s="8">
        <f>IFERROR(N33/N444, "NA")</f>
        <v>-3.0769945297623242E-2</v>
      </c>
      <c r="P33" s="9"/>
      <c r="Q33" s="7">
        <v>22710.19</v>
      </c>
      <c r="R33" s="8">
        <f>IFERROR(Q33/Q444, "NA")</f>
        <v>6.3072996787414473E-2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22710.19</v>
      </c>
      <c r="X33" s="8">
        <f>IFERROR(W33/W444, "NA")</f>
        <v>1.8398620479575376</v>
      </c>
      <c r="Y33" s="9"/>
      <c r="Z33" s="7">
        <v>23392.38</v>
      </c>
      <c r="AA33" s="8">
        <f>IFERROR(Z33/Z444, "NA")</f>
        <v>7.193158443284596E-2</v>
      </c>
      <c r="AB33" s="9"/>
      <c r="AC33" s="10">
        <f t="shared" si="11"/>
        <v>-682.19000000000233</v>
      </c>
      <c r="AD33" s="8">
        <f>IFERROR(AC33/AC444, "NA")</f>
        <v>-1.9570077366337368E-2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623.66</v>
      </c>
      <c r="C35" s="8">
        <f>IFERROR(B35/B444, "NA")</f>
        <v>6.388253954759001E-3</v>
      </c>
      <c r="D35" s="9"/>
      <c r="E35" s="7">
        <v>0</v>
      </c>
      <c r="F35" s="8">
        <f>IFERROR(E35/E444, "NA")</f>
        <v>0</v>
      </c>
      <c r="G35" s="9"/>
      <c r="H35" s="10">
        <f t="shared" si="8"/>
        <v>623.66</v>
      </c>
      <c r="I35" s="8">
        <f>IFERROR(H35/H444, "NA")</f>
        <v>6.39096742723749E-2</v>
      </c>
      <c r="J35" s="9"/>
      <c r="K35" s="7">
        <v>567.86</v>
      </c>
      <c r="L35" s="8">
        <f>IFERROR(K35/K444, "NA")</f>
        <v>7.1008675573033114E-3</v>
      </c>
      <c r="M35" s="9"/>
      <c r="N35" s="10">
        <f t="shared" si="9"/>
        <v>55.799999999999955</v>
      </c>
      <c r="O35" s="8">
        <f>IFERROR(N35/N444, "NA")</f>
        <v>3.1604810727964101E-3</v>
      </c>
      <c r="P35" s="9"/>
      <c r="Q35" s="7">
        <v>1850.11</v>
      </c>
      <c r="R35" s="8">
        <f>IFERROR(Q35/Q444, "NA")</f>
        <v>5.1383093706553491E-3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1850.11</v>
      </c>
      <c r="X35" s="8">
        <f>IFERROR(W35/W444, "NA")</f>
        <v>0.14988633620179839</v>
      </c>
      <c r="Y35" s="9"/>
      <c r="Z35" s="7">
        <v>2292.66</v>
      </c>
      <c r="AA35" s="8">
        <f>IFERROR(Z35/Z444, "NA")</f>
        <v>7.0499310615597301E-3</v>
      </c>
      <c r="AB35" s="9"/>
      <c r="AC35" s="10">
        <f t="shared" si="11"/>
        <v>-442.54999999999995</v>
      </c>
      <c r="AD35" s="8">
        <f>IFERROR(AC35/AC444, "NA")</f>
        <v>-1.2695492074748342E-2</v>
      </c>
    </row>
    <row r="36" spans="1:30" ht="16.5" customHeight="1" x14ac:dyDescent="0.45">
      <c r="A36" s="12" t="s">
        <v>36</v>
      </c>
      <c r="B36" s="7">
        <v>10939.01</v>
      </c>
      <c r="C36" s="8">
        <f>IFERROR(B36/B444, "NA")</f>
        <v>0.11205011367355332</v>
      </c>
      <c r="D36" s="9"/>
      <c r="E36" s="7">
        <v>0</v>
      </c>
      <c r="F36" s="8">
        <f>IFERROR(E36/E444, "NA")</f>
        <v>0</v>
      </c>
      <c r="G36" s="9"/>
      <c r="H36" s="10">
        <f t="shared" si="8"/>
        <v>10939.01</v>
      </c>
      <c r="I36" s="8">
        <f>IFERROR(H36/H444, "NA")</f>
        <v>1.1209770803999803</v>
      </c>
      <c r="J36" s="9"/>
      <c r="K36" s="7">
        <v>9847.5400000000009</v>
      </c>
      <c r="L36" s="8">
        <f>IFERROR(K36/K444, "NA")</f>
        <v>0.12313964235066154</v>
      </c>
      <c r="M36" s="9"/>
      <c r="N36" s="10">
        <f t="shared" si="9"/>
        <v>1091.4699999999993</v>
      </c>
      <c r="O36" s="8">
        <f>IFERROR(N36/N444, "NA")</f>
        <v>6.1820255851704274E-2</v>
      </c>
      <c r="P36" s="9"/>
      <c r="Q36" s="7">
        <v>44464.09</v>
      </c>
      <c r="R36" s="8">
        <f>IFERROR(Q36/Q444, "NA")</f>
        <v>0.1234900899431184</v>
      </c>
      <c r="S36" s="9"/>
      <c r="T36" s="7">
        <v>0</v>
      </c>
      <c r="U36" s="8">
        <f>IFERROR(T36/T444, "NA")</f>
        <v>0</v>
      </c>
      <c r="V36" s="9"/>
      <c r="W36" s="10">
        <f t="shared" si="10"/>
        <v>44464.09</v>
      </c>
      <c r="X36" s="8">
        <f>IFERROR(W36/W444, "NA")</f>
        <v>3.6022504297836462</v>
      </c>
      <c r="Y36" s="9"/>
      <c r="Z36" s="7">
        <v>45131.59</v>
      </c>
      <c r="AA36" s="8">
        <f>IFERROR(Z36/Z444, "NA")</f>
        <v>0.1387796699896969</v>
      </c>
      <c r="AB36" s="9"/>
      <c r="AC36" s="10">
        <f t="shared" si="11"/>
        <v>-667.5</v>
      </c>
      <c r="AD36" s="8">
        <f>IFERROR(AC36/AC444, "NA")</f>
        <v>-1.9148663337237644E-2</v>
      </c>
    </row>
    <row r="37" spans="1:30" ht="16.5" customHeight="1" x14ac:dyDescent="0.45">
      <c r="A37" s="12" t="s">
        <v>37</v>
      </c>
      <c r="B37" s="7">
        <v>518.89</v>
      </c>
      <c r="C37" s="8">
        <f>IFERROR(B37/B444, "NA")</f>
        <v>5.3150772770177625E-3</v>
      </c>
      <c r="D37" s="9"/>
      <c r="E37" s="7">
        <v>0</v>
      </c>
      <c r="F37" s="8">
        <f>IFERROR(E37/E444, "NA")</f>
        <v>0</v>
      </c>
      <c r="G37" s="9"/>
      <c r="H37" s="10">
        <f t="shared" si="8"/>
        <v>518.89</v>
      </c>
      <c r="I37" s="8">
        <f>IFERROR(H37/H444, "NA")</f>
        <v>5.3173349073521808E-2</v>
      </c>
      <c r="J37" s="9"/>
      <c r="K37" s="7">
        <v>0</v>
      </c>
      <c r="L37" s="8">
        <f>IFERROR(K37/K444, "NA")</f>
        <v>0</v>
      </c>
      <c r="M37" s="9"/>
      <c r="N37" s="10">
        <f t="shared" si="9"/>
        <v>518.89</v>
      </c>
      <c r="O37" s="8">
        <f>IFERROR(N37/N444, "NA")</f>
        <v>2.9389642004719184E-2</v>
      </c>
      <c r="P37" s="9"/>
      <c r="Q37" s="7">
        <v>1820.03</v>
      </c>
      <c r="R37" s="8">
        <f>IFERROR(Q37/Q444, "NA")</f>
        <v>5.0547682050655664E-3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1820.03</v>
      </c>
      <c r="X37" s="8">
        <f>IFERROR(W37/W444, "NA")</f>
        <v>0.14744941029309563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1820.03</v>
      </c>
      <c r="AD37" s="8">
        <f>IFERROR(AC37/AC444, "NA")</f>
        <v>5.2211448290146262E-2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531.5</v>
      </c>
      <c r="L39" s="8">
        <f>IFERROR(K39/K444, "NA")</f>
        <v>6.6461999554585814E-3</v>
      </c>
      <c r="M39" s="9"/>
      <c r="N39" s="10">
        <f t="shared" si="9"/>
        <v>-531.5</v>
      </c>
      <c r="O39" s="8">
        <f>IFERROR(N39/N444, "NA")</f>
        <v>-3.0103865415614574E-2</v>
      </c>
      <c r="P39" s="9"/>
      <c r="Q39" s="7">
        <v>116.35</v>
      </c>
      <c r="R39" s="8">
        <f>IFERROR(Q39/Q444, "NA")</f>
        <v>3.231387837889368E-4</v>
      </c>
      <c r="S39" s="9"/>
      <c r="T39" s="7">
        <v>0</v>
      </c>
      <c r="U39" s="8">
        <f>IFERROR(T39/T444, "NA")</f>
        <v>0</v>
      </c>
      <c r="V39" s="9"/>
      <c r="W39" s="10">
        <f t="shared" si="10"/>
        <v>116.35</v>
      </c>
      <c r="X39" s="8">
        <f>IFERROR(W39/W444, "NA")</f>
        <v>9.4260747831638354E-3</v>
      </c>
      <c r="Y39" s="9"/>
      <c r="Z39" s="7">
        <v>2563.6</v>
      </c>
      <c r="AA39" s="8">
        <f>IFERROR(Z39/Z444, "NA")</f>
        <v>7.8830717461003917E-3</v>
      </c>
      <c r="AB39" s="9"/>
      <c r="AC39" s="10">
        <f t="shared" si="11"/>
        <v>-2447.25</v>
      </c>
      <c r="AD39" s="8">
        <f>IFERROR(AC39/AC444, "NA")</f>
        <v>-7.0204593785849922E-2</v>
      </c>
    </row>
    <row r="40" spans="1:30" ht="16.5" customHeight="1" x14ac:dyDescent="0.45">
      <c r="A40" s="13" t="s">
        <v>40</v>
      </c>
      <c r="B40" s="14">
        <f>IFERROR(B31+B32+B33+B34+B35+B36+B37+B38+B39, "NA")</f>
        <v>17329.78</v>
      </c>
      <c r="C40" s="15">
        <f>IFERROR(B40/B444, "NA")</f>
        <v>0.177511842382233</v>
      </c>
      <c r="D40" s="2"/>
      <c r="E40" s="14">
        <f>IFERROR(E31+E32+E33+E34+E35+E36+E37+E38+E39, "NA")</f>
        <v>16694.84</v>
      </c>
      <c r="F40" s="15">
        <f>IFERROR(E40/E444, "NA")</f>
        <v>0.1899999761004029</v>
      </c>
      <c r="G40" s="2"/>
      <c r="H40" s="14">
        <f t="shared" si="8"/>
        <v>634.93999999999869</v>
      </c>
      <c r="I40" s="15">
        <f>IFERROR(H40/H444, "NA")</f>
        <v>6.5065594366324017E-2</v>
      </c>
      <c r="J40" s="2"/>
      <c r="K40" s="14">
        <f>IFERROR(K31+K32+K33+K34+K35+K36+K37+K38+K39, "NA")</f>
        <v>16738.38</v>
      </c>
      <c r="L40" s="15">
        <f>IFERROR(K40/K444, "NA")</f>
        <v>0.20930690575813513</v>
      </c>
      <c r="M40" s="2"/>
      <c r="N40" s="14">
        <f t="shared" si="9"/>
        <v>591.39999999999782</v>
      </c>
      <c r="O40" s="15">
        <f>IFERROR(N40/N444, "NA")</f>
        <v>3.3496568215981924E-2</v>
      </c>
      <c r="P40" s="2"/>
      <c r="Q40" s="14">
        <f>IFERROR(Q31+Q32+Q33+Q34+Q35+Q36+Q37+Q38+Q39, "NA")</f>
        <v>70960.77</v>
      </c>
      <c r="R40" s="15">
        <f>IFERROR(Q40/Q444, "NA")</f>
        <v>0.19707930309004273</v>
      </c>
      <c r="S40" s="2"/>
      <c r="T40" s="14">
        <f>IFERROR(T31+T32+T33+T34+T35+T36+T37+T38+T39, "NA")</f>
        <v>66066.53</v>
      </c>
      <c r="U40" s="15">
        <f>IFERROR(T40/T444, "NA")</f>
        <v>0.1899999939606335</v>
      </c>
      <c r="V40" s="2"/>
      <c r="W40" s="14">
        <f t="shared" si="10"/>
        <v>4894.2400000000052</v>
      </c>
      <c r="X40" s="15">
        <f>IFERROR(W40/W444, "NA")</f>
        <v>0.39650599266653908</v>
      </c>
      <c r="Y40" s="2"/>
      <c r="Z40" s="14">
        <f>IFERROR(Z31+Z32+Z33+Z34+Z35+Z36+Z37+Z38+Z39, "NA")</f>
        <v>73380.23000000001</v>
      </c>
      <c r="AA40" s="15">
        <f>IFERROR(Z40/Z444, "NA")</f>
        <v>0.22564425723020301</v>
      </c>
      <c r="AB40" s="2"/>
      <c r="AC40" s="14">
        <f t="shared" si="11"/>
        <v>-2419.4600000000064</v>
      </c>
      <c r="AD40" s="15">
        <f>IFERROR(AC40/AC444, "NA")</f>
        <v>-6.940737827402714E-2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17573.52</v>
      </c>
      <c r="F42" s="8">
        <f>IFERROR(E42/E444, "NA")</f>
        <v>0.20000002276152107</v>
      </c>
      <c r="G42" s="9"/>
      <c r="H42" s="10">
        <f>IFERROR(B42-E42, "NA")</f>
        <v>-17573.52</v>
      </c>
      <c r="I42" s="8">
        <f>IFERROR(H42/H444, "NA")</f>
        <v>-1.8008497242392743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69543.72</v>
      </c>
      <c r="U42" s="8">
        <f>IFERROR(T42/T444, "NA")</f>
        <v>0.20000000575177759</v>
      </c>
      <c r="V42" s="9"/>
      <c r="W42" s="10">
        <f>IFERROR(Q42-T42, "NA")</f>
        <v>-69543.72</v>
      </c>
      <c r="X42" s="8">
        <f>IFERROR(W42/W444, "NA")</f>
        <v>-5.6340722425389469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4233.1400000000003</v>
      </c>
      <c r="C43" s="8">
        <f>IFERROR(B43/B444, "NA")</f>
        <v>4.33607628291834E-2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4233.1400000000003</v>
      </c>
      <c r="I43" s="8">
        <f>IFERROR(H43/H444, "NA")</f>
        <v>0.43379180731385869</v>
      </c>
      <c r="J43" s="9"/>
      <c r="K43" s="7">
        <v>4197.24</v>
      </c>
      <c r="L43" s="8">
        <f>IFERROR(K43/K444, "NA")</f>
        <v>5.2484847226808982E-2</v>
      </c>
      <c r="M43" s="9"/>
      <c r="N43" s="10">
        <f>IFERROR(B43-K43, "NA")</f>
        <v>35.900000000000546</v>
      </c>
      <c r="O43" s="8">
        <f>IFERROR(N43/N444, "NA")</f>
        <v>2.0333561023905544E-3</v>
      </c>
      <c r="P43" s="9"/>
      <c r="Q43" s="7">
        <v>17621.91</v>
      </c>
      <c r="R43" s="8">
        <f>IFERROR(Q43/Q444, "NA")</f>
        <v>4.8941319857654514E-2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17621.91</v>
      </c>
      <c r="X43" s="8">
        <f>IFERROR(W43/W444, "NA")</f>
        <v>1.427635938824088</v>
      </c>
      <c r="Y43" s="9"/>
      <c r="Z43" s="7">
        <v>22680.86</v>
      </c>
      <c r="AA43" s="8">
        <f>IFERROR(Z43/Z444, "NA")</f>
        <v>6.9743659948220682E-2</v>
      </c>
      <c r="AB43" s="9"/>
      <c r="AC43" s="10">
        <f>IFERROR(Q43-Z43, "NA")</f>
        <v>-5058.9500000000007</v>
      </c>
      <c r="AD43" s="8">
        <f>IFERROR(AC43/AC444, "NA")</f>
        <v>-0.14512678710100133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1096.45</v>
      </c>
      <c r="L47" s="8">
        <f>IFERROR(K47/K444, "NA")</f>
        <v>1.3710679099082902E-2</v>
      </c>
      <c r="M47" s="9"/>
      <c r="N47" s="10">
        <f t="shared" si="13"/>
        <v>-1096.45</v>
      </c>
      <c r="O47" s="8">
        <f>IFERROR(N47/N444, "NA")</f>
        <v>-6.2102320291534528E-2</v>
      </c>
      <c r="P47" s="9"/>
      <c r="Q47" s="7">
        <v>1100.2</v>
      </c>
      <c r="R47" s="8">
        <f>IFERROR(Q47/Q444, "NA")</f>
        <v>3.0555847866316137E-3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1100.2</v>
      </c>
      <c r="X47" s="8">
        <f>IFERROR(W47/W444, "NA")</f>
        <v>8.9132509466582313E-2</v>
      </c>
      <c r="Y47" s="9"/>
      <c r="Z47" s="7">
        <v>4551.24</v>
      </c>
      <c r="AA47" s="8">
        <f>IFERROR(Z47/Z444, "NA")</f>
        <v>1.399506609990714E-2</v>
      </c>
      <c r="AB47" s="9"/>
      <c r="AC47" s="10">
        <f t="shared" si="15"/>
        <v>-3451.04</v>
      </c>
      <c r="AD47" s="8">
        <f>IFERROR(AC47/AC444, "NA")</f>
        <v>-9.9000454117364189E-2</v>
      </c>
    </row>
    <row r="48" spans="1:30" ht="16.5" customHeight="1" x14ac:dyDescent="0.45">
      <c r="A48" s="17" t="s">
        <v>46</v>
      </c>
      <c r="B48" s="7">
        <v>1373.63</v>
      </c>
      <c r="C48" s="8">
        <f>IFERROR(B48/B444, "NA")</f>
        <v>1.4070322419067452E-2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1373.63</v>
      </c>
      <c r="I48" s="8">
        <f>IFERROR(H48/H444, "NA")</f>
        <v>0.14076298924215494</v>
      </c>
      <c r="J48" s="9"/>
      <c r="K48" s="7">
        <v>1180.8699999999999</v>
      </c>
      <c r="L48" s="8">
        <f>IFERROR(K48/K444, "NA")</f>
        <v>1.476631823405903E-2</v>
      </c>
      <c r="M48" s="9"/>
      <c r="N48" s="10">
        <f t="shared" si="13"/>
        <v>192.76000000000022</v>
      </c>
      <c r="O48" s="8">
        <f>IFERROR(N48/N444, "NA")</f>
        <v>1.0917819562584896E-2</v>
      </c>
      <c r="P48" s="9"/>
      <c r="Q48" s="7">
        <v>5804.59</v>
      </c>
      <c r="R48" s="8">
        <f>IFERROR(Q48/Q444, "NA")</f>
        <v>1.61210842543483E-2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5804.59</v>
      </c>
      <c r="X48" s="8">
        <f>IFERROR(W48/W444, "NA")</f>
        <v>0.47025783777915747</v>
      </c>
      <c r="Y48" s="9"/>
      <c r="Z48" s="7">
        <v>27435.1</v>
      </c>
      <c r="AA48" s="8">
        <f>IFERROR(Z48/Z444, "NA")</f>
        <v>8.4362951186393684E-2</v>
      </c>
      <c r="AB48" s="9"/>
      <c r="AC48" s="10">
        <f t="shared" si="15"/>
        <v>-21630.51</v>
      </c>
      <c r="AD48" s="8">
        <f>IFERROR(AC48/AC444, "NA")</f>
        <v>-0.62051738397416056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customHeight="1" x14ac:dyDescent="0.45">
      <c r="A50" s="17" t="s">
        <v>48</v>
      </c>
      <c r="B50" s="7">
        <v>4113.5</v>
      </c>
      <c r="C50" s="8">
        <f>IFERROR(B50/B444, "NA")</f>
        <v>4.213527024805367E-2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4113.5</v>
      </c>
      <c r="I50" s="8">
        <f>IFERROR(H50/H444, "NA")</f>
        <v>0.42153167610463099</v>
      </c>
      <c r="J50" s="9"/>
      <c r="K50" s="7">
        <v>905.25</v>
      </c>
      <c r="L50" s="8">
        <f>IFERROR(K50/K444, "NA")</f>
        <v>1.1319797760449446E-2</v>
      </c>
      <c r="M50" s="9"/>
      <c r="N50" s="10">
        <f t="shared" si="13"/>
        <v>3208.25</v>
      </c>
      <c r="O50" s="8">
        <f>IFERROR(N50/N444, "NA")</f>
        <v>0.18171350182435647</v>
      </c>
      <c r="P50" s="9"/>
      <c r="Q50" s="7">
        <v>11917.5</v>
      </c>
      <c r="R50" s="8">
        <f>IFERROR(Q50/Q444, "NA")</f>
        <v>3.309846545599187E-2</v>
      </c>
      <c r="S50" s="9"/>
      <c r="T50" s="7">
        <v>0</v>
      </c>
      <c r="U50" s="8">
        <f>IFERROR(T50/T444, "NA")</f>
        <v>0</v>
      </c>
      <c r="V50" s="9"/>
      <c r="W50" s="10">
        <f t="shared" si="14"/>
        <v>11917.5</v>
      </c>
      <c r="X50" s="8">
        <f>IFERROR(W50/W444, "NA")</f>
        <v>0.96549416612251837</v>
      </c>
      <c r="Y50" s="9"/>
      <c r="Z50" s="7">
        <v>6549.92</v>
      </c>
      <c r="AA50" s="8">
        <f>IFERROR(Z50/Z444, "NA")</f>
        <v>2.0141008461233376E-2</v>
      </c>
      <c r="AB50" s="9"/>
      <c r="AC50" s="10">
        <f t="shared" si="15"/>
        <v>5367.58</v>
      </c>
      <c r="AD50" s="8">
        <f>IFERROR(AC50/AC444, "NA")</f>
        <v>0.15398049791114612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5331.93</v>
      </c>
      <c r="R55" s="8">
        <f>IFERROR(Q55/Q444, "NA")</f>
        <v>1.4808365925635976E-2</v>
      </c>
      <c r="S55" s="9"/>
      <c r="T55" s="7">
        <v>0</v>
      </c>
      <c r="U55" s="8">
        <f>IFERROR(T55/T444, "NA")</f>
        <v>0</v>
      </c>
      <c r="V55" s="9"/>
      <c r="W55" s="10">
        <f t="shared" si="14"/>
        <v>5331.93</v>
      </c>
      <c r="X55" s="8">
        <f>IFERROR(W55/W444, "NA")</f>
        <v>0.43196537102359051</v>
      </c>
      <c r="Y55" s="9"/>
      <c r="Z55" s="7">
        <v>334.29</v>
      </c>
      <c r="AA55" s="8">
        <f>IFERROR(Z55/Z444, "NA")</f>
        <v>1.0279419776891481E-3</v>
      </c>
      <c r="AB55" s="9"/>
      <c r="AC55" s="10">
        <f t="shared" si="15"/>
        <v>4997.6400000000003</v>
      </c>
      <c r="AD55" s="8">
        <f>IFERROR(AC55/AC444, "NA")</f>
        <v>0.14336797878758403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54.95</v>
      </c>
      <c r="L56" s="8">
        <f>IFERROR(K56/K444, "NA")</f>
        <v>6.8712829266688439E-4</v>
      </c>
      <c r="M56" s="9"/>
      <c r="N56" s="10">
        <f t="shared" si="13"/>
        <v>-54.95</v>
      </c>
      <c r="O56" s="8">
        <f>IFERROR(N56/N444, "NA")</f>
        <v>-3.1123375439097291E-3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54.95</v>
      </c>
      <c r="AA56" s="8">
        <f>IFERROR(Z56/Z444, "NA")</f>
        <v>1.6897128742714019E-4</v>
      </c>
      <c r="AB56" s="9"/>
      <c r="AC56" s="10">
        <f t="shared" si="15"/>
        <v>-54.95</v>
      </c>
      <c r="AD56" s="8">
        <f>IFERROR(AC56/AC444, "NA")</f>
        <v>-1.5763581279119229E-3</v>
      </c>
    </row>
    <row r="57" spans="1:30" ht="16.5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1372.11</v>
      </c>
      <c r="L57" s="8">
        <f>IFERROR(K57/K444, "NA")</f>
        <v>1.7157699757072951E-2</v>
      </c>
      <c r="M57" s="9"/>
      <c r="N57" s="10">
        <f t="shared" si="13"/>
        <v>-1372.11</v>
      </c>
      <c r="O57" s="8">
        <f>IFERROR(N57/N444, "NA")</f>
        <v>-7.7715549906714795E-2</v>
      </c>
      <c r="P57" s="9"/>
      <c r="Q57" s="7">
        <v>3735.79</v>
      </c>
      <c r="R57" s="8">
        <f>IFERROR(Q57/Q444, "NA")</f>
        <v>1.037540728054037E-2</v>
      </c>
      <c r="S57" s="9"/>
      <c r="T57" s="7">
        <v>0</v>
      </c>
      <c r="U57" s="8">
        <f>IFERROR(T57/T444, "NA")</f>
        <v>0</v>
      </c>
      <c r="V57" s="9"/>
      <c r="W57" s="10">
        <f t="shared" si="14"/>
        <v>3735.79</v>
      </c>
      <c r="X57" s="8">
        <f>IFERROR(W57/W444, "NA")</f>
        <v>0.30265436969656745</v>
      </c>
      <c r="Y57" s="9"/>
      <c r="Z57" s="7">
        <v>3139.49</v>
      </c>
      <c r="AA57" s="8">
        <f>IFERROR(Z57/Z444, "NA")</f>
        <v>9.6539338883463565E-3</v>
      </c>
      <c r="AB57" s="9"/>
      <c r="AC57" s="10">
        <f t="shared" si="15"/>
        <v>596.30000000000018</v>
      </c>
      <c r="AD57" s="8">
        <f>IFERROR(AC57/AC444, "NA")</f>
        <v>1.7106139247932299E-2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5487.13</v>
      </c>
      <c r="C61" s="15">
        <f>IFERROR(B61/B444, "NA")</f>
        <v>5.6205592667121121E-2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5487.13</v>
      </c>
      <c r="I61" s="15">
        <f>IFERROR(H61/H444, "NA")</f>
        <v>0.56229466534678596</v>
      </c>
      <c r="J61" s="2"/>
      <c r="K61" s="14">
        <f>IFERROR(K46+K47+K48+K49+K50+K51+K52+K53+K54+K55+K56+K57+K58+K59+K60, "NA")</f>
        <v>4609.6299999999992</v>
      </c>
      <c r="L61" s="15">
        <f>IFERROR(K61/K444, "NA")</f>
        <v>5.7641623143331204E-2</v>
      </c>
      <c r="M61" s="2"/>
      <c r="N61" s="14">
        <f t="shared" si="13"/>
        <v>877.50000000000091</v>
      </c>
      <c r="O61" s="15">
        <f>IFERROR(N61/N444, "NA")</f>
        <v>4.9701113644782344E-2</v>
      </c>
      <c r="P61" s="2"/>
      <c r="Q61" s="14">
        <f>IFERROR(Q46+Q47+Q48+Q49+Q50+Q51+Q52+Q53+Q54+Q55+Q56+Q57+Q58+Q59+Q60, "NA")</f>
        <v>27890.010000000002</v>
      </c>
      <c r="R61" s="15">
        <f>IFERROR(Q61/Q444, "NA")</f>
        <v>7.745890770314813E-2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27890.010000000002</v>
      </c>
      <c r="X61" s="15">
        <f>IFERROR(W61/W444, "NA")</f>
        <v>2.2595042540884163</v>
      </c>
      <c r="Y61" s="2"/>
      <c r="Z61" s="14">
        <f>IFERROR(Z46+Z47+Z48+Z49+Z50+Z51+Z52+Z53+Z54+Z55+Z56+Z57+Z58+Z59+Z60, "NA")</f>
        <v>42064.989999999991</v>
      </c>
      <c r="AA61" s="15">
        <f>IFERROR(Z61/Z444, "NA")</f>
        <v>0.12934987290099681</v>
      </c>
      <c r="AB61" s="2"/>
      <c r="AC61" s="14">
        <f t="shared" si="15"/>
        <v>-14174.979999999989</v>
      </c>
      <c r="AD61" s="15">
        <f>IFERROR(AC61/AC444, "NA")</f>
        <v>-0.40663958027277397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9720.27</v>
      </c>
      <c r="C62" s="15">
        <f>IFERROR(B62/B444, "NA")</f>
        <v>9.9566355496304521E-2</v>
      </c>
      <c r="D62" s="2"/>
      <c r="E62" s="14">
        <f>IFERROR(E42+E43+E44+E46+E47+E48+E49+E50+E51+E52+E53+E54+E55+E56+E57+E58+E59+E60, "NA")</f>
        <v>17573.52</v>
      </c>
      <c r="F62" s="15">
        <f>IFERROR(E62/E444, "NA")</f>
        <v>0.20000002276152107</v>
      </c>
      <c r="G62" s="2"/>
      <c r="H62" s="14">
        <f t="shared" si="12"/>
        <v>-7853.25</v>
      </c>
      <c r="I62" s="15">
        <f>IFERROR(H62/H444, "NA")</f>
        <v>-0.80476325157862971</v>
      </c>
      <c r="J62" s="2"/>
      <c r="K62" s="14">
        <f>IFERROR(K42+K43+K44+K46+K47+K48+K49+K50+K51+K52+K53+K54+K55+K56+K57+K58+K59+K60, "NA")</f>
        <v>8806.869999999999</v>
      </c>
      <c r="L62" s="15">
        <f>IFERROR(K62/K444, "NA")</f>
        <v>0.11012647037014019</v>
      </c>
      <c r="M62" s="2"/>
      <c r="N62" s="14">
        <f t="shared" si="13"/>
        <v>913.40000000000146</v>
      </c>
      <c r="O62" s="15">
        <f>IFERROR(N62/N444, "NA")</f>
        <v>5.1734469747172898E-2</v>
      </c>
      <c r="P62" s="2"/>
      <c r="Q62" s="14">
        <f>IFERROR(Q42+Q43+Q44+Q46+Q47+Q48+Q49+Q50+Q51+Q52+Q53+Q54+Q55+Q56+Q57+Q58+Q59+Q60, "NA")</f>
        <v>45511.92</v>
      </c>
      <c r="R62" s="15">
        <f>IFERROR(Q62/Q444, "NA")</f>
        <v>0.12640022756080263</v>
      </c>
      <c r="S62" s="2"/>
      <c r="T62" s="14">
        <f>IFERROR(T42+T43+T44+T46+T47+T48+T49+T50+T51+T52+T53+T54+T55+T56+T57+T58+T59+T60, "NA")</f>
        <v>69543.72</v>
      </c>
      <c r="U62" s="15">
        <f>IFERROR(T62/T444, "NA")</f>
        <v>0.20000000575177759</v>
      </c>
      <c r="V62" s="2"/>
      <c r="W62" s="14">
        <f t="shared" si="14"/>
        <v>-24031.800000000003</v>
      </c>
      <c r="X62" s="15">
        <f>IFERROR(W62/W444, "NA")</f>
        <v>-1.9469320496264435</v>
      </c>
      <c r="Y62" s="2"/>
      <c r="Z62" s="14">
        <f>IFERROR(Z42+Z43+Z44+Z46+Z47+Z48+Z49+Z50+Z51+Z52+Z53+Z54+Z55+Z56+Z57+Z58+Z59+Z60, "NA")</f>
        <v>64745.849999999991</v>
      </c>
      <c r="AA62" s="15">
        <f>IFERROR(Z62/Z444, "NA")</f>
        <v>0.19909353284921749</v>
      </c>
      <c r="AB62" s="2"/>
      <c r="AC62" s="14">
        <f t="shared" si="15"/>
        <v>-19233.929999999993</v>
      </c>
      <c r="AD62" s="15">
        <f>IFERROR(AC62/AC444, "NA")</f>
        <v>-0.55176636737377538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8962.49</v>
      </c>
      <c r="F64" s="8">
        <f>IFERROR(E64/E444, "NA")</f>
        <v>0.101999952428421</v>
      </c>
      <c r="G64" s="9"/>
      <c r="H64" s="10">
        <f t="shared" ref="H64:H73" si="16">IFERROR(B64-E64, "NA")</f>
        <v>-8962.49</v>
      </c>
      <c r="I64" s="8">
        <f>IFERROR(H64/H444, "NA")</f>
        <v>-0.91843282649106461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35467.300000000003</v>
      </c>
      <c r="U64" s="8">
        <f>IFERROR(T64/T444, "NA")</f>
        <v>0.10200001098589523</v>
      </c>
      <c r="V64" s="9"/>
      <c r="W64" s="10">
        <f t="shared" ref="W64:W73" si="18">IFERROR(Q64-T64, "NA")</f>
        <v>-35467.300000000003</v>
      </c>
      <c r="X64" s="8">
        <f>IFERROR(W64/W444, "NA")</f>
        <v>-2.8733770705363706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10001.450000000001</v>
      </c>
      <c r="C65" s="8">
        <f>IFERROR(B65/B444, "NA")</f>
        <v>0.10244652938431904</v>
      </c>
      <c r="D65" s="9"/>
      <c r="E65" s="7">
        <v>0</v>
      </c>
      <c r="F65" s="8">
        <f>IFERROR(E65/E444, "NA")</f>
        <v>0</v>
      </c>
      <c r="G65" s="9"/>
      <c r="H65" s="10">
        <f t="shared" si="16"/>
        <v>10001.450000000001</v>
      </c>
      <c r="I65" s="8">
        <f>IFERROR(H65/H444, "NA")</f>
        <v>1.0249004453571562</v>
      </c>
      <c r="J65" s="9"/>
      <c r="K65" s="7">
        <v>2078.39</v>
      </c>
      <c r="L65" s="8">
        <f>IFERROR(K65/K444, "NA")</f>
        <v>2.598945536298318E-2</v>
      </c>
      <c r="M65" s="9"/>
      <c r="N65" s="10">
        <f t="shared" si="17"/>
        <v>7923.0600000000013</v>
      </c>
      <c r="O65" s="8">
        <f>IFERROR(N65/N444, "NA")</f>
        <v>0.44875772703638617</v>
      </c>
      <c r="P65" s="9"/>
      <c r="Q65" s="7">
        <v>31263.74</v>
      </c>
      <c r="R65" s="8">
        <f>IFERROR(Q65/Q444, "NA")</f>
        <v>8.6828765967284366E-2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31263.74</v>
      </c>
      <c r="X65" s="8">
        <f>IFERROR(W65/W444, "NA")</f>
        <v>2.5328263965740487</v>
      </c>
      <c r="Y65" s="9"/>
      <c r="Z65" s="7">
        <v>2078.39</v>
      </c>
      <c r="AA65" s="8">
        <f>IFERROR(Z65/Z444, "NA")</f>
        <v>6.3910506656177221E-3</v>
      </c>
      <c r="AB65" s="9"/>
      <c r="AC65" s="10">
        <f t="shared" si="19"/>
        <v>29185.350000000002</v>
      </c>
      <c r="AD65" s="8">
        <f>IFERROR(AC65/AC444, "NA")</f>
        <v>0.83724410716022279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1413.58</v>
      </c>
      <c r="L66" s="8">
        <f>IFERROR(K66/K444, "NA")</f>
        <v>1.7676265913522372E-2</v>
      </c>
      <c r="M66" s="9"/>
      <c r="N66" s="10">
        <f t="shared" si="17"/>
        <v>-1413.58</v>
      </c>
      <c r="O66" s="8">
        <f>IFERROR(N66/N444, "NA")</f>
        <v>-8.0064387721927463E-2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3301.32</v>
      </c>
      <c r="AA66" s="8">
        <f>IFERROR(Z66/Z444, "NA")</f>
        <v>1.0151561248570817E-2</v>
      </c>
      <c r="AB66" s="9"/>
      <c r="AC66" s="10">
        <f t="shared" si="19"/>
        <v>-3301.32</v>
      </c>
      <c r="AD66" s="8">
        <f>IFERROR(AC66/AC444, "NA")</f>
        <v>-9.4705416102605813E-2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1309.7</v>
      </c>
      <c r="C68" s="8">
        <f>IFERROR(B68/B444, "NA")</f>
        <v>1.3415476709341411E-2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1309.7</v>
      </c>
      <c r="I68" s="8">
        <f>IFERROR(H68/H444, "NA")</f>
        <v>0.13421175062458618</v>
      </c>
      <c r="J68" s="9"/>
      <c r="K68" s="7">
        <v>0</v>
      </c>
      <c r="L68" s="8">
        <f>IFERROR(K68/K444, "NA")</f>
        <v>0</v>
      </c>
      <c r="M68" s="9"/>
      <c r="N68" s="10">
        <f t="shared" si="17"/>
        <v>1309.7</v>
      </c>
      <c r="O68" s="8">
        <f>IFERROR(N68/N444, "NA")</f>
        <v>7.4180682097517228E-2</v>
      </c>
      <c r="P68" s="9"/>
      <c r="Q68" s="7">
        <v>3546.77</v>
      </c>
      <c r="R68" s="8">
        <f>IFERROR(Q68/Q444, "NA")</f>
        <v>9.8504421502285111E-3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3546.77</v>
      </c>
      <c r="X68" s="8">
        <f>IFERROR(W68/W444, "NA")</f>
        <v>0.28734094764660073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3546.77</v>
      </c>
      <c r="AD68" s="8">
        <f>IFERROR(AC68/AC444, "NA")</f>
        <v>0.10174667365485297</v>
      </c>
    </row>
    <row r="69" spans="1:30" ht="16.5" customHeight="1" x14ac:dyDescent="0.45">
      <c r="A69" s="12" t="s">
        <v>66</v>
      </c>
      <c r="B69" s="7">
        <v>3040</v>
      </c>
      <c r="C69" s="8">
        <f>IFERROR(B69/B444, "NA")</f>
        <v>3.1139229744520033E-2</v>
      </c>
      <c r="D69" s="9"/>
      <c r="E69" s="7">
        <v>0</v>
      </c>
      <c r="F69" s="8">
        <f>IFERROR(E69/E444, "NA")</f>
        <v>0</v>
      </c>
      <c r="G69" s="9"/>
      <c r="H69" s="10">
        <f t="shared" si="16"/>
        <v>3040</v>
      </c>
      <c r="I69" s="8">
        <f>IFERROR(H69/H444, "NA")</f>
        <v>0.31152456432674808</v>
      </c>
      <c r="J69" s="9"/>
      <c r="K69" s="7">
        <v>0</v>
      </c>
      <c r="L69" s="8">
        <f>IFERROR(K69/K444, "NA")</f>
        <v>0</v>
      </c>
      <c r="M69" s="9"/>
      <c r="N69" s="10">
        <f t="shared" si="17"/>
        <v>3040</v>
      </c>
      <c r="O69" s="8">
        <f>IFERROR(N69/N444, "NA")</f>
        <v>0.17218391507708053</v>
      </c>
      <c r="P69" s="9"/>
      <c r="Q69" s="7">
        <v>18980</v>
      </c>
      <c r="R69" s="8">
        <f>IFERROR(Q69/Q444, "NA")</f>
        <v>5.2713142383446675E-2</v>
      </c>
      <c r="S69" s="9"/>
      <c r="T69" s="7">
        <v>0</v>
      </c>
      <c r="U69" s="8">
        <f>IFERROR(T69/T444, "NA")</f>
        <v>0</v>
      </c>
      <c r="V69" s="9"/>
      <c r="W69" s="10">
        <f t="shared" si="18"/>
        <v>18980</v>
      </c>
      <c r="X69" s="8">
        <f>IFERROR(W69/W444, "NA")</f>
        <v>1.5376613612758883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18980</v>
      </c>
      <c r="AD69" s="8">
        <f>IFERROR(AC69/AC444, "NA")</f>
        <v>0.54448184290752133</v>
      </c>
    </row>
    <row r="70" spans="1:30" ht="16.5" customHeight="1" x14ac:dyDescent="0.45">
      <c r="A70" s="12" t="s">
        <v>67</v>
      </c>
      <c r="B70" s="7">
        <v>1409</v>
      </c>
      <c r="C70" s="8">
        <f>IFERROR(B70/B444, "NA")</f>
        <v>1.443262325987787E-2</v>
      </c>
      <c r="D70" s="9"/>
      <c r="E70" s="7">
        <v>0</v>
      </c>
      <c r="F70" s="8">
        <f>IFERROR(E70/E444, "NA")</f>
        <v>0</v>
      </c>
      <c r="G70" s="9"/>
      <c r="H70" s="10">
        <f t="shared" si="16"/>
        <v>1409</v>
      </c>
      <c r="I70" s="8">
        <f>IFERROR(H70/H444, "NA")</f>
        <v>0.14438753655802239</v>
      </c>
      <c r="J70" s="9"/>
      <c r="K70" s="7">
        <v>0</v>
      </c>
      <c r="L70" s="8">
        <f>IFERROR(K70/K444, "NA")</f>
        <v>0</v>
      </c>
      <c r="M70" s="9"/>
      <c r="N70" s="10">
        <f t="shared" si="17"/>
        <v>1409</v>
      </c>
      <c r="O70" s="8">
        <f>IFERROR(N70/N444, "NA")</f>
        <v>7.9804979060396866E-2</v>
      </c>
      <c r="P70" s="9"/>
      <c r="Q70" s="7">
        <v>15509.5</v>
      </c>
      <c r="R70" s="8">
        <f>IFERROR(Q70/Q444, "NA")</f>
        <v>4.3074524857537731E-2</v>
      </c>
      <c r="S70" s="9"/>
      <c r="T70" s="7">
        <v>0</v>
      </c>
      <c r="U70" s="8">
        <f>IFERROR(T70/T444, "NA")</f>
        <v>0</v>
      </c>
      <c r="V70" s="9"/>
      <c r="W70" s="10">
        <f t="shared" si="18"/>
        <v>15509.5</v>
      </c>
      <c r="X70" s="8">
        <f>IFERROR(W70/W444, "NA")</f>
        <v>1.2564994142628234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15509.5</v>
      </c>
      <c r="AD70" s="8">
        <f>IFERROR(AC70/AC444, "NA")</f>
        <v>0.44492313712192844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15760.150000000001</v>
      </c>
      <c r="C73" s="15">
        <f>IFERROR(B73/B444, "NA")</f>
        <v>0.16143385909805838</v>
      </c>
      <c r="D73" s="2"/>
      <c r="E73" s="14">
        <f>IFERROR(E64+E65+E66+E67+E68+E69+E70+E71+E72, "NA")</f>
        <v>8962.49</v>
      </c>
      <c r="F73" s="15">
        <f>IFERROR(E73/E444, "NA")</f>
        <v>0.101999952428421</v>
      </c>
      <c r="G73" s="2"/>
      <c r="H73" s="14">
        <f t="shared" si="16"/>
        <v>6797.6600000000017</v>
      </c>
      <c r="I73" s="15">
        <f>IFERROR(H73/H444, "NA")</f>
        <v>0.69659147037544833</v>
      </c>
      <c r="J73" s="2"/>
      <c r="K73" s="14">
        <f>IFERROR(K64+K65+K66+K67+K68+K69+K70+K71+K72, "NA")</f>
        <v>3491.97</v>
      </c>
      <c r="L73" s="15">
        <f>IFERROR(K73/K444, "NA")</f>
        <v>4.3665721276505552E-2</v>
      </c>
      <c r="M73" s="2"/>
      <c r="N73" s="14">
        <f t="shared" si="17"/>
        <v>12268.180000000002</v>
      </c>
      <c r="O73" s="15">
        <f>IFERROR(N73/N444, "NA")</f>
        <v>0.69486291554945345</v>
      </c>
      <c r="P73" s="2"/>
      <c r="Q73" s="14">
        <f>IFERROR(Q64+Q65+Q66+Q67+Q68+Q69+Q70+Q71+Q72, "NA")</f>
        <v>69300.010000000009</v>
      </c>
      <c r="R73" s="15">
        <f>IFERROR(Q73/Q444, "NA")</f>
        <v>0.1924668753584973</v>
      </c>
      <c r="S73" s="2"/>
      <c r="T73" s="14">
        <f>IFERROR(T64+T65+T66+T67+T68+T69+T70+T71+T72, "NA")</f>
        <v>35467.300000000003</v>
      </c>
      <c r="U73" s="15">
        <f>IFERROR(T73/T444, "NA")</f>
        <v>0.10200001098589523</v>
      </c>
      <c r="V73" s="2"/>
      <c r="W73" s="14">
        <f t="shared" si="18"/>
        <v>33832.710000000006</v>
      </c>
      <c r="X73" s="15">
        <f>IFERROR(W73/W444, "NA")</f>
        <v>2.7409510492229909</v>
      </c>
      <c r="Y73" s="2"/>
      <c r="Z73" s="14">
        <f>IFERROR(Z64+Z65+Z66+Z67+Z68+Z69+Z70+Z71+Z72, "NA")</f>
        <v>5379.71</v>
      </c>
      <c r="AA73" s="15">
        <f>IFERROR(Z73/Z444, "NA")</f>
        <v>1.654261191418854E-2</v>
      </c>
      <c r="AB73" s="2"/>
      <c r="AC73" s="14">
        <f t="shared" si="19"/>
        <v>63920.30000000001</v>
      </c>
      <c r="AD73" s="15">
        <f>IFERROR(AC73/AC444, "NA")</f>
        <v>1.8336903447419199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702.94</v>
      </c>
      <c r="F75" s="8">
        <f>IFERROR(E75/E444, "NA")</f>
        <v>7.999991805852421E-3</v>
      </c>
      <c r="G75" s="9"/>
      <c r="H75" s="10">
        <f t="shared" ref="H75:H92" si="20">IFERROR(B75-E75, "NA")</f>
        <v>-702.94</v>
      </c>
      <c r="I75" s="8">
        <f>IFERROR(H75/H444, "NA")</f>
        <v>-7.2033906989422469E-2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2781.74</v>
      </c>
      <c r="U75" s="8">
        <f>IFERROR(T75/T444, "NA")</f>
        <v>7.9999749222496256E-3</v>
      </c>
      <c r="V75" s="9"/>
      <c r="W75" s="10">
        <f t="shared" ref="W75:W92" si="22">IFERROR(Q75-T75, "NA")</f>
        <v>-2781.74</v>
      </c>
      <c r="X75" s="8">
        <f>IFERROR(W75/W444, "NA")</f>
        <v>-0.22536217677110584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126.01</v>
      </c>
      <c r="C77" s="8">
        <f>IFERROR(B77/B444, "NA")</f>
        <v>1.2907415592457137E-3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126.01</v>
      </c>
      <c r="I77" s="8">
        <f>IFERROR(H77/H444, "NA")</f>
        <v>1.2912898141714976E-2</v>
      </c>
      <c r="J77" s="9"/>
      <c r="K77" s="7">
        <v>64.17</v>
      </c>
      <c r="L77" s="8">
        <f>IFERROR(K77/K444, "NA")</f>
        <v>8.0242079236458549E-4</v>
      </c>
      <c r="M77" s="9"/>
      <c r="N77" s="10">
        <f t="shared" si="21"/>
        <v>61.84</v>
      </c>
      <c r="O77" s="8">
        <f>IFERROR(N77/N444, "NA")</f>
        <v>3.5025833251206124E-3</v>
      </c>
      <c r="P77" s="9"/>
      <c r="Q77" s="7">
        <v>1140.44</v>
      </c>
      <c r="R77" s="8">
        <f>IFERROR(Q77/Q444, "NA")</f>
        <v>3.1673433140030518E-3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1140.44</v>
      </c>
      <c r="X77" s="8">
        <f>IFERROR(W77/W444, "NA")</f>
        <v>9.2392545988065025E-2</v>
      </c>
      <c r="Y77" s="9"/>
      <c r="Z77" s="7">
        <v>671.82</v>
      </c>
      <c r="AA77" s="8">
        <f>IFERROR(Z77/Z444, "NA")</f>
        <v>2.0658469575851011E-3</v>
      </c>
      <c r="AB77" s="9"/>
      <c r="AC77" s="10">
        <f t="shared" si="23"/>
        <v>468.62</v>
      </c>
      <c r="AD77" s="8">
        <f>IFERROR(AC77/AC444, "NA")</f>
        <v>1.3443365712503827E-2</v>
      </c>
    </row>
    <row r="78" spans="1:30" ht="16.5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25</v>
      </c>
      <c r="L78" s="8">
        <f>IFERROR(K78/K444, "NA")</f>
        <v>3.126152377920311E-4</v>
      </c>
      <c r="M78" s="9"/>
      <c r="N78" s="10">
        <f t="shared" si="21"/>
        <v>-25</v>
      </c>
      <c r="O78" s="8">
        <f>IFERROR(N78/N444, "NA")</f>
        <v>-1.4159861437259913E-3</v>
      </c>
      <c r="P78" s="9"/>
      <c r="Q78" s="7">
        <v>50</v>
      </c>
      <c r="R78" s="8">
        <f>IFERROR(Q78/Q444, "NA")</f>
        <v>1.3886496939791011E-4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50</v>
      </c>
      <c r="X78" s="8">
        <f>IFERROR(W78/W444, "NA")</f>
        <v>4.0507412046256281E-3</v>
      </c>
      <c r="Y78" s="9"/>
      <c r="Z78" s="7">
        <v>225</v>
      </c>
      <c r="AA78" s="8">
        <f>IFERROR(Z78/Z444, "NA")</f>
        <v>6.9187515325034644E-4</v>
      </c>
      <c r="AB78" s="9"/>
      <c r="AC78" s="10">
        <f t="shared" si="23"/>
        <v>-175</v>
      </c>
      <c r="AD78" s="8">
        <f>IFERROR(AC78/AC444, "NA")</f>
        <v>-5.0202488150061239E-3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127.15</v>
      </c>
      <c r="C80" s="8">
        <f>IFERROR(B80/B444, "NA")</f>
        <v>1.3024187703999086E-3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127.15</v>
      </c>
      <c r="I80" s="8">
        <f>IFERROR(H80/H444, "NA")</f>
        <v>1.3029719853337507E-2</v>
      </c>
      <c r="J80" s="9"/>
      <c r="K80" s="7">
        <v>53.22</v>
      </c>
      <c r="L80" s="8">
        <f>IFERROR(K80/K444, "NA")</f>
        <v>6.6549531821167576E-4</v>
      </c>
      <c r="M80" s="9"/>
      <c r="N80" s="10">
        <f t="shared" si="21"/>
        <v>73.930000000000007</v>
      </c>
      <c r="O80" s="8">
        <f>IFERROR(N80/N444, "NA")</f>
        <v>4.1873542242265019E-3</v>
      </c>
      <c r="P80" s="9"/>
      <c r="Q80" s="7">
        <v>583.4</v>
      </c>
      <c r="R80" s="8">
        <f>IFERROR(Q80/Q444, "NA")</f>
        <v>1.620276462934815E-3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583.4</v>
      </c>
      <c r="X80" s="8">
        <f>IFERROR(W80/W444, "NA")</f>
        <v>4.726404837557182E-2</v>
      </c>
      <c r="Y80" s="9"/>
      <c r="Z80" s="7">
        <v>2534.17</v>
      </c>
      <c r="AA80" s="8">
        <f>IFERROR(Z80/Z444, "NA")</f>
        <v>7.7925744760552465E-3</v>
      </c>
      <c r="AB80" s="9"/>
      <c r="AC80" s="10">
        <f t="shared" si="23"/>
        <v>-1950.77</v>
      </c>
      <c r="AD80" s="8">
        <f>IFERROR(AC80/AC444, "NA")</f>
        <v>-5.5962004461997117E-2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25</v>
      </c>
      <c r="AA82" s="8">
        <f>IFERROR(Z82/Z444, "NA")</f>
        <v>7.6875017027816276E-5</v>
      </c>
      <c r="AB82" s="9"/>
      <c r="AC82" s="10">
        <f t="shared" si="23"/>
        <v>-25</v>
      </c>
      <c r="AD82" s="8">
        <f>IFERROR(AC82/AC444, "NA")</f>
        <v>-7.1717840214373201E-4</v>
      </c>
    </row>
    <row r="83" spans="1:30" ht="16.5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35</v>
      </c>
      <c r="R83" s="8">
        <f>IFERROR(Q83/Q444, "NA")</f>
        <v>9.7205478578537072E-5</v>
      </c>
      <c r="S83" s="9"/>
      <c r="T83" s="7">
        <v>0</v>
      </c>
      <c r="U83" s="8">
        <f>IFERROR(T83/T444, "NA")</f>
        <v>0</v>
      </c>
      <c r="V83" s="9"/>
      <c r="W83" s="10">
        <f t="shared" si="22"/>
        <v>35</v>
      </c>
      <c r="X83" s="8">
        <f>IFERROR(W83/W444, "NA")</f>
        <v>2.8355188432379395E-3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35</v>
      </c>
      <c r="AD83" s="8">
        <f>IFERROR(AC83/AC444, "NA")</f>
        <v>1.0040497630012248E-3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25</v>
      </c>
      <c r="L86" s="8">
        <f>IFERROR(K86/K444, "NA")</f>
        <v>3.126152377920311E-4</v>
      </c>
      <c r="M86" s="9"/>
      <c r="N86" s="10">
        <f t="shared" si="21"/>
        <v>-25</v>
      </c>
      <c r="O86" s="8">
        <f>IFERROR(N86/N444, "NA")</f>
        <v>-1.4159861437259913E-3</v>
      </c>
      <c r="P86" s="9"/>
      <c r="Q86" s="7">
        <v>50</v>
      </c>
      <c r="R86" s="8">
        <f>IFERROR(Q86/Q444, "NA")</f>
        <v>1.3886496939791011E-4</v>
      </c>
      <c r="S86" s="9"/>
      <c r="T86" s="7">
        <v>0</v>
      </c>
      <c r="U86" s="8">
        <f>IFERROR(T86/T444, "NA")</f>
        <v>0</v>
      </c>
      <c r="V86" s="9"/>
      <c r="W86" s="10">
        <f t="shared" si="22"/>
        <v>50</v>
      </c>
      <c r="X86" s="8">
        <f>IFERROR(W86/W444, "NA")</f>
        <v>4.0507412046256281E-3</v>
      </c>
      <c r="Y86" s="9"/>
      <c r="Z86" s="7">
        <v>50</v>
      </c>
      <c r="AA86" s="8">
        <f>IFERROR(Z86/Z444, "NA")</f>
        <v>1.5375003405563255E-4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253.16000000000003</v>
      </c>
      <c r="C88" s="15">
        <f>IFERROR(B88/B444, "NA")</f>
        <v>2.5931603296456226E-3</v>
      </c>
      <c r="D88" s="2"/>
      <c r="E88" s="14">
        <f>IFERROR(E75+E76+E77+E78+E79+E80+E81+E82+E83+E84+E85+E86+E87, "NA")</f>
        <v>702.94</v>
      </c>
      <c r="F88" s="15">
        <f>IFERROR(E88/E444, "NA")</f>
        <v>7.999991805852421E-3</v>
      </c>
      <c r="G88" s="2"/>
      <c r="H88" s="14">
        <f t="shared" si="20"/>
        <v>-449.78000000000003</v>
      </c>
      <c r="I88" s="15">
        <f>IFERROR(H88/H444, "NA")</f>
        <v>-4.6091288994369983E-2</v>
      </c>
      <c r="J88" s="2"/>
      <c r="K88" s="14">
        <f>IFERROR(K75+K76+K77+K78+K79+K80+K81+K82+K83+K84+K85+K86+K87, "NA")</f>
        <v>167.39</v>
      </c>
      <c r="L88" s="15">
        <f>IFERROR(K88/K444, "NA")</f>
        <v>2.0931465861603231E-3</v>
      </c>
      <c r="M88" s="2"/>
      <c r="N88" s="14">
        <f t="shared" si="21"/>
        <v>85.770000000000039</v>
      </c>
      <c r="O88" s="15">
        <f>IFERROR(N88/N444, "NA")</f>
        <v>4.8579652618951329E-3</v>
      </c>
      <c r="P88" s="2"/>
      <c r="Q88" s="14">
        <f>IFERROR(Q75+Q76+Q77+Q78+Q79+Q80+Q81+Q82+Q83+Q84+Q85+Q86+Q87, "NA")</f>
        <v>1858.8400000000001</v>
      </c>
      <c r="R88" s="15">
        <f>IFERROR(Q88/Q444, "NA")</f>
        <v>5.1625551943122244E-3</v>
      </c>
      <c r="S88" s="2"/>
      <c r="T88" s="14">
        <f>IFERROR(T75+T76+T77+T78+T79+T80+T81+T82+T83+T84+T85+T86+T87, "NA")</f>
        <v>2781.74</v>
      </c>
      <c r="U88" s="15">
        <f>IFERROR(T88/T444, "NA")</f>
        <v>7.9999749222496256E-3</v>
      </c>
      <c r="V88" s="2"/>
      <c r="W88" s="14">
        <f t="shared" si="22"/>
        <v>-922.89999999999964</v>
      </c>
      <c r="X88" s="15">
        <f>IFERROR(W88/W444, "NA")</f>
        <v>-7.4768581154979807E-2</v>
      </c>
      <c r="Y88" s="2"/>
      <c r="Z88" s="14">
        <f>IFERROR(Z75+Z76+Z77+Z78+Z79+Z80+Z81+Z82+Z83+Z84+Z85+Z86+Z87, "NA")</f>
        <v>3505.9900000000002</v>
      </c>
      <c r="AA88" s="15">
        <f>IFERROR(Z88/Z444, "NA")</f>
        <v>1.0780921637974145E-2</v>
      </c>
      <c r="AB88" s="2"/>
      <c r="AC88" s="14">
        <f t="shared" si="23"/>
        <v>-1647.15</v>
      </c>
      <c r="AD88" s="15">
        <f>IFERROR(AC88/AC444, "NA")</f>
        <v>-4.7252016203641931E-2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-227.54</v>
      </c>
      <c r="L89" s="8">
        <f>IFERROR(K89/K444, "NA")</f>
        <v>-2.8452988482879503E-3</v>
      </c>
      <c r="M89" s="9"/>
      <c r="N89" s="10">
        <f t="shared" si="21"/>
        <v>227.54</v>
      </c>
      <c r="O89" s="8">
        <f>IFERROR(N89/N444, "NA")</f>
        <v>1.2887739485736483E-2</v>
      </c>
      <c r="P89" s="9"/>
      <c r="Q89" s="7">
        <v>49.72</v>
      </c>
      <c r="R89" s="8">
        <f>IFERROR(Q89/Q444, "NA")</f>
        <v>1.380873255692818E-4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49.72</v>
      </c>
      <c r="X89" s="8">
        <f>IFERROR(W89/W444, "NA")</f>
        <v>4.0280570538797243E-3</v>
      </c>
      <c r="Y89" s="9"/>
      <c r="Z89" s="7">
        <v>-368.51</v>
      </c>
      <c r="AA89" s="8">
        <f>IFERROR(Z89/Z444, "NA")</f>
        <v>-1.133168500996823E-3</v>
      </c>
      <c r="AB89" s="9"/>
      <c r="AC89" s="10">
        <f t="shared" si="23"/>
        <v>418.23</v>
      </c>
      <c r="AD89" s="8">
        <f>IFERROR(AC89/AC444, "NA")</f>
        <v>1.1997820925142922E-2</v>
      </c>
    </row>
    <row r="90" spans="1:30" ht="16.5" customHeight="1" x14ac:dyDescent="0.45">
      <c r="A90" s="6" t="s">
        <v>86</v>
      </c>
      <c r="B90" s="7">
        <v>-189.33</v>
      </c>
      <c r="C90" s="8">
        <f>IFERROR(B90/B444, "NA")</f>
        <v>-1.9393389366874928E-3</v>
      </c>
      <c r="D90" s="9"/>
      <c r="E90" s="7">
        <v>0</v>
      </c>
      <c r="F90" s="8">
        <f>IFERROR(E90/E444, "NA")</f>
        <v>0</v>
      </c>
      <c r="G90" s="9"/>
      <c r="H90" s="10">
        <f t="shared" si="20"/>
        <v>-189.33</v>
      </c>
      <c r="I90" s="8">
        <f>IFERROR(H90/H444, "NA")</f>
        <v>-1.940162689604711E-2</v>
      </c>
      <c r="J90" s="9"/>
      <c r="K90" s="7">
        <v>0</v>
      </c>
      <c r="L90" s="8">
        <f>IFERROR(K90/K444, "NA")</f>
        <v>0</v>
      </c>
      <c r="M90" s="9"/>
      <c r="N90" s="10">
        <f t="shared" si="21"/>
        <v>-189.33</v>
      </c>
      <c r="O90" s="8">
        <f>IFERROR(N90/N444, "NA")</f>
        <v>-1.0723546263665678E-2</v>
      </c>
      <c r="P90" s="9"/>
      <c r="Q90" s="7">
        <v>-479.38</v>
      </c>
      <c r="R90" s="8">
        <f>IFERROR(Q90/Q444, "NA")</f>
        <v>-1.3313817805994028E-3</v>
      </c>
      <c r="S90" s="9"/>
      <c r="T90" s="7">
        <v>0</v>
      </c>
      <c r="U90" s="8">
        <f>IFERROR(T90/T444, "NA")</f>
        <v>0</v>
      </c>
      <c r="V90" s="9"/>
      <c r="W90" s="10">
        <f t="shared" si="22"/>
        <v>-479.38</v>
      </c>
      <c r="X90" s="8">
        <f>IFERROR(W90/W444, "NA")</f>
        <v>-3.8836886373468667E-2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-479.38</v>
      </c>
      <c r="AD90" s="8">
        <f>IFERROR(AC90/AC444, "NA")</f>
        <v>-1.3752039296786488E-2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-5184.1899999999996</v>
      </c>
      <c r="F94" s="8">
        <f>IFERROR(E94/E444, "NA")</f>
        <v>-5.9000024923865552E-2</v>
      </c>
      <c r="G94" s="9"/>
      <c r="H94" s="10">
        <f t="shared" ref="H94:H124" si="24">IFERROR(B94-E94, "NA")</f>
        <v>5184.1899999999996</v>
      </c>
      <c r="I94" s="8">
        <f>IFERROR(H94/H444, "NA")</f>
        <v>0.53125083261088291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-20515.400000000001</v>
      </c>
      <c r="U94" s="8">
        <f>IFERROR(T94/T444, "NA")</f>
        <v>-5.9000009174085287E-2</v>
      </c>
      <c r="V94" s="9"/>
      <c r="W94" s="10">
        <f t="shared" ref="W94:W124" si="26">IFERROR(Q94-T94, "NA")</f>
        <v>20515.400000000001</v>
      </c>
      <c r="X94" s="8">
        <f>IFERROR(W94/W444, "NA")</f>
        <v>1.6620515221875323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-925.15</v>
      </c>
      <c r="C96" s="8">
        <f>IFERROR(B96/B444, "NA")</f>
        <v>-9.4764665783364163E-3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-925.15</v>
      </c>
      <c r="I96" s="8">
        <f>IFERROR(H96/H444, "NA")</f>
        <v>-9.4804917989108867E-2</v>
      </c>
      <c r="J96" s="9"/>
      <c r="K96" s="7">
        <v>-1219.55</v>
      </c>
      <c r="L96" s="8">
        <f>IFERROR(K96/K444, "NA")</f>
        <v>-1.5249996529970861E-2</v>
      </c>
      <c r="M96" s="9"/>
      <c r="N96" s="10">
        <f t="shared" si="25"/>
        <v>294.39999999999998</v>
      </c>
      <c r="O96" s="8">
        <f>IFERROR(N96/N444, "NA")</f>
        <v>1.6674652828517274E-2</v>
      </c>
      <c r="P96" s="9"/>
      <c r="Q96" s="7">
        <v>-4276.17</v>
      </c>
      <c r="R96" s="8">
        <f>IFERROR(Q96/Q444, "NA")</f>
        <v>-1.1876204323805225E-2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-4276.17</v>
      </c>
      <c r="X96" s="8">
        <f>IFERROR(W96/W444, "NA")</f>
        <v>-0.34643316033967941</v>
      </c>
      <c r="Y96" s="9"/>
      <c r="Z96" s="7">
        <v>-5232.6899999999996</v>
      </c>
      <c r="AA96" s="8">
        <f>IFERROR(Z96/Z444, "NA")</f>
        <v>-1.6090525314051356E-2</v>
      </c>
      <c r="AB96" s="9"/>
      <c r="AC96" s="10">
        <f t="shared" si="27"/>
        <v>956.51999999999953</v>
      </c>
      <c r="AD96" s="8">
        <f>IFERROR(AC96/AC444, "NA")</f>
        <v>2.7439819408740886E-2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-1113.4100000000001</v>
      </c>
      <c r="C98" s="8">
        <f>IFERROR(B98/B444, "NA")</f>
        <v>-1.1404845325607253E-2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-1113.4100000000001</v>
      </c>
      <c r="I98" s="8">
        <f>IFERROR(H98/H444, "NA")</f>
        <v>-0.11409689643652783</v>
      </c>
      <c r="J98" s="9"/>
      <c r="K98" s="7">
        <v>-1637.71</v>
      </c>
      <c r="L98" s="8">
        <f>IFERROR(K98/K444, "NA")</f>
        <v>-2.047892404337549E-2</v>
      </c>
      <c r="M98" s="9"/>
      <c r="N98" s="10">
        <f t="shared" si="25"/>
        <v>524.29999999999995</v>
      </c>
      <c r="O98" s="8">
        <f>IFERROR(N98/N444, "NA")</f>
        <v>2.9696061406221486E-2</v>
      </c>
      <c r="P98" s="9"/>
      <c r="Q98" s="7">
        <v>-4935.9399999999996</v>
      </c>
      <c r="R98" s="8">
        <f>IFERROR(Q98/Q444, "NA")</f>
        <v>-1.3708583140998406E-2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-4935.9399999999996</v>
      </c>
      <c r="X98" s="8">
        <f>IFERROR(W98/W444, "NA")</f>
        <v>-0.39988431083119641</v>
      </c>
      <c r="Y98" s="9"/>
      <c r="Z98" s="7">
        <v>-7015.59</v>
      </c>
      <c r="AA98" s="8">
        <f>IFERROR(Z98/Z444, "NA")</f>
        <v>-2.1572944028407103E-2</v>
      </c>
      <c r="AB98" s="9"/>
      <c r="AC98" s="10">
        <f t="shared" si="27"/>
        <v>2079.6500000000005</v>
      </c>
      <c r="AD98" s="8">
        <f>IFERROR(AC98/AC444, "NA")</f>
        <v>5.9659202560728507E-2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-24.01</v>
      </c>
      <c r="C100" s="8">
        <f>IFERROR(B100/B444, "NA")</f>
        <v>-2.4593845597563357E-4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-24.01</v>
      </c>
      <c r="I100" s="8">
        <f>IFERROR(H100/H444, "NA")</f>
        <v>-2.4604292070675073E-3</v>
      </c>
      <c r="J100" s="9"/>
      <c r="K100" s="7">
        <v>-543.98</v>
      </c>
      <c r="L100" s="8">
        <f>IFERROR(K100/K444, "NA")</f>
        <v>-6.8022574821643639E-3</v>
      </c>
      <c r="M100" s="9"/>
      <c r="N100" s="10">
        <f t="shared" si="25"/>
        <v>519.97</v>
      </c>
      <c r="O100" s="8">
        <f>IFERROR(N100/N444, "NA")</f>
        <v>2.9450812606128151E-2</v>
      </c>
      <c r="P100" s="9"/>
      <c r="Q100" s="7">
        <v>-373.39</v>
      </c>
      <c r="R100" s="8">
        <f>IFERROR(Q100/Q444, "NA")</f>
        <v>-1.0370158184697129E-3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-373.39</v>
      </c>
      <c r="X100" s="8">
        <f>IFERROR(W100/W444, "NA")</f>
        <v>-3.0250125167903263E-2</v>
      </c>
      <c r="Y100" s="9"/>
      <c r="Z100" s="7">
        <v>-1296.1500000000001</v>
      </c>
      <c r="AA100" s="8">
        <f>IFERROR(Z100/Z444, "NA")</f>
        <v>-3.9856621328241632E-3</v>
      </c>
      <c r="AB100" s="9"/>
      <c r="AC100" s="10">
        <f t="shared" si="27"/>
        <v>922.7600000000001</v>
      </c>
      <c r="AD100" s="8">
        <f>IFERROR(AC100/AC444, "NA")</f>
        <v>2.6471341694486006E-2</v>
      </c>
    </row>
    <row r="101" spans="1:30" ht="16.5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-64.44</v>
      </c>
      <c r="R101" s="8">
        <f>IFERROR(Q101/Q444, "NA")</f>
        <v>-1.7896917256002653E-4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-64.44</v>
      </c>
      <c r="X101" s="8">
        <f>IFERROR(W101/W444, "NA")</f>
        <v>-5.2205952645215086E-3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-64.44</v>
      </c>
      <c r="AD101" s="8">
        <f>IFERROR(AC101/AC444, "NA")</f>
        <v>-1.8485990493656834E-3</v>
      </c>
    </row>
    <row r="102" spans="1:30" ht="16.5" customHeight="1" x14ac:dyDescent="0.45">
      <c r="A102" s="12" t="s">
        <v>97</v>
      </c>
      <c r="B102" s="7">
        <v>-648.11</v>
      </c>
      <c r="C102" s="8">
        <f>IFERROR(B102/B444, "NA")</f>
        <v>-6.6386994045134467E-3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-648.11</v>
      </c>
      <c r="I102" s="8">
        <f>IFERROR(H102/H444, "NA")</f>
        <v>-6.6415192561121286E-2</v>
      </c>
      <c r="J102" s="9"/>
      <c r="K102" s="7">
        <v>-1309.2</v>
      </c>
      <c r="L102" s="8">
        <f>IFERROR(K102/K444, "NA")</f>
        <v>-1.6371034772693086E-2</v>
      </c>
      <c r="M102" s="9"/>
      <c r="N102" s="10">
        <f t="shared" si="25"/>
        <v>661.09</v>
      </c>
      <c r="O102" s="8">
        <f>IFERROR(N102/N444, "NA")</f>
        <v>3.7443771190232622E-2</v>
      </c>
      <c r="P102" s="9"/>
      <c r="Q102" s="7">
        <v>-3657.36</v>
      </c>
      <c r="R102" s="8">
        <f>IFERROR(Q102/Q444, "NA")</f>
        <v>-1.015758368954281E-2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-3657.36</v>
      </c>
      <c r="X102" s="8">
        <f>IFERROR(W102/W444, "NA")</f>
        <v>-0.29630037704299172</v>
      </c>
      <c r="Y102" s="9"/>
      <c r="Z102" s="7">
        <v>-3928.38</v>
      </c>
      <c r="AA102" s="8">
        <f>IFERROR(Z102/Z444, "NA")</f>
        <v>-1.2079771175669315E-2</v>
      </c>
      <c r="AB102" s="9"/>
      <c r="AC102" s="10">
        <f t="shared" si="27"/>
        <v>271.02</v>
      </c>
      <c r="AD102" s="8">
        <f>IFERROR(AC102/AC444, "NA")</f>
        <v>7.7747876219597693E-3</v>
      </c>
    </row>
    <row r="103" spans="1:30" ht="16.5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-48</v>
      </c>
      <c r="R103" s="8">
        <f>IFERROR(Q103/Q444, "NA")</f>
        <v>-1.3331037062199369E-4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-48</v>
      </c>
      <c r="X103" s="8">
        <f>IFERROR(W103/W444, "NA")</f>
        <v>-3.8887115564406028E-3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-48</v>
      </c>
      <c r="AD103" s="8">
        <f>IFERROR(AC103/AC444, "NA")</f>
        <v>-1.3769825321159653E-3</v>
      </c>
    </row>
    <row r="104" spans="1:30" ht="16.5" customHeight="1" x14ac:dyDescent="0.45">
      <c r="A104" s="12" t="s">
        <v>99</v>
      </c>
      <c r="B104" s="7">
        <v>-331.14</v>
      </c>
      <c r="C104" s="8">
        <f>IFERROR(B104/B444, "NA")</f>
        <v>-3.3919225452632771E-3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-331.14</v>
      </c>
      <c r="I104" s="8">
        <f>IFERROR(H104/H444, "NA")</f>
        <v>-3.3933632970776104E-2</v>
      </c>
      <c r="J104" s="9"/>
      <c r="K104" s="7">
        <v>-586.4</v>
      </c>
      <c r="L104" s="8">
        <f>IFERROR(K104/K444, "NA")</f>
        <v>-7.332703017649881E-3</v>
      </c>
      <c r="M104" s="9"/>
      <c r="N104" s="10">
        <f t="shared" si="25"/>
        <v>255.26</v>
      </c>
      <c r="O104" s="8">
        <f>IFERROR(N104/N444, "NA")</f>
        <v>1.4457784921899862E-2</v>
      </c>
      <c r="P104" s="9"/>
      <c r="Q104" s="7">
        <v>-1295.0999999999999</v>
      </c>
      <c r="R104" s="8">
        <f>IFERROR(Q104/Q444, "NA")</f>
        <v>-3.5968804373446672E-3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-1295.0999999999999</v>
      </c>
      <c r="X104" s="8">
        <f>IFERROR(W104/W444, "NA")</f>
        <v>-0.10492229868221301</v>
      </c>
      <c r="Y104" s="9"/>
      <c r="Z104" s="7">
        <v>-1956.65</v>
      </c>
      <c r="AA104" s="8">
        <f>IFERROR(Z104/Z444, "NA")</f>
        <v>-6.0167000826990688E-3</v>
      </c>
      <c r="AB104" s="9"/>
      <c r="AC104" s="10">
        <f t="shared" si="27"/>
        <v>661.55000000000018</v>
      </c>
      <c r="AD104" s="8">
        <f>IFERROR(AC104/AC444, "NA")</f>
        <v>1.8977974877527441E-2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-46.55</v>
      </c>
      <c r="C106" s="8">
        <f>IFERROR(B106/B444, "NA")</f>
        <v>-4.7681945546296299E-4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-46.55</v>
      </c>
      <c r="I106" s="8">
        <f>IFERROR(H106/H444, "NA")</f>
        <v>-4.7702198912533298E-3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-46.55</v>
      </c>
      <c r="O106" s="8">
        <f>IFERROR(N106/N444, "NA")</f>
        <v>-2.6365661996177957E-3</v>
      </c>
      <c r="P106" s="9"/>
      <c r="Q106" s="7">
        <v>-290.98</v>
      </c>
      <c r="R106" s="8">
        <f>IFERROR(Q106/Q444, "NA")</f>
        <v>-8.0813857590807765E-4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-290.98</v>
      </c>
      <c r="X106" s="8">
        <f>IFERROR(W106/W444, "NA")</f>
        <v>-2.3573693514439303E-2</v>
      </c>
      <c r="Y106" s="9"/>
      <c r="Z106" s="7">
        <v>-235.87</v>
      </c>
      <c r="AA106" s="8">
        <f>IFERROR(Z106/Z444, "NA")</f>
        <v>-7.2530041065404095E-4</v>
      </c>
      <c r="AB106" s="9"/>
      <c r="AC106" s="10">
        <f t="shared" si="27"/>
        <v>-55.110000000000014</v>
      </c>
      <c r="AD106" s="8">
        <f>IFERROR(AC106/AC444, "NA")</f>
        <v>-1.5809480696856431E-3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-3088.3700000000003</v>
      </c>
      <c r="C118" s="15">
        <f>IFERROR(B118/B444, "NA")</f>
        <v>-3.1634691765158991E-2</v>
      </c>
      <c r="D118" s="2"/>
      <c r="E118" s="14">
        <f>IFERROR(E94+E95+E96+E97+E98+E99+E100+E101+E102+E103+E104+E105+E106+E107+E108+E109+E110+E111+E112+E113+E114+E115+E116+E117, "NA")</f>
        <v>-5184.1899999999996</v>
      </c>
      <c r="F118" s="15">
        <f>IFERROR(E118/E444, "NA")</f>
        <v>-5.9000024923865552E-2</v>
      </c>
      <c r="G118" s="2"/>
      <c r="H118" s="14">
        <f t="shared" si="24"/>
        <v>2095.8199999999993</v>
      </c>
      <c r="I118" s="15">
        <f>IFERROR(H118/H444, "NA")</f>
        <v>0.21476954355502792</v>
      </c>
      <c r="J118" s="2"/>
      <c r="K118" s="14">
        <f>IFERROR(K94+K95+K96+K97+K98+K99+K100+K101+K102+K103+K104+K105+K106+K107+K108+K109+K110+K111+K112+K113+K114+K115+K116+K117, "NA")</f>
        <v>-5296.84</v>
      </c>
      <c r="L118" s="15">
        <f>IFERROR(K118/K444, "NA")</f>
        <v>-6.6234915845853684E-2</v>
      </c>
      <c r="M118" s="2"/>
      <c r="N118" s="14">
        <f t="shared" si="25"/>
        <v>2208.4699999999998</v>
      </c>
      <c r="O118" s="15">
        <f>IFERROR(N118/N444, "NA")</f>
        <v>0.12508651675338159</v>
      </c>
      <c r="P118" s="2"/>
      <c r="Q118" s="14">
        <f>IFERROR(Q94+Q95+Q96+Q97+Q98+Q99+Q100+Q101+Q102+Q103+Q104+Q105+Q106+Q107+Q108+Q109+Q110+Q111+Q112+Q113+Q114+Q115+Q116+Q117, "NA")</f>
        <v>-14941.380000000001</v>
      </c>
      <c r="R118" s="15">
        <f>IFERROR(Q118/Q444, "NA")</f>
        <v>-4.1496685529250919E-2</v>
      </c>
      <c r="S118" s="2"/>
      <c r="T118" s="14">
        <f>IFERROR(T94+T95+T96+T97+T98+T99+T100+T101+T102+T103+T104+T105+T106+T107+T108+T109+T110+T111+T112+T113+T114+T115+T116+T117, "NA")</f>
        <v>-20515.400000000001</v>
      </c>
      <c r="U118" s="15">
        <f>IFERROR(T118/T444, "NA")</f>
        <v>-5.9000009174085287E-2</v>
      </c>
      <c r="V118" s="2"/>
      <c r="W118" s="14">
        <f t="shared" si="26"/>
        <v>5574.02</v>
      </c>
      <c r="X118" s="15">
        <f>IFERROR(W118/W444, "NA")</f>
        <v>0.45157824978814687</v>
      </c>
      <c r="Y118" s="2"/>
      <c r="Z118" s="14">
        <f>IFERROR(Z94+Z95+Z96+Z97+Z98+Z99+Z100+Z101+Z102+Z103+Z104+Z105+Z106+Z107+Z108+Z109+Z110+Z111+Z112+Z113+Z114+Z115+Z116+Z117, "NA")</f>
        <v>-19665.329999999998</v>
      </c>
      <c r="AA118" s="15">
        <f>IFERROR(Z118/Z444, "NA")</f>
        <v>-6.047090314430504E-2</v>
      </c>
      <c r="AB118" s="2"/>
      <c r="AC118" s="14">
        <f t="shared" si="27"/>
        <v>4723.9499999999971</v>
      </c>
      <c r="AD118" s="15">
        <f>IFERROR(AC118/AC444, "NA")</f>
        <v>0.13551659651227521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97626.05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87867.590000000011</v>
      </c>
      <c r="F122" s="15">
        <f>IFERROR(E122/E444, "NA")</f>
        <v>1.0000000000000002</v>
      </c>
      <c r="G122" s="2"/>
      <c r="H122" s="14">
        <f t="shared" si="24"/>
        <v>9758.4599999999919</v>
      </c>
      <c r="I122" s="15">
        <f>IFERROR(H122/H444, "NA")</f>
        <v>0.99999999999999856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79970.510000000009</v>
      </c>
      <c r="L122" s="15">
        <f>IFERROR(K122/K444, "NA")</f>
        <v>1.0000000000000002</v>
      </c>
      <c r="M122" s="2"/>
      <c r="N122" s="14">
        <f t="shared" si="25"/>
        <v>17655.539999999994</v>
      </c>
      <c r="O122" s="15">
        <f>IFERROR(N122/N444, "NA")</f>
        <v>0.99999999999999922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360062.01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347718.58999999997</v>
      </c>
      <c r="U122" s="15">
        <f>IFERROR(T122/T444, "NA")</f>
        <v>0.99999999999999978</v>
      </c>
      <c r="V122" s="2"/>
      <c r="W122" s="14">
        <f t="shared" si="26"/>
        <v>12343.420000000042</v>
      </c>
      <c r="X122" s="15">
        <f>IFERROR(W122/W444, "NA")</f>
        <v>1.0000000000000047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325203.17999999982</v>
      </c>
      <c r="AA122" s="15">
        <f>IFERROR(Z122/Z444, "NA")</f>
        <v>0.99999999999999944</v>
      </c>
      <c r="AB122" s="2"/>
      <c r="AC122" s="14">
        <f t="shared" si="27"/>
        <v>34858.830000000191</v>
      </c>
      <c r="AD122" s="15">
        <f>IFERROR(AC122/AC444, "NA")</f>
        <v>1.0000000000000051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97626.05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87867.590000000011</v>
      </c>
      <c r="F124" s="15">
        <f>IFERROR(E124/E444, "NA")</f>
        <v>1.0000000000000002</v>
      </c>
      <c r="G124" s="2"/>
      <c r="H124" s="14">
        <f t="shared" si="24"/>
        <v>9758.4599999999919</v>
      </c>
      <c r="I124" s="15">
        <f>IFERROR(H124/H444, "NA")</f>
        <v>0.99999999999999856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79970.510000000009</v>
      </c>
      <c r="L124" s="15">
        <f>IFERROR(K124/K444, "NA")</f>
        <v>1.0000000000000002</v>
      </c>
      <c r="M124" s="2"/>
      <c r="N124" s="14">
        <f t="shared" si="25"/>
        <v>17655.539999999994</v>
      </c>
      <c r="O124" s="15">
        <f>IFERROR(N124/N444, "NA")</f>
        <v>0.99999999999999922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360062.01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347718.58999999997</v>
      </c>
      <c r="U124" s="15">
        <f>IFERROR(T124/T444, "NA")</f>
        <v>0.99999999999999978</v>
      </c>
      <c r="V124" s="2"/>
      <c r="W124" s="14">
        <f t="shared" si="26"/>
        <v>12343.420000000042</v>
      </c>
      <c r="X124" s="15">
        <f>IFERROR(W124/W444, "NA")</f>
        <v>1.0000000000000047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325203.17999999982</v>
      </c>
      <c r="AA124" s="15">
        <f>IFERROR(Z124/Z444, "NA")</f>
        <v>0.99999999999999944</v>
      </c>
      <c r="AB124" s="2"/>
      <c r="AC124" s="14">
        <f t="shared" si="27"/>
        <v>34858.830000000191</v>
      </c>
      <c r="AD124" s="15">
        <f>IFERROR(AC124/AC444, "NA")</f>
        <v>1.0000000000000051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18627.93</v>
      </c>
      <c r="F129" s="8">
        <f>IFERROR(E129/E444, "NA")</f>
        <v>0.2120000104702997</v>
      </c>
      <c r="G129" s="9"/>
      <c r="H129" s="10">
        <f t="shared" ref="H129:H141" si="28">IFERROR(-(B129-E129), "NA")</f>
        <v>18627.93</v>
      </c>
      <c r="I129" s="8">
        <f>IFERROR(H129/H444, "NA")</f>
        <v>1.908900584723408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74240.960000000006</v>
      </c>
      <c r="U129" s="8">
        <f>IFERROR(T129/T444, "NA")</f>
        <v>0.21350874567850975</v>
      </c>
      <c r="V129" s="9"/>
      <c r="W129" s="10">
        <f t="shared" ref="W129:W141" si="30">IFERROR(-(Q129-T129), "NA")</f>
        <v>74240.960000000006</v>
      </c>
      <c r="X129" s="8">
        <f>IFERROR(W129/W444, "NA")</f>
        <v>6.0146183148592618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4543.7299999999996</v>
      </c>
      <c r="C130" s="8">
        <f>IFERROR(B130/B444, "NA")</f>
        <v>4.6542188278640789E-2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-4543.7299999999996</v>
      </c>
      <c r="I130" s="8">
        <f>IFERROR(H130/H444, "NA")</f>
        <v>-0.46561957521986014</v>
      </c>
      <c r="J130" s="9"/>
      <c r="K130" s="7">
        <v>4485.28</v>
      </c>
      <c r="L130" s="8">
        <f>IFERROR(K130/K444, "NA")</f>
        <v>5.6086674950553646E-2</v>
      </c>
      <c r="M130" s="9"/>
      <c r="N130" s="10">
        <f t="shared" si="29"/>
        <v>-58.449999999999818</v>
      </c>
      <c r="O130" s="8">
        <f>IFERROR(N130/N444, "NA")</f>
        <v>-3.3105756040313575E-3</v>
      </c>
      <c r="P130" s="9"/>
      <c r="Q130" s="7">
        <v>16647.490000000002</v>
      </c>
      <c r="R130" s="8">
        <f>IFERROR(Q130/Q444, "NA")</f>
        <v>4.6235063788040293E-2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-16647.490000000002</v>
      </c>
      <c r="X130" s="8">
        <f>IFERROR(W130/W444, "NA")</f>
        <v>-1.3486934739318619</v>
      </c>
      <c r="Y130" s="9"/>
      <c r="Z130" s="7">
        <v>18361.28</v>
      </c>
      <c r="AA130" s="8">
        <f>IFERROR(Z130/Z444, "NA")</f>
        <v>5.6460948506100089E-2</v>
      </c>
      <c r="AB130" s="9"/>
      <c r="AC130" s="10">
        <f t="shared" si="31"/>
        <v>1713.7899999999972</v>
      </c>
      <c r="AD130" s="8">
        <f>IFERROR(AC130/AC444, "NA")</f>
        <v>4.9163726952396181E-2</v>
      </c>
    </row>
    <row r="131" spans="1:30" ht="16.5" customHeight="1" x14ac:dyDescent="0.45">
      <c r="A131" s="12" t="s">
        <v>123</v>
      </c>
      <c r="B131" s="7">
        <v>2800.85</v>
      </c>
      <c r="C131" s="8">
        <f>IFERROR(B131/B444, "NA")</f>
        <v>2.8689576194058857E-2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-2800.85</v>
      </c>
      <c r="I131" s="8">
        <f>IFERROR(H131/H444, "NA")</f>
        <v>-0.28701762368242512</v>
      </c>
      <c r="J131" s="9"/>
      <c r="K131" s="7">
        <v>2039.21</v>
      </c>
      <c r="L131" s="8">
        <f>IFERROR(K131/K444, "NA")</f>
        <v>2.5499524762315512E-2</v>
      </c>
      <c r="M131" s="9"/>
      <c r="N131" s="10">
        <f t="shared" si="29"/>
        <v>-761.63999999999987</v>
      </c>
      <c r="O131" s="8">
        <f>IFERROR(N131/N444, "NA")</f>
        <v>-4.3138867460298554E-2</v>
      </c>
      <c r="P131" s="9"/>
      <c r="Q131" s="7">
        <v>10079.620000000001</v>
      </c>
      <c r="R131" s="8">
        <f>IFERROR(Q131/Q444, "NA")</f>
        <v>2.7994122456851254E-2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-10079.620000000001</v>
      </c>
      <c r="X131" s="8">
        <f>IFERROR(W131/W444, "NA")</f>
        <v>-0.81659864121937142</v>
      </c>
      <c r="Y131" s="9"/>
      <c r="Z131" s="7">
        <v>9675.44</v>
      </c>
      <c r="AA131" s="8">
        <f>IFERROR(Z131/Z444, "NA")</f>
        <v>2.975198459006459E-2</v>
      </c>
      <c r="AB131" s="9"/>
      <c r="AC131" s="10">
        <f t="shared" si="31"/>
        <v>-404.18000000000029</v>
      </c>
      <c r="AD131" s="8">
        <f>IFERROR(AC131/AC444, "NA")</f>
        <v>-1.1594766663138151E-2</v>
      </c>
    </row>
    <row r="132" spans="1:30" ht="16.5" customHeight="1" x14ac:dyDescent="0.45">
      <c r="A132" s="12" t="s">
        <v>124</v>
      </c>
      <c r="B132" s="7">
        <v>4600.67</v>
      </c>
      <c r="C132" s="8">
        <f>IFERROR(B132/B444, "NA")</f>
        <v>4.7125434246289795E-2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-4600.67</v>
      </c>
      <c r="I132" s="8">
        <f>IFERROR(H132/H444, "NA")</f>
        <v>-0.47145451228984869</v>
      </c>
      <c r="J132" s="9"/>
      <c r="K132" s="7">
        <v>3364.4</v>
      </c>
      <c r="L132" s="8">
        <f>IFERROR(K132/K444, "NA")</f>
        <v>4.2070508241100382E-2</v>
      </c>
      <c r="M132" s="9"/>
      <c r="N132" s="10">
        <f t="shared" si="29"/>
        <v>-1236.27</v>
      </c>
      <c r="O132" s="8">
        <f>IFERROR(N132/N444, "NA")</f>
        <v>-7.0021647596165248E-2</v>
      </c>
      <c r="P132" s="9"/>
      <c r="Q132" s="7">
        <v>14461.75</v>
      </c>
      <c r="R132" s="8">
        <f>IFERROR(Q132/Q444, "NA")</f>
        <v>4.0164609423804523E-2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-14461.75</v>
      </c>
      <c r="X132" s="8">
        <f>IFERROR(W132/W444, "NA")</f>
        <v>-1.1716161323198935</v>
      </c>
      <c r="Y132" s="9"/>
      <c r="Z132" s="7">
        <v>13039.17</v>
      </c>
      <c r="AA132" s="8">
        <f>IFERROR(Z132/Z444, "NA")</f>
        <v>4.0095456631143646E-2</v>
      </c>
      <c r="AB132" s="9"/>
      <c r="AC132" s="10">
        <f t="shared" si="31"/>
        <v>-1422.58</v>
      </c>
      <c r="AD132" s="8">
        <f>IFERROR(AC132/AC444, "NA")</f>
        <v>-4.0809746052865206E-2</v>
      </c>
    </row>
    <row r="133" spans="1:30" ht="16.5" customHeight="1" x14ac:dyDescent="0.45">
      <c r="A133" s="12" t="s">
        <v>125</v>
      </c>
      <c r="B133" s="7">
        <v>2092.25</v>
      </c>
      <c r="C133" s="8">
        <f>IFERROR(B133/B444, "NA")</f>
        <v>2.1431267576635538E-2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-2092.25</v>
      </c>
      <c r="I133" s="8">
        <f>IFERROR(H133/H444, "NA")</f>
        <v>-0.21440370714231535</v>
      </c>
      <c r="J133" s="9"/>
      <c r="K133" s="7">
        <v>1463.15</v>
      </c>
      <c r="L133" s="8">
        <f>IFERROR(K133/K444, "NA")</f>
        <v>1.8296119407016413E-2</v>
      </c>
      <c r="M133" s="9"/>
      <c r="N133" s="10">
        <f t="shared" si="29"/>
        <v>-629.09999999999991</v>
      </c>
      <c r="O133" s="8">
        <f>IFERROR(N133/N444, "NA")</f>
        <v>-3.5631875320720839E-2</v>
      </c>
      <c r="P133" s="9"/>
      <c r="Q133" s="7">
        <v>7594.1</v>
      </c>
      <c r="R133" s="8">
        <f>IFERROR(Q133/Q444, "NA")</f>
        <v>2.1091089282093384E-2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-7594.1</v>
      </c>
      <c r="X133" s="8">
        <f>IFERROR(W133/W444, "NA")</f>
        <v>-0.61523467564094958</v>
      </c>
      <c r="Y133" s="9"/>
      <c r="Z133" s="7">
        <v>6460.85</v>
      </c>
      <c r="AA133" s="8">
        <f>IFERROR(Z133/Z444, "NA")</f>
        <v>1.9867118150566673E-2</v>
      </c>
      <c r="AB133" s="9"/>
      <c r="AC133" s="10">
        <f t="shared" si="31"/>
        <v>-1133.25</v>
      </c>
      <c r="AD133" s="8">
        <f>IFERROR(AC133/AC444, "NA")</f>
        <v>-3.250969696917537E-2</v>
      </c>
    </row>
    <row r="134" spans="1:30" ht="16.5" customHeight="1" x14ac:dyDescent="0.45">
      <c r="A134" s="12" t="s">
        <v>126</v>
      </c>
      <c r="B134" s="7">
        <v>882.45</v>
      </c>
      <c r="C134" s="8">
        <f>IFERROR(B134/B444, "NA")</f>
        <v>9.0390833184380605E-3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-882.45</v>
      </c>
      <c r="I134" s="8">
        <f>IFERROR(H134/H444, "NA")</f>
        <v>-9.0429227562545678E-2</v>
      </c>
      <c r="J134" s="9"/>
      <c r="K134" s="7">
        <v>469.27</v>
      </c>
      <c r="L134" s="8">
        <f>IFERROR(K134/K444, "NA")</f>
        <v>5.8680381055466573E-3</v>
      </c>
      <c r="M134" s="9"/>
      <c r="N134" s="10">
        <f t="shared" si="29"/>
        <v>-413.18000000000006</v>
      </c>
      <c r="O134" s="8">
        <f>IFERROR(N134/N444, "NA")</f>
        <v>-2.3402286194588208E-2</v>
      </c>
      <c r="P134" s="9"/>
      <c r="Q134" s="7">
        <v>3634.22</v>
      </c>
      <c r="R134" s="8">
        <f>IFERROR(Q134/Q444, "NA")</f>
        <v>1.0093316981705456E-2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-3634.22</v>
      </c>
      <c r="X134" s="8">
        <f>IFERROR(W134/W444, "NA")</f>
        <v>-0.29442569401349095</v>
      </c>
      <c r="Y134" s="9"/>
      <c r="Z134" s="7">
        <v>2673.23</v>
      </c>
      <c r="AA134" s="8">
        <f>IFERROR(Z134/Z444, "NA")</f>
        <v>8.2201840707707714E-3</v>
      </c>
      <c r="AB134" s="9"/>
      <c r="AC134" s="10">
        <f t="shared" si="31"/>
        <v>-960.98999999999978</v>
      </c>
      <c r="AD134" s="8">
        <f>IFERROR(AC134/AC444, "NA")</f>
        <v>-2.7568050907044193E-2</v>
      </c>
    </row>
    <row r="135" spans="1:30" ht="16.5" customHeight="1" x14ac:dyDescent="0.45">
      <c r="A135" s="12" t="s">
        <v>127</v>
      </c>
      <c r="B135" s="7">
        <v>498.65</v>
      </c>
      <c r="C135" s="8">
        <f>IFERROR(B135/B444, "NA")</f>
        <v>5.1077555631924053E-3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-498.65</v>
      </c>
      <c r="I135" s="8">
        <f>IFERROR(H135/H444, "NA")</f>
        <v>-5.1099251316293726E-2</v>
      </c>
      <c r="J135" s="9"/>
      <c r="K135" s="7">
        <v>702.04</v>
      </c>
      <c r="L135" s="8">
        <f>IFERROR(K135/K444, "NA")</f>
        <v>8.7787360615807011E-3</v>
      </c>
      <c r="M135" s="9"/>
      <c r="N135" s="10">
        <f t="shared" si="29"/>
        <v>203.39</v>
      </c>
      <c r="O135" s="8">
        <f>IFERROR(N135/N444, "NA")</f>
        <v>1.1519896870897174E-2</v>
      </c>
      <c r="P135" s="9"/>
      <c r="Q135" s="7">
        <v>2620.4</v>
      </c>
      <c r="R135" s="8">
        <f>IFERROR(Q135/Q444, "NA")</f>
        <v>7.2776353162056729E-3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-2620.4</v>
      </c>
      <c r="X135" s="8">
        <f>IFERROR(W135/W444, "NA")</f>
        <v>-0.21229124505201991</v>
      </c>
      <c r="Y135" s="9"/>
      <c r="Z135" s="7">
        <v>2700</v>
      </c>
      <c r="AA135" s="8">
        <f>IFERROR(Z135/Z444, "NA")</f>
        <v>8.3025018390041581E-3</v>
      </c>
      <c r="AB135" s="9"/>
      <c r="AC135" s="10">
        <f t="shared" si="31"/>
        <v>79.599999999999909</v>
      </c>
      <c r="AD135" s="8">
        <f>IFERROR(AC135/AC444, "NA")</f>
        <v>2.2834960324256402E-3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1366.89</v>
      </c>
      <c r="L136" s="8">
        <f>IFERROR(K136/K444, "NA")</f>
        <v>1.7092425695421978E-2</v>
      </c>
      <c r="M136" s="9"/>
      <c r="N136" s="10">
        <f t="shared" si="29"/>
        <v>1366.89</v>
      </c>
      <c r="O136" s="8">
        <f>IFERROR(N136/N444, "NA")</f>
        <v>7.7419891999904816E-2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4155.99</v>
      </c>
      <c r="AA136" s="8">
        <f>IFERROR(Z136/Z444, "NA")</f>
        <v>1.2779672080697366E-2</v>
      </c>
      <c r="AB136" s="9"/>
      <c r="AC136" s="10">
        <f t="shared" si="31"/>
        <v>4155.99</v>
      </c>
      <c r="AD136" s="8">
        <f>IFERROR(AC136/AC444, "NA")</f>
        <v>0.11922345070101315</v>
      </c>
    </row>
    <row r="137" spans="1:30" ht="16.5" customHeight="1" x14ac:dyDescent="0.45">
      <c r="A137" s="12" t="s">
        <v>129</v>
      </c>
      <c r="B137" s="7">
        <v>523.89</v>
      </c>
      <c r="C137" s="8">
        <f>IFERROR(B137/B444, "NA")</f>
        <v>5.3662931154133554E-3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-523.89</v>
      </c>
      <c r="I137" s="8">
        <f>IFERROR(H137/H444, "NA")</f>
        <v>-5.3685725001690804E-2</v>
      </c>
      <c r="J137" s="9"/>
      <c r="K137" s="7">
        <v>358.14</v>
      </c>
      <c r="L137" s="8">
        <f>IFERROR(K137/K444, "NA")</f>
        <v>4.4784008505135203E-3</v>
      </c>
      <c r="M137" s="9"/>
      <c r="N137" s="10">
        <f t="shared" si="29"/>
        <v>-165.75</v>
      </c>
      <c r="O137" s="8">
        <f>IFERROR(N137/N444, "NA")</f>
        <v>-9.3879881329033219E-3</v>
      </c>
      <c r="P137" s="9"/>
      <c r="Q137" s="7">
        <v>1808.25</v>
      </c>
      <c r="R137" s="8">
        <f>IFERROR(Q137/Q444, "NA")</f>
        <v>5.0220516182754183E-3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-1808.25</v>
      </c>
      <c r="X137" s="8">
        <f>IFERROR(W137/W444, "NA")</f>
        <v>-0.14649505566528584</v>
      </c>
      <c r="Y137" s="9"/>
      <c r="Z137" s="7">
        <v>1768.8</v>
      </c>
      <c r="AA137" s="8">
        <f>IFERROR(Z137/Z444, "NA")</f>
        <v>5.4390612047520567E-3</v>
      </c>
      <c r="AB137" s="9"/>
      <c r="AC137" s="10">
        <f t="shared" si="31"/>
        <v>-39.450000000000045</v>
      </c>
      <c r="AD137" s="8">
        <f>IFERROR(AC137/AC444, "NA")</f>
        <v>-1.1317075185828104E-3</v>
      </c>
    </row>
    <row r="138" spans="1:30" ht="16.5" customHeight="1" x14ac:dyDescent="0.45">
      <c r="A138" s="12" t="s">
        <v>130</v>
      </c>
      <c r="B138" s="7">
        <v>5289.22</v>
      </c>
      <c r="C138" s="8">
        <f>IFERROR(B138/B444, "NA")</f>
        <v>5.4178367351746796E-2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-5289.22</v>
      </c>
      <c r="I138" s="8">
        <f>IFERROR(H138/H444, "NA")</f>
        <v>-0.54201380135800081</v>
      </c>
      <c r="J138" s="9"/>
      <c r="K138" s="7">
        <v>5310.68</v>
      </c>
      <c r="L138" s="8">
        <f>IFERROR(K138/K444, "NA")</f>
        <v>6.6407979641495349E-2</v>
      </c>
      <c r="M138" s="9"/>
      <c r="N138" s="10">
        <f t="shared" si="29"/>
        <v>21.460000000000036</v>
      </c>
      <c r="O138" s="8">
        <f>IFERROR(N138/N444, "NA")</f>
        <v>1.215482505774393E-3</v>
      </c>
      <c r="P138" s="9"/>
      <c r="Q138" s="7">
        <v>23619.25</v>
      </c>
      <c r="R138" s="8">
        <f>IFERROR(Q138/Q444, "NA")</f>
        <v>6.559772856903176E-2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-23619.25</v>
      </c>
      <c r="X138" s="8">
        <f>IFERROR(W138/W444, "NA")</f>
        <v>-1.9135093839470771</v>
      </c>
      <c r="Y138" s="9"/>
      <c r="Z138" s="7">
        <v>18236.509999999998</v>
      </c>
      <c r="AA138" s="8">
        <f>IFERROR(Z138/Z444, "NA")</f>
        <v>5.6077280671117662E-2</v>
      </c>
      <c r="AB138" s="9"/>
      <c r="AC138" s="10">
        <f t="shared" si="31"/>
        <v>-5382.7400000000016</v>
      </c>
      <c r="AD138" s="8">
        <f>IFERROR(AC138/AC444, "NA")</f>
        <v>-0.15441539489420611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21231.71</v>
      </c>
      <c r="C141" s="15">
        <f>IFERROR(B141/B444, "NA")</f>
        <v>0.2174799656444156</v>
      </c>
      <c r="D141" s="2"/>
      <c r="E141" s="14">
        <f>IFERROR(E129+E130+E131+E132+E133+E134+E135+E136+E137+E138+E139+E140, "NA")</f>
        <v>18627.93</v>
      </c>
      <c r="F141" s="15">
        <f>IFERROR(E141/E444, "NA")</f>
        <v>0.2120000104702997</v>
      </c>
      <c r="G141" s="2"/>
      <c r="H141" s="14">
        <f t="shared" si="28"/>
        <v>-2603.7799999999988</v>
      </c>
      <c r="I141" s="15">
        <f>IFERROR(H141/H444, "NA")</f>
        <v>-0.26682283884957231</v>
      </c>
      <c r="J141" s="2"/>
      <c r="K141" s="14">
        <f>IFERROR(K129+K130+K131+K132+K133+K134+K135+K136+K137+K138+K139+K140, "NA")</f>
        <v>19559.059999999998</v>
      </c>
      <c r="L141" s="15">
        <f>IFERROR(K141/K444, "NA")</f>
        <v>0.24457840771554412</v>
      </c>
      <c r="M141" s="2"/>
      <c r="N141" s="14">
        <f t="shared" si="29"/>
        <v>-1672.6500000000015</v>
      </c>
      <c r="O141" s="15">
        <f>IFERROR(N141/N444, "NA")</f>
        <v>-9.4737968932131253E-2</v>
      </c>
      <c r="P141" s="2"/>
      <c r="Q141" s="14">
        <f>IFERROR(Q129+Q130+Q131+Q132+Q133+Q134+Q135+Q136+Q137+Q138+Q139+Q140, "NA")</f>
        <v>80465.08</v>
      </c>
      <c r="R141" s="15">
        <f>IFERROR(Q141/Q444, "NA")</f>
        <v>0.22347561743600775</v>
      </c>
      <c r="S141" s="2"/>
      <c r="T141" s="14">
        <f>IFERROR(T129+T130+T131+T132+T133+T134+T135+T136+T137+T138+T139+T140, "NA")</f>
        <v>74240.960000000006</v>
      </c>
      <c r="U141" s="15">
        <f>IFERROR(T141/T444, "NA")</f>
        <v>0.21350874567850975</v>
      </c>
      <c r="V141" s="2"/>
      <c r="W141" s="14">
        <f t="shared" si="30"/>
        <v>-6224.1199999999953</v>
      </c>
      <c r="X141" s="15">
        <f>IFERROR(W141/W444, "NA")</f>
        <v>-0.50424598693068889</v>
      </c>
      <c r="Y141" s="2"/>
      <c r="Z141" s="14">
        <f>IFERROR(Z129+Z130+Z131+Z132+Z133+Z134+Z135+Z136+Z137+Z138+Z139+Z140, "NA")</f>
        <v>77071.27</v>
      </c>
      <c r="AA141" s="15">
        <f>IFERROR(Z141/Z444, "NA")</f>
        <v>0.23699420774421703</v>
      </c>
      <c r="AB141" s="2"/>
      <c r="AC141" s="14">
        <f t="shared" si="31"/>
        <v>-3393.8099999999977</v>
      </c>
      <c r="AD141" s="15">
        <f>IFERROR(AC141/AC444, "NA")</f>
        <v>-9.7358689319176697E-2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1054.4100000000001</v>
      </c>
      <c r="F143" s="8">
        <f>IFERROR(E143/E444, "NA")</f>
        <v>1.1999987708778631E-2</v>
      </c>
      <c r="G143" s="9"/>
      <c r="H143" s="10">
        <f t="shared" ref="H143:H149" si="32">IFERROR(-(B143-E143), "NA")</f>
        <v>1054.4100000000001</v>
      </c>
      <c r="I143" s="8">
        <f>IFERROR(H143/H444, "NA")</f>
        <v>0.1080508604841337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4172.63</v>
      </c>
      <c r="U143" s="8">
        <f>IFERROR(T143/T444, "NA")</f>
        <v>1.2000019901150525E-2</v>
      </c>
      <c r="V143" s="9"/>
      <c r="W143" s="10">
        <f t="shared" ref="W143:W149" si="34">IFERROR(-(Q143-T143), "NA")</f>
        <v>4172.63</v>
      </c>
      <c r="X143" s="8">
        <f>IFERROR(W143/W444, "NA")</f>
        <v>0.33804488545314065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1795.16</v>
      </c>
      <c r="C144" s="8">
        <f>IFERROR(B144/B444, "NA")</f>
        <v>1.8388124890846246E-2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-1795.16</v>
      </c>
      <c r="I144" s="8">
        <f>IFERROR(H144/H444, "NA")</f>
        <v>-0.18395935424237009</v>
      </c>
      <c r="J144" s="9"/>
      <c r="K144" s="7">
        <v>1151.8800000000001</v>
      </c>
      <c r="L144" s="8">
        <f>IFERROR(K144/K444, "NA")</f>
        <v>1.4403809604315393E-2</v>
      </c>
      <c r="M144" s="9"/>
      <c r="N144" s="10">
        <f t="shared" si="33"/>
        <v>-643.28</v>
      </c>
      <c r="O144" s="8">
        <f>IFERROR(N144/N444, "NA")</f>
        <v>-3.6435022661442225E-2</v>
      </c>
      <c r="P144" s="9"/>
      <c r="Q144" s="7">
        <v>4888.37</v>
      </c>
      <c r="R144" s="8">
        <f>IFERROR(Q144/Q444, "NA")</f>
        <v>1.3576467009113235E-2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-4888.37</v>
      </c>
      <c r="X144" s="8">
        <f>IFERROR(W144/W444, "NA")</f>
        <v>-0.39603043564911561</v>
      </c>
      <c r="Y144" s="9"/>
      <c r="Z144" s="7">
        <v>4261.3599999999997</v>
      </c>
      <c r="AA144" s="8">
        <f>IFERROR(Z144/Z444, "NA")</f>
        <v>1.3103684902466205E-2</v>
      </c>
      <c r="AB144" s="9"/>
      <c r="AC144" s="10">
        <f t="shared" si="35"/>
        <v>-627.01000000000022</v>
      </c>
      <c r="AD144" s="8">
        <f>IFERROR(AC144/AC444, "NA")</f>
        <v>-1.7987121197125661E-2</v>
      </c>
    </row>
    <row r="145" spans="1:30" ht="16.5" customHeight="1" x14ac:dyDescent="0.45">
      <c r="A145" s="12" t="s">
        <v>136</v>
      </c>
      <c r="B145" s="7">
        <v>261.61</v>
      </c>
      <c r="C145" s="8">
        <f>IFERROR(B145/B444, "NA")</f>
        <v>2.6797150965341731E-3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-261.61</v>
      </c>
      <c r="I145" s="8">
        <f>IFERROR(H145/H444, "NA")</f>
        <v>-2.6808533313658081E-2</v>
      </c>
      <c r="J145" s="9"/>
      <c r="K145" s="7">
        <v>200.03</v>
      </c>
      <c r="L145" s="8">
        <f>IFERROR(K145/K444, "NA")</f>
        <v>2.5012970406215994E-3</v>
      </c>
      <c r="M145" s="9"/>
      <c r="N145" s="10">
        <f t="shared" si="33"/>
        <v>-61.580000000000013</v>
      </c>
      <c r="O145" s="8">
        <f>IFERROR(N145/N444, "NA")</f>
        <v>-3.4878570692258625E-3</v>
      </c>
      <c r="P145" s="9"/>
      <c r="Q145" s="7">
        <v>426.5</v>
      </c>
      <c r="R145" s="8">
        <f>IFERROR(Q145/Q444, "NA")</f>
        <v>1.1845181889641732E-3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-426.5</v>
      </c>
      <c r="X145" s="8">
        <f>IFERROR(W145/W444, "NA")</f>
        <v>-3.4552822475456602E-2</v>
      </c>
      <c r="Y145" s="9"/>
      <c r="Z145" s="7">
        <v>467.03</v>
      </c>
      <c r="AA145" s="8">
        <f>IFERROR(Z145/Z444, "NA")</f>
        <v>1.4361175681000412E-3</v>
      </c>
      <c r="AB145" s="9"/>
      <c r="AC145" s="10">
        <f t="shared" si="35"/>
        <v>40.529999999999973</v>
      </c>
      <c r="AD145" s="8">
        <f>IFERROR(AC145/AC444, "NA")</f>
        <v>1.1626896255554175E-3</v>
      </c>
    </row>
    <row r="146" spans="1:30" ht="16.5" customHeight="1" x14ac:dyDescent="0.45">
      <c r="A146" s="12" t="s">
        <v>137</v>
      </c>
      <c r="B146" s="7">
        <v>13.33</v>
      </c>
      <c r="C146" s="8">
        <f>IFERROR(B146/B444, "NA")</f>
        <v>1.3654142516264869E-4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-13.33</v>
      </c>
      <c r="I146" s="8">
        <f>IFERROR(H146/H444, "NA")</f>
        <v>-1.3659942244985369E-3</v>
      </c>
      <c r="J146" s="9"/>
      <c r="K146" s="7">
        <v>235.78</v>
      </c>
      <c r="L146" s="8">
        <f>IFERROR(K146/K444, "NA")</f>
        <v>2.9483368306642038E-3</v>
      </c>
      <c r="M146" s="9"/>
      <c r="N146" s="10">
        <f t="shared" si="33"/>
        <v>222.45</v>
      </c>
      <c r="O146" s="8">
        <f>IFERROR(N146/N444, "NA")</f>
        <v>1.259944470687387E-2</v>
      </c>
      <c r="P146" s="9"/>
      <c r="Q146" s="7">
        <v>33.32</v>
      </c>
      <c r="R146" s="8">
        <f>IFERROR(Q146/Q444, "NA")</f>
        <v>9.2539615606767293E-5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-33.32</v>
      </c>
      <c r="X146" s="8">
        <f>IFERROR(W146/W444, "NA")</f>
        <v>-2.6994139387625181E-3</v>
      </c>
      <c r="Y146" s="9"/>
      <c r="Z146" s="7">
        <v>388.12</v>
      </c>
      <c r="AA146" s="8">
        <f>IFERROR(Z146/Z444, "NA")</f>
        <v>1.1934692643534421E-3</v>
      </c>
      <c r="AB146" s="9"/>
      <c r="AC146" s="10">
        <f t="shared" si="35"/>
        <v>354.8</v>
      </c>
      <c r="AD146" s="8">
        <f>IFERROR(AC146/AC444, "NA")</f>
        <v>1.0178195883223844E-2</v>
      </c>
    </row>
    <row r="147" spans="1:30" ht="16.5" customHeight="1" x14ac:dyDescent="0.45">
      <c r="A147" s="12" t="s">
        <v>138</v>
      </c>
      <c r="B147" s="7">
        <v>139.69</v>
      </c>
      <c r="C147" s="8">
        <f>IFERROR(B147/B444, "NA")</f>
        <v>1.4308680930960537E-3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-139.69</v>
      </c>
      <c r="I147" s="8">
        <f>IFERROR(H147/H444, "NA")</f>
        <v>-1.4314758681185341E-2</v>
      </c>
      <c r="J147" s="9"/>
      <c r="K147" s="7">
        <v>15.47</v>
      </c>
      <c r="L147" s="8">
        <f>IFERROR(K147/K444, "NA")</f>
        <v>1.9344630914570885E-4</v>
      </c>
      <c r="M147" s="9"/>
      <c r="N147" s="10">
        <f t="shared" si="33"/>
        <v>-124.22</v>
      </c>
      <c r="O147" s="8">
        <f>IFERROR(N147/N444, "NA")</f>
        <v>-7.0357519509457057E-3</v>
      </c>
      <c r="P147" s="9"/>
      <c r="Q147" s="7">
        <v>167.94</v>
      </c>
      <c r="R147" s="8">
        <f>IFERROR(Q147/Q444, "NA")</f>
        <v>4.6641965921370043E-4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-167.94</v>
      </c>
      <c r="X147" s="8">
        <f>IFERROR(W147/W444, "NA")</f>
        <v>-1.3605629558096558E-2</v>
      </c>
      <c r="Y147" s="9"/>
      <c r="Z147" s="7">
        <v>101.44</v>
      </c>
      <c r="AA147" s="8">
        <f>IFERROR(Z147/Z444, "NA")</f>
        <v>3.119280690920673E-4</v>
      </c>
      <c r="AB147" s="9"/>
      <c r="AC147" s="10">
        <f t="shared" si="35"/>
        <v>-66.5</v>
      </c>
      <c r="AD147" s="8">
        <f>IFERROR(AC147/AC444, "NA")</f>
        <v>-1.907694549702327E-3</v>
      </c>
    </row>
    <row r="148" spans="1:30" ht="16.5" customHeight="1" x14ac:dyDescent="0.45">
      <c r="A148" s="13" t="s">
        <v>139</v>
      </c>
      <c r="B148" s="14">
        <f>IFERROR(B143+B144+B145+B146+B147, "NA")</f>
        <v>2209.79</v>
      </c>
      <c r="C148" s="15">
        <f>IFERROR(B148/B444, "NA")</f>
        <v>2.263524950563912E-2</v>
      </c>
      <c r="D148" s="2"/>
      <c r="E148" s="14">
        <f>IFERROR(E143+E144+E145+E146+E147, "NA")</f>
        <v>1054.4100000000001</v>
      </c>
      <c r="F148" s="15">
        <f>IFERROR(E148/E444, "NA")</f>
        <v>1.1999987708778631E-2</v>
      </c>
      <c r="G148" s="2"/>
      <c r="H148" s="14">
        <f t="shared" si="32"/>
        <v>-1155.3799999999999</v>
      </c>
      <c r="I148" s="15">
        <f>IFERROR(H148/H444, "NA")</f>
        <v>-0.11839777997757835</v>
      </c>
      <c r="J148" s="2"/>
      <c r="K148" s="14">
        <f>IFERROR(K143+K144+K145+K146+K147, "NA")</f>
        <v>1603.16</v>
      </c>
      <c r="L148" s="15">
        <f>IFERROR(K148/K444, "NA")</f>
        <v>2.0046889784746905E-2</v>
      </c>
      <c r="M148" s="2"/>
      <c r="N148" s="14">
        <f t="shared" si="33"/>
        <v>-606.62999999999988</v>
      </c>
      <c r="O148" s="15">
        <f>IFERROR(N148/N444, "NA")</f>
        <v>-3.4359186974739921E-2</v>
      </c>
      <c r="P148" s="2"/>
      <c r="Q148" s="14">
        <f>IFERROR(Q143+Q144+Q145+Q146+Q147, "NA")</f>
        <v>5516.1299999999992</v>
      </c>
      <c r="R148" s="15">
        <f>IFERROR(Q148/Q444, "NA")</f>
        <v>1.5319944472897874E-2</v>
      </c>
      <c r="S148" s="2"/>
      <c r="T148" s="14">
        <f>IFERROR(T143+T144+T145+T146+T147, "NA")</f>
        <v>4172.63</v>
      </c>
      <c r="U148" s="15">
        <f>IFERROR(T148/T444, "NA")</f>
        <v>1.2000019901150525E-2</v>
      </c>
      <c r="V148" s="2"/>
      <c r="W148" s="14">
        <f t="shared" si="34"/>
        <v>-1343.4999999999991</v>
      </c>
      <c r="X148" s="15">
        <f>IFERROR(W148/W444, "NA")</f>
        <v>-0.10884341616829055</v>
      </c>
      <c r="Y148" s="2"/>
      <c r="Z148" s="14">
        <f>IFERROR(Z143+Z144+Z145+Z146+Z147, "NA")</f>
        <v>5217.9499999999989</v>
      </c>
      <c r="AA148" s="15">
        <f>IFERROR(Z148/Z444, "NA")</f>
        <v>1.6045199804011753E-2</v>
      </c>
      <c r="AB148" s="2"/>
      <c r="AC148" s="14">
        <f t="shared" si="35"/>
        <v>-298.18000000000029</v>
      </c>
      <c r="AD148" s="15">
        <f>IFERROR(AC148/AC444, "NA")</f>
        <v>-8.5539302380487278E-3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23441.5</v>
      </c>
      <c r="C149" s="15">
        <f>IFERROR(B149/B444, "NA")</f>
        <v>0.24011521515005471</v>
      </c>
      <c r="D149" s="2"/>
      <c r="E149" s="14">
        <f>IFERROR(E127+E129+E130+E131+E132+E133+E134+E135+E136+E137+E138+E139+E140+E143+E144+E145+E146+E147, "NA")</f>
        <v>19682.34</v>
      </c>
      <c r="F149" s="15">
        <f>IFERROR(E149/E444, "NA")</f>
        <v>0.22399999817907831</v>
      </c>
      <c r="G149" s="2"/>
      <c r="H149" s="14">
        <f t="shared" si="32"/>
        <v>-3759.16</v>
      </c>
      <c r="I149" s="15">
        <f>IFERROR(H149/H444, "NA")</f>
        <v>-0.38522061882715075</v>
      </c>
      <c r="J149" s="2"/>
      <c r="K149" s="14">
        <f>IFERROR(K127+K129+K130+K131+K132+K133+K134+K135+K136+K137+K138+K139+K140+K143+K144+K145+K146+K147, "NA")</f>
        <v>21162.219999999998</v>
      </c>
      <c r="L149" s="15">
        <f>IFERROR(K149/K444, "NA")</f>
        <v>0.26462529750029101</v>
      </c>
      <c r="M149" s="2"/>
      <c r="N149" s="14">
        <f t="shared" si="33"/>
        <v>-2279.2800000000025</v>
      </c>
      <c r="O149" s="15">
        <f>IFERROR(N149/N444, "NA")</f>
        <v>-0.12909715590687124</v>
      </c>
      <c r="P149" s="2"/>
      <c r="Q149" s="14">
        <f>IFERROR(Q127+Q129+Q130+Q131+Q132+Q133+Q134+Q135+Q136+Q137+Q138+Q139+Q140+Q143+Q144+Q145+Q146+Q147, "NA")</f>
        <v>85981.21</v>
      </c>
      <c r="R149" s="15">
        <f>IFERROR(Q149/Q444, "NA")</f>
        <v>0.23879556190890563</v>
      </c>
      <c r="S149" s="2"/>
      <c r="T149" s="14">
        <f>IFERROR(T127+T129+T130+T131+T132+T133+T134+T135+T136+T137+T138+T139+T140+T143+T144+T145+T146+T147, "NA")</f>
        <v>78413.590000000011</v>
      </c>
      <c r="U149" s="15">
        <f>IFERROR(T149/T444, "NA")</f>
        <v>0.22550876557966029</v>
      </c>
      <c r="V149" s="2"/>
      <c r="W149" s="14">
        <f t="shared" si="34"/>
        <v>-7567.6199999999953</v>
      </c>
      <c r="X149" s="15">
        <f>IFERROR(W149/W444, "NA")</f>
        <v>-0.61308940309897952</v>
      </c>
      <c r="Y149" s="2"/>
      <c r="Z149" s="14">
        <f>IFERROR(Z127+Z129+Z130+Z131+Z132+Z133+Z134+Z135+Z136+Z137+Z138+Z139+Z140+Z143+Z144+Z145+Z146+Z147, "NA")</f>
        <v>82289.22</v>
      </c>
      <c r="AA149" s="15">
        <f>IFERROR(Z149/Z444, "NA")</f>
        <v>0.25303940754822879</v>
      </c>
      <c r="AB149" s="2"/>
      <c r="AC149" s="14">
        <f t="shared" si="35"/>
        <v>-3691.9900000000052</v>
      </c>
      <c r="AD149" s="15">
        <f>IFERROR(AC149/AC444, "NA")</f>
        <v>-0.10591261955722563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3514.7</v>
      </c>
      <c r="F153" s="8">
        <f>IFERROR(E153/E444, "NA")</f>
        <v>3.9999959029262094E-2</v>
      </c>
      <c r="G153" s="9"/>
      <c r="H153" s="10">
        <f t="shared" ref="H153:H158" si="36">IFERROR(-(B153-E153), "NA")</f>
        <v>3514.7</v>
      </c>
      <c r="I153" s="8">
        <f>IFERROR(H153/H444, "NA")</f>
        <v>0.36016953494711229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13908.74</v>
      </c>
      <c r="U153" s="8">
        <f>IFERROR(T153/T444, "NA")</f>
        <v>3.9999989646800301E-2</v>
      </c>
      <c r="V153" s="9"/>
      <c r="W153" s="10">
        <f t="shared" ref="W153:W158" si="38">IFERROR(-(Q153-T153), "NA")</f>
        <v>13908.74</v>
      </c>
      <c r="X153" s="8">
        <f>IFERROR(W153/W444, "NA")</f>
        <v>1.126814124448493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2769.36</v>
      </c>
      <c r="C154" s="8">
        <f>IFERROR(B154/B444, "NA")</f>
        <v>2.8367018843843423E-2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-2769.36</v>
      </c>
      <c r="I154" s="8">
        <f>IFERROR(H154/H444, "NA")</f>
        <v>-0.28379068008681679</v>
      </c>
      <c r="J154" s="9"/>
      <c r="K154" s="7">
        <v>2949.82</v>
      </c>
      <c r="L154" s="8">
        <f>IFERROR(K154/K444, "NA")</f>
        <v>3.6886347229747568E-2</v>
      </c>
      <c r="M154" s="9"/>
      <c r="N154" s="10">
        <f t="shared" si="37"/>
        <v>180.46000000000004</v>
      </c>
      <c r="O154" s="8">
        <f>IFERROR(N154/N444, "NA")</f>
        <v>1.0221154379871698E-2</v>
      </c>
      <c r="P154" s="9"/>
      <c r="Q154" s="7">
        <v>10487.86</v>
      </c>
      <c r="R154" s="8">
        <f>IFERROR(Q154/Q444, "NA")</f>
        <v>2.9127927158991308E-2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-10487.86</v>
      </c>
      <c r="X154" s="8">
        <f>IFERROR(W154/W444, "NA")</f>
        <v>-0.84967213300689881</v>
      </c>
      <c r="Y154" s="9"/>
      <c r="Z154" s="7">
        <v>11008.96</v>
      </c>
      <c r="AA154" s="8">
        <f>IFERROR(Z154/Z444, "NA")</f>
        <v>3.3852559498341928E-2</v>
      </c>
      <c r="AB154" s="9"/>
      <c r="AC154" s="10">
        <f t="shared" si="39"/>
        <v>521.09999999999854</v>
      </c>
      <c r="AD154" s="8">
        <f>IFERROR(AC154/AC444, "NA")</f>
        <v>1.4948866614283907E-2</v>
      </c>
    </row>
    <row r="155" spans="1:30" ht="16.5" customHeight="1" x14ac:dyDescent="0.45">
      <c r="A155" s="12" t="s">
        <v>144</v>
      </c>
      <c r="B155" s="7">
        <v>963.21</v>
      </c>
      <c r="C155" s="8">
        <f>IFERROR(B155/B444, "NA")</f>
        <v>9.8663215402036656E-3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-963.21</v>
      </c>
      <c r="I155" s="8">
        <f>IFERROR(H155/H444, "NA")</f>
        <v>-9.8705123554331253E-2</v>
      </c>
      <c r="J155" s="9"/>
      <c r="K155" s="7">
        <v>277.72000000000003</v>
      </c>
      <c r="L155" s="8">
        <f>IFERROR(K155/K444, "NA")</f>
        <v>3.4727801535841154E-3</v>
      </c>
      <c r="M155" s="9"/>
      <c r="N155" s="10">
        <f t="shared" si="37"/>
        <v>-685.49</v>
      </c>
      <c r="O155" s="8">
        <f>IFERROR(N155/N444, "NA")</f>
        <v>-3.8825773666509189E-2</v>
      </c>
      <c r="P155" s="9"/>
      <c r="Q155" s="7">
        <v>6146.08</v>
      </c>
      <c r="R155" s="8">
        <f>IFERROR(Q155/Q444, "NA")</f>
        <v>1.7069504222342144E-2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-6146.08</v>
      </c>
      <c r="X155" s="8">
        <f>IFERROR(W155/W444, "NA")</f>
        <v>-0.49792359005850956</v>
      </c>
      <c r="Y155" s="9"/>
      <c r="Z155" s="7">
        <v>2637.41</v>
      </c>
      <c r="AA155" s="8">
        <f>IFERROR(Z155/Z444, "NA")</f>
        <v>8.1100375463733169E-3</v>
      </c>
      <c r="AB155" s="9"/>
      <c r="AC155" s="10">
        <f t="shared" si="39"/>
        <v>-3508.67</v>
      </c>
      <c r="AD155" s="8">
        <f>IFERROR(AC155/AC444, "NA")</f>
        <v>-0.10065369376998592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74.2</v>
      </c>
      <c r="R156" s="8">
        <f>IFERROR(Q156/Q444, "NA")</f>
        <v>2.0607561458649859E-4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-74.2</v>
      </c>
      <c r="X156" s="8">
        <f>IFERROR(W156/W444, "NA")</f>
        <v>-6.0112999476644316E-3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-74.2</v>
      </c>
      <c r="AD156" s="8">
        <f>IFERROR(AC156/AC444, "NA")</f>
        <v>-2.1285854975625967E-3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3732.57</v>
      </c>
      <c r="C158" s="15">
        <f>IFERROR(B158/B444, "NA")</f>
        <v>3.8233340384047083E-2</v>
      </c>
      <c r="D158" s="2"/>
      <c r="E158" s="14">
        <f>IFERROR(E153+E154+E155+E156+E157, "NA")</f>
        <v>3514.7</v>
      </c>
      <c r="F158" s="15">
        <f>IFERROR(E158/E444, "NA")</f>
        <v>3.9999959029262094E-2</v>
      </c>
      <c r="G158" s="2"/>
      <c r="H158" s="14">
        <f t="shared" si="36"/>
        <v>-217.87000000000035</v>
      </c>
      <c r="I158" s="15">
        <f>IFERROR(H158/H444, "NA")</f>
        <v>-2.2326268694035759E-2</v>
      </c>
      <c r="J158" s="2"/>
      <c r="K158" s="14">
        <f>IFERROR(K153+K154+K155+K156+K157, "NA")</f>
        <v>3227.54</v>
      </c>
      <c r="L158" s="15">
        <f>IFERROR(K158/K444, "NA")</f>
        <v>4.035912738333168E-2</v>
      </c>
      <c r="M158" s="2"/>
      <c r="N158" s="14">
        <f t="shared" si="37"/>
        <v>-505.0300000000002</v>
      </c>
      <c r="O158" s="15">
        <f>IFERROR(N158/N444, "NA")</f>
        <v>-2.8604619286637507E-2</v>
      </c>
      <c r="P158" s="2"/>
      <c r="Q158" s="14">
        <f>IFERROR(Q153+Q154+Q155+Q156+Q157, "NA")</f>
        <v>16708.140000000003</v>
      </c>
      <c r="R158" s="15">
        <f>IFERROR(Q158/Q444, "NA")</f>
        <v>4.6403506995919962E-2</v>
      </c>
      <c r="S158" s="2"/>
      <c r="T158" s="14">
        <f>IFERROR(T153+T154+T155+T156+T157, "NA")</f>
        <v>13908.74</v>
      </c>
      <c r="U158" s="15">
        <f>IFERROR(T158/T444, "NA")</f>
        <v>3.9999989646800301E-2</v>
      </c>
      <c r="V158" s="2"/>
      <c r="W158" s="14">
        <f t="shared" si="38"/>
        <v>-2799.4000000000033</v>
      </c>
      <c r="X158" s="15">
        <f>IFERROR(W158/W444, "NA")</f>
        <v>-0.2267928985645799</v>
      </c>
      <c r="Y158" s="2"/>
      <c r="Z158" s="14">
        <f>IFERROR(Z153+Z154+Z155+Z156+Z157, "NA")</f>
        <v>13646.369999999999</v>
      </c>
      <c r="AA158" s="15">
        <f>IFERROR(Z158/Z444, "NA")</f>
        <v>4.1962597044715243E-2</v>
      </c>
      <c r="AB158" s="2"/>
      <c r="AC158" s="14">
        <f t="shared" si="39"/>
        <v>-3061.7700000000041</v>
      </c>
      <c r="AD158" s="15">
        <f>IFERROR(AC158/AC444, "NA")</f>
        <v>-8.7833412653264692E-2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510.06</v>
      </c>
      <c r="C161" s="8">
        <f>IFERROR(B161/B444, "NA")</f>
        <v>5.2246301064111473E-3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-510.06</v>
      </c>
      <c r="I161" s="8">
        <f>IFERROR(H161/H444, "NA")</f>
        <v>-5.2268493184375368E-2</v>
      </c>
      <c r="J161" s="9"/>
      <c r="K161" s="7">
        <v>286.24</v>
      </c>
      <c r="L161" s="8">
        <f>IFERROR(K161/K444, "NA")</f>
        <v>3.5793194266236393E-3</v>
      </c>
      <c r="M161" s="9"/>
      <c r="N161" s="10">
        <f t="shared" si="41"/>
        <v>-223.82</v>
      </c>
      <c r="O161" s="8">
        <f>IFERROR(N161/N444, "NA")</f>
        <v>-1.2677040747550055E-2</v>
      </c>
      <c r="P161" s="9"/>
      <c r="Q161" s="7">
        <v>1830.11</v>
      </c>
      <c r="R161" s="8">
        <f>IFERROR(Q161/Q444, "NA")</f>
        <v>5.0827633828961849E-3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-1830.11</v>
      </c>
      <c r="X161" s="8">
        <f>IFERROR(W161/W444, "NA")</f>
        <v>-0.14826603971994815</v>
      </c>
      <c r="Y161" s="9"/>
      <c r="Z161" s="7">
        <v>1278.51</v>
      </c>
      <c r="AA161" s="8">
        <f>IFERROR(Z161/Z444, "NA")</f>
        <v>3.931419120809335E-3</v>
      </c>
      <c r="AB161" s="9"/>
      <c r="AC161" s="10">
        <f t="shared" si="43"/>
        <v>-551.59999999999991</v>
      </c>
      <c r="AD161" s="8">
        <f>IFERROR(AC161/AC444, "NA")</f>
        <v>-1.5823824264899301E-2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2.33</v>
      </c>
      <c r="R162" s="8">
        <f>IFERROR(Q162/Q444, "NA")</f>
        <v>6.4711075739426105E-6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-2.33</v>
      </c>
      <c r="X162" s="8">
        <f>IFERROR(W162/W444, "NA")</f>
        <v>-1.8876454013555427E-4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-2.33</v>
      </c>
      <c r="AD162" s="8">
        <f>IFERROR(AC162/AC444, "NA")</f>
        <v>-6.6841027079795823E-5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510.06</v>
      </c>
      <c r="C166" s="15">
        <f>IFERROR(B166/B444, "NA")</f>
        <v>5.2246301064111473E-3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-510.06</v>
      </c>
      <c r="I166" s="15">
        <f>IFERROR(H166/H444, "NA")</f>
        <v>-5.2268493184375368E-2</v>
      </c>
      <c r="J166" s="2"/>
      <c r="K166" s="14">
        <f>IFERROR(K160+K161+K162+K163+K164+K165, "NA")</f>
        <v>286.24</v>
      </c>
      <c r="L166" s="15">
        <f>IFERROR(K166/K444, "NA")</f>
        <v>3.5793194266236393E-3</v>
      </c>
      <c r="M166" s="2"/>
      <c r="N166" s="14">
        <f t="shared" si="41"/>
        <v>-223.82</v>
      </c>
      <c r="O166" s="15">
        <f>IFERROR(N166/N444, "NA")</f>
        <v>-1.2677040747550055E-2</v>
      </c>
      <c r="P166" s="2"/>
      <c r="Q166" s="14">
        <f>IFERROR(Q160+Q161+Q162+Q163+Q164+Q165, "NA")</f>
        <v>1832.4399999999998</v>
      </c>
      <c r="R166" s="15">
        <f>IFERROR(Q166/Q444, "NA")</f>
        <v>5.089234490470127E-3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-1832.4399999999998</v>
      </c>
      <c r="X166" s="15">
        <f>IFERROR(W166/W444, "NA")</f>
        <v>-0.1484548042600837</v>
      </c>
      <c r="Y166" s="2"/>
      <c r="Z166" s="14">
        <f>IFERROR(Z160+Z161+Z162+Z163+Z164+Z165, "NA")</f>
        <v>1278.51</v>
      </c>
      <c r="AA166" s="15">
        <f>IFERROR(Z166/Z444, "NA")</f>
        <v>3.931419120809335E-3</v>
      </c>
      <c r="AB166" s="2"/>
      <c r="AC166" s="14">
        <f t="shared" si="43"/>
        <v>-553.92999999999984</v>
      </c>
      <c r="AD166" s="15">
        <f>IFERROR(AC166/AC444, "NA")</f>
        <v>-1.5890665291979092E-2</v>
      </c>
    </row>
    <row r="167" spans="1:30" ht="16.5" customHeight="1" x14ac:dyDescent="0.45">
      <c r="A167" s="6" t="s">
        <v>155</v>
      </c>
      <c r="B167" s="7">
        <v>90.38</v>
      </c>
      <c r="C167" s="8">
        <f>IFERROR(B167/B444, "NA")</f>
        <v>9.2577749483872384E-4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-90.38</v>
      </c>
      <c r="I167" s="8">
        <f>IFERROR(H167/H444, "NA")</f>
        <v>-9.2617072775827269E-3</v>
      </c>
      <c r="J167" s="9"/>
      <c r="K167" s="7">
        <v>123.81</v>
      </c>
      <c r="L167" s="8">
        <f>IFERROR(K167/K444, "NA")</f>
        <v>1.5481957036412549E-3</v>
      </c>
      <c r="M167" s="9"/>
      <c r="N167" s="10">
        <f t="shared" si="41"/>
        <v>33.430000000000007</v>
      </c>
      <c r="O167" s="8">
        <f>IFERROR(N167/N444, "NA")</f>
        <v>1.8934566713903959E-3</v>
      </c>
      <c r="P167" s="9"/>
      <c r="Q167" s="7">
        <v>281.61</v>
      </c>
      <c r="R167" s="8">
        <f>IFERROR(Q167/Q444, "NA")</f>
        <v>7.821152806429093E-4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-281.61</v>
      </c>
      <c r="X167" s="8">
        <f>IFERROR(W167/W444, "NA")</f>
        <v>-2.2814584612692462E-2</v>
      </c>
      <c r="Y167" s="9"/>
      <c r="Z167" s="7">
        <v>359.99</v>
      </c>
      <c r="AA167" s="8">
        <f>IFERROR(Z167/Z444, "NA")</f>
        <v>1.1069694951937432E-3</v>
      </c>
      <c r="AB167" s="9"/>
      <c r="AC167" s="10">
        <f t="shared" si="43"/>
        <v>78.38</v>
      </c>
      <c r="AD167" s="8">
        <f>IFERROR(AC167/AC444, "NA")</f>
        <v>2.2484977264010282E-3</v>
      </c>
    </row>
    <row r="168" spans="1:30" ht="16.5" customHeight="1" x14ac:dyDescent="0.45">
      <c r="A168" s="6" t="s">
        <v>156</v>
      </c>
      <c r="B168" s="7">
        <v>98.56</v>
      </c>
      <c r="C168" s="8">
        <f>IFERROR(B168/B444, "NA")</f>
        <v>1.0095666064539126E-3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-98.56</v>
      </c>
      <c r="I168" s="8">
        <f>IFERROR(H168/H444, "NA")</f>
        <v>-1.0099954296067202E-2</v>
      </c>
      <c r="J168" s="9"/>
      <c r="K168" s="7">
        <v>17.8</v>
      </c>
      <c r="L168" s="8">
        <f>IFERROR(K168/K444, "NA")</f>
        <v>2.2258204930792615E-4</v>
      </c>
      <c r="M168" s="9"/>
      <c r="N168" s="10">
        <f t="shared" si="41"/>
        <v>-80.760000000000005</v>
      </c>
      <c r="O168" s="8">
        <f>IFERROR(N168/N444, "NA")</f>
        <v>-4.5742016386924426E-3</v>
      </c>
      <c r="P168" s="9"/>
      <c r="Q168" s="7">
        <v>308.7</v>
      </c>
      <c r="R168" s="8">
        <f>IFERROR(Q168/Q444, "NA")</f>
        <v>8.5735232106269686E-4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-308.7</v>
      </c>
      <c r="X168" s="8">
        <f>IFERROR(W168/W444, "NA")</f>
        <v>-2.5009276197358626E-2</v>
      </c>
      <c r="Y168" s="9"/>
      <c r="Z168" s="7">
        <v>116</v>
      </c>
      <c r="AA168" s="8">
        <f>IFERROR(Z168/Z444, "NA")</f>
        <v>3.5670007900906751E-4</v>
      </c>
      <c r="AB168" s="9"/>
      <c r="AC168" s="10">
        <f t="shared" si="43"/>
        <v>-192.7</v>
      </c>
      <c r="AD168" s="8">
        <f>IFERROR(AC168/AC444, "NA")</f>
        <v>-5.5280111237238855E-3</v>
      </c>
    </row>
    <row r="169" spans="1:30" ht="16.5" customHeight="1" x14ac:dyDescent="0.45">
      <c r="A169" s="6" t="s">
        <v>157</v>
      </c>
      <c r="B169" s="7">
        <v>-769.6</v>
      </c>
      <c r="C169" s="8">
        <f>IFERROR(B169/B444, "NA")</f>
        <v>-7.8831418458495447E-3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769.6</v>
      </c>
      <c r="I169" s="8">
        <f>IFERROR(H169/H444, "NA")</f>
        <v>7.8864902863771486E-2</v>
      </c>
      <c r="J169" s="9"/>
      <c r="K169" s="7">
        <v>-1188.47</v>
      </c>
      <c r="L169" s="8">
        <f>IFERROR(K169/K444, "NA")</f>
        <v>-1.4861353266347809E-2</v>
      </c>
      <c r="M169" s="9"/>
      <c r="N169" s="10">
        <f t="shared" si="41"/>
        <v>-418.87</v>
      </c>
      <c r="O169" s="8">
        <f>IFERROR(N169/N444, "NA")</f>
        <v>-2.3724564640900239E-2</v>
      </c>
      <c r="P169" s="9"/>
      <c r="Q169" s="7">
        <v>-3623.93</v>
      </c>
      <c r="R169" s="8">
        <f>IFERROR(Q169/Q444, "NA")</f>
        <v>-1.0064738571003366E-2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3623.93</v>
      </c>
      <c r="X169" s="8">
        <f>IFERROR(W169/W444, "NA")</f>
        <v>0.29359205147357903</v>
      </c>
      <c r="Y169" s="9"/>
      <c r="Z169" s="7">
        <v>-7828.28</v>
      </c>
      <c r="AA169" s="8">
        <f>IFERROR(Z169/Z444, "NA")</f>
        <v>-2.4071966331940541E-2</v>
      </c>
      <c r="AB169" s="9"/>
      <c r="AC169" s="10">
        <f t="shared" si="43"/>
        <v>-4204.3500000000004</v>
      </c>
      <c r="AD169" s="8">
        <f>IFERROR(AC169/AC444, "NA")</f>
        <v>-0.12061076060211999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3661.9700000000007</v>
      </c>
      <c r="C170" s="15">
        <f>IFERROR(B170/B444, "NA")</f>
        <v>3.7510172745901328E-2</v>
      </c>
      <c r="D170" s="2"/>
      <c r="E170" s="14">
        <f>IFERROR(E151+E153+E154+E155+E156+E157+E160+E161+E162+E163+E164+E165+E167+E168+E169, "NA")</f>
        <v>3514.7</v>
      </c>
      <c r="F170" s="15">
        <f>IFERROR(E170/E444, "NA")</f>
        <v>3.9999959029262094E-2</v>
      </c>
      <c r="G170" s="2"/>
      <c r="H170" s="14">
        <f t="shared" si="40"/>
        <v>-147.27000000000089</v>
      </c>
      <c r="I170" s="15">
        <f>IFERROR(H170/H444, "NA")</f>
        <v>-1.5091520588289628E-2</v>
      </c>
      <c r="J170" s="2"/>
      <c r="K170" s="14">
        <f>IFERROR(K151+K153+K154+K155+K156+K157+K160+K161+K162+K163+K164+K165+K167+K168+K169, "NA")</f>
        <v>2466.92</v>
      </c>
      <c r="L170" s="15">
        <f>IFERROR(K170/K444, "NA")</f>
        <v>3.0847871296556695E-2</v>
      </c>
      <c r="M170" s="2"/>
      <c r="N170" s="14">
        <f t="shared" si="41"/>
        <v>-1195.0500000000006</v>
      </c>
      <c r="O170" s="15">
        <f>IFERROR(N170/N444, "NA")</f>
        <v>-6.7686969642389877E-2</v>
      </c>
      <c r="P170" s="2"/>
      <c r="Q170" s="14">
        <f>IFERROR(Q151+Q153+Q154+Q155+Q156+Q157+Q160+Q161+Q162+Q163+Q164+Q165+Q167+Q168+Q169, "NA")</f>
        <v>15506.960000000006</v>
      </c>
      <c r="R170" s="15">
        <f>IFERROR(Q170/Q444, "NA")</f>
        <v>4.3067470517092338E-2</v>
      </c>
      <c r="S170" s="2"/>
      <c r="T170" s="14">
        <f>IFERROR(T151+T153+T154+T155+T156+T157+T160+T161+T162+T163+T164+T165+T167+T168+T169, "NA")</f>
        <v>13908.74</v>
      </c>
      <c r="U170" s="15">
        <f>IFERROR(T170/T444, "NA")</f>
        <v>3.9999989646800301E-2</v>
      </c>
      <c r="V170" s="2"/>
      <c r="W170" s="14">
        <f t="shared" si="42"/>
        <v>-1598.2200000000066</v>
      </c>
      <c r="X170" s="15">
        <f>IFERROR(W170/W444, "NA")</f>
        <v>-0.12947951216113596</v>
      </c>
      <c r="Y170" s="2"/>
      <c r="Z170" s="14">
        <f>IFERROR(Z151+Z153+Z154+Z155+Z156+Z157+Z160+Z161+Z162+Z163+Z164+Z165+Z167+Z168+Z169, "NA")</f>
        <v>7572.5899999999992</v>
      </c>
      <c r="AA170" s="15">
        <f>IFERROR(Z170/Z444, "NA")</f>
        <v>2.3285719407786846E-2</v>
      </c>
      <c r="AB170" s="2"/>
      <c r="AC170" s="14">
        <f t="shared" si="43"/>
        <v>-7934.3700000000072</v>
      </c>
      <c r="AD170" s="15">
        <f>IFERROR(AC170/AC444, "NA")</f>
        <v>-0.22761435194468671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27103.470000000005</v>
      </c>
      <c r="C171" s="15">
        <f>IFERROR(B171/B444, "NA")</f>
        <v>0.27762538789595609</v>
      </c>
      <c r="D171" s="2"/>
      <c r="E171" s="14">
        <f>IFERROR(E127+E129+E130+E131+E132+E133+E134+E135+E136+E137+E138+E139+E140+E143+E144+E145+E146+E147+E151+E153+E154+E155+E156+E157+E160+E161+E162+E163+E164+E165+E167+E168+E169, "NA")</f>
        <v>23197.040000000001</v>
      </c>
      <c r="F171" s="15">
        <f>IFERROR(E171/E444, "NA")</f>
        <v>0.26399995720834041</v>
      </c>
      <c r="G171" s="2"/>
      <c r="H171" s="14">
        <f t="shared" si="40"/>
        <v>-3906.4300000000039</v>
      </c>
      <c r="I171" s="15">
        <f>IFERROR(H171/H444, "NA")</f>
        <v>-0.40031213941544069</v>
      </c>
      <c r="J171" s="2"/>
      <c r="K171" s="14">
        <f>IFERROR(K127+K129+K130+K131+K132+K133+K134+K135+K136+K137+K138+K139+K140+K143+K144+K145+K146+K147+K151+K153+K154+K155+K156+K157+K160+K161+K162+K163+K164+K165+K167+K168+K169, "NA")</f>
        <v>23629.14</v>
      </c>
      <c r="L171" s="15">
        <f>IFERROR(K171/K444, "NA")</f>
        <v>0.29547316879684776</v>
      </c>
      <c r="M171" s="2"/>
      <c r="N171" s="14">
        <f t="shared" si="41"/>
        <v>-3474.3300000000054</v>
      </c>
      <c r="O171" s="15">
        <f>IFERROR(N171/N444, "NA")</f>
        <v>-0.19678412554926125</v>
      </c>
      <c r="P171" s="2"/>
      <c r="Q171" s="14">
        <f>IFERROR(Q127+Q129+Q130+Q131+Q132+Q133+Q134+Q135+Q136+Q137+Q138+Q139+Q140+Q143+Q144+Q145+Q146+Q147+Q151+Q153+Q154+Q155+Q156+Q157+Q160+Q161+Q162+Q163+Q164+Q165+Q167+Q168+Q169, "NA")</f>
        <v>101488.17000000001</v>
      </c>
      <c r="R171" s="15">
        <f>IFERROR(Q171/Q444, "NA")</f>
        <v>0.28186303242599797</v>
      </c>
      <c r="S171" s="2"/>
      <c r="T171" s="14">
        <f>IFERROR(T127+T129+T130+T131+T132+T133+T134+T135+T136+T137+T138+T139+T140+T143+T144+T145+T146+T147+T151+T153+T154+T155+T156+T157+T160+T161+T162+T163+T164+T165+T167+T168+T169, "NA")</f>
        <v>92322.330000000016</v>
      </c>
      <c r="U171" s="15">
        <f>IFERROR(T171/T444, "NA")</f>
        <v>0.26550875522646061</v>
      </c>
      <c r="V171" s="2"/>
      <c r="W171" s="14">
        <f t="shared" si="42"/>
        <v>-9165.8399999999965</v>
      </c>
      <c r="X171" s="15">
        <f>IFERROR(W171/W444, "NA")</f>
        <v>-0.74256891526011504</v>
      </c>
      <c r="Y171" s="2"/>
      <c r="Z171" s="14">
        <f>IFERROR(Z127+Z129+Z130+Z131+Z132+Z133+Z134+Z135+Z136+Z137+Z138+Z139+Z140+Z143+Z144+Z145+Z146+Z147+Z151+Z153+Z154+Z155+Z156+Z157+Z160+Z161+Z162+Z163+Z164+Z165+Z167+Z168+Z169, "NA")</f>
        <v>89861.81</v>
      </c>
      <c r="AA171" s="15">
        <f>IFERROR(Z171/Z444, "NA")</f>
        <v>0.27632512695601563</v>
      </c>
      <c r="AB171" s="2"/>
      <c r="AC171" s="14">
        <f t="shared" si="43"/>
        <v>-11626.360000000015</v>
      </c>
      <c r="AD171" s="15">
        <f>IFERROR(AC171/AC444, "NA")</f>
        <v>-0.33352697150191241</v>
      </c>
    </row>
    <row r="172" spans="1:30" ht="16.5" customHeight="1" x14ac:dyDescent="0.45">
      <c r="A172" s="22" t="s">
        <v>160</v>
      </c>
      <c r="B172" s="23">
        <f>IFERROR(B124-B171, "NA")</f>
        <v>70522.58</v>
      </c>
      <c r="C172" s="24">
        <f>IFERROR(B172/B444, "NA")</f>
        <v>0.72237461210404397</v>
      </c>
      <c r="D172" s="25"/>
      <c r="E172" s="23">
        <f>IFERROR(E124-E171, "NA")</f>
        <v>64670.55000000001</v>
      </c>
      <c r="F172" s="24">
        <f>IFERROR(E172/E444, "NA")</f>
        <v>0.73600004279165976</v>
      </c>
      <c r="G172" s="25"/>
      <c r="H172" s="23">
        <f>IFERROR(B172-E172, "NA")</f>
        <v>5852.0299999999916</v>
      </c>
      <c r="I172" s="24">
        <f>IFERROR(H172/H444, "NA")</f>
        <v>0.59968786058455814</v>
      </c>
      <c r="J172" s="25"/>
      <c r="K172" s="23">
        <f>IFERROR(K124-K171, "NA")</f>
        <v>56341.37000000001</v>
      </c>
      <c r="L172" s="24">
        <f>IFERROR(K172/K444, "NA")</f>
        <v>0.7045268312031524</v>
      </c>
      <c r="M172" s="25"/>
      <c r="N172" s="23">
        <f>IFERROR(B172-K172, "NA")</f>
        <v>14181.209999999992</v>
      </c>
      <c r="O172" s="24">
        <f>IFERROR(N172/N444, "NA")</f>
        <v>0.80321587445073817</v>
      </c>
      <c r="P172" s="25"/>
      <c r="Q172" s="23">
        <f>IFERROR(Q124-Q171, "NA")</f>
        <v>258573.84</v>
      </c>
      <c r="R172" s="24">
        <f>IFERROR(Q172/Q444, "NA")</f>
        <v>0.71813696757400203</v>
      </c>
      <c r="S172" s="25"/>
      <c r="T172" s="23">
        <f>IFERROR(T124-T171, "NA")</f>
        <v>255396.25999999995</v>
      </c>
      <c r="U172" s="24">
        <f>IFERROR(T172/T444, "NA")</f>
        <v>0.73449124477353922</v>
      </c>
      <c r="V172" s="25"/>
      <c r="W172" s="23">
        <f>IFERROR(Q172-T172, "NA")</f>
        <v>3177.5800000000454</v>
      </c>
      <c r="X172" s="24">
        <f>IFERROR(W172/W444, "NA")</f>
        <v>0.25743108473988974</v>
      </c>
      <c r="Y172" s="25"/>
      <c r="Z172" s="23">
        <f>IFERROR(Z124-Z171, "NA")</f>
        <v>235341.36999999982</v>
      </c>
      <c r="AA172" s="24">
        <f>IFERROR(Z172/Z444, "NA")</f>
        <v>0.72367487304398381</v>
      </c>
      <c r="AB172" s="25"/>
      <c r="AC172" s="23">
        <f>IFERROR(Q172-Z172, "NA")</f>
        <v>23232.470000000176</v>
      </c>
      <c r="AD172" s="24">
        <f>IFERROR(AC172/AC444, "NA")</f>
        <v>0.66647302849809265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4649.84</v>
      </c>
      <c r="C178" s="8">
        <f>IFERROR(B178/B444, "NA")</f>
        <v>4.7629090801072048E-2</v>
      </c>
      <c r="D178" s="9"/>
      <c r="E178" s="7">
        <v>4615.3999999999996</v>
      </c>
      <c r="F178" s="8">
        <f>IFERROR(E178/E444, "NA")</f>
        <v>5.2526762142901605E-2</v>
      </c>
      <c r="G178" s="9"/>
      <c r="H178" s="10">
        <f t="shared" si="44"/>
        <v>-34.440000000000509</v>
      </c>
      <c r="I178" s="8">
        <f>IFERROR(H178/H444, "NA")</f>
        <v>-3.5292453932280797E-3</v>
      </c>
      <c r="J178" s="9"/>
      <c r="K178" s="7">
        <v>4615.3999999999996</v>
      </c>
      <c r="L178" s="8">
        <f>IFERROR(K178/K444, "NA")</f>
        <v>5.7713774740213608E-2</v>
      </c>
      <c r="M178" s="9"/>
      <c r="N178" s="10">
        <f t="shared" si="45"/>
        <v>-34.440000000000509</v>
      </c>
      <c r="O178" s="8">
        <f>IFERROR(N178/N444, "NA")</f>
        <v>-1.9506625115969544E-3</v>
      </c>
      <c r="P178" s="9"/>
      <c r="Q178" s="7">
        <v>20722.75</v>
      </c>
      <c r="R178" s="8">
        <f>IFERROR(Q178/Q444, "NA")</f>
        <v>5.7553280891810832E-2</v>
      </c>
      <c r="S178" s="9"/>
      <c r="T178" s="7">
        <v>19615.45</v>
      </c>
      <c r="U178" s="8">
        <f>IFERROR(T178/T444, "NA")</f>
        <v>5.6411853044727921E-2</v>
      </c>
      <c r="V178" s="9"/>
      <c r="W178" s="10">
        <f t="shared" si="46"/>
        <v>-1107.2999999999993</v>
      </c>
      <c r="X178" s="8">
        <f>IFERROR(W178/W444, "NA")</f>
        <v>-8.9707714717639095E-2</v>
      </c>
      <c r="Y178" s="9"/>
      <c r="Z178" s="7">
        <v>19615.45</v>
      </c>
      <c r="AA178" s="8">
        <f>IFERROR(Z178/Z444, "NA")</f>
        <v>6.0317522110331152E-2</v>
      </c>
      <c r="AB178" s="9"/>
      <c r="AC178" s="10">
        <f t="shared" si="47"/>
        <v>-1107.2999999999993</v>
      </c>
      <c r="AD178" s="8">
        <f>IFERROR(AC178/AC444, "NA")</f>
        <v>-3.1765265787750158E-2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19141.18</v>
      </c>
      <c r="C180" s="8">
        <f>IFERROR(B180/B444, "NA")</f>
        <v>0.19606631631618815</v>
      </c>
      <c r="D180" s="9"/>
      <c r="E180" s="7">
        <v>18627.93</v>
      </c>
      <c r="F180" s="8">
        <f>IFERROR(E180/E444, "NA")</f>
        <v>0.2120000104702997</v>
      </c>
      <c r="G180" s="9"/>
      <c r="H180" s="10">
        <f t="shared" si="44"/>
        <v>-513.25</v>
      </c>
      <c r="I180" s="8">
        <f>IFERROR(H180/H444, "NA")</f>
        <v>-5.2595389026547187E-2</v>
      </c>
      <c r="J180" s="9"/>
      <c r="K180" s="7">
        <v>17098.27</v>
      </c>
      <c r="L180" s="8">
        <f>IFERROR(K180/K444, "NA")</f>
        <v>0.21380718967529408</v>
      </c>
      <c r="M180" s="9"/>
      <c r="N180" s="10">
        <f t="shared" si="45"/>
        <v>-2042.9099999999999</v>
      </c>
      <c r="O180" s="8">
        <f>IFERROR(N180/N444, "NA")</f>
        <v>-0.11570929011517059</v>
      </c>
      <c r="P180" s="9"/>
      <c r="Q180" s="7">
        <v>71367.87</v>
      </c>
      <c r="R180" s="8">
        <f>IFERROR(Q180/Q444, "NA")</f>
        <v>0.19820994167088052</v>
      </c>
      <c r="S180" s="9"/>
      <c r="T180" s="7">
        <v>69468.2</v>
      </c>
      <c r="U180" s="8">
        <f>IFERROR(T180/T444, "NA")</f>
        <v>0.19978281862928293</v>
      </c>
      <c r="V180" s="9"/>
      <c r="W180" s="10">
        <f t="shared" si="46"/>
        <v>-1899.6699999999983</v>
      </c>
      <c r="X180" s="8">
        <f>IFERROR(W180/W444, "NA")</f>
        <v>-0.15390143088382319</v>
      </c>
      <c r="Y180" s="9"/>
      <c r="Z180" s="7">
        <v>65761.119999999995</v>
      </c>
      <c r="AA180" s="8">
        <f>IFERROR(Z180/Z444, "NA")</f>
        <v>0.20221548879073076</v>
      </c>
      <c r="AB180" s="9"/>
      <c r="AC180" s="10">
        <f t="shared" si="47"/>
        <v>-5606.75</v>
      </c>
      <c r="AD180" s="8">
        <f>IFERROR(AC180/AC444, "NA")</f>
        <v>-0.16084160024877478</v>
      </c>
    </row>
    <row r="181" spans="1:30" ht="16.5" customHeight="1" x14ac:dyDescent="0.45">
      <c r="A181" s="12" t="s">
        <v>166</v>
      </c>
      <c r="B181" s="7">
        <v>41.66</v>
      </c>
      <c r="C181" s="8">
        <f>IFERROR(B181/B444, "NA")</f>
        <v>4.2673036551207384E-4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-41.66</v>
      </c>
      <c r="I181" s="8">
        <f>IFERROR(H181/H444, "NA")</f>
        <v>-4.2691162335040536E-3</v>
      </c>
      <c r="J181" s="9"/>
      <c r="K181" s="7">
        <v>36.92</v>
      </c>
      <c r="L181" s="8">
        <f>IFERROR(K181/K444, "NA")</f>
        <v>4.6167018317127157E-4</v>
      </c>
      <c r="M181" s="9"/>
      <c r="N181" s="10">
        <f t="shared" si="45"/>
        <v>-4.7399999999999949</v>
      </c>
      <c r="O181" s="8">
        <f>IFERROR(N181/N444, "NA")</f>
        <v>-2.6847097285044764E-4</v>
      </c>
      <c r="P181" s="9"/>
      <c r="Q181" s="7">
        <v>594.82000000000005</v>
      </c>
      <c r="R181" s="8">
        <f>IFERROR(Q181/Q444, "NA")</f>
        <v>1.6519932219452979E-3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-594.82000000000005</v>
      </c>
      <c r="X181" s="8">
        <f>IFERROR(W181/W444, "NA")</f>
        <v>-4.8189237666708323E-2</v>
      </c>
      <c r="Y181" s="9"/>
      <c r="Z181" s="7">
        <v>236.21</v>
      </c>
      <c r="AA181" s="8">
        <f>IFERROR(Z181/Z444, "NA")</f>
        <v>7.263459108856193E-4</v>
      </c>
      <c r="AB181" s="9"/>
      <c r="AC181" s="10">
        <f t="shared" si="47"/>
        <v>-358.61</v>
      </c>
      <c r="AD181" s="8">
        <f>IFERROR(AC181/AC444, "NA")</f>
        <v>-1.0287493871710549E-2</v>
      </c>
    </row>
    <row r="182" spans="1:30" ht="16.5" customHeight="1" x14ac:dyDescent="0.45">
      <c r="A182" s="13" t="s">
        <v>167</v>
      </c>
      <c r="B182" s="14">
        <f>IFERROR(B177+B178+B179+B180+B181, "NA")</f>
        <v>23832.68</v>
      </c>
      <c r="C182" s="15">
        <f>IFERROR(B182/B444, "NA")</f>
        <v>0.24412213748277226</v>
      </c>
      <c r="D182" s="2"/>
      <c r="E182" s="14">
        <f>IFERROR(E177+E178+E179+E180+E181, "NA")</f>
        <v>23243.33</v>
      </c>
      <c r="F182" s="15">
        <f>IFERROR(E182/E444, "NA")</f>
        <v>0.26452677261320134</v>
      </c>
      <c r="G182" s="2"/>
      <c r="H182" s="14">
        <f t="shared" si="44"/>
        <v>-589.34999999999854</v>
      </c>
      <c r="I182" s="15">
        <f>IFERROR(H182/H444, "NA")</f>
        <v>-6.0393750653279121E-2</v>
      </c>
      <c r="J182" s="2"/>
      <c r="K182" s="14">
        <f>IFERROR(K177+K178+K179+K180+K181, "NA")</f>
        <v>21750.589999999997</v>
      </c>
      <c r="L182" s="15">
        <f>IFERROR(K182/K444, "NA")</f>
        <v>0.27198263459867889</v>
      </c>
      <c r="M182" s="2"/>
      <c r="N182" s="14">
        <f t="shared" si="45"/>
        <v>-2082.0900000000038</v>
      </c>
      <c r="O182" s="15">
        <f>IFERROR(N182/N444, "NA")</f>
        <v>-0.11792842359961818</v>
      </c>
      <c r="P182" s="2"/>
      <c r="Q182" s="14">
        <f>IFERROR(Q177+Q178+Q179+Q180+Q181, "NA")</f>
        <v>92685.440000000002</v>
      </c>
      <c r="R182" s="15">
        <f>IFERROR(Q182/Q444, "NA")</f>
        <v>0.25741521578463666</v>
      </c>
      <c r="S182" s="2"/>
      <c r="T182" s="14">
        <f>IFERROR(T177+T178+T179+T180+T181, "NA")</f>
        <v>89083.65</v>
      </c>
      <c r="U182" s="15">
        <f>IFERROR(T182/T444, "NA")</f>
        <v>0.25619467167401083</v>
      </c>
      <c r="V182" s="2"/>
      <c r="W182" s="14">
        <f t="shared" si="46"/>
        <v>-3601.7900000000081</v>
      </c>
      <c r="X182" s="15">
        <f>IFERROR(W182/W444, "NA")</f>
        <v>-0.29179838326817148</v>
      </c>
      <c r="Y182" s="2"/>
      <c r="Z182" s="14">
        <f>IFERROR(Z177+Z178+Z179+Z180+Z181, "NA")</f>
        <v>85612.78</v>
      </c>
      <c r="AA182" s="15">
        <f>IFERROR(Z182/Z444, "NA")</f>
        <v>0.26325935681194751</v>
      </c>
      <c r="AB182" s="2"/>
      <c r="AC182" s="14">
        <f t="shared" si="47"/>
        <v>-7072.6600000000035</v>
      </c>
      <c r="AD182" s="15">
        <f>IFERROR(AC182/AC444, "NA")</f>
        <v>-0.20289435990823559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165</v>
      </c>
      <c r="C184" s="8">
        <f>IFERROR(B184/B444, "NA")</f>
        <v>1.6901226670545412E-3</v>
      </c>
      <c r="D184" s="9"/>
      <c r="E184" s="7">
        <v>165</v>
      </c>
      <c r="F184" s="8">
        <f>IFERROR(E184/E444, "NA")</f>
        <v>1.8778254871904419E-3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3.7513828535043732E-3</v>
      </c>
      <c r="M184" s="9"/>
      <c r="N184" s="10">
        <f t="shared" si="45"/>
        <v>135</v>
      </c>
      <c r="O184" s="8">
        <f>IFERROR(N184/N444, "NA")</f>
        <v>7.6463251761203534E-3</v>
      </c>
      <c r="P184" s="9"/>
      <c r="Q184" s="7">
        <v>370</v>
      </c>
      <c r="R184" s="8">
        <f>IFERROR(Q184/Q444, "NA")</f>
        <v>1.0276007735445347E-3</v>
      </c>
      <c r="S184" s="9"/>
      <c r="T184" s="7">
        <v>770</v>
      </c>
      <c r="U184" s="8">
        <f>IFERROR(T184/T444, "NA")</f>
        <v>2.2144343792490358E-3</v>
      </c>
      <c r="V184" s="9"/>
      <c r="W184" s="10">
        <f t="shared" si="46"/>
        <v>400</v>
      </c>
      <c r="X184" s="8">
        <f>IFERROR(W184/W444, "NA")</f>
        <v>3.2405929637005025E-2</v>
      </c>
      <c r="Y184" s="9"/>
      <c r="Z184" s="7">
        <v>1200</v>
      </c>
      <c r="AA184" s="8">
        <f>IFERROR(Z184/Z444, "NA")</f>
        <v>3.690000817335181E-3</v>
      </c>
      <c r="AB184" s="9"/>
      <c r="AC184" s="10">
        <f t="shared" si="47"/>
        <v>830</v>
      </c>
      <c r="AD184" s="8">
        <f>IFERROR(AC184/AC444, "NA")</f>
        <v>2.38103229511719E-2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2500.9899999999998</v>
      </c>
      <c r="C186" s="8">
        <f>IFERROR(B186/B444, "NA")</f>
        <v>2.5618059933798405E-2</v>
      </c>
      <c r="D186" s="9"/>
      <c r="E186" s="7">
        <v>2536.6799999999998</v>
      </c>
      <c r="F186" s="8">
        <f>IFERROR(E186/E444, "NA")</f>
        <v>2.8869347617250001E-2</v>
      </c>
      <c r="G186" s="9"/>
      <c r="H186" s="10">
        <f t="shared" ref="H186:H197" si="48">IFERROR(-(B186-E186), "NA")</f>
        <v>35.690000000000055</v>
      </c>
      <c r="I186" s="8">
        <f>IFERROR(H186/H444, "NA")</f>
        <v>3.6573393752702813E-3</v>
      </c>
      <c r="J186" s="9"/>
      <c r="K186" s="7">
        <v>2308.6999999999998</v>
      </c>
      <c r="L186" s="8">
        <f>IFERROR(K186/K444, "NA")</f>
        <v>2.8869391979618488E-2</v>
      </c>
      <c r="M186" s="9"/>
      <c r="N186" s="10">
        <f t="shared" ref="N186:N197" si="49">IFERROR(-(B186-K186), "NA")</f>
        <v>-192.28999999999996</v>
      </c>
      <c r="O186" s="8">
        <f>IFERROR(N186/N444, "NA")</f>
        <v>-1.0891199023082833E-2</v>
      </c>
      <c r="P186" s="9"/>
      <c r="Q186" s="7">
        <v>10645.41</v>
      </c>
      <c r="R186" s="8">
        <f>IFERROR(Q186/Q444, "NA")</f>
        <v>2.9565490677564123E-2</v>
      </c>
      <c r="S186" s="9"/>
      <c r="T186" s="7">
        <v>12372.2</v>
      </c>
      <c r="U186" s="8">
        <f>IFERROR(T186/T444, "NA")</f>
        <v>3.5581071463564831E-2</v>
      </c>
      <c r="V186" s="9"/>
      <c r="W186" s="10">
        <f t="shared" ref="W186:W197" si="50">IFERROR(-(Q186-T186), "NA")</f>
        <v>1726.7900000000009</v>
      </c>
      <c r="X186" s="8">
        <f>IFERROR(W186/W444, "NA")</f>
        <v>0.13989558809470984</v>
      </c>
      <c r="Y186" s="9"/>
      <c r="Z186" s="7">
        <v>11627.31</v>
      </c>
      <c r="AA186" s="8">
        <f>IFERROR(Z186/Z444, "NA")</f>
        <v>3.5753986169507937E-2</v>
      </c>
      <c r="AB186" s="9"/>
      <c r="AC186" s="10">
        <f t="shared" ref="AC186:AC197" si="51">IFERROR(-(Q186-Z186), "NA")</f>
        <v>981.89999999999964</v>
      </c>
      <c r="AD186" s="8">
        <f>IFERROR(AC186/AC444, "NA")</f>
        <v>2.8167898922597207E-2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2500.9899999999998</v>
      </c>
      <c r="C193" s="15">
        <f>IFERROR(B193/B444, "NA")</f>
        <v>2.5618059933798405E-2</v>
      </c>
      <c r="D193" s="2"/>
      <c r="E193" s="14">
        <f>IFERROR(E186+E187+E188+E189+E190+E191+E192, "NA")</f>
        <v>2536.6799999999998</v>
      </c>
      <c r="F193" s="15">
        <f>IFERROR(E193/E444, "NA")</f>
        <v>2.8869347617250001E-2</v>
      </c>
      <c r="G193" s="2"/>
      <c r="H193" s="14">
        <f t="shared" si="48"/>
        <v>35.690000000000055</v>
      </c>
      <c r="I193" s="15">
        <f>IFERROR(H193/H444, "NA")</f>
        <v>3.6573393752702813E-3</v>
      </c>
      <c r="J193" s="2"/>
      <c r="K193" s="14">
        <f>IFERROR(K186+K187+K188+K189+K190+K191+K192, "NA")</f>
        <v>2308.6999999999998</v>
      </c>
      <c r="L193" s="15">
        <f>IFERROR(K193/K444, "NA")</f>
        <v>2.8869391979618488E-2</v>
      </c>
      <c r="M193" s="2"/>
      <c r="N193" s="14">
        <f t="shared" si="49"/>
        <v>-192.28999999999996</v>
      </c>
      <c r="O193" s="15">
        <f>IFERROR(N193/N444, "NA")</f>
        <v>-1.0891199023082833E-2</v>
      </c>
      <c r="P193" s="2"/>
      <c r="Q193" s="14">
        <f>IFERROR(Q186+Q187+Q188+Q189+Q190+Q191+Q192, "NA")</f>
        <v>10645.41</v>
      </c>
      <c r="R193" s="15">
        <f>IFERROR(Q193/Q444, "NA")</f>
        <v>2.9565490677564123E-2</v>
      </c>
      <c r="S193" s="2"/>
      <c r="T193" s="14">
        <f>IFERROR(T186+T187+T188+T189+T190+T191+T192, "NA")</f>
        <v>12372.2</v>
      </c>
      <c r="U193" s="15">
        <f>IFERROR(T193/T444, "NA")</f>
        <v>3.5581071463564831E-2</v>
      </c>
      <c r="V193" s="2"/>
      <c r="W193" s="14">
        <f t="shared" si="50"/>
        <v>1726.7900000000009</v>
      </c>
      <c r="X193" s="15">
        <f>IFERROR(W193/W444, "NA")</f>
        <v>0.13989558809470984</v>
      </c>
      <c r="Y193" s="2"/>
      <c r="Z193" s="14">
        <f>IFERROR(Z186+Z187+Z188+Z189+Z190+Z191+Z192, "NA")</f>
        <v>11627.31</v>
      </c>
      <c r="AA193" s="15">
        <f>IFERROR(Z193/Z444, "NA")</f>
        <v>3.5753986169507937E-2</v>
      </c>
      <c r="AB193" s="2"/>
      <c r="AC193" s="14">
        <f t="shared" si="51"/>
        <v>981.89999999999964</v>
      </c>
      <c r="AD193" s="15">
        <f>IFERROR(AC193/AC444, "NA")</f>
        <v>2.8167898922597207E-2</v>
      </c>
    </row>
    <row r="194" spans="1:30" ht="16.5" customHeight="1" x14ac:dyDescent="0.45">
      <c r="A194" s="6" t="s">
        <v>178</v>
      </c>
      <c r="B194" s="7">
        <v>211.92</v>
      </c>
      <c r="C194" s="8">
        <f>IFERROR(B194/B444, "NA")</f>
        <v>2.1707320945587778E-3</v>
      </c>
      <c r="D194" s="9"/>
      <c r="E194" s="7">
        <v>187.27</v>
      </c>
      <c r="F194" s="8">
        <f>IFERROR(E194/E444, "NA")</f>
        <v>2.1312750241585096E-3</v>
      </c>
      <c r="G194" s="9"/>
      <c r="H194" s="10">
        <f t="shared" si="48"/>
        <v>-24.649999999999977</v>
      </c>
      <c r="I194" s="8">
        <f>IFERROR(H194/H444, "NA")</f>
        <v>-2.5260133258731359E-3</v>
      </c>
      <c r="J194" s="9"/>
      <c r="K194" s="7">
        <v>212</v>
      </c>
      <c r="L194" s="8">
        <f>IFERROR(K194/K444, "NA")</f>
        <v>2.6509772164764237E-3</v>
      </c>
      <c r="M194" s="9"/>
      <c r="N194" s="10">
        <f t="shared" si="49"/>
        <v>8.0000000000012506E-2</v>
      </c>
      <c r="O194" s="8">
        <f>IFERROR(N194/N444, "NA")</f>
        <v>4.5311556599238801E-6</v>
      </c>
      <c r="P194" s="9"/>
      <c r="Q194" s="7">
        <v>1154.82</v>
      </c>
      <c r="R194" s="8">
        <f>IFERROR(Q194/Q444, "NA")</f>
        <v>3.2072808792018904E-3</v>
      </c>
      <c r="S194" s="9"/>
      <c r="T194" s="7">
        <v>718.83</v>
      </c>
      <c r="U194" s="8">
        <f>IFERROR(T194/T444, "NA")</f>
        <v>2.0672751491371227E-3</v>
      </c>
      <c r="V194" s="9"/>
      <c r="W194" s="10">
        <f t="shared" si="50"/>
        <v>-435.9899999999999</v>
      </c>
      <c r="X194" s="8">
        <f>IFERROR(W194/W444, "NA")</f>
        <v>-3.5321653156094542E-2</v>
      </c>
      <c r="Y194" s="9"/>
      <c r="Z194" s="7">
        <v>963.54</v>
      </c>
      <c r="AA194" s="8">
        <f>IFERROR(Z194/Z444, "NA")</f>
        <v>2.9628861562792834E-3</v>
      </c>
      <c r="AB194" s="9"/>
      <c r="AC194" s="10">
        <f t="shared" si="51"/>
        <v>-191.27999999999997</v>
      </c>
      <c r="AD194" s="8">
        <f>IFERROR(AC194/AC444, "NA")</f>
        <v>-5.4872753904821213E-3</v>
      </c>
    </row>
    <row r="195" spans="1:30" ht="16.5" customHeight="1" x14ac:dyDescent="0.45">
      <c r="A195" s="6" t="s">
        <v>179</v>
      </c>
      <c r="B195" s="7">
        <v>3.57</v>
      </c>
      <c r="C195" s="8">
        <f>IFERROR(B195/B444, "NA")</f>
        <v>3.6568108614452799E-5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-3.57</v>
      </c>
      <c r="I195" s="8">
        <f>IFERROR(H195/H444, "NA")</f>
        <v>-3.6583641271266138E-4</v>
      </c>
      <c r="J195" s="9"/>
      <c r="K195" s="7">
        <v>-172.78</v>
      </c>
      <c r="L195" s="8">
        <f>IFERROR(K195/K444, "NA")</f>
        <v>-2.1605464314282852E-3</v>
      </c>
      <c r="M195" s="9"/>
      <c r="N195" s="10">
        <f t="shared" si="49"/>
        <v>-176.35</v>
      </c>
      <c r="O195" s="8">
        <f>IFERROR(N195/N444, "NA")</f>
        <v>-9.9883662578431429E-3</v>
      </c>
      <c r="P195" s="9"/>
      <c r="Q195" s="7">
        <v>3.56</v>
      </c>
      <c r="R195" s="8">
        <f>IFERROR(Q195/Q444, "NA")</f>
        <v>9.8871858211311996E-6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-3.56</v>
      </c>
      <c r="X195" s="8">
        <f>IFERROR(W195/W444, "NA")</f>
        <v>-2.884127737693447E-4</v>
      </c>
      <c r="Y195" s="9"/>
      <c r="Z195" s="7">
        <v>-745.54</v>
      </c>
      <c r="AA195" s="8">
        <f>IFERROR(Z195/Z444, "NA")</f>
        <v>-2.2925360077967255E-3</v>
      </c>
      <c r="AB195" s="9"/>
      <c r="AC195" s="10">
        <f t="shared" si="51"/>
        <v>-749.09999999999991</v>
      </c>
      <c r="AD195" s="8">
        <f>IFERROR(AC195/AC444, "NA")</f>
        <v>-2.1489533641834781E-2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26714.159999999996</v>
      </c>
      <c r="C196" s="15">
        <f>IFERROR(B196/B444, "NA")</f>
        <v>0.27363762028679839</v>
      </c>
      <c r="D196" s="2"/>
      <c r="E196" s="14">
        <f>IFERROR(E175+E177+E178+E179+E180+E181+E183+E184+E186+E187+E188+E189+E190+E191+E192+E194+E195, "NA")</f>
        <v>26132.280000000002</v>
      </c>
      <c r="F196" s="15">
        <f>IFERROR(E196/E444, "NA")</f>
        <v>0.29740522074180031</v>
      </c>
      <c r="G196" s="2"/>
      <c r="H196" s="14">
        <f t="shared" si="48"/>
        <v>-581.87999999999374</v>
      </c>
      <c r="I196" s="15">
        <f>IFERROR(H196/H444, "NA")</f>
        <v>-5.9628261016594152E-2</v>
      </c>
      <c r="J196" s="2"/>
      <c r="K196" s="14">
        <f>IFERROR(K175+K177+K178+K179+K180+K181+K183+K184+K186+K187+K188+K189+K190+K191+K192+K194+K195, "NA")</f>
        <v>24398.51</v>
      </c>
      <c r="L196" s="15">
        <f>IFERROR(K196/K444, "NA")</f>
        <v>0.30509384021684993</v>
      </c>
      <c r="M196" s="2"/>
      <c r="N196" s="14">
        <f t="shared" si="49"/>
        <v>-2315.6499999999978</v>
      </c>
      <c r="O196" s="15">
        <f>IFERROR(N196/N444, "NA")</f>
        <v>-0.13115713254876354</v>
      </c>
      <c r="P196" s="2"/>
      <c r="Q196" s="14">
        <f>IFERROR(Q175+Q177+Q178+Q179+Q180+Q181+Q183+Q184+Q186+Q187+Q188+Q189+Q190+Q191+Q192+Q194+Q195, "NA")</f>
        <v>104859.23000000001</v>
      </c>
      <c r="R196" s="15">
        <f>IFERROR(Q196/Q444, "NA")</f>
        <v>0.29122547530076837</v>
      </c>
      <c r="S196" s="2"/>
      <c r="T196" s="14">
        <f>IFERROR(T175+T177+T178+T179+T180+T181+T183+T184+T186+T187+T188+T189+T190+T191+T192+T194+T195, "NA")</f>
        <v>102944.68</v>
      </c>
      <c r="U196" s="15">
        <f>IFERROR(T196/T444, "NA")</f>
        <v>0.29605745266596184</v>
      </c>
      <c r="V196" s="2"/>
      <c r="W196" s="14">
        <f t="shared" si="50"/>
        <v>-1914.5500000000175</v>
      </c>
      <c r="X196" s="15">
        <f>IFERROR(W196/W444, "NA")</f>
        <v>-0.15510693146632132</v>
      </c>
      <c r="Y196" s="2"/>
      <c r="Z196" s="14">
        <f>IFERROR(Z175+Z177+Z178+Z179+Z180+Z181+Z183+Z184+Z186+Z187+Z188+Z189+Z190+Z191+Z192+Z194+Z195, "NA")</f>
        <v>98658.09</v>
      </c>
      <c r="AA196" s="15">
        <f>IFERROR(Z196/Z444, "NA")</f>
        <v>0.3033736939472732</v>
      </c>
      <c r="AB196" s="2"/>
      <c r="AC196" s="14">
        <f t="shared" si="51"/>
        <v>-6201.140000000014</v>
      </c>
      <c r="AD196" s="15">
        <f>IFERROR(AC196/AC444, "NA")</f>
        <v>-0.17789294706678369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26714.159999999996</v>
      </c>
      <c r="C197" s="15">
        <f>IFERROR(B197/B444, "NA")</f>
        <v>0.27363762028679839</v>
      </c>
      <c r="D197" s="2"/>
      <c r="E197" s="14">
        <f>IFERROR(E175+E177+E178+E179+E180+E181+E183+E184+E186+E187+E188+E189+E190+E191+E192+E194+E195, "NA")</f>
        <v>26132.280000000002</v>
      </c>
      <c r="F197" s="15">
        <f>IFERROR(E197/E444, "NA")</f>
        <v>0.29740522074180031</v>
      </c>
      <c r="G197" s="2"/>
      <c r="H197" s="14">
        <f t="shared" si="48"/>
        <v>-581.87999999999374</v>
      </c>
      <c r="I197" s="15">
        <f>IFERROR(H197/H444, "NA")</f>
        <v>-5.9628261016594152E-2</v>
      </c>
      <c r="J197" s="2"/>
      <c r="K197" s="14">
        <f>IFERROR(K175+K177+K178+K179+K180+K181+K183+K184+K186+K187+K188+K189+K190+K191+K192+K194+K195, "NA")</f>
        <v>24398.51</v>
      </c>
      <c r="L197" s="15">
        <f>IFERROR(K197/K444, "NA")</f>
        <v>0.30509384021684993</v>
      </c>
      <c r="M197" s="2"/>
      <c r="N197" s="14">
        <f t="shared" si="49"/>
        <v>-2315.6499999999978</v>
      </c>
      <c r="O197" s="15">
        <f>IFERROR(N197/N444, "NA")</f>
        <v>-0.13115713254876354</v>
      </c>
      <c r="P197" s="2"/>
      <c r="Q197" s="14">
        <f>IFERROR(Q175+Q177+Q178+Q179+Q180+Q181+Q183+Q184+Q186+Q187+Q188+Q189+Q190+Q191+Q192+Q194+Q195, "NA")</f>
        <v>104859.23000000001</v>
      </c>
      <c r="R197" s="15">
        <f>IFERROR(Q197/Q444, "NA")</f>
        <v>0.29122547530076837</v>
      </c>
      <c r="S197" s="2"/>
      <c r="T197" s="14">
        <f>IFERROR(T175+T177+T178+T179+T180+T181+T183+T184+T186+T187+T188+T189+T190+T191+T192+T194+T195, "NA")</f>
        <v>102944.68</v>
      </c>
      <c r="U197" s="15">
        <f>IFERROR(T197/T444, "NA")</f>
        <v>0.29605745266596184</v>
      </c>
      <c r="V197" s="2"/>
      <c r="W197" s="14">
        <f t="shared" si="50"/>
        <v>-1914.5500000000175</v>
      </c>
      <c r="X197" s="15">
        <f>IFERROR(W197/W444, "NA")</f>
        <v>-0.15510693146632132</v>
      </c>
      <c r="Y197" s="2"/>
      <c r="Z197" s="14">
        <f>IFERROR(Z175+Z177+Z178+Z179+Z180+Z181+Z183+Z184+Z186+Z187+Z188+Z189+Z190+Z191+Z192+Z194+Z195, "NA")</f>
        <v>98658.09</v>
      </c>
      <c r="AA197" s="15">
        <f>IFERROR(Z197/Z444, "NA")</f>
        <v>0.3033736939472732</v>
      </c>
      <c r="AB197" s="2"/>
      <c r="AC197" s="14">
        <f t="shared" si="51"/>
        <v>-6201.140000000014</v>
      </c>
      <c r="AD197" s="15">
        <f>IFERROR(AC197/AC444, "NA")</f>
        <v>-0.17789294706678369</v>
      </c>
    </row>
    <row r="198" spans="1:30" ht="16.5" customHeight="1" x14ac:dyDescent="0.45">
      <c r="A198" s="22" t="s">
        <v>181</v>
      </c>
      <c r="B198" s="23">
        <f>IFERROR(B172-B197, "NA")</f>
        <v>43808.420000000006</v>
      </c>
      <c r="C198" s="24">
        <f>IFERROR(B198/B444, "NA")</f>
        <v>0.44873699181724552</v>
      </c>
      <c r="D198" s="25"/>
      <c r="E198" s="23">
        <f>IFERROR(E172-E197, "NA")</f>
        <v>38538.270000000004</v>
      </c>
      <c r="F198" s="24">
        <f>IFERROR(E198/E444, "NA")</f>
        <v>0.43859482204985939</v>
      </c>
      <c r="G198" s="25"/>
      <c r="H198" s="23">
        <f>IFERROR(B198-E198, "NA")</f>
        <v>5270.1500000000015</v>
      </c>
      <c r="I198" s="24">
        <f>IFERROR(H198/H444, "NA")</f>
        <v>0.54005959956796445</v>
      </c>
      <c r="J198" s="25"/>
      <c r="K198" s="23">
        <f>IFERROR(K172-K197, "NA")</f>
        <v>31942.860000000011</v>
      </c>
      <c r="L198" s="24">
        <f>IFERROR(K198/K444, "NA")</f>
        <v>0.39943299098630247</v>
      </c>
      <c r="M198" s="25"/>
      <c r="N198" s="23">
        <f>IFERROR(B198-K198, "NA")</f>
        <v>11865.559999999994</v>
      </c>
      <c r="O198" s="24">
        <f>IFERROR(N198/N444, "NA")</f>
        <v>0.67205874190197457</v>
      </c>
      <c r="P198" s="25"/>
      <c r="Q198" s="23">
        <f>IFERROR(Q172-Q197, "NA")</f>
        <v>153714.60999999999</v>
      </c>
      <c r="R198" s="24">
        <f>IFERROR(Q198/Q444, "NA")</f>
        <v>0.42691149227323366</v>
      </c>
      <c r="S198" s="25"/>
      <c r="T198" s="23">
        <f>IFERROR(T172-T197, "NA")</f>
        <v>152451.57999999996</v>
      </c>
      <c r="U198" s="24">
        <f>IFERROR(T198/T444, "NA")</f>
        <v>0.43843379210757744</v>
      </c>
      <c r="V198" s="25"/>
      <c r="W198" s="23">
        <f>IFERROR(Q198-T198, "NA")</f>
        <v>1263.0300000000279</v>
      </c>
      <c r="X198" s="24">
        <f>IFERROR(W198/W444, "NA")</f>
        <v>0.10232415327356839</v>
      </c>
      <c r="Y198" s="25"/>
      <c r="Z198" s="23">
        <f>IFERROR(Z172-Z197, "NA")</f>
        <v>136683.27999999982</v>
      </c>
      <c r="AA198" s="24">
        <f>IFERROR(Z198/Z444, "NA")</f>
        <v>0.42030117909671066</v>
      </c>
      <c r="AB198" s="25"/>
      <c r="AC198" s="23">
        <f>IFERROR(Q198-Z198, "NA")</f>
        <v>17031.330000000162</v>
      </c>
      <c r="AD198" s="24">
        <f>IFERROR(AC198/AC444, "NA")</f>
        <v>0.48858008143130893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331.54</v>
      </c>
      <c r="C202" s="8">
        <f>IFERROR(B202/B444, "NA")</f>
        <v>3.3960198123349251E-3</v>
      </c>
      <c r="D202" s="9"/>
      <c r="E202" s="7">
        <v>702.94</v>
      </c>
      <c r="F202" s="8">
        <f>IFERROR(E202/E444, "NA")</f>
        <v>7.999991805852421E-3</v>
      </c>
      <c r="G202" s="9"/>
      <c r="H202" s="10">
        <f t="shared" si="52"/>
        <v>371.40000000000003</v>
      </c>
      <c r="I202" s="8">
        <f>IFERROR(H202/H444, "NA")</f>
        <v>3.8059283944392841E-2</v>
      </c>
      <c r="J202" s="9"/>
      <c r="K202" s="7">
        <v>1062.53</v>
      </c>
      <c r="L202" s="8">
        <f>IFERROR(K202/K444, "NA")</f>
        <v>1.3286522744446673E-2</v>
      </c>
      <c r="M202" s="9"/>
      <c r="N202" s="10">
        <f t="shared" si="53"/>
        <v>730.99</v>
      </c>
      <c r="O202" s="8">
        <f>IFERROR(N202/N444, "NA")</f>
        <v>4.1402868448090498E-2</v>
      </c>
      <c r="P202" s="9"/>
      <c r="Q202" s="7">
        <v>1728.2</v>
      </c>
      <c r="R202" s="8">
        <f>IFERROR(Q202/Q444, "NA")</f>
        <v>4.7997288022693643E-3</v>
      </c>
      <c r="S202" s="9"/>
      <c r="T202" s="7">
        <v>2781.74</v>
      </c>
      <c r="U202" s="8">
        <f>IFERROR(T202/T444, "NA")</f>
        <v>7.9999749222496256E-3</v>
      </c>
      <c r="V202" s="9"/>
      <c r="W202" s="10">
        <f t="shared" si="54"/>
        <v>1053.5399999999997</v>
      </c>
      <c r="X202" s="8">
        <f>IFERROR(W202/W444, "NA")</f>
        <v>8.5352357774425652E-2</v>
      </c>
      <c r="Y202" s="9"/>
      <c r="Z202" s="7">
        <v>2865.89</v>
      </c>
      <c r="AA202" s="8">
        <f>IFERROR(Z202/Z444, "NA")</f>
        <v>8.8126137019939356E-3</v>
      </c>
      <c r="AB202" s="9"/>
      <c r="AC202" s="10">
        <f t="shared" si="55"/>
        <v>1137.6899999999998</v>
      </c>
      <c r="AD202" s="8">
        <f>IFERROR(AC202/AC444, "NA")</f>
        <v>3.2637067853396089E-2</v>
      </c>
    </row>
    <row r="203" spans="1:30" ht="16.5" customHeight="1" x14ac:dyDescent="0.45">
      <c r="A203" s="6" t="s">
        <v>185</v>
      </c>
      <c r="B203" s="7">
        <v>1090.99</v>
      </c>
      <c r="C203" s="8">
        <f>IFERROR(B203/B444, "NA")</f>
        <v>1.1175193506241419E-2</v>
      </c>
      <c r="D203" s="9"/>
      <c r="E203" s="7">
        <v>790.81</v>
      </c>
      <c r="F203" s="8">
        <f>IFERROR(E203/E444, "NA")</f>
        <v>9.0000192334852933E-3</v>
      </c>
      <c r="G203" s="9"/>
      <c r="H203" s="10">
        <f t="shared" si="52"/>
        <v>-300.18000000000006</v>
      </c>
      <c r="I203" s="8">
        <f>IFERROR(H203/H444, "NA")</f>
        <v>-3.0761001223553703E-2</v>
      </c>
      <c r="J203" s="9"/>
      <c r="K203" s="7">
        <v>1695.6</v>
      </c>
      <c r="L203" s="8">
        <f>IFERROR(K203/K444, "NA")</f>
        <v>2.1202815888006717E-2</v>
      </c>
      <c r="M203" s="9"/>
      <c r="N203" s="10">
        <f t="shared" si="53"/>
        <v>604.6099999999999</v>
      </c>
      <c r="O203" s="8">
        <f>IFERROR(N203/N444, "NA")</f>
        <v>3.424477529432686E-2</v>
      </c>
      <c r="P203" s="9"/>
      <c r="Q203" s="7">
        <v>2634.61</v>
      </c>
      <c r="R203" s="8">
        <f>IFERROR(Q203/Q444, "NA")</f>
        <v>7.317100740508559E-3</v>
      </c>
      <c r="S203" s="9"/>
      <c r="T203" s="7">
        <v>3129.47</v>
      </c>
      <c r="U203" s="8">
        <f>IFERROR(T203/T444, "NA")</f>
        <v>9.0000077361408817E-3</v>
      </c>
      <c r="V203" s="9"/>
      <c r="W203" s="10">
        <f t="shared" si="54"/>
        <v>494.85999999999967</v>
      </c>
      <c r="X203" s="8">
        <f>IFERROR(W203/W444, "NA")</f>
        <v>4.0090995850420738E-2</v>
      </c>
      <c r="Y203" s="9"/>
      <c r="Z203" s="7">
        <v>3217.33</v>
      </c>
      <c r="AA203" s="8">
        <f>IFERROR(Z203/Z444, "NA")</f>
        <v>9.8932919413641657E-3</v>
      </c>
      <c r="AB203" s="9"/>
      <c r="AC203" s="10">
        <f t="shared" si="55"/>
        <v>582.7199999999998</v>
      </c>
      <c r="AD203" s="8">
        <f>IFERROR(AC203/AC444, "NA")</f>
        <v>1.6716567939887815E-2</v>
      </c>
    </row>
    <row r="204" spans="1:30" ht="16.5" customHeight="1" x14ac:dyDescent="0.45">
      <c r="A204" s="6" t="s">
        <v>186</v>
      </c>
      <c r="B204" s="7">
        <v>98.6</v>
      </c>
      <c r="C204" s="8">
        <f>IFERROR(B204/B444, "NA")</f>
        <v>1.0099763331610774E-3</v>
      </c>
      <c r="D204" s="9"/>
      <c r="E204" s="7">
        <v>175.74</v>
      </c>
      <c r="F204" s="8">
        <f>IFERROR(E204/E444, "NA")</f>
        <v>2.0000548552657474E-3</v>
      </c>
      <c r="G204" s="9"/>
      <c r="H204" s="10">
        <f t="shared" si="52"/>
        <v>77.140000000000015</v>
      </c>
      <c r="I204" s="8">
        <f>IFERROR(H204/H444, "NA")</f>
        <v>7.9049358197912332E-3</v>
      </c>
      <c r="J204" s="9"/>
      <c r="K204" s="7">
        <v>187.62</v>
      </c>
      <c r="L204" s="8">
        <f>IFERROR(K204/K444, "NA")</f>
        <v>2.346114836581635E-3</v>
      </c>
      <c r="M204" s="9"/>
      <c r="N204" s="10">
        <f t="shared" si="53"/>
        <v>89.02000000000001</v>
      </c>
      <c r="O204" s="8">
        <f>IFERROR(N204/N444, "NA")</f>
        <v>5.0420434605795107E-3</v>
      </c>
      <c r="P204" s="9"/>
      <c r="Q204" s="7">
        <v>736.41</v>
      </c>
      <c r="R204" s="8">
        <f>IFERROR(Q204/Q444, "NA")</f>
        <v>2.0452310422862992E-3</v>
      </c>
      <c r="S204" s="9"/>
      <c r="T204" s="7">
        <v>695.44</v>
      </c>
      <c r="U204" s="8">
        <f>IFERROR(T204/T444, "NA")</f>
        <v>2.0000081100064277E-3</v>
      </c>
      <c r="V204" s="9"/>
      <c r="W204" s="10">
        <f t="shared" si="54"/>
        <v>-40.969999999999914</v>
      </c>
      <c r="X204" s="8">
        <f>IFERROR(W204/W444, "NA")</f>
        <v>-3.3191773430702324E-3</v>
      </c>
      <c r="Y204" s="9"/>
      <c r="Z204" s="7">
        <v>488.33</v>
      </c>
      <c r="AA204" s="8">
        <f>IFERROR(Z204/Z444, "NA")</f>
        <v>1.5016150826077407E-3</v>
      </c>
      <c r="AB204" s="9"/>
      <c r="AC204" s="10">
        <f t="shared" si="55"/>
        <v>-248.07999999999998</v>
      </c>
      <c r="AD204" s="8">
        <f>IFERROR(AC204/AC444, "NA")</f>
        <v>-7.1167047201526803E-3</v>
      </c>
    </row>
    <row r="205" spans="1:30" ht="16.5" customHeight="1" x14ac:dyDescent="0.45">
      <c r="A205" s="6" t="s">
        <v>187</v>
      </c>
      <c r="B205" s="7">
        <v>358.53</v>
      </c>
      <c r="C205" s="8">
        <f>IFERROR(B205/B444, "NA")</f>
        <v>3.6724829079943311E-3</v>
      </c>
      <c r="D205" s="9"/>
      <c r="E205" s="7">
        <v>263.60000000000002</v>
      </c>
      <c r="F205" s="8">
        <f>IFERROR(E205/E444, "NA")</f>
        <v>2.9999684752933368E-3</v>
      </c>
      <c r="G205" s="9"/>
      <c r="H205" s="10">
        <f t="shared" si="52"/>
        <v>-94.92999999999995</v>
      </c>
      <c r="I205" s="8">
        <f>IFERROR(H205/H444, "NA")</f>
        <v>-9.7279693722165071E-3</v>
      </c>
      <c r="J205" s="9"/>
      <c r="K205" s="7">
        <v>368.38</v>
      </c>
      <c r="L205" s="8">
        <f>IFERROR(K205/K444, "NA")</f>
        <v>4.6064480519131369E-3</v>
      </c>
      <c r="M205" s="9"/>
      <c r="N205" s="10">
        <f t="shared" si="53"/>
        <v>9.8500000000000227</v>
      </c>
      <c r="O205" s="8">
        <f>IFERROR(N205/N444, "NA")</f>
        <v>5.5789854062804182E-4</v>
      </c>
      <c r="P205" s="9"/>
      <c r="Q205" s="7">
        <v>1410.56</v>
      </c>
      <c r="R205" s="8">
        <f>IFERROR(Q205/Q444, "NA")</f>
        <v>3.9175474246783215E-3</v>
      </c>
      <c r="S205" s="9"/>
      <c r="T205" s="7">
        <v>1043.1500000000001</v>
      </c>
      <c r="U205" s="8">
        <f>IFERROR(T205/T444, "NA")</f>
        <v>2.9999834061215998E-3</v>
      </c>
      <c r="V205" s="9"/>
      <c r="W205" s="10">
        <f t="shared" si="54"/>
        <v>-367.40999999999985</v>
      </c>
      <c r="X205" s="8">
        <f>IFERROR(W205/W444, "NA")</f>
        <v>-2.9765656519830028E-2</v>
      </c>
      <c r="Y205" s="9"/>
      <c r="Z205" s="7">
        <v>1448.74</v>
      </c>
      <c r="AA205" s="8">
        <f>IFERROR(Z205/Z444, "NA")</f>
        <v>4.4548764867551422E-3</v>
      </c>
      <c r="AB205" s="9"/>
      <c r="AC205" s="10">
        <f t="shared" si="55"/>
        <v>38.180000000000064</v>
      </c>
      <c r="AD205" s="8">
        <f>IFERROR(AC205/AC444, "NA")</f>
        <v>1.0952748557539094E-3</v>
      </c>
    </row>
    <row r="206" spans="1:30" ht="16.5" customHeight="1" x14ac:dyDescent="0.45">
      <c r="A206" s="6" t="s">
        <v>188</v>
      </c>
      <c r="B206" s="7">
        <v>4.54</v>
      </c>
      <c r="C206" s="8">
        <f>IFERROR(B206/B444, "NA")</f>
        <v>4.6503981263197682E-5</v>
      </c>
      <c r="D206" s="9"/>
      <c r="E206" s="7">
        <v>87.87</v>
      </c>
      <c r="F206" s="8">
        <f>IFERROR(E206/E444, "NA")</f>
        <v>1.0000274276328737E-3</v>
      </c>
      <c r="G206" s="9"/>
      <c r="H206" s="10">
        <f t="shared" si="52"/>
        <v>83.33</v>
      </c>
      <c r="I206" s="8">
        <f>IFERROR(H206/H444, "NA")</f>
        <v>8.5392572188644454E-3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-4.54</v>
      </c>
      <c r="O206" s="8">
        <f>IFERROR(N206/N444, "NA")</f>
        <v>-2.5714308370064005E-4</v>
      </c>
      <c r="P206" s="9"/>
      <c r="Q206" s="7">
        <v>626.85</v>
      </c>
      <c r="R206" s="8">
        <f>IFERROR(Q206/Q444, "NA")</f>
        <v>1.7409501213415989E-3</v>
      </c>
      <c r="S206" s="9"/>
      <c r="T206" s="7">
        <v>347.72</v>
      </c>
      <c r="U206" s="8">
        <f>IFERROR(T206/T444, "NA")</f>
        <v>1.0000040550032139E-3</v>
      </c>
      <c r="V206" s="9"/>
      <c r="W206" s="10">
        <f t="shared" si="54"/>
        <v>-279.13</v>
      </c>
      <c r="X206" s="8">
        <f>IFERROR(W206/W444, "NA")</f>
        <v>-2.2613667848943027E-2</v>
      </c>
      <c r="Y206" s="9"/>
      <c r="Z206" s="7">
        <v>10.8</v>
      </c>
      <c r="AA206" s="8">
        <f>IFERROR(Z206/Z444, "NA")</f>
        <v>3.3210007356016629E-5</v>
      </c>
      <c r="AB206" s="9"/>
      <c r="AC206" s="10">
        <f t="shared" si="55"/>
        <v>-616.05000000000007</v>
      </c>
      <c r="AD206" s="8">
        <f>IFERROR(AC206/AC444, "NA")</f>
        <v>-1.7672710185625846E-2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100</v>
      </c>
      <c r="F207" s="8">
        <f>IFERROR(E207/E444, "NA")</f>
        <v>1.138076052842692E-3</v>
      </c>
      <c r="G207" s="9"/>
      <c r="H207" s="10">
        <f t="shared" si="52"/>
        <v>100</v>
      </c>
      <c r="I207" s="8">
        <f>IFERROR(H207/H444, "NA")</f>
        <v>1.0247518563379871E-2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156.74</v>
      </c>
      <c r="R207" s="8">
        <f>IFERROR(Q207/Q444, "NA")</f>
        <v>4.3531390606856859E-4</v>
      </c>
      <c r="S207" s="9"/>
      <c r="T207" s="7">
        <v>400</v>
      </c>
      <c r="U207" s="8">
        <f>IFERROR(T207/T444, "NA")</f>
        <v>1.1503555216878108E-3</v>
      </c>
      <c r="V207" s="9"/>
      <c r="W207" s="10">
        <f t="shared" si="54"/>
        <v>243.26</v>
      </c>
      <c r="X207" s="8">
        <f>IFERROR(W207/W444, "NA")</f>
        <v>1.9707666108744602E-2</v>
      </c>
      <c r="Y207" s="9"/>
      <c r="Z207" s="7">
        <v>99.59</v>
      </c>
      <c r="AA207" s="8">
        <f>IFERROR(Z207/Z444, "NA")</f>
        <v>3.062393178320089E-4</v>
      </c>
      <c r="AB207" s="9"/>
      <c r="AC207" s="10">
        <f t="shared" si="55"/>
        <v>-57.150000000000006</v>
      </c>
      <c r="AD207" s="8">
        <f>IFERROR(AC207/AC444, "NA")</f>
        <v>-1.6394698273005715E-3</v>
      </c>
    </row>
    <row r="208" spans="1:30" ht="16.5" customHeight="1" x14ac:dyDescent="0.45">
      <c r="A208" s="6" t="s">
        <v>190</v>
      </c>
      <c r="B208" s="7">
        <v>0</v>
      </c>
      <c r="C208" s="8">
        <f>IFERROR(B208/B444, "NA")</f>
        <v>0</v>
      </c>
      <c r="D208" s="9"/>
      <c r="E208" s="7">
        <v>100</v>
      </c>
      <c r="F208" s="8">
        <f>IFERROR(E208/E444, "NA")</f>
        <v>1.138076052842692E-3</v>
      </c>
      <c r="G208" s="9"/>
      <c r="H208" s="10">
        <f t="shared" si="52"/>
        <v>100</v>
      </c>
      <c r="I208" s="8">
        <f>IFERROR(H208/H444, "NA")</f>
        <v>1.0247518563379871E-2</v>
      </c>
      <c r="J208" s="9"/>
      <c r="K208" s="7">
        <v>82.05</v>
      </c>
      <c r="L208" s="8">
        <f>IFERROR(K208/K444, "NA")</f>
        <v>1.026003210433446E-3</v>
      </c>
      <c r="M208" s="9"/>
      <c r="N208" s="10">
        <f t="shared" si="53"/>
        <v>82.05</v>
      </c>
      <c r="O208" s="8">
        <f>IFERROR(N208/N444, "NA")</f>
        <v>4.6472665237087029E-3</v>
      </c>
      <c r="P208" s="9"/>
      <c r="Q208" s="7">
        <v>170.29</v>
      </c>
      <c r="R208" s="8">
        <f>IFERROR(Q208/Q444, "NA")</f>
        <v>4.7294631277540217E-4</v>
      </c>
      <c r="S208" s="9"/>
      <c r="T208" s="7">
        <v>400</v>
      </c>
      <c r="U208" s="8">
        <f>IFERROR(T208/T444, "NA")</f>
        <v>1.1503555216878108E-3</v>
      </c>
      <c r="V208" s="9"/>
      <c r="W208" s="10">
        <f t="shared" si="54"/>
        <v>229.71</v>
      </c>
      <c r="X208" s="8">
        <f>IFERROR(W208/W444, "NA")</f>
        <v>1.860991524229106E-2</v>
      </c>
      <c r="Y208" s="9"/>
      <c r="Z208" s="7">
        <v>911.04</v>
      </c>
      <c r="AA208" s="8">
        <f>IFERROR(Z208/Z444, "NA")</f>
        <v>2.8014486205208693E-3</v>
      </c>
      <c r="AB208" s="9"/>
      <c r="AC208" s="10">
        <f t="shared" si="55"/>
        <v>740.75</v>
      </c>
      <c r="AD208" s="8">
        <f>IFERROR(AC208/AC444, "NA")</f>
        <v>2.1249996055518777E-2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1884.1999999999998</v>
      </c>
      <c r="C209" s="15">
        <f>IFERROR(B209/B444, "NA")</f>
        <v>1.9300176540994946E-2</v>
      </c>
      <c r="D209" s="2"/>
      <c r="E209" s="14">
        <f>IFERROR(E201+E202+E203+E204+E205+E206+E207+E208, "NA")</f>
        <v>2220.96</v>
      </c>
      <c r="F209" s="15">
        <f>IFERROR(E209/E444, "NA")</f>
        <v>2.5276213903215054E-2</v>
      </c>
      <c r="G209" s="2"/>
      <c r="H209" s="14">
        <f t="shared" si="52"/>
        <v>336.76000000000022</v>
      </c>
      <c r="I209" s="15">
        <f>IFERROR(H209/H444, "NA")</f>
        <v>3.4509543514038073E-2</v>
      </c>
      <c r="J209" s="2"/>
      <c r="K209" s="14">
        <f>IFERROR(K201+K202+K203+K204+K205+K206+K207+K208, "NA")</f>
        <v>3396.1800000000003</v>
      </c>
      <c r="L209" s="15">
        <f>IFERROR(K209/K444, "NA")</f>
        <v>4.2467904731381609E-2</v>
      </c>
      <c r="M209" s="2"/>
      <c r="N209" s="14">
        <f t="shared" si="53"/>
        <v>1511.9800000000005</v>
      </c>
      <c r="O209" s="15">
        <f>IFERROR(N209/N444, "NA")</f>
        <v>8.5637709183633004E-2</v>
      </c>
      <c r="P209" s="2"/>
      <c r="Q209" s="14">
        <f>IFERROR(Q201+Q202+Q203+Q204+Q205+Q206+Q207+Q208, "NA")</f>
        <v>7463.6600000000008</v>
      </c>
      <c r="R209" s="15">
        <f>IFERROR(Q209/Q444, "NA")</f>
        <v>2.0728818349928114E-2</v>
      </c>
      <c r="S209" s="2"/>
      <c r="T209" s="14">
        <f>IFERROR(T201+T202+T203+T204+T205+T206+T207+T208, "NA")</f>
        <v>8797.52</v>
      </c>
      <c r="U209" s="15">
        <f>IFERROR(T209/T444, "NA")</f>
        <v>2.5300689272897373E-2</v>
      </c>
      <c r="V209" s="2"/>
      <c r="W209" s="14">
        <f t="shared" si="54"/>
        <v>1333.8599999999997</v>
      </c>
      <c r="X209" s="15">
        <f>IFERROR(W209/W444, "NA")</f>
        <v>0.10806243326403878</v>
      </c>
      <c r="Y209" s="2"/>
      <c r="Z209" s="14">
        <f>IFERROR(Z201+Z202+Z203+Z204+Z205+Z206+Z207+Z208, "NA")</f>
        <v>9041.7199999999993</v>
      </c>
      <c r="AA209" s="15">
        <f>IFERROR(Z209/Z444, "NA")</f>
        <v>2.7803295158429876E-2</v>
      </c>
      <c r="AB209" s="2"/>
      <c r="AC209" s="14">
        <f t="shared" si="55"/>
        <v>1578.0599999999986</v>
      </c>
      <c r="AD209" s="15">
        <f>IFERROR(AC209/AC444, "NA")</f>
        <v>4.5270021971477468E-2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2548.16</v>
      </c>
      <c r="F213" s="8">
        <f>IFERROR(E213/E444, "NA")</f>
        <v>2.8999998748116342E-2</v>
      </c>
      <c r="G213" s="9"/>
      <c r="H213" s="10">
        <f t="shared" ref="H213:H227" si="56">IFERROR(-(B213-E213), "NA")</f>
        <v>2548.16</v>
      </c>
      <c r="I213" s="8">
        <f>IFERROR(H213/H444, "NA")</f>
        <v>0.26112316902462052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10083.84</v>
      </c>
      <c r="U213" s="8">
        <f>IFERROR(T213/T444, "NA")</f>
        <v>2.9000002559541035E-2</v>
      </c>
      <c r="V213" s="9"/>
      <c r="W213" s="10">
        <f t="shared" ref="W213:W227" si="58">IFERROR(-(Q213-T213), "NA")</f>
        <v>10083.84</v>
      </c>
      <c r="X213" s="8">
        <f>IFERROR(W213/W444, "NA")</f>
        <v>0.81694052377704185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511.01</v>
      </c>
      <c r="C214" s="8">
        <f>IFERROR(B214/B444, "NA")</f>
        <v>5.2343611157063099E-3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-511.01</v>
      </c>
      <c r="I214" s="8">
        <f>IFERROR(H214/H444, "NA")</f>
        <v>-5.2365844610727477E-2</v>
      </c>
      <c r="J214" s="9"/>
      <c r="K214" s="7">
        <v>1064.58</v>
      </c>
      <c r="L214" s="8">
        <f>IFERROR(K214/K444, "NA")</f>
        <v>1.3312157193945618E-2</v>
      </c>
      <c r="M214" s="9"/>
      <c r="N214" s="10">
        <f t="shared" si="57"/>
        <v>553.56999999999994</v>
      </c>
      <c r="O214" s="8">
        <f>IFERROR(N214/N444, "NA")</f>
        <v>3.1353897983295874E-2</v>
      </c>
      <c r="P214" s="9"/>
      <c r="Q214" s="7">
        <v>2787.49</v>
      </c>
      <c r="R214" s="8">
        <f>IFERROR(Q214/Q444, "NA")</f>
        <v>7.7416942709396079E-3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-2787.49</v>
      </c>
      <c r="X214" s="8">
        <f>IFERROR(W214/W444, "NA")</f>
        <v>-0.22582801200963781</v>
      </c>
      <c r="Y214" s="9"/>
      <c r="Z214" s="7">
        <v>5798.08</v>
      </c>
      <c r="AA214" s="8">
        <f>IFERROR(Z214/Z444, "NA")</f>
        <v>1.7829099949145638E-2</v>
      </c>
      <c r="AB214" s="9"/>
      <c r="AC214" s="10">
        <f t="shared" si="59"/>
        <v>3010.59</v>
      </c>
      <c r="AD214" s="8">
        <f>IFERROR(AC214/AC444, "NA")</f>
        <v>8.6365205028395925E-2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80</v>
      </c>
      <c r="C216" s="8">
        <f>IFERROR(B216/B444, "NA")</f>
        <v>8.1945341432947453E-4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-80</v>
      </c>
      <c r="I216" s="8">
        <f>IFERROR(H216/H444, "NA")</f>
        <v>-8.1980148507038962E-3</v>
      </c>
      <c r="J216" s="9"/>
      <c r="K216" s="7">
        <v>14</v>
      </c>
      <c r="L216" s="8">
        <f>IFERROR(K216/K444, "NA")</f>
        <v>1.7506453316353741E-4</v>
      </c>
      <c r="M216" s="9"/>
      <c r="N216" s="10">
        <f t="shared" si="57"/>
        <v>-66</v>
      </c>
      <c r="O216" s="8">
        <f>IFERROR(N216/N444, "NA")</f>
        <v>-3.7382034194366172E-3</v>
      </c>
      <c r="P216" s="9"/>
      <c r="Q216" s="7">
        <v>190</v>
      </c>
      <c r="R216" s="8">
        <f>IFERROR(Q216/Q444, "NA")</f>
        <v>5.2768688371205837E-4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-190</v>
      </c>
      <c r="X216" s="8">
        <f>IFERROR(W216/W444, "NA")</f>
        <v>-1.5392816577577385E-2</v>
      </c>
      <c r="Y216" s="9"/>
      <c r="Z216" s="7">
        <v>15.71</v>
      </c>
      <c r="AA216" s="8">
        <f>IFERROR(Z216/Z444, "NA")</f>
        <v>4.8308260700279749E-5</v>
      </c>
      <c r="AB216" s="9"/>
      <c r="AC216" s="10">
        <f t="shared" si="59"/>
        <v>-174.29</v>
      </c>
      <c r="AD216" s="8">
        <f>IFERROR(AC216/AC444, "NA")</f>
        <v>-4.9998809483852418E-3</v>
      </c>
    </row>
    <row r="217" spans="1:30" ht="16.5" customHeight="1" x14ac:dyDescent="0.45">
      <c r="A217" s="12" t="s">
        <v>197</v>
      </c>
      <c r="B217" s="7">
        <v>2218.17</v>
      </c>
      <c r="C217" s="8">
        <f>IFERROR(B217/B444, "NA")</f>
        <v>2.2721087250790133E-2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-2218.17</v>
      </c>
      <c r="I217" s="8">
        <f>IFERROR(H217/H444, "NA")</f>
        <v>-0.2273073825173233</v>
      </c>
      <c r="J217" s="9"/>
      <c r="K217" s="7">
        <v>1761.12</v>
      </c>
      <c r="L217" s="8">
        <f>IFERROR(K217/K444, "NA")</f>
        <v>2.2022117903212072E-2</v>
      </c>
      <c r="M217" s="9"/>
      <c r="N217" s="10">
        <f t="shared" si="57"/>
        <v>-457.05000000000018</v>
      </c>
      <c r="O217" s="8">
        <f>IFERROR(N217/N444, "NA")</f>
        <v>-2.5887058679598583E-2</v>
      </c>
      <c r="P217" s="9"/>
      <c r="Q217" s="7">
        <v>8990.6</v>
      </c>
      <c r="R217" s="8">
        <f>IFERROR(Q217/Q444, "NA")</f>
        <v>2.4969587877377013E-2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-8990.6</v>
      </c>
      <c r="X217" s="8">
        <f>IFERROR(W217/W444, "NA")</f>
        <v>-0.7283718774861434</v>
      </c>
      <c r="Y217" s="9"/>
      <c r="Z217" s="7">
        <v>9198.89</v>
      </c>
      <c r="AA217" s="8">
        <f>IFERROR(Z217/Z444, "NA")</f>
        <v>2.8286593015480352E-2</v>
      </c>
      <c r="AB217" s="9"/>
      <c r="AC217" s="10">
        <f t="shared" si="59"/>
        <v>208.28999999999905</v>
      </c>
      <c r="AD217" s="8">
        <f>IFERROR(AC217/AC444, "NA")</f>
        <v>5.9752435753006898E-3</v>
      </c>
    </row>
    <row r="218" spans="1:30" ht="16.5" customHeight="1" x14ac:dyDescent="0.45">
      <c r="A218" s="13" t="s">
        <v>198</v>
      </c>
      <c r="B218" s="14">
        <f>IFERROR(B213+B214+B215+B216+B217, "NA")</f>
        <v>2809.1800000000003</v>
      </c>
      <c r="C218" s="15">
        <f>IFERROR(B218/B444, "NA")</f>
        <v>2.877490178082592E-2</v>
      </c>
      <c r="D218" s="2"/>
      <c r="E218" s="14">
        <f>IFERROR(E213+E214+E215+E216+E217, "NA")</f>
        <v>2548.16</v>
      </c>
      <c r="F218" s="15">
        <f>IFERROR(E218/E444, "NA")</f>
        <v>2.8999998748116342E-2</v>
      </c>
      <c r="G218" s="2"/>
      <c r="H218" s="14">
        <f t="shared" si="56"/>
        <v>-261.02000000000044</v>
      </c>
      <c r="I218" s="15">
        <f>IFERROR(H218/H444, "NA")</f>
        <v>-2.6748072954134183E-2</v>
      </c>
      <c r="J218" s="2"/>
      <c r="K218" s="14">
        <f>IFERROR(K213+K214+K215+K216+K217, "NA")</f>
        <v>2839.7</v>
      </c>
      <c r="L218" s="15">
        <f>IFERROR(K218/K444, "NA")</f>
        <v>3.5509339630321227E-2</v>
      </c>
      <c r="M218" s="2"/>
      <c r="N218" s="14">
        <f t="shared" si="57"/>
        <v>30.519999999999527</v>
      </c>
      <c r="O218" s="15">
        <f>IFERROR(N218/N444, "NA")</f>
        <v>1.7286358842606635E-3</v>
      </c>
      <c r="P218" s="2"/>
      <c r="Q218" s="14">
        <f>IFERROR(Q213+Q214+Q215+Q216+Q217, "NA")</f>
        <v>11968.09</v>
      </c>
      <c r="R218" s="15">
        <f>IFERROR(Q218/Q444, "NA")</f>
        <v>3.3238969032028678E-2</v>
      </c>
      <c r="S218" s="2"/>
      <c r="T218" s="14">
        <f>IFERROR(T213+T214+T215+T216+T217, "NA")</f>
        <v>10083.84</v>
      </c>
      <c r="U218" s="15">
        <f>IFERROR(T218/T444, "NA")</f>
        <v>2.9000002559541035E-2</v>
      </c>
      <c r="V218" s="2"/>
      <c r="W218" s="14">
        <f t="shared" si="58"/>
        <v>-1884.25</v>
      </c>
      <c r="X218" s="15">
        <f>IFERROR(W218/W444, "NA")</f>
        <v>-0.15265218229631677</v>
      </c>
      <c r="Y218" s="2"/>
      <c r="Z218" s="14">
        <f>IFERROR(Z213+Z214+Z215+Z216+Z217, "NA")</f>
        <v>15012.68</v>
      </c>
      <c r="AA218" s="15">
        <f>IFERROR(Z218/Z444, "NA")</f>
        <v>4.6164001225326275E-2</v>
      </c>
      <c r="AB218" s="2"/>
      <c r="AC218" s="14">
        <f t="shared" si="59"/>
        <v>3044.59</v>
      </c>
      <c r="AD218" s="15">
        <f>IFERROR(AC218/AC444, "NA")</f>
        <v>8.7340567655311396E-2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99.38</v>
      </c>
      <c r="C222" s="8">
        <f>IFERROR(B222/B444, "NA")</f>
        <v>1.0179660039507897E-3</v>
      </c>
      <c r="D222" s="9"/>
      <c r="E222" s="7">
        <v>100</v>
      </c>
      <c r="F222" s="8">
        <f>IFERROR(E222/E444, "NA")</f>
        <v>1.138076052842692E-3</v>
      </c>
      <c r="G222" s="9"/>
      <c r="H222" s="10">
        <f t="shared" si="56"/>
        <v>0.62000000000000455</v>
      </c>
      <c r="I222" s="8">
        <f>IFERROR(H222/H444, "NA")</f>
        <v>6.353461509295566E-5</v>
      </c>
      <c r="J222" s="9"/>
      <c r="K222" s="7">
        <v>120.37</v>
      </c>
      <c r="L222" s="8">
        <f>IFERROR(K222/K444, "NA")</f>
        <v>1.5051798469210714E-3</v>
      </c>
      <c r="M222" s="9"/>
      <c r="N222" s="10">
        <f t="shared" si="57"/>
        <v>20.990000000000009</v>
      </c>
      <c r="O222" s="8">
        <f>IFERROR(N222/N444, "NA")</f>
        <v>1.1888619662723428E-3</v>
      </c>
      <c r="P222" s="9"/>
      <c r="Q222" s="7">
        <v>820.59</v>
      </c>
      <c r="R222" s="8">
        <f>IFERROR(Q222/Q444, "NA")</f>
        <v>2.2790241047646212E-3</v>
      </c>
      <c r="S222" s="9"/>
      <c r="T222" s="7">
        <v>400</v>
      </c>
      <c r="U222" s="8">
        <f>IFERROR(T222/T444, "NA")</f>
        <v>1.1503555216878108E-3</v>
      </c>
      <c r="V222" s="9"/>
      <c r="W222" s="10">
        <f t="shared" si="58"/>
        <v>-420.59000000000003</v>
      </c>
      <c r="X222" s="8">
        <f>IFERROR(W222/W444, "NA")</f>
        <v>-3.4074024865069857E-2</v>
      </c>
      <c r="Y222" s="9"/>
      <c r="Z222" s="7">
        <v>630.95000000000005</v>
      </c>
      <c r="AA222" s="8">
        <f>IFERROR(Z222/Z444, "NA")</f>
        <v>1.9401716797480273E-3</v>
      </c>
      <c r="AB222" s="9"/>
      <c r="AC222" s="10">
        <f t="shared" si="59"/>
        <v>-189.64</v>
      </c>
      <c r="AD222" s="8">
        <f>IFERROR(AC222/AC444, "NA")</f>
        <v>-5.4402284873014926E-3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2908.5600000000004</v>
      </c>
      <c r="C227" s="15">
        <f>IFERROR(B227/B444, "NA")</f>
        <v>2.979286778477671E-2</v>
      </c>
      <c r="D227" s="2"/>
      <c r="E227" s="14">
        <f>IFERROR(E211+E213+E214+E215+E216+E217+E219+E220+E221+E222+E223+E224+E225+E226, "NA")</f>
        <v>2648.16</v>
      </c>
      <c r="F227" s="15">
        <f>IFERROR(E227/E444, "NA")</f>
        <v>3.0138074800959033E-2</v>
      </c>
      <c r="G227" s="2"/>
      <c r="H227" s="14">
        <f t="shared" si="56"/>
        <v>-260.40000000000055</v>
      </c>
      <c r="I227" s="15">
        <f>IFERROR(H227/H444, "NA")</f>
        <v>-2.668453833904124E-2</v>
      </c>
      <c r="J227" s="2"/>
      <c r="K227" s="14">
        <f>IFERROR(K211+K213+K214+K215+K216+K217+K219+K220+K221+K222+K223+K224+K225+K226, "NA")</f>
        <v>2960.0699999999997</v>
      </c>
      <c r="L227" s="15">
        <f>IFERROR(K227/K444, "NA")</f>
        <v>3.7014519477242297E-2</v>
      </c>
      <c r="M227" s="2"/>
      <c r="N227" s="14">
        <f t="shared" si="57"/>
        <v>51.509999999999309</v>
      </c>
      <c r="O227" s="15">
        <f>IFERROR(N227/N444, "NA")</f>
        <v>2.9174978505329932E-3</v>
      </c>
      <c r="P227" s="2"/>
      <c r="Q227" s="14">
        <f>IFERROR(Q211+Q213+Q214+Q215+Q216+Q217+Q219+Q220+Q221+Q222+Q223+Q224+Q225+Q226, "NA")</f>
        <v>12788.68</v>
      </c>
      <c r="R227" s="15">
        <f>IFERROR(Q227/Q444, "NA")</f>
        <v>3.5517993136793297E-2</v>
      </c>
      <c r="S227" s="2"/>
      <c r="T227" s="14">
        <f>IFERROR(T211+T213+T214+T215+T216+T217+T219+T220+T221+T222+T223+T224+T225+T226, "NA")</f>
        <v>10483.84</v>
      </c>
      <c r="U227" s="15">
        <f>IFERROR(T227/T444, "NA")</f>
        <v>3.0150358081228845E-2</v>
      </c>
      <c r="V227" s="2"/>
      <c r="W227" s="14">
        <f t="shared" si="58"/>
        <v>-2304.84</v>
      </c>
      <c r="X227" s="15">
        <f>IFERROR(W227/W444, "NA")</f>
        <v>-0.18672620716138666</v>
      </c>
      <c r="Y227" s="2"/>
      <c r="Z227" s="14">
        <f>IFERROR(Z211+Z213+Z214+Z215+Z216+Z217+Z219+Z220+Z221+Z222+Z223+Z224+Z225+Z226, "NA")</f>
        <v>15643.630000000001</v>
      </c>
      <c r="AA227" s="15">
        <f>IFERROR(Z227/Z444, "NA")</f>
        <v>4.8104172905074301E-2</v>
      </c>
      <c r="AB227" s="2"/>
      <c r="AC227" s="14">
        <f t="shared" si="59"/>
        <v>2854.9500000000007</v>
      </c>
      <c r="AD227" s="15">
        <f>IFERROR(AC227/AC444, "NA")</f>
        <v>8.1900339168009928E-2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702.94</v>
      </c>
      <c r="F229" s="8">
        <f>IFERROR(E229/E444, "NA")</f>
        <v>7.999991805852421E-3</v>
      </c>
      <c r="G229" s="9"/>
      <c r="H229" s="10">
        <f t="shared" ref="H229:H236" si="60">IFERROR(-(B229-E229), "NA")</f>
        <v>702.94</v>
      </c>
      <c r="I229" s="8">
        <f>IFERROR(H229/H444, "NA")</f>
        <v>7.2033906989422469E-2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2781.74</v>
      </c>
      <c r="U229" s="8">
        <f>IFERROR(T229/T444, "NA")</f>
        <v>7.9999749222496256E-3</v>
      </c>
      <c r="V229" s="9"/>
      <c r="W229" s="10">
        <f t="shared" ref="W229:W236" si="62">IFERROR(-(Q229-T229), "NA")</f>
        <v>2781.74</v>
      </c>
      <c r="X229" s="8">
        <f>IFERROR(W229/W444, "NA")</f>
        <v>0.22536217677110584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83.95</v>
      </c>
      <c r="AA230" s="8">
        <f>IFERROR(Z230/Z444, "NA")</f>
        <v>2.5814630717940708E-4</v>
      </c>
      <c r="AB230" s="9"/>
      <c r="AC230" s="10">
        <f t="shared" si="63"/>
        <v>83.95</v>
      </c>
      <c r="AD230" s="8">
        <f>IFERROR(AC230/AC444, "NA")</f>
        <v>2.4082850743986522E-3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91</v>
      </c>
      <c r="L231" s="8">
        <f>IFERROR(K231/K444, "NA")</f>
        <v>1.1379194655629931E-3</v>
      </c>
      <c r="M231" s="9"/>
      <c r="N231" s="10">
        <f t="shared" si="61"/>
        <v>91</v>
      </c>
      <c r="O231" s="8">
        <f>IFERROR(N231/N444, "NA")</f>
        <v>5.1541895631626086E-3</v>
      </c>
      <c r="P231" s="9"/>
      <c r="Q231" s="7">
        <v>126</v>
      </c>
      <c r="R231" s="8">
        <f>IFERROR(Q231/Q444, "NA")</f>
        <v>3.4993972288273345E-4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-126</v>
      </c>
      <c r="X231" s="8">
        <f>IFERROR(W231/W444, "NA")</f>
        <v>-1.0207867835656581E-2</v>
      </c>
      <c r="Y231" s="9"/>
      <c r="Z231" s="7">
        <v>517.04999999999995</v>
      </c>
      <c r="AA231" s="8">
        <f>IFERROR(Z231/Z444, "NA")</f>
        <v>1.5899291021692959E-3</v>
      </c>
      <c r="AB231" s="9"/>
      <c r="AC231" s="10">
        <f t="shared" si="63"/>
        <v>391.04999999999995</v>
      </c>
      <c r="AD231" s="8">
        <f>IFERROR(AC231/AC444, "NA")</f>
        <v>1.1218104566332255E-2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370.21</v>
      </c>
      <c r="C234" s="8">
        <f>IFERROR(B234/B444, "NA")</f>
        <v>3.7921231064864344E-3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-370.21</v>
      </c>
      <c r="I234" s="8">
        <f>IFERROR(H234/H444, "NA")</f>
        <v>-3.7937338473488617E-2</v>
      </c>
      <c r="J234" s="9"/>
      <c r="K234" s="7">
        <v>185.37</v>
      </c>
      <c r="L234" s="8">
        <f>IFERROR(K234/K444, "NA")</f>
        <v>2.3179794651803525E-3</v>
      </c>
      <c r="M234" s="9"/>
      <c r="N234" s="10">
        <f t="shared" si="61"/>
        <v>-184.83999999999997</v>
      </c>
      <c r="O234" s="8">
        <f>IFERROR(N234/N444, "NA")</f>
        <v>-1.0469235152252487E-2</v>
      </c>
      <c r="P234" s="9"/>
      <c r="Q234" s="7">
        <v>2044.54</v>
      </c>
      <c r="R234" s="8">
        <f>IFERROR(Q234/Q444, "NA")</f>
        <v>5.6782996906560622E-3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-2044.54</v>
      </c>
      <c r="X234" s="8">
        <f>IFERROR(W234/W444, "NA")</f>
        <v>-0.16563804845010563</v>
      </c>
      <c r="Y234" s="9"/>
      <c r="Z234" s="7">
        <v>3080.98</v>
      </c>
      <c r="AA234" s="8">
        <f>IFERROR(Z234/Z444, "NA")</f>
        <v>9.4740155984944559E-3</v>
      </c>
      <c r="AB234" s="9"/>
      <c r="AC234" s="10">
        <f t="shared" si="63"/>
        <v>1036.44</v>
      </c>
      <c r="AD234" s="8">
        <f>IFERROR(AC234/AC444, "NA")</f>
        <v>2.9732495324713983E-2</v>
      </c>
    </row>
    <row r="235" spans="1:30" ht="16.5" customHeight="1" x14ac:dyDescent="0.45">
      <c r="A235" s="6" t="s">
        <v>214</v>
      </c>
      <c r="B235" s="7">
        <v>17.88</v>
      </c>
      <c r="C235" s="8">
        <f>IFERROR(B235/B444, "NA")</f>
        <v>1.8314783810263754E-4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-17.88</v>
      </c>
      <c r="I235" s="8">
        <f>IFERROR(H235/H444, "NA")</f>
        <v>-1.8322563191323208E-3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-17.88</v>
      </c>
      <c r="O235" s="8">
        <f>IFERROR(N235/N444, "NA")</f>
        <v>-1.012713289992829E-3</v>
      </c>
      <c r="P235" s="9"/>
      <c r="Q235" s="7">
        <v>73.010000000000005</v>
      </c>
      <c r="R235" s="8">
        <f>IFERROR(Q235/Q444, "NA")</f>
        <v>2.0277062831482835E-4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-73.010000000000005</v>
      </c>
      <c r="X235" s="8">
        <f>IFERROR(W235/W444, "NA")</f>
        <v>-5.914892306994342E-3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-73.010000000000005</v>
      </c>
      <c r="AD235" s="8">
        <f>IFERROR(AC235/AC444, "NA")</f>
        <v>-2.0944478056205548E-3</v>
      </c>
    </row>
    <row r="236" spans="1:30" ht="16.5" customHeight="1" x14ac:dyDescent="0.45">
      <c r="A236" s="19" t="s">
        <v>215</v>
      </c>
      <c r="B236" s="14">
        <f>IFERROR(B229+B230+B231+B232+B233+B234+B235, "NA")</f>
        <v>388.09</v>
      </c>
      <c r="C236" s="15">
        <f>IFERROR(B236/B444, "NA")</f>
        <v>3.9752709445890723E-3</v>
      </c>
      <c r="D236" s="2"/>
      <c r="E236" s="14">
        <f>IFERROR(E229+E230+E231+E232+E233+E234+E235, "NA")</f>
        <v>702.94</v>
      </c>
      <c r="F236" s="15">
        <f>IFERROR(E236/E444, "NA")</f>
        <v>7.999991805852421E-3</v>
      </c>
      <c r="G236" s="2"/>
      <c r="H236" s="14">
        <f t="shared" si="60"/>
        <v>314.85000000000008</v>
      </c>
      <c r="I236" s="15">
        <f>IFERROR(H236/H444, "NA")</f>
        <v>3.226431219680153E-2</v>
      </c>
      <c r="J236" s="2"/>
      <c r="K236" s="14">
        <f>IFERROR(K229+K230+K231+K232+K233+K234+K235, "NA")</f>
        <v>276.37</v>
      </c>
      <c r="L236" s="15">
        <f>IFERROR(K236/K444, "NA")</f>
        <v>3.4558989307433455E-3</v>
      </c>
      <c r="M236" s="2"/>
      <c r="N236" s="14">
        <f t="shared" si="61"/>
        <v>-111.71999999999997</v>
      </c>
      <c r="O236" s="15">
        <f>IFERROR(N236/N444, "NA")</f>
        <v>-6.3277588790827078E-3</v>
      </c>
      <c r="P236" s="2"/>
      <c r="Q236" s="14">
        <f>IFERROR(Q229+Q230+Q231+Q232+Q233+Q234+Q235, "NA")</f>
        <v>2243.5500000000002</v>
      </c>
      <c r="R236" s="15">
        <f>IFERROR(Q236/Q444, "NA")</f>
        <v>6.2310100418536242E-3</v>
      </c>
      <c r="S236" s="2"/>
      <c r="T236" s="14">
        <f>IFERROR(T229+T230+T231+T232+T233+T234+T235, "NA")</f>
        <v>2781.74</v>
      </c>
      <c r="U236" s="15">
        <f>IFERROR(T236/T444, "NA")</f>
        <v>7.9999749222496256E-3</v>
      </c>
      <c r="V236" s="2"/>
      <c r="W236" s="14">
        <f t="shared" si="62"/>
        <v>538.1899999999996</v>
      </c>
      <c r="X236" s="15">
        <f>IFERROR(W236/W444, "NA")</f>
        <v>4.3601368178349302E-2</v>
      </c>
      <c r="Y236" s="2"/>
      <c r="Z236" s="14">
        <f>IFERROR(Z229+Z230+Z231+Z232+Z233+Z234+Z235, "NA")</f>
        <v>3681.98</v>
      </c>
      <c r="AA236" s="15">
        <f>IFERROR(Z236/Z444, "NA")</f>
        <v>1.1322091007843158E-2</v>
      </c>
      <c r="AB236" s="2"/>
      <c r="AC236" s="14">
        <f t="shared" si="63"/>
        <v>1438.4299999999998</v>
      </c>
      <c r="AD236" s="15">
        <f>IFERROR(AC236/AC444, "NA")</f>
        <v>4.1264437159824328E-2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4744.8500000000004</v>
      </c>
      <c r="F240" s="8">
        <f>IFERROR(E240/E444, "NA")</f>
        <v>5.4000001593306479E-2</v>
      </c>
      <c r="G240" s="9"/>
      <c r="H240" s="10">
        <f t="shared" ref="H240:H263" si="64">IFERROR(-(B240-E240), "NA")</f>
        <v>4744.8500000000004</v>
      </c>
      <c r="I240" s="8">
        <f>IFERROR(H240/H444, "NA")</f>
        <v>0.48622938455452985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18776.8</v>
      </c>
      <c r="U240" s="8">
        <f>IFERROR(T240/T444, "NA")</f>
        <v>5.3999988899069207E-2</v>
      </c>
      <c r="V240" s="9"/>
      <c r="W240" s="10">
        <f t="shared" ref="W240:W263" si="66">IFERROR(-(Q240-T240), "NA")</f>
        <v>18776.8</v>
      </c>
      <c r="X240" s="8">
        <f>IFERROR(W240/W444, "NA")</f>
        <v>1.5211991490202896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159.66</v>
      </c>
      <c r="L241" s="8">
        <f>IFERROR(K241/K444, "NA")</f>
        <v>1.9964859546350274E-3</v>
      </c>
      <c r="M241" s="9"/>
      <c r="N241" s="10">
        <f t="shared" si="65"/>
        <v>159.66</v>
      </c>
      <c r="O241" s="8">
        <f>IFERROR(N241/N444, "NA")</f>
        <v>9.0430539082916699E-3</v>
      </c>
      <c r="P241" s="9"/>
      <c r="Q241" s="7">
        <v>189.79</v>
      </c>
      <c r="R241" s="8">
        <f>IFERROR(Q241/Q444, "NA")</f>
        <v>5.2710365084058716E-4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-189.79</v>
      </c>
      <c r="X241" s="8">
        <f>IFERROR(W241/W444, "NA")</f>
        <v>-1.5375803464517957E-2</v>
      </c>
      <c r="Y241" s="9"/>
      <c r="Z241" s="7">
        <v>721.14</v>
      </c>
      <c r="AA241" s="8">
        <f>IFERROR(Z241/Z444, "NA")</f>
        <v>2.2175059911775769E-3</v>
      </c>
      <c r="AB241" s="9"/>
      <c r="AC241" s="10">
        <f t="shared" si="67"/>
        <v>531.35</v>
      </c>
      <c r="AD241" s="8">
        <f>IFERROR(AC241/AC444, "NA")</f>
        <v>1.5242909759162881E-2</v>
      </c>
    </row>
    <row r="242" spans="1:30" ht="16.5" customHeight="1" x14ac:dyDescent="0.45">
      <c r="A242" s="12" t="s">
        <v>219</v>
      </c>
      <c r="B242" s="7">
        <v>615.78</v>
      </c>
      <c r="C242" s="8">
        <f>IFERROR(B242/B444, "NA")</f>
        <v>6.3075377934475475E-3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-615.78</v>
      </c>
      <c r="I242" s="8">
        <f>IFERROR(H242/H444, "NA")</f>
        <v>-6.3102169809580569E-2</v>
      </c>
      <c r="J242" s="9"/>
      <c r="K242" s="7">
        <v>629.22</v>
      </c>
      <c r="L242" s="8">
        <f>IFERROR(K242/K444, "NA")</f>
        <v>7.8681503969400737E-3</v>
      </c>
      <c r="M242" s="9"/>
      <c r="N242" s="10">
        <f t="shared" si="65"/>
        <v>13.440000000000055</v>
      </c>
      <c r="O242" s="8">
        <f>IFERROR(N242/N444, "NA")</f>
        <v>7.6123415086709601E-4</v>
      </c>
      <c r="P242" s="9"/>
      <c r="Q242" s="7">
        <v>2682.5</v>
      </c>
      <c r="R242" s="8">
        <f>IFERROR(Q242/Q444, "NA")</f>
        <v>7.4501056081978769E-3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-2682.5</v>
      </c>
      <c r="X242" s="8">
        <f>IFERROR(W242/W444, "NA")</f>
        <v>-0.21732226562816492</v>
      </c>
      <c r="Y242" s="9"/>
      <c r="Z242" s="7">
        <v>2428.2800000000002</v>
      </c>
      <c r="AA242" s="8">
        <f>IFERROR(Z242/Z444, "NA")</f>
        <v>7.4669626539322284E-3</v>
      </c>
      <c r="AB242" s="9"/>
      <c r="AC242" s="10">
        <f t="shared" si="67"/>
        <v>-254.2199999999998</v>
      </c>
      <c r="AD242" s="8">
        <f>IFERROR(AC242/AC444, "NA")</f>
        <v>-7.2928437357191759E-3</v>
      </c>
    </row>
    <row r="243" spans="1:30" ht="16.5" customHeight="1" x14ac:dyDescent="0.45">
      <c r="A243" s="12" t="s">
        <v>220</v>
      </c>
      <c r="B243" s="7">
        <v>228.35</v>
      </c>
      <c r="C243" s="8">
        <f>IFERROR(B243/B444, "NA")</f>
        <v>2.3390273395266937E-3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-228.35</v>
      </c>
      <c r="I243" s="8">
        <f>IFERROR(H243/H444, "NA")</f>
        <v>-2.3400208639477935E-2</v>
      </c>
      <c r="J243" s="9"/>
      <c r="K243" s="7">
        <v>87.81</v>
      </c>
      <c r="L243" s="8">
        <f>IFERROR(K243/K444, "NA")</f>
        <v>1.09802976122073E-3</v>
      </c>
      <c r="M243" s="9"/>
      <c r="N243" s="10">
        <f t="shared" si="65"/>
        <v>-140.54</v>
      </c>
      <c r="O243" s="8">
        <f>IFERROR(N243/N444, "NA")</f>
        <v>-7.9601077055700322E-3</v>
      </c>
      <c r="P243" s="9"/>
      <c r="Q243" s="7">
        <v>981.14</v>
      </c>
      <c r="R243" s="8">
        <f>IFERROR(Q243/Q444, "NA")</f>
        <v>2.7249195215013101E-3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-981.14</v>
      </c>
      <c r="X243" s="8">
        <f>IFERROR(W243/W444, "NA")</f>
        <v>-7.9486884510127767E-2</v>
      </c>
      <c r="Y243" s="9"/>
      <c r="Z243" s="7">
        <v>4402.8100000000004</v>
      </c>
      <c r="AA243" s="8">
        <f>IFERROR(Z243/Z444, "NA")</f>
        <v>1.3538643748809592E-2</v>
      </c>
      <c r="AB243" s="9"/>
      <c r="AC243" s="10">
        <f t="shared" si="67"/>
        <v>3421.6700000000005</v>
      </c>
      <c r="AD243" s="8">
        <f>IFERROR(AC243/AC444, "NA")</f>
        <v>9.8157912930525754E-2</v>
      </c>
    </row>
    <row r="244" spans="1:30" ht="16.5" customHeight="1" x14ac:dyDescent="0.45">
      <c r="A244" s="12" t="s">
        <v>221</v>
      </c>
      <c r="B244" s="7">
        <v>2056.29</v>
      </c>
      <c r="C244" s="8">
        <f>IFERROR(B244/B444, "NA")</f>
        <v>2.1062923266894438E-2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-2056.29</v>
      </c>
      <c r="I244" s="8">
        <f>IFERROR(H244/H444, "NA")</f>
        <v>-0.21071869946692395</v>
      </c>
      <c r="J244" s="9"/>
      <c r="K244" s="7">
        <v>437.22</v>
      </c>
      <c r="L244" s="8">
        <f>IFERROR(K244/K444, "NA")</f>
        <v>5.4672653706972739E-3</v>
      </c>
      <c r="M244" s="9"/>
      <c r="N244" s="10">
        <f t="shared" si="65"/>
        <v>-1619.07</v>
      </c>
      <c r="O244" s="8">
        <f>IFERROR(N244/N444, "NA")</f>
        <v>-9.1703227428897624E-2</v>
      </c>
      <c r="P244" s="9"/>
      <c r="Q244" s="7">
        <v>6260.74</v>
      </c>
      <c r="R244" s="8">
        <f>IFERROR(Q244/Q444, "NA")</f>
        <v>1.7387949370165433E-2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-6260.74</v>
      </c>
      <c r="X244" s="8">
        <f>IFERROR(W244/W444, "NA")</f>
        <v>-0.50721274978895703</v>
      </c>
      <c r="Y244" s="9"/>
      <c r="Z244" s="7">
        <v>437.22</v>
      </c>
      <c r="AA244" s="8">
        <f>IFERROR(Z244/Z444, "NA")</f>
        <v>1.3444517977960733E-3</v>
      </c>
      <c r="AB244" s="9"/>
      <c r="AC244" s="10">
        <f t="shared" si="67"/>
        <v>-5823.5199999999995</v>
      </c>
      <c r="AD244" s="8">
        <f>IFERROR(AC244/AC444, "NA")</f>
        <v>-0.16706011073808263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136.97</v>
      </c>
      <c r="C246" s="8">
        <f>IFERROR(B246/B444, "NA")</f>
        <v>1.4030066770088516E-3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-136.97</v>
      </c>
      <c r="I246" s="8">
        <f>IFERROR(H246/H444, "NA")</f>
        <v>-1.4036026176261408E-2</v>
      </c>
      <c r="J246" s="9"/>
      <c r="K246" s="7">
        <v>158.11000000000001</v>
      </c>
      <c r="L246" s="8">
        <f>IFERROR(K246/K444, "NA")</f>
        <v>1.9771038098919218E-3</v>
      </c>
      <c r="M246" s="9"/>
      <c r="N246" s="10">
        <f t="shared" si="65"/>
        <v>21.140000000000015</v>
      </c>
      <c r="O246" s="8">
        <f>IFERROR(N246/N444, "NA")</f>
        <v>1.1973578831346991E-3</v>
      </c>
      <c r="P246" s="9"/>
      <c r="Q246" s="7">
        <v>412.06</v>
      </c>
      <c r="R246" s="8">
        <f>IFERROR(Q246/Q444, "NA")</f>
        <v>1.1444139858020567E-3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-412.06</v>
      </c>
      <c r="X246" s="8">
        <f>IFERROR(W246/W444, "NA")</f>
        <v>-3.3382968415560724E-2</v>
      </c>
      <c r="Y246" s="9"/>
      <c r="Z246" s="7">
        <v>612.91</v>
      </c>
      <c r="AA246" s="8">
        <f>IFERROR(Z246/Z444, "NA")</f>
        <v>1.8846986674607548E-3</v>
      </c>
      <c r="AB246" s="9"/>
      <c r="AC246" s="10">
        <f t="shared" si="67"/>
        <v>200.84999999999997</v>
      </c>
      <c r="AD246" s="8">
        <f>IFERROR(AC246/AC444, "NA")</f>
        <v>5.7618112828227413E-3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197.38</v>
      </c>
      <c r="C248" s="8">
        <f>IFERROR(B248/B444, "NA")</f>
        <v>2.0217964365043962E-3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-197.38</v>
      </c>
      <c r="I248" s="8">
        <f>IFERROR(H248/H444, "NA")</f>
        <v>-2.0226552140399187E-2</v>
      </c>
      <c r="J248" s="9"/>
      <c r="K248" s="7">
        <v>194.6</v>
      </c>
      <c r="L248" s="8">
        <f>IFERROR(K248/K444, "NA")</f>
        <v>2.4333970109731702E-3</v>
      </c>
      <c r="M248" s="9"/>
      <c r="N248" s="10">
        <f t="shared" si="65"/>
        <v>-2.7800000000000011</v>
      </c>
      <c r="O248" s="8">
        <f>IFERROR(N248/N444, "NA")</f>
        <v>-1.5745765918233031E-4</v>
      </c>
      <c r="P248" s="9"/>
      <c r="Q248" s="7">
        <v>812.38</v>
      </c>
      <c r="R248" s="8">
        <f>IFERROR(Q248/Q444, "NA")</f>
        <v>2.2562224767894842E-3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-812.38</v>
      </c>
      <c r="X248" s="8">
        <f>IFERROR(W248/W444, "NA")</f>
        <v>-6.5814822796275346E-2</v>
      </c>
      <c r="Y248" s="9"/>
      <c r="Z248" s="7">
        <v>805.43</v>
      </c>
      <c r="AA248" s="8">
        <f>IFERROR(Z248/Z444, "NA")</f>
        <v>2.4766977985885624E-3</v>
      </c>
      <c r="AB248" s="9"/>
      <c r="AC248" s="10">
        <f t="shared" si="67"/>
        <v>-6.9500000000000455</v>
      </c>
      <c r="AD248" s="8">
        <f>IFERROR(AC248/AC444, "NA")</f>
        <v>-1.993755957959588E-4</v>
      </c>
    </row>
    <row r="249" spans="1:30" ht="16.5" customHeight="1" x14ac:dyDescent="0.45">
      <c r="A249" s="12" t="s">
        <v>226</v>
      </c>
      <c r="B249" s="7">
        <v>2100.61</v>
      </c>
      <c r="C249" s="8">
        <f>IFERROR(B249/B444, "NA")</f>
        <v>2.1516900458432971E-2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-2100.61</v>
      </c>
      <c r="I249" s="8">
        <f>IFERROR(H249/H444, "NA")</f>
        <v>-0.21526039969421393</v>
      </c>
      <c r="J249" s="9"/>
      <c r="K249" s="7">
        <v>1456.23</v>
      </c>
      <c r="L249" s="8">
        <f>IFERROR(K249/K444, "NA")</f>
        <v>1.8209587509195577E-2</v>
      </c>
      <c r="M249" s="9"/>
      <c r="N249" s="10">
        <f t="shared" si="65"/>
        <v>-644.38000000000011</v>
      </c>
      <c r="O249" s="8">
        <f>IFERROR(N249/N444, "NA")</f>
        <v>-3.6497326051766178E-2</v>
      </c>
      <c r="P249" s="9"/>
      <c r="Q249" s="7">
        <v>7911.28</v>
      </c>
      <c r="R249" s="8">
        <f>IFERROR(Q249/Q444, "NA")</f>
        <v>2.1971993101965962E-2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-7911.28</v>
      </c>
      <c r="X249" s="8">
        <f>IFERROR(W249/W444, "NA")</f>
        <v>-0.64093095754661267</v>
      </c>
      <c r="Y249" s="9"/>
      <c r="Z249" s="7">
        <v>6326.08</v>
      </c>
      <c r="AA249" s="8">
        <f>IFERROR(Z249/Z444, "NA")</f>
        <v>1.9452700308773118E-2</v>
      </c>
      <c r="AB249" s="9"/>
      <c r="AC249" s="10">
        <f t="shared" si="67"/>
        <v>-1585.1999999999998</v>
      </c>
      <c r="AD249" s="8">
        <f>IFERROR(AC249/AC444, "NA")</f>
        <v>-4.5474848123129755E-2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271.29000000000002</v>
      </c>
      <c r="R251" s="8">
        <f>IFERROR(Q251/Q444, "NA")</f>
        <v>7.5345355095918069E-4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-271.29000000000002</v>
      </c>
      <c r="X251" s="8">
        <f>IFERROR(W251/W444, "NA")</f>
        <v>-2.1978511628057733E-2</v>
      </c>
      <c r="Y251" s="9"/>
      <c r="Z251" s="7">
        <v>29.09</v>
      </c>
      <c r="AA251" s="8">
        <f>IFERROR(Z251/Z444, "NA")</f>
        <v>8.9451769813567012E-5</v>
      </c>
      <c r="AB251" s="9"/>
      <c r="AC251" s="10">
        <f t="shared" si="67"/>
        <v>-242.20000000000002</v>
      </c>
      <c r="AD251" s="8">
        <f>IFERROR(AC251/AC444, "NA")</f>
        <v>-6.9480243599684757E-3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340.12</v>
      </c>
      <c r="L253" s="8">
        <f>IFERROR(K253/K444, "NA")</f>
        <v>4.2530677871130251E-3</v>
      </c>
      <c r="M253" s="9"/>
      <c r="N253" s="10">
        <f t="shared" si="65"/>
        <v>340.12</v>
      </c>
      <c r="O253" s="8">
        <f>IFERROR(N253/N444, "NA")</f>
        <v>1.9264208288163366E-2</v>
      </c>
      <c r="P253" s="9"/>
      <c r="Q253" s="7">
        <v>933.95</v>
      </c>
      <c r="R253" s="8">
        <f>IFERROR(Q253/Q444, "NA")</f>
        <v>2.5938587633835626E-3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-933.95</v>
      </c>
      <c r="X253" s="8">
        <f>IFERROR(W253/W444, "NA")</f>
        <v>-7.566379496120211E-2</v>
      </c>
      <c r="Y253" s="9"/>
      <c r="Z253" s="7">
        <v>781.97</v>
      </c>
      <c r="AA253" s="8">
        <f>IFERROR(Z253/Z444, "NA")</f>
        <v>2.4045582826096598E-3</v>
      </c>
      <c r="AB253" s="9"/>
      <c r="AC253" s="10">
        <f t="shared" si="67"/>
        <v>-151.98000000000002</v>
      </c>
      <c r="AD253" s="8">
        <f>IFERROR(AC253/AC444, "NA")</f>
        <v>-4.3598709423121763E-3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141.36000000000001</v>
      </c>
      <c r="L254" s="8">
        <f>IFERROR(K254/K444, "NA")</f>
        <v>1.7676516005712608E-3</v>
      </c>
      <c r="M254" s="9"/>
      <c r="N254" s="10">
        <f t="shared" si="65"/>
        <v>141.36000000000001</v>
      </c>
      <c r="O254" s="8">
        <f>IFERROR(N254/N444, "NA")</f>
        <v>8.0065520510842463E-3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370.16</v>
      </c>
      <c r="AA254" s="8">
        <f>IFERROR(Z254/Z444, "NA")</f>
        <v>1.138242252120659E-3</v>
      </c>
      <c r="AB254" s="9"/>
      <c r="AC254" s="10">
        <f t="shared" si="67"/>
        <v>370.16</v>
      </c>
      <c r="AD254" s="8">
        <f>IFERROR(AC254/AC444, "NA")</f>
        <v>1.0618830293500954E-2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261.94</v>
      </c>
      <c r="C258" s="8">
        <f>IFERROR(B258/B444, "NA")</f>
        <v>2.6830953418682819E-3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-261.94</v>
      </c>
      <c r="I258" s="8">
        <f>IFERROR(H258/H444, "NA")</f>
        <v>-2.6842350124917234E-2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-261.94</v>
      </c>
      <c r="O258" s="8">
        <f>IFERROR(N258/N444, "NA")</f>
        <v>-1.4836136419503446E-2</v>
      </c>
      <c r="P258" s="9"/>
      <c r="Q258" s="7">
        <v>487.57</v>
      </c>
      <c r="R258" s="8">
        <f>IFERROR(Q258/Q444, "NA")</f>
        <v>1.3541278625867805E-3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-487.57</v>
      </c>
      <c r="X258" s="8">
        <f>IFERROR(W258/W444, "NA")</f>
        <v>-3.9500397782786349E-2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-487.57</v>
      </c>
      <c r="AD258" s="8">
        <f>IFERROR(AC258/AC444, "NA")</f>
        <v>-1.3986986941328775E-2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customHeight="1" x14ac:dyDescent="0.45">
      <c r="A260" s="12" t="s">
        <v>237</v>
      </c>
      <c r="B260" s="7">
        <v>281.8</v>
      </c>
      <c r="C260" s="8">
        <f>IFERROR(B260/B444, "NA")</f>
        <v>2.8865246519755743E-3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-281.8</v>
      </c>
      <c r="I260" s="8">
        <f>IFERROR(H260/H444, "NA")</f>
        <v>-2.8877507311604479E-2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-281.8</v>
      </c>
      <c r="O260" s="8">
        <f>IFERROR(N260/N444, "NA")</f>
        <v>-1.5960995812079375E-2</v>
      </c>
      <c r="P260" s="9"/>
      <c r="Q260" s="7">
        <v>3101.9</v>
      </c>
      <c r="R260" s="8">
        <f>IFERROR(Q260/Q444, "NA")</f>
        <v>8.6149049715075459E-3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-3101.9</v>
      </c>
      <c r="X260" s="8">
        <f>IFERROR(W260/W444, "NA")</f>
        <v>-0.25129988285256472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-3101.9</v>
      </c>
      <c r="AD260" s="8">
        <f>IFERROR(AC260/AC444, "NA")</f>
        <v>-8.898462742438569E-2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5879.12</v>
      </c>
      <c r="C262" s="15">
        <f>IFERROR(B262/B444, "NA")</f>
        <v>6.0220811965658753E-2</v>
      </c>
      <c r="D262" s="2"/>
      <c r="E262" s="14">
        <f>IFERROR(E240+E241+E242+E243+E244+E245+E246+E247+E248+E249+E250+E251+E252+E253+E254+E255+E256+E257+E258+E259+E260+E261, "NA")</f>
        <v>4744.8500000000004</v>
      </c>
      <c r="F262" s="15">
        <f>IFERROR(E262/E444, "NA")</f>
        <v>5.4000001593306479E-2</v>
      </c>
      <c r="G262" s="2"/>
      <c r="H262" s="14">
        <f t="shared" si="64"/>
        <v>-1134.2699999999995</v>
      </c>
      <c r="I262" s="15">
        <f>IFERROR(H262/H444, "NA")</f>
        <v>-0.11623452880884881</v>
      </c>
      <c r="J262" s="2"/>
      <c r="K262" s="14">
        <f>IFERROR(K240+K241+K242+K243+K244+K245+K246+K247+K248+K249+K250+K251+K252+K253+K254+K255+K256+K257+K258+K259+K260+K261, "NA")</f>
        <v>3604.33</v>
      </c>
      <c r="L262" s="15">
        <f>IFERROR(K262/K444, "NA")</f>
        <v>4.5070739201238059E-2</v>
      </c>
      <c r="M262" s="2"/>
      <c r="N262" s="14">
        <f t="shared" si="65"/>
        <v>-2274.79</v>
      </c>
      <c r="O262" s="15">
        <f>IFERROR(N262/N444, "NA")</f>
        <v>-0.12884284479545791</v>
      </c>
      <c r="P262" s="2"/>
      <c r="Q262" s="14">
        <f>IFERROR(Q240+Q241+Q242+Q243+Q244+Q245+Q246+Q247+Q248+Q249+Q250+Q251+Q252+Q253+Q254+Q255+Q256+Q257+Q258+Q259+Q260+Q261, "NA")</f>
        <v>24044.600000000002</v>
      </c>
      <c r="R262" s="15">
        <f>IFERROR(Q262/Q444, "NA")</f>
        <v>6.6779052863699784E-2</v>
      </c>
      <c r="S262" s="2"/>
      <c r="T262" s="14">
        <f>IFERROR(T240+T241+T242+T243+T244+T245+T246+T247+T248+T249+T250+T251+T252+T253+T254+T255+T256+T257+T258+T259+T260+T261, "NA")</f>
        <v>18776.8</v>
      </c>
      <c r="U262" s="15">
        <f>IFERROR(T262/T444, "NA")</f>
        <v>5.3999988899069207E-2</v>
      </c>
      <c r="V262" s="2"/>
      <c r="W262" s="14">
        <f t="shared" si="66"/>
        <v>-5267.8000000000029</v>
      </c>
      <c r="X262" s="15">
        <f>IFERROR(W262/W444, "NA")</f>
        <v>-0.42676989035453788</v>
      </c>
      <c r="Y262" s="2"/>
      <c r="Z262" s="14">
        <f>IFERROR(Z240+Z241+Z242+Z243+Z244+Z245+Z246+Z247+Z248+Z249+Z250+Z251+Z252+Z253+Z254+Z255+Z256+Z257+Z258+Z259+Z260+Z261, "NA")</f>
        <v>16915.09</v>
      </c>
      <c r="AA262" s="15">
        <f>IFERROR(Z262/Z444, "NA")</f>
        <v>5.2013913271081791E-2</v>
      </c>
      <c r="AB262" s="2"/>
      <c r="AC262" s="14">
        <f t="shared" si="67"/>
        <v>-7129.510000000002</v>
      </c>
      <c r="AD262" s="15">
        <f>IFERROR(AC262/AC444, "NA")</f>
        <v>-0.2045252235947104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5879.12</v>
      </c>
      <c r="C263" s="15">
        <f>IFERROR(B263/B444, "NA")</f>
        <v>6.0220811965658753E-2</v>
      </c>
      <c r="D263" s="2"/>
      <c r="E263" s="14">
        <f>IFERROR(E238+E240+E241+E242+E243+E244+E245+E246+E247+E248+E249+E250+E251+E252+E253+E254+E255+E256+E257+E258+E259+E260+E261, "NA")</f>
        <v>4744.8500000000004</v>
      </c>
      <c r="F263" s="15">
        <f>IFERROR(E263/E444, "NA")</f>
        <v>5.4000001593306479E-2</v>
      </c>
      <c r="G263" s="2"/>
      <c r="H263" s="14">
        <f t="shared" si="64"/>
        <v>-1134.2699999999995</v>
      </c>
      <c r="I263" s="15">
        <f>IFERROR(H263/H444, "NA")</f>
        <v>-0.11623452880884881</v>
      </c>
      <c r="J263" s="2"/>
      <c r="K263" s="14">
        <f>IFERROR(K238+K240+K241+K242+K243+K244+K245+K246+K247+K248+K249+K250+K251+K252+K253+K254+K255+K256+K257+K258+K259+K260+K261, "NA")</f>
        <v>3604.33</v>
      </c>
      <c r="L263" s="15">
        <f>IFERROR(K263/K444, "NA")</f>
        <v>4.5070739201238059E-2</v>
      </c>
      <c r="M263" s="2"/>
      <c r="N263" s="14">
        <f t="shared" si="65"/>
        <v>-2274.79</v>
      </c>
      <c r="O263" s="15">
        <f>IFERROR(N263/N444, "NA")</f>
        <v>-0.12884284479545791</v>
      </c>
      <c r="P263" s="2"/>
      <c r="Q263" s="14">
        <f>IFERROR(Q238+Q240+Q241+Q242+Q243+Q244+Q245+Q246+Q247+Q248+Q249+Q250+Q251+Q252+Q253+Q254+Q255+Q256+Q257+Q258+Q259+Q260+Q261, "NA")</f>
        <v>24044.600000000002</v>
      </c>
      <c r="R263" s="15">
        <f>IFERROR(Q263/Q444, "NA")</f>
        <v>6.6779052863699784E-2</v>
      </c>
      <c r="S263" s="2"/>
      <c r="T263" s="14">
        <f>IFERROR(T238+T240+T241+T242+T243+T244+T245+T246+T247+T248+T249+T250+T251+T252+T253+T254+T255+T256+T257+T258+T259+T260+T261, "NA")</f>
        <v>18776.8</v>
      </c>
      <c r="U263" s="15">
        <f>IFERROR(T263/T444, "NA")</f>
        <v>5.3999988899069207E-2</v>
      </c>
      <c r="V263" s="2"/>
      <c r="W263" s="14">
        <f t="shared" si="66"/>
        <v>-5267.8000000000029</v>
      </c>
      <c r="X263" s="15">
        <f>IFERROR(W263/W444, "NA")</f>
        <v>-0.42676989035453788</v>
      </c>
      <c r="Y263" s="2"/>
      <c r="Z263" s="14">
        <f>IFERROR(Z238+Z240+Z241+Z242+Z243+Z244+Z245+Z246+Z247+Z248+Z249+Z250+Z251+Z252+Z253+Z254+Z255+Z256+Z257+Z258+Z259+Z260+Z261, "NA")</f>
        <v>16915.09</v>
      </c>
      <c r="AA263" s="15">
        <f>IFERROR(Z263/Z444, "NA")</f>
        <v>5.2013913271081791E-2</v>
      </c>
      <c r="AB263" s="2"/>
      <c r="AC263" s="14">
        <f t="shared" si="67"/>
        <v>-7129.510000000002</v>
      </c>
      <c r="AD263" s="15">
        <f>IFERROR(AC263/AC444, "NA")</f>
        <v>-0.2045252235947104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2678.75</v>
      </c>
      <c r="C265" s="8">
        <f>IFERROR(B265/B444, "NA")</f>
        <v>2.74388854204385E-2</v>
      </c>
      <c r="D265" s="9"/>
      <c r="E265" s="7">
        <v>2372.4299999999998</v>
      </c>
      <c r="F265" s="8">
        <f>IFERROR(E265/E444, "NA")</f>
        <v>2.7000057700455878E-2</v>
      </c>
      <c r="G265" s="9"/>
      <c r="H265" s="10">
        <f>IFERROR(-(B265-E265), "NA")</f>
        <v>-306.32000000000016</v>
      </c>
      <c r="I265" s="8">
        <f>IFERROR(H265/H444, "NA")</f>
        <v>-3.1390198863345237E-2</v>
      </c>
      <c r="J265" s="9"/>
      <c r="K265" s="7">
        <v>2176.5500000000002</v>
      </c>
      <c r="L265" s="8">
        <f>IFERROR(K265/K444, "NA")</f>
        <v>2.7216907832649816E-2</v>
      </c>
      <c r="M265" s="9"/>
      <c r="N265" s="10">
        <f>IFERROR(-(B265-K265), "NA")</f>
        <v>-502.19999999999982</v>
      </c>
      <c r="O265" s="8">
        <f>IFERROR(N265/N444, "NA")</f>
        <v>-2.8444329655167702E-2</v>
      </c>
      <c r="P265" s="9"/>
      <c r="Q265" s="7">
        <v>9339.2800000000007</v>
      </c>
      <c r="R265" s="8">
        <f>IFERROR(Q265/Q444, "NA")</f>
        <v>2.5937976627970278E-2</v>
      </c>
      <c r="S265" s="9"/>
      <c r="T265" s="7">
        <v>9388.4</v>
      </c>
      <c r="U265" s="8">
        <f>IFERROR(T265/T444, "NA")</f>
        <v>2.6999994449534603E-2</v>
      </c>
      <c r="V265" s="9"/>
      <c r="W265" s="10">
        <f>IFERROR(-(Q265-T265), "NA")</f>
        <v>49.119999999998981</v>
      </c>
      <c r="X265" s="8">
        <f>IFERROR(W265/W444, "NA")</f>
        <v>3.9794481594241345E-3</v>
      </c>
      <c r="Y265" s="9"/>
      <c r="Z265" s="7">
        <v>8864.77</v>
      </c>
      <c r="AA265" s="8">
        <f>IFERROR(Z265/Z444, "NA")</f>
        <v>2.7259173787906994E-2</v>
      </c>
      <c r="AB265" s="9"/>
      <c r="AC265" s="10">
        <f>IFERROR(-(Q265-Z265), "NA")</f>
        <v>-474.51000000000022</v>
      </c>
      <c r="AD265" s="8">
        <f>IFERROR(AC265/AC444, "NA")</f>
        <v>-1.3612332944048896E-2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214</v>
      </c>
      <c r="L266" s="8">
        <f>IFERROR(K266/K444, "NA")</f>
        <v>2.6759864354997864E-3</v>
      </c>
      <c r="M266" s="9"/>
      <c r="N266" s="10">
        <f>IFERROR(-(B266-K266), "NA")</f>
        <v>214</v>
      </c>
      <c r="O266" s="8">
        <f>IFERROR(N266/N444, "NA")</f>
        <v>1.2120841390294486E-2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258.62</v>
      </c>
      <c r="AA266" s="8">
        <f>IFERROR(Z266/Z444, "NA")</f>
        <v>7.9525667614935378E-4</v>
      </c>
      <c r="AB266" s="9"/>
      <c r="AC266" s="10">
        <f>IFERROR(-(Q266-Z266), "NA")</f>
        <v>258.62</v>
      </c>
      <c r="AD266" s="8">
        <f>IFERROR(AC266/AC444, "NA")</f>
        <v>7.4190671344964787E-3</v>
      </c>
    </row>
    <row r="267" spans="1:30" ht="16.5" customHeight="1" x14ac:dyDescent="0.45">
      <c r="A267" s="19" t="s">
        <v>243</v>
      </c>
      <c r="B267" s="14">
        <f>IFERROR(B265+B266, "NA")</f>
        <v>2678.75</v>
      </c>
      <c r="C267" s="15">
        <f>IFERROR(B267/B444, "NA")</f>
        <v>2.74388854204385E-2</v>
      </c>
      <c r="D267" s="2"/>
      <c r="E267" s="14">
        <f>IFERROR(E265+E266, "NA")</f>
        <v>2372.4299999999998</v>
      </c>
      <c r="F267" s="15">
        <f>IFERROR(E267/E444, "NA")</f>
        <v>2.7000057700455878E-2</v>
      </c>
      <c r="G267" s="2"/>
      <c r="H267" s="14">
        <f>IFERROR(-(B267-E267), "NA")</f>
        <v>-306.32000000000016</v>
      </c>
      <c r="I267" s="15">
        <f>IFERROR(H267/H444, "NA")</f>
        <v>-3.1390198863345237E-2</v>
      </c>
      <c r="J267" s="2"/>
      <c r="K267" s="14">
        <f>IFERROR(K265+K266, "NA")</f>
        <v>2390.5500000000002</v>
      </c>
      <c r="L267" s="15">
        <f>IFERROR(K267/K444, "NA")</f>
        <v>2.9892894268149599E-2</v>
      </c>
      <c r="M267" s="2"/>
      <c r="N267" s="14">
        <f>IFERROR(-(B267-K267), "NA")</f>
        <v>-288.19999999999982</v>
      </c>
      <c r="O267" s="15">
        <f>IFERROR(N267/N444, "NA")</f>
        <v>-1.6323488264873218E-2</v>
      </c>
      <c r="P267" s="2"/>
      <c r="Q267" s="14">
        <f>IFERROR(Q265+Q266, "NA")</f>
        <v>9339.2800000000007</v>
      </c>
      <c r="R267" s="15">
        <f>IFERROR(Q267/Q444, "NA")</f>
        <v>2.5937976627970278E-2</v>
      </c>
      <c r="S267" s="2"/>
      <c r="T267" s="14">
        <f>IFERROR(T265+T266, "NA")</f>
        <v>9388.4</v>
      </c>
      <c r="U267" s="15">
        <f>IFERROR(T267/T444, "NA")</f>
        <v>2.6999994449534603E-2</v>
      </c>
      <c r="V267" s="2"/>
      <c r="W267" s="14">
        <f>IFERROR(-(Q267-T267), "NA")</f>
        <v>49.119999999998981</v>
      </c>
      <c r="X267" s="15">
        <f>IFERROR(W267/W444, "NA")</f>
        <v>3.9794481594241345E-3</v>
      </c>
      <c r="Y267" s="2"/>
      <c r="Z267" s="14">
        <f>IFERROR(Z265+Z266, "NA")</f>
        <v>9123.3900000000012</v>
      </c>
      <c r="AA267" s="15">
        <f>IFERROR(Z267/Z444, "NA")</f>
        <v>2.8054430464056351E-2</v>
      </c>
      <c r="AB267" s="2"/>
      <c r="AC267" s="14">
        <f>IFERROR(-(Q267-Z267), "NA")</f>
        <v>-215.88999999999942</v>
      </c>
      <c r="AD267" s="15">
        <f>IFERROR(AC267/AC444, "NA")</f>
        <v>-6.1932658095523955E-3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267</v>
      </c>
      <c r="C270" s="8">
        <f>IFERROR(B270/B444, "NA")</f>
        <v>2.7349257703246214E-3</v>
      </c>
      <c r="D270" s="9"/>
      <c r="E270" s="7">
        <v>236.72</v>
      </c>
      <c r="F270" s="8">
        <f>IFERROR(E270/E444, "NA")</f>
        <v>2.6940536322892206E-3</v>
      </c>
      <c r="G270" s="9"/>
      <c r="H270" s="10">
        <f>IFERROR(-(B270-E270), "NA")</f>
        <v>-30.28</v>
      </c>
      <c r="I270" s="8">
        <f>IFERROR(H270/H444, "NA")</f>
        <v>-3.1029486209914249E-3</v>
      </c>
      <c r="J270" s="9"/>
      <c r="K270" s="7">
        <v>218.47</v>
      </c>
      <c r="L270" s="8">
        <f>IFERROR(K270/K444, "NA")</f>
        <v>2.7318820400170016E-3</v>
      </c>
      <c r="M270" s="9"/>
      <c r="N270" s="10">
        <f>IFERROR(-(B270-K270), "NA")</f>
        <v>-48.53</v>
      </c>
      <c r="O270" s="8">
        <f>IFERROR(N270/N444, "NA")</f>
        <v>-2.7487123022008945E-3</v>
      </c>
      <c r="P270" s="9"/>
      <c r="Q270" s="7">
        <v>1068</v>
      </c>
      <c r="R270" s="8">
        <f>IFERROR(Q270/Q444, "NA")</f>
        <v>2.9661557463393595E-3</v>
      </c>
      <c r="S270" s="9"/>
      <c r="T270" s="7">
        <v>946.88</v>
      </c>
      <c r="U270" s="8">
        <f>IFERROR(T270/T444, "NA")</f>
        <v>2.7231215909393858E-3</v>
      </c>
      <c r="V270" s="9"/>
      <c r="W270" s="10">
        <f>IFERROR(-(Q270-T270), "NA")</f>
        <v>-121.12</v>
      </c>
      <c r="X270" s="8">
        <f>IFERROR(W270/W444, "NA")</f>
        <v>-9.8125154940851209E-3</v>
      </c>
      <c r="Y270" s="9"/>
      <c r="Z270" s="7">
        <v>873.88</v>
      </c>
      <c r="AA270" s="8">
        <f>IFERROR(Z270/Z444, "NA")</f>
        <v>2.6871815952107234E-3</v>
      </c>
      <c r="AB270" s="9"/>
      <c r="AC270" s="10">
        <f>IFERROR(-(Q270-Z270), "NA")</f>
        <v>-194.12</v>
      </c>
      <c r="AD270" s="8">
        <f>IFERROR(AC270/AC444, "NA")</f>
        <v>-5.5687468569656498E-3</v>
      </c>
    </row>
    <row r="271" spans="1:30" ht="16.5" customHeight="1" x14ac:dyDescent="0.45">
      <c r="A271" s="6" t="s">
        <v>246</v>
      </c>
      <c r="B271" s="7">
        <v>1142.46</v>
      </c>
      <c r="C271" s="8">
        <f>IFERROR(B271/B444, "NA")</f>
        <v>1.1702409346685644E-2</v>
      </c>
      <c r="D271" s="9"/>
      <c r="E271" s="7">
        <v>1078.33</v>
      </c>
      <c r="F271" s="8">
        <f>IFERROR(E271/E444, "NA")</f>
        <v>1.2272215500618602E-2</v>
      </c>
      <c r="G271" s="9"/>
      <c r="H271" s="10">
        <f>IFERROR(-(B271-E271), "NA")</f>
        <v>-64.130000000000109</v>
      </c>
      <c r="I271" s="8">
        <f>IFERROR(H271/H444, "NA")</f>
        <v>-6.5717336546955224E-3</v>
      </c>
      <c r="J271" s="9"/>
      <c r="K271" s="7">
        <v>1196.07</v>
      </c>
      <c r="L271" s="8">
        <f>IFERROR(K271/K444, "NA")</f>
        <v>1.4956388298636585E-2</v>
      </c>
      <c r="M271" s="9"/>
      <c r="N271" s="10">
        <f>IFERROR(-(B271-K271), "NA")</f>
        <v>53.6099999999999</v>
      </c>
      <c r="O271" s="8">
        <f>IFERROR(N271/N444, "NA")</f>
        <v>3.03644068660601E-3</v>
      </c>
      <c r="P271" s="9"/>
      <c r="Q271" s="7">
        <v>4569.84</v>
      </c>
      <c r="R271" s="8">
        <f>IFERROR(Q271/Q444, "NA")</f>
        <v>1.2691813835066909E-2</v>
      </c>
      <c r="S271" s="9"/>
      <c r="T271" s="7">
        <v>4313.32</v>
      </c>
      <c r="U271" s="8">
        <f>IFERROR(T271/T444, "NA")</f>
        <v>1.2404628697016168E-2</v>
      </c>
      <c r="V271" s="9"/>
      <c r="W271" s="10">
        <f>IFERROR(-(Q271-T271), "NA")</f>
        <v>-256.52000000000044</v>
      </c>
      <c r="X271" s="8">
        <f>IFERROR(W271/W444, "NA")</f>
        <v>-2.0781922676211356E-2</v>
      </c>
      <c r="Y271" s="9"/>
      <c r="Z271" s="7">
        <v>4828.54</v>
      </c>
      <c r="AA271" s="8">
        <f>IFERROR(Z271/Z444, "NA")</f>
        <v>1.4847763788779679E-2</v>
      </c>
      <c r="AB271" s="9"/>
      <c r="AC271" s="10">
        <f>IFERROR(-(Q271-Z271), "NA")</f>
        <v>258.69999999999982</v>
      </c>
      <c r="AD271" s="8">
        <f>IFERROR(AC271/AC444, "NA")</f>
        <v>7.4213621053833331E-3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1409.46</v>
      </c>
      <c r="C273" s="15">
        <f>IFERROR(B273/B444, "NA")</f>
        <v>1.4437335117010265E-2</v>
      </c>
      <c r="D273" s="2"/>
      <c r="E273" s="14">
        <f>IFERROR(E269+E270+E271+E272, "NA")</f>
        <v>1315.05</v>
      </c>
      <c r="F273" s="15">
        <f>IFERROR(E273/E444, "NA")</f>
        <v>1.4966269132907823E-2</v>
      </c>
      <c r="G273" s="2"/>
      <c r="H273" s="14">
        <f>IFERROR(-(B273-E273), "NA")</f>
        <v>-94.410000000000082</v>
      </c>
      <c r="I273" s="15">
        <f>IFERROR(H273/H444, "NA")</f>
        <v>-9.6746822756869442E-3</v>
      </c>
      <c r="J273" s="2"/>
      <c r="K273" s="14">
        <f>IFERROR(K269+K270+K271+K272, "NA")</f>
        <v>1414.54</v>
      </c>
      <c r="L273" s="15">
        <f>IFERROR(K273/K444, "NA")</f>
        <v>1.7688270338653587E-2</v>
      </c>
      <c r="M273" s="2"/>
      <c r="N273" s="14">
        <f>IFERROR(-(B273-K273), "NA")</f>
        <v>5.0799999999999272</v>
      </c>
      <c r="O273" s="15">
        <f>IFERROR(N273/N444, "NA")</f>
        <v>2.8772838440511734E-4</v>
      </c>
      <c r="P273" s="2"/>
      <c r="Q273" s="14">
        <f>IFERROR(Q269+Q270+Q271+Q272, "NA")</f>
        <v>5637.84</v>
      </c>
      <c r="R273" s="15">
        <f>IFERROR(Q273/Q444, "NA")</f>
        <v>1.5657969581406271E-2</v>
      </c>
      <c r="S273" s="2"/>
      <c r="T273" s="14">
        <f>IFERROR(T269+T270+T271+T272, "NA")</f>
        <v>5260.2</v>
      </c>
      <c r="U273" s="15">
        <f>IFERROR(T273/T444, "NA")</f>
        <v>1.5127750287955554E-2</v>
      </c>
      <c r="V273" s="2"/>
      <c r="W273" s="14">
        <f>IFERROR(-(Q273-T273), "NA")</f>
        <v>-377.64000000000033</v>
      </c>
      <c r="X273" s="15">
        <f>IFERROR(W273/W444, "NA")</f>
        <v>-3.0594438170296469E-2</v>
      </c>
      <c r="Y273" s="2"/>
      <c r="Z273" s="14">
        <f>IFERROR(Z269+Z270+Z271+Z272, "NA")</f>
        <v>5702.42</v>
      </c>
      <c r="AA273" s="15">
        <f>IFERROR(Z273/Z444, "NA")</f>
        <v>1.7534945383990402E-2</v>
      </c>
      <c r="AB273" s="2"/>
      <c r="AC273" s="14">
        <f>IFERROR(-(Q273-Z273), "NA")</f>
        <v>64.579999999999927</v>
      </c>
      <c r="AD273" s="15">
        <f>IFERROR(AC273/AC444, "NA")</f>
        <v>1.8526152484176863E-3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1067.5899999999999</v>
      </c>
      <c r="C287" s="8">
        <f>IFERROR(B287/B444, "NA")</f>
        <v>1.0935503382550046E-2</v>
      </c>
      <c r="D287" s="9"/>
      <c r="E287" s="7">
        <v>971</v>
      </c>
      <c r="F287" s="8">
        <f>IFERROR(E287/E444, "NA")</f>
        <v>1.1050718473102541E-2</v>
      </c>
      <c r="G287" s="9"/>
      <c r="H287" s="10">
        <f t="shared" si="72"/>
        <v>-96.589999999999918</v>
      </c>
      <c r="I287" s="8">
        <f>IFERROR(H287/H444, "NA")</f>
        <v>-9.8980781803686083E-3</v>
      </c>
      <c r="J287" s="9"/>
      <c r="K287" s="7">
        <v>970.53</v>
      </c>
      <c r="L287" s="8">
        <f>IFERROR(K287/K444, "NA")</f>
        <v>1.2136098669371998E-2</v>
      </c>
      <c r="M287" s="9"/>
      <c r="N287" s="10">
        <f t="shared" si="73"/>
        <v>-97.059999999999945</v>
      </c>
      <c r="O287" s="8">
        <f>IFERROR(N287/N444, "NA")</f>
        <v>-5.4974246044017855E-3</v>
      </c>
      <c r="P287" s="9"/>
      <c r="Q287" s="7">
        <v>4270.3599999999997</v>
      </c>
      <c r="R287" s="8">
        <f>IFERROR(Q287/Q444, "NA")</f>
        <v>1.1860068214361186E-2</v>
      </c>
      <c r="S287" s="9"/>
      <c r="T287" s="7">
        <v>3884</v>
      </c>
      <c r="U287" s="8">
        <f>IFERROR(T287/T444, "NA")</f>
        <v>1.1169952115588641E-2</v>
      </c>
      <c r="V287" s="9"/>
      <c r="W287" s="10">
        <f t="shared" si="74"/>
        <v>-386.35999999999967</v>
      </c>
      <c r="X287" s="8">
        <f>IFERROR(W287/W444, "NA")</f>
        <v>-3.1300887436383124E-2</v>
      </c>
      <c r="Y287" s="9"/>
      <c r="Z287" s="7">
        <v>3882.12</v>
      </c>
      <c r="AA287" s="8">
        <f>IFERROR(Z287/Z444, "NA")</f>
        <v>1.1937521644161043E-2</v>
      </c>
      <c r="AB287" s="9"/>
      <c r="AC287" s="10">
        <f t="shared" si="75"/>
        <v>-388.23999999999978</v>
      </c>
      <c r="AD287" s="8">
        <f>IFERROR(AC287/AC444, "NA")</f>
        <v>-1.1137493713931294E-2</v>
      </c>
    </row>
    <row r="288" spans="1:30" ht="16.5" customHeight="1" x14ac:dyDescent="0.45">
      <c r="A288" s="6" t="s">
        <v>261</v>
      </c>
      <c r="B288" s="7">
        <v>260.13</v>
      </c>
      <c r="C288" s="8">
        <f>IFERROR(B288/B444, "NA")</f>
        <v>2.6645552083690775E-3</v>
      </c>
      <c r="D288" s="9"/>
      <c r="E288" s="7">
        <v>263</v>
      </c>
      <c r="F288" s="8">
        <f>IFERROR(E288/E444, "NA")</f>
        <v>2.9931400189762802E-3</v>
      </c>
      <c r="G288" s="9"/>
      <c r="H288" s="10">
        <f t="shared" si="72"/>
        <v>2.8700000000000045</v>
      </c>
      <c r="I288" s="8">
        <f>IFERROR(H288/H444, "NA")</f>
        <v>2.9410378276900276E-4</v>
      </c>
      <c r="J288" s="9"/>
      <c r="K288" s="7">
        <v>371.95</v>
      </c>
      <c r="L288" s="8">
        <f>IFERROR(K288/K444, "NA")</f>
        <v>4.6510895078698388E-3</v>
      </c>
      <c r="M288" s="9"/>
      <c r="N288" s="10">
        <f t="shared" si="73"/>
        <v>111.82</v>
      </c>
      <c r="O288" s="8">
        <f>IFERROR(N288/N444, "NA")</f>
        <v>6.3334228236576135E-3</v>
      </c>
      <c r="P288" s="9"/>
      <c r="Q288" s="7">
        <v>1040.52</v>
      </c>
      <c r="R288" s="8">
        <f>IFERROR(Q288/Q444, "NA")</f>
        <v>2.8898355591582682E-3</v>
      </c>
      <c r="S288" s="9"/>
      <c r="T288" s="7">
        <v>1052</v>
      </c>
      <c r="U288" s="8">
        <f>IFERROR(T288/T444, "NA")</f>
        <v>3.0254350220389422E-3</v>
      </c>
      <c r="V288" s="9"/>
      <c r="W288" s="10">
        <f t="shared" si="74"/>
        <v>11.480000000000018</v>
      </c>
      <c r="X288" s="8">
        <f>IFERROR(W288/W444, "NA")</f>
        <v>9.300501805820456E-4</v>
      </c>
      <c r="Y288" s="9"/>
      <c r="Z288" s="7">
        <v>1487.8</v>
      </c>
      <c r="AA288" s="8">
        <f>IFERROR(Z288/Z444, "NA")</f>
        <v>4.5749860133594018E-3</v>
      </c>
      <c r="AB288" s="9"/>
      <c r="AC288" s="10">
        <f t="shared" si="75"/>
        <v>447.28</v>
      </c>
      <c r="AD288" s="8">
        <f>IFERROR(AC288/AC444, "NA")</f>
        <v>1.2831182228433937E-2</v>
      </c>
    </row>
    <row r="289" spans="1:30" ht="16.5" customHeight="1" x14ac:dyDescent="0.45">
      <c r="A289" s="6" t="s">
        <v>262</v>
      </c>
      <c r="B289" s="7">
        <v>478.44</v>
      </c>
      <c r="C289" s="8">
        <f>IFERROR(B289/B444, "NA")</f>
        <v>4.9007411443974221E-3</v>
      </c>
      <c r="D289" s="9"/>
      <c r="E289" s="7">
        <v>224</v>
      </c>
      <c r="F289" s="8">
        <f>IFERROR(E289/E444, "NA")</f>
        <v>2.5492903583676303E-3</v>
      </c>
      <c r="G289" s="9"/>
      <c r="H289" s="10">
        <f t="shared" si="72"/>
        <v>-254.44</v>
      </c>
      <c r="I289" s="8">
        <f>IFERROR(H289/H444, "NA")</f>
        <v>-2.6073786232663744E-2</v>
      </c>
      <c r="J289" s="9"/>
      <c r="K289" s="7">
        <v>208.25</v>
      </c>
      <c r="L289" s="8">
        <f>IFERROR(K289/K444, "NA")</f>
        <v>2.6040849308076189E-3</v>
      </c>
      <c r="M289" s="9"/>
      <c r="N289" s="10">
        <f t="shared" si="73"/>
        <v>-270.19</v>
      </c>
      <c r="O289" s="8">
        <f>IFERROR(N289/N444, "NA")</f>
        <v>-1.5303411846933023E-2</v>
      </c>
      <c r="P289" s="9"/>
      <c r="Q289" s="7">
        <v>1189.53</v>
      </c>
      <c r="R289" s="8">
        <f>IFERROR(Q289/Q444, "NA")</f>
        <v>3.3036809409579199E-3</v>
      </c>
      <c r="S289" s="9"/>
      <c r="T289" s="7">
        <v>896</v>
      </c>
      <c r="U289" s="8">
        <f>IFERROR(T289/T444, "NA")</f>
        <v>2.576796368580696E-3</v>
      </c>
      <c r="V289" s="9"/>
      <c r="W289" s="10">
        <f t="shared" si="74"/>
        <v>-293.52999999999997</v>
      </c>
      <c r="X289" s="8">
        <f>IFERROR(W289/W444, "NA")</f>
        <v>-2.3780281315875208E-2</v>
      </c>
      <c r="Y289" s="9"/>
      <c r="Z289" s="7">
        <v>1009.52</v>
      </c>
      <c r="AA289" s="8">
        <f>IFERROR(Z289/Z444, "NA")</f>
        <v>3.1042746875968434E-3</v>
      </c>
      <c r="AB289" s="9"/>
      <c r="AC289" s="10">
        <f t="shared" si="75"/>
        <v>-180.01</v>
      </c>
      <c r="AD289" s="8">
        <f>IFERROR(AC289/AC444, "NA")</f>
        <v>-5.1639713667957273E-3</v>
      </c>
    </row>
    <row r="290" spans="1:30" ht="16.5" customHeight="1" x14ac:dyDescent="0.45">
      <c r="A290" s="6" t="s">
        <v>263</v>
      </c>
      <c r="B290" s="7">
        <v>960.01</v>
      </c>
      <c r="C290" s="8">
        <f>IFERROR(B290/B444, "NA")</f>
        <v>9.8335434036304851E-3</v>
      </c>
      <c r="D290" s="9"/>
      <c r="E290" s="7">
        <v>351.47</v>
      </c>
      <c r="F290" s="8">
        <f>IFERROR(E290/E444, "NA")</f>
        <v>3.9999959029262105E-3</v>
      </c>
      <c r="G290" s="9"/>
      <c r="H290" s="10">
        <f t="shared" si="72"/>
        <v>-608.54</v>
      </c>
      <c r="I290" s="8">
        <f>IFERROR(H290/H444, "NA")</f>
        <v>-6.2360249465591863E-2</v>
      </c>
      <c r="J290" s="9"/>
      <c r="K290" s="7">
        <v>339.62</v>
      </c>
      <c r="L290" s="8">
        <f>IFERROR(K290/K444, "NA")</f>
        <v>4.2468154823571838E-3</v>
      </c>
      <c r="M290" s="9"/>
      <c r="N290" s="10">
        <f t="shared" si="73"/>
        <v>-620.39</v>
      </c>
      <c r="O290" s="8">
        <f>IFERROR(N290/N444, "NA")</f>
        <v>-3.5138545748246708E-2</v>
      </c>
      <c r="P290" s="9"/>
      <c r="Q290" s="7">
        <v>2665.66</v>
      </c>
      <c r="R290" s="8">
        <f>IFERROR(Q290/Q444, "NA")</f>
        <v>7.4033358865046601E-3</v>
      </c>
      <c r="S290" s="9"/>
      <c r="T290" s="7">
        <v>1277.42</v>
      </c>
      <c r="U290" s="8">
        <f>IFERROR(T290/T444, "NA")</f>
        <v>3.6737178762861083E-3</v>
      </c>
      <c r="V290" s="9"/>
      <c r="W290" s="10">
        <f t="shared" si="74"/>
        <v>-1388.2399999999998</v>
      </c>
      <c r="X290" s="8">
        <f>IFERROR(W290/W444, "NA")</f>
        <v>-0.11246801939818961</v>
      </c>
      <c r="Y290" s="9"/>
      <c r="Z290" s="7">
        <v>1102.71</v>
      </c>
      <c r="AA290" s="8">
        <f>IFERROR(Z290/Z444, "NA")</f>
        <v>3.3908340010697312E-3</v>
      </c>
      <c r="AB290" s="9"/>
      <c r="AC290" s="10">
        <f t="shared" si="75"/>
        <v>-1562.9499999999998</v>
      </c>
      <c r="AD290" s="8">
        <f>IFERROR(AC290/AC444, "NA")</f>
        <v>-4.4836559345221828E-2</v>
      </c>
    </row>
    <row r="291" spans="1:30" ht="16.5" customHeight="1" x14ac:dyDescent="0.45">
      <c r="A291" s="6" t="s">
        <v>264</v>
      </c>
      <c r="B291" s="7">
        <v>2160.1</v>
      </c>
      <c r="C291" s="8">
        <f>IFERROR(B291/B444, "NA")</f>
        <v>2.2126266503663724E-2</v>
      </c>
      <c r="D291" s="9"/>
      <c r="E291" s="7">
        <v>351.47</v>
      </c>
      <c r="F291" s="8">
        <f>IFERROR(E291/E444, "NA")</f>
        <v>3.9999959029262105E-3</v>
      </c>
      <c r="G291" s="9"/>
      <c r="H291" s="10">
        <f t="shared" si="72"/>
        <v>-1808.6299999999999</v>
      </c>
      <c r="I291" s="8">
        <f>IFERROR(H291/H444, "NA")</f>
        <v>-0.18533969499285735</v>
      </c>
      <c r="J291" s="9"/>
      <c r="K291" s="7">
        <v>-116.09</v>
      </c>
      <c r="L291" s="8">
        <f>IFERROR(K291/K444, "NA")</f>
        <v>-1.4516601182110757E-3</v>
      </c>
      <c r="M291" s="9"/>
      <c r="N291" s="10">
        <f t="shared" si="73"/>
        <v>-2276.19</v>
      </c>
      <c r="O291" s="8">
        <f>IFERROR(N291/N444, "NA")</f>
        <v>-0.12892214001950658</v>
      </c>
      <c r="P291" s="9"/>
      <c r="Q291" s="7">
        <v>6516.63</v>
      </c>
      <c r="R291" s="8">
        <f>IFERROR(Q291/Q444, "NA")</f>
        <v>1.8098632510550057E-2</v>
      </c>
      <c r="S291" s="9"/>
      <c r="T291" s="7">
        <v>1390.88</v>
      </c>
      <c r="U291" s="8">
        <f>IFERROR(T291/T444, "NA")</f>
        <v>4.0000162200128555E-3</v>
      </c>
      <c r="V291" s="9"/>
      <c r="W291" s="10">
        <f t="shared" si="74"/>
        <v>-5125.75</v>
      </c>
      <c r="X291" s="8">
        <f>IFERROR(W291/W444, "NA")</f>
        <v>-0.41526173459219623</v>
      </c>
      <c r="Y291" s="9"/>
      <c r="Z291" s="7">
        <v>1684.83</v>
      </c>
      <c r="AA291" s="8">
        <f>IFERROR(Z291/Z444, "NA")</f>
        <v>5.1808533975590274E-3</v>
      </c>
      <c r="AB291" s="9"/>
      <c r="AC291" s="10">
        <f t="shared" si="75"/>
        <v>-4831.8</v>
      </c>
      <c r="AD291" s="8">
        <f>IFERROR(AC291/AC444, "NA")</f>
        <v>-0.13861050413912337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263.60000000000002</v>
      </c>
      <c r="F292" s="8">
        <f>IFERROR(E292/E444, "NA")</f>
        <v>2.9999684752933368E-3</v>
      </c>
      <c r="G292" s="9"/>
      <c r="H292" s="10">
        <f t="shared" si="72"/>
        <v>263.60000000000002</v>
      </c>
      <c r="I292" s="8">
        <f>IFERROR(H292/H444, "NA")</f>
        <v>2.701245893306934E-2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1043.1500000000001</v>
      </c>
      <c r="U292" s="8">
        <f>IFERROR(T292/T444, "NA")</f>
        <v>2.9999834061215998E-3</v>
      </c>
      <c r="V292" s="9"/>
      <c r="W292" s="10">
        <f t="shared" si="74"/>
        <v>1043.1500000000001</v>
      </c>
      <c r="X292" s="8">
        <f>IFERROR(W292/W444, "NA")</f>
        <v>8.4510613752104474E-2</v>
      </c>
      <c r="Y292" s="9"/>
      <c r="Z292" s="7">
        <v>1703.69</v>
      </c>
      <c r="AA292" s="8">
        <f>IFERROR(Z292/Z444, "NA")</f>
        <v>5.2388479104048128E-3</v>
      </c>
      <c r="AB292" s="9"/>
      <c r="AC292" s="10">
        <f t="shared" si="75"/>
        <v>1703.69</v>
      </c>
      <c r="AD292" s="8">
        <f>IFERROR(AC292/AC444, "NA")</f>
        <v>4.8873986877930188E-2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131.80000000000001</v>
      </c>
      <c r="F293" s="8">
        <f>IFERROR(E293/E444, "NA")</f>
        <v>1.4999842376466684E-3</v>
      </c>
      <c r="G293" s="9"/>
      <c r="H293" s="10">
        <f t="shared" si="72"/>
        <v>131.80000000000001</v>
      </c>
      <c r="I293" s="8">
        <f>IFERROR(H293/H444, "NA")</f>
        <v>1.350622946653467E-2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521.57000000000005</v>
      </c>
      <c r="U293" s="8">
        <f>IFERROR(T293/T444, "NA")</f>
        <v>1.4999773236167788E-3</v>
      </c>
      <c r="V293" s="9"/>
      <c r="W293" s="10">
        <f t="shared" si="74"/>
        <v>521.57000000000005</v>
      </c>
      <c r="X293" s="8">
        <f>IFERROR(W293/W444, "NA")</f>
        <v>4.2254901801931775E-2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299.99</v>
      </c>
      <c r="C294" s="8">
        <f>IFERROR(B294/B444, "NA")</f>
        <v>3.0728478720587382E-3</v>
      </c>
      <c r="D294" s="9"/>
      <c r="E294" s="7">
        <v>350</v>
      </c>
      <c r="F294" s="8">
        <f>IFERROR(E294/E444, "NA")</f>
        <v>3.9832661849494222E-3</v>
      </c>
      <c r="G294" s="9"/>
      <c r="H294" s="10">
        <f t="shared" si="72"/>
        <v>50.009999999999991</v>
      </c>
      <c r="I294" s="8">
        <f>IFERROR(H294/H444, "NA")</f>
        <v>5.1247840335462728E-3</v>
      </c>
      <c r="J294" s="9"/>
      <c r="K294" s="7">
        <v>408.32</v>
      </c>
      <c r="L294" s="8">
        <f>IFERROR(K294/K444, "NA")</f>
        <v>5.1058821558096854E-3</v>
      </c>
      <c r="M294" s="9"/>
      <c r="N294" s="10">
        <f t="shared" si="73"/>
        <v>108.32999999999998</v>
      </c>
      <c r="O294" s="8">
        <f>IFERROR(N294/N444, "NA")</f>
        <v>6.1357511579934647E-3</v>
      </c>
      <c r="P294" s="9"/>
      <c r="Q294" s="7">
        <v>1199.97</v>
      </c>
      <c r="R294" s="8">
        <f>IFERROR(Q294/Q444, "NA")</f>
        <v>3.3326759465682038E-3</v>
      </c>
      <c r="S294" s="9"/>
      <c r="T294" s="7">
        <v>1400</v>
      </c>
      <c r="U294" s="8">
        <f>IFERROR(T294/T444, "NA")</f>
        <v>4.0262443259073376E-3</v>
      </c>
      <c r="V294" s="9"/>
      <c r="W294" s="10">
        <f t="shared" si="74"/>
        <v>200.02999999999997</v>
      </c>
      <c r="X294" s="8">
        <f>IFERROR(W294/W444, "NA")</f>
        <v>1.6205395263225283E-2</v>
      </c>
      <c r="Y294" s="9"/>
      <c r="Z294" s="7">
        <v>1472.28</v>
      </c>
      <c r="AA294" s="8">
        <f>IFERROR(Z294/Z444, "NA")</f>
        <v>4.5272620027885339E-3</v>
      </c>
      <c r="AB294" s="9"/>
      <c r="AC294" s="10">
        <f t="shared" si="75"/>
        <v>272.30999999999995</v>
      </c>
      <c r="AD294" s="8">
        <f>IFERROR(AC294/AC444, "NA")</f>
        <v>7.811794027510385E-3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5226.26</v>
      </c>
      <c r="C295" s="15">
        <f>IFERROR(B295/B444, "NA")</f>
        <v>5.3533457514669494E-2</v>
      </c>
      <c r="D295" s="2"/>
      <c r="E295" s="14">
        <f>IFERROR(E286+E287+E288+E289+E290+E291+E292+E293+E294, "NA")</f>
        <v>2906.34</v>
      </c>
      <c r="F295" s="15">
        <f>IFERROR(E295/E444, "NA")</f>
        <v>3.3076359554188299E-2</v>
      </c>
      <c r="G295" s="2"/>
      <c r="H295" s="14">
        <f t="shared" si="72"/>
        <v>-2319.92</v>
      </c>
      <c r="I295" s="15">
        <f>IFERROR(H295/H444, "NA")</f>
        <v>-0.23773423265556232</v>
      </c>
      <c r="J295" s="2"/>
      <c r="K295" s="14">
        <f>IFERROR(K286+K287+K288+K289+K290+K291+K292+K293+K294, "NA")</f>
        <v>2182.58</v>
      </c>
      <c r="L295" s="15">
        <f>IFERROR(K295/K444, "NA")</f>
        <v>2.7292310628005249E-2</v>
      </c>
      <c r="M295" s="2"/>
      <c r="N295" s="14">
        <f t="shared" si="73"/>
        <v>-3043.6800000000003</v>
      </c>
      <c r="O295" s="15">
        <f>IFERROR(N295/N444, "NA")</f>
        <v>-0.17239234823743702</v>
      </c>
      <c r="P295" s="2"/>
      <c r="Q295" s="14">
        <f>IFERROR(Q286+Q287+Q288+Q289+Q290+Q291+Q292+Q293+Q294, "NA")</f>
        <v>16882.670000000002</v>
      </c>
      <c r="R295" s="15">
        <f>IFERROR(Q295/Q444, "NA")</f>
        <v>4.6888229058100299E-2</v>
      </c>
      <c r="S295" s="2"/>
      <c r="T295" s="14">
        <f>IFERROR(T286+T287+T288+T289+T290+T291+T292+T293+T294, "NA")</f>
        <v>11465.019999999999</v>
      </c>
      <c r="U295" s="15">
        <f>IFERROR(T295/T444, "NA")</f>
        <v>3.2972122658152955E-2</v>
      </c>
      <c r="V295" s="2"/>
      <c r="W295" s="14">
        <f t="shared" si="74"/>
        <v>-5417.6500000000033</v>
      </c>
      <c r="X295" s="15">
        <f>IFERROR(W295/W444, "NA")</f>
        <v>-0.4389099617448009</v>
      </c>
      <c r="Y295" s="2"/>
      <c r="Z295" s="14">
        <f>IFERROR(Z286+Z287+Z288+Z289+Z290+Z291+Z292+Z293+Z294, "NA")</f>
        <v>12342.95</v>
      </c>
      <c r="AA295" s="15">
        <f>IFERROR(Z295/Z444, "NA")</f>
        <v>3.7954579656939394E-2</v>
      </c>
      <c r="AB295" s="2"/>
      <c r="AC295" s="14">
        <f t="shared" si="75"/>
        <v>-4539.7200000000012</v>
      </c>
      <c r="AD295" s="15">
        <f>IFERROR(AC295/AC444, "NA")</f>
        <v>-0.13023156543119774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510.4</v>
      </c>
      <c r="C299" s="8">
        <f>IFERROR(B299/B444, "NA")</f>
        <v>5.2281127834220469E-3</v>
      </c>
      <c r="D299" s="9"/>
      <c r="E299" s="7">
        <v>489</v>
      </c>
      <c r="F299" s="8">
        <f>IFERROR(E299/E444, "NA")</f>
        <v>5.5651918984007641E-3</v>
      </c>
      <c r="G299" s="9"/>
      <c r="H299" s="10">
        <f t="shared" si="76"/>
        <v>-21.399999999999977</v>
      </c>
      <c r="I299" s="8">
        <f>IFERROR(H299/H444, "NA")</f>
        <v>-2.1929689725632899E-3</v>
      </c>
      <c r="J299" s="9"/>
      <c r="K299" s="7">
        <v>705.01</v>
      </c>
      <c r="L299" s="8">
        <f>IFERROR(K299/K444, "NA")</f>
        <v>8.8158747518303944E-3</v>
      </c>
      <c r="M299" s="9"/>
      <c r="N299" s="10">
        <f t="shared" si="77"/>
        <v>194.61</v>
      </c>
      <c r="O299" s="8">
        <f>IFERROR(N299/N444, "NA")</f>
        <v>1.1022602537220608E-2</v>
      </c>
      <c r="P299" s="9"/>
      <c r="Q299" s="7">
        <v>1998.67</v>
      </c>
      <c r="R299" s="8">
        <f>IFERROR(Q299/Q444, "NA")</f>
        <v>5.5509049677304198E-3</v>
      </c>
      <c r="S299" s="9"/>
      <c r="T299" s="7">
        <v>1956</v>
      </c>
      <c r="U299" s="8">
        <f>IFERROR(T299/T444, "NA")</f>
        <v>5.6252385010533944E-3</v>
      </c>
      <c r="V299" s="9"/>
      <c r="W299" s="10">
        <f t="shared" si="78"/>
        <v>-42.670000000000073</v>
      </c>
      <c r="X299" s="8">
        <f>IFERROR(W299/W444, "NA")</f>
        <v>-3.4569025440275166E-3</v>
      </c>
      <c r="Y299" s="9"/>
      <c r="Z299" s="7">
        <v>2254.06</v>
      </c>
      <c r="AA299" s="8">
        <f>IFERROR(Z299/Z444, "NA")</f>
        <v>6.9312360352687822E-3</v>
      </c>
      <c r="AB299" s="9"/>
      <c r="AC299" s="10">
        <f t="shared" si="79"/>
        <v>255.38999999999987</v>
      </c>
      <c r="AD299" s="8">
        <f>IFERROR(AC299/AC444, "NA")</f>
        <v>7.3264076849395045E-3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30.69</v>
      </c>
      <c r="C305" s="8">
        <f>IFERROR(B305/B444, "NA")</f>
        <v>3.143628160721447E-4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-30.69</v>
      </c>
      <c r="I305" s="8">
        <f>IFERROR(H305/H444, "NA")</f>
        <v>-3.1449634471012824E-3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-30.69</v>
      </c>
      <c r="O305" s="8">
        <f>IFERROR(N305/N444, "NA")</f>
        <v>-1.7382645900380269E-3</v>
      </c>
      <c r="P305" s="9"/>
      <c r="Q305" s="7">
        <v>98.75</v>
      </c>
      <c r="R305" s="8">
        <f>IFERROR(Q305/Q444, "NA")</f>
        <v>2.7425831456087246E-4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-98.75</v>
      </c>
      <c r="X305" s="8">
        <f>IFERROR(W305/W444, "NA")</f>
        <v>-8.0002138791356141E-3</v>
      </c>
      <c r="Y305" s="9"/>
      <c r="Z305" s="7">
        <v>-57</v>
      </c>
      <c r="AA305" s="8">
        <f>IFERROR(Z305/Z444, "NA")</f>
        <v>-1.7527503882342111E-4</v>
      </c>
      <c r="AB305" s="9"/>
      <c r="AC305" s="10">
        <f t="shared" si="79"/>
        <v>-155.75</v>
      </c>
      <c r="AD305" s="8">
        <f>IFERROR(AC305/AC444, "NA")</f>
        <v>-4.4680214453554504E-3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55</v>
      </c>
      <c r="F310" s="8">
        <f>IFERROR(E310/E444, "NA")</f>
        <v>6.259418290634806E-4</v>
      </c>
      <c r="G310" s="9"/>
      <c r="H310" s="10">
        <f t="shared" si="76"/>
        <v>55</v>
      </c>
      <c r="I310" s="8">
        <f>IFERROR(H310/H444, "NA")</f>
        <v>5.6361352098589293E-3</v>
      </c>
      <c r="J310" s="9"/>
      <c r="K310" s="7">
        <v>174.49</v>
      </c>
      <c r="L310" s="8">
        <f>IFERROR(K310/K444, "NA")</f>
        <v>2.1819293136932606E-3</v>
      </c>
      <c r="M310" s="9"/>
      <c r="N310" s="10">
        <f t="shared" si="77"/>
        <v>174.49</v>
      </c>
      <c r="O310" s="8">
        <f>IFERROR(N310/N444, "NA")</f>
        <v>9.8830168887499292E-3</v>
      </c>
      <c r="P310" s="9"/>
      <c r="Q310" s="7">
        <v>87.97</v>
      </c>
      <c r="R310" s="8">
        <f>IFERROR(Q310/Q444, "NA")</f>
        <v>2.4431902715868302E-4</v>
      </c>
      <c r="S310" s="9"/>
      <c r="T310" s="7">
        <v>220</v>
      </c>
      <c r="U310" s="8">
        <f>IFERROR(T310/T444, "NA")</f>
        <v>6.3269553692829595E-4</v>
      </c>
      <c r="V310" s="9"/>
      <c r="W310" s="10">
        <f t="shared" si="78"/>
        <v>132.03</v>
      </c>
      <c r="X310" s="8">
        <f>IFERROR(W310/W444, "NA")</f>
        <v>1.0696387224934432E-2</v>
      </c>
      <c r="Y310" s="9"/>
      <c r="Z310" s="7">
        <v>243.47</v>
      </c>
      <c r="AA310" s="8">
        <f>IFERROR(Z310/Z444, "NA")</f>
        <v>7.486704158304971E-4</v>
      </c>
      <c r="AB310" s="9"/>
      <c r="AC310" s="10">
        <f t="shared" si="79"/>
        <v>155.5</v>
      </c>
      <c r="AD310" s="8">
        <f>IFERROR(AC310/AC444, "NA")</f>
        <v>4.460849661334013E-3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26.73</v>
      </c>
      <c r="AA311" s="8">
        <f>IFERROR(Z311/Z444, "NA")</f>
        <v>8.2194768206141162E-5</v>
      </c>
      <c r="AB311" s="9"/>
      <c r="AC311" s="10">
        <f t="shared" si="79"/>
        <v>26.73</v>
      </c>
      <c r="AD311" s="8">
        <f>IFERROR(AC311/AC444, "NA")</f>
        <v>7.6680714757207825E-4</v>
      </c>
    </row>
    <row r="312" spans="1:30" ht="16.5" customHeight="1" x14ac:dyDescent="0.45">
      <c r="A312" s="6" t="s">
        <v>284</v>
      </c>
      <c r="B312" s="7">
        <v>437.27</v>
      </c>
      <c r="C312" s="8">
        <f>IFERROR(B312/B444, "NA")</f>
        <v>4.479029931048116E-3</v>
      </c>
      <c r="D312" s="9"/>
      <c r="E312" s="7">
        <v>35</v>
      </c>
      <c r="F312" s="8">
        <f>IFERROR(E312/E444, "NA")</f>
        <v>3.9832661849494223E-4</v>
      </c>
      <c r="G312" s="9"/>
      <c r="H312" s="10">
        <f t="shared" si="76"/>
        <v>-402.27</v>
      </c>
      <c r="I312" s="8">
        <f>IFERROR(H312/H444, "NA")</f>
        <v>-4.1222692924908204E-2</v>
      </c>
      <c r="J312" s="9"/>
      <c r="K312" s="7">
        <v>40</v>
      </c>
      <c r="L312" s="8">
        <f>IFERROR(K312/K444, "NA")</f>
        <v>5.0018438046724981E-4</v>
      </c>
      <c r="M312" s="9"/>
      <c r="N312" s="10">
        <f t="shared" si="77"/>
        <v>-397.27</v>
      </c>
      <c r="O312" s="8">
        <f>IFERROR(N312/N444, "NA")</f>
        <v>-2.2501152612720982E-2</v>
      </c>
      <c r="P312" s="9"/>
      <c r="Q312" s="7">
        <v>2158.42</v>
      </c>
      <c r="R312" s="8">
        <f>IFERROR(Q312/Q444, "NA")</f>
        <v>5.9945785449567425E-3</v>
      </c>
      <c r="S312" s="9"/>
      <c r="T312" s="7">
        <v>140</v>
      </c>
      <c r="U312" s="8">
        <f>IFERROR(T312/T444, "NA")</f>
        <v>4.0262443259073377E-4</v>
      </c>
      <c r="V312" s="9"/>
      <c r="W312" s="10">
        <f t="shared" si="78"/>
        <v>-2018.42</v>
      </c>
      <c r="X312" s="8">
        <f>IFERROR(W312/W444, "NA")</f>
        <v>-0.1635219412448092</v>
      </c>
      <c r="Y312" s="9"/>
      <c r="Z312" s="7">
        <v>193.49</v>
      </c>
      <c r="AA312" s="8">
        <f>IFERROR(Z312/Z444, "NA")</f>
        <v>5.9498188178848681E-4</v>
      </c>
      <c r="AB312" s="9"/>
      <c r="AC312" s="10">
        <f t="shared" si="79"/>
        <v>-1964.93</v>
      </c>
      <c r="AD312" s="8">
        <f>IFERROR(AC312/AC444, "NA")</f>
        <v>-5.6368214308971334E-2</v>
      </c>
    </row>
    <row r="313" spans="1:30" ht="16.5" customHeight="1" x14ac:dyDescent="0.45">
      <c r="A313" s="6" t="s">
        <v>285</v>
      </c>
      <c r="B313" s="7">
        <v>83.95</v>
      </c>
      <c r="C313" s="8">
        <f>IFERROR(B313/B444, "NA")</f>
        <v>8.5991392666199238E-4</v>
      </c>
      <c r="D313" s="9"/>
      <c r="E313" s="7">
        <v>25</v>
      </c>
      <c r="F313" s="8">
        <f>IFERROR(E313/E444, "NA")</f>
        <v>2.8451901321067301E-4</v>
      </c>
      <c r="G313" s="9"/>
      <c r="H313" s="10">
        <f t="shared" si="76"/>
        <v>-58.95</v>
      </c>
      <c r="I313" s="8">
        <f>IFERROR(H313/H444, "NA")</f>
        <v>-6.0409121931124339E-3</v>
      </c>
      <c r="J313" s="9"/>
      <c r="K313" s="7">
        <v>55</v>
      </c>
      <c r="L313" s="8">
        <f>IFERROR(K313/K444, "NA")</f>
        <v>6.877535231424684E-4</v>
      </c>
      <c r="M313" s="9"/>
      <c r="N313" s="10">
        <f t="shared" si="77"/>
        <v>-28.950000000000003</v>
      </c>
      <c r="O313" s="8">
        <f>IFERROR(N313/N444, "NA")</f>
        <v>-1.639711954434698E-3</v>
      </c>
      <c r="P313" s="9"/>
      <c r="Q313" s="7">
        <v>127.55</v>
      </c>
      <c r="R313" s="8">
        <f>IFERROR(Q313/Q444, "NA")</f>
        <v>3.5424453693406864E-4</v>
      </c>
      <c r="S313" s="9"/>
      <c r="T313" s="7">
        <v>100</v>
      </c>
      <c r="U313" s="8">
        <f>IFERROR(T313/T444, "NA")</f>
        <v>2.8758888042195271E-4</v>
      </c>
      <c r="V313" s="9"/>
      <c r="W313" s="10">
        <f t="shared" si="78"/>
        <v>-27.549999999999997</v>
      </c>
      <c r="X313" s="8">
        <f>IFERROR(W313/W444, "NA")</f>
        <v>-2.2319584037487207E-3</v>
      </c>
      <c r="Y313" s="9"/>
      <c r="Z313" s="7">
        <v>75.05</v>
      </c>
      <c r="AA313" s="8">
        <f>IFERROR(Z313/Z444, "NA")</f>
        <v>2.3077880111750445E-4</v>
      </c>
      <c r="AB313" s="9"/>
      <c r="AC313" s="10">
        <f t="shared" si="79"/>
        <v>-52.5</v>
      </c>
      <c r="AD313" s="8">
        <f>IFERROR(AC313/AC444, "NA")</f>
        <v>-1.5060746445018371E-3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291.82</v>
      </c>
      <c r="R316" s="8">
        <f>IFERROR(Q316/Q444, "NA")</f>
        <v>8.1047150739396246E-4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-291.82</v>
      </c>
      <c r="X316" s="8">
        <f>IFERROR(W316/W444, "NA")</f>
        <v>-2.3641745966677015E-2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-291.82</v>
      </c>
      <c r="AD316" s="8">
        <f>IFERROR(AC316/AC444, "NA")</f>
        <v>-8.3714800525433539E-3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4.246510024732128E-3</v>
      </c>
      <c r="D318" s="9"/>
      <c r="E318" s="7">
        <v>415</v>
      </c>
      <c r="F318" s="8">
        <f>IFERROR(E318/E444, "NA")</f>
        <v>4.7230156192971723E-3</v>
      </c>
      <c r="G318" s="9"/>
      <c r="H318" s="10">
        <f t="shared" si="76"/>
        <v>0.43000000000000682</v>
      </c>
      <c r="I318" s="8">
        <f>IFERROR(H318/H444, "NA")</f>
        <v>4.4064329822534142E-5</v>
      </c>
      <c r="J318" s="9"/>
      <c r="K318" s="7">
        <v>414.57</v>
      </c>
      <c r="L318" s="8">
        <f>IFERROR(K318/K444, "NA")</f>
        <v>5.1840359652576933E-3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1658.28</v>
      </c>
      <c r="R318" s="8">
        <f>IFERROR(Q318/Q444, "NA")</f>
        <v>4.6055400290633272E-3</v>
      </c>
      <c r="S318" s="9"/>
      <c r="T318" s="7">
        <v>1660</v>
      </c>
      <c r="U318" s="8">
        <f>IFERROR(T318/T444, "NA")</f>
        <v>4.7739754150044143E-3</v>
      </c>
      <c r="V318" s="9"/>
      <c r="W318" s="10">
        <f t="shared" si="78"/>
        <v>1.7200000000000273</v>
      </c>
      <c r="X318" s="8">
        <f>IFERROR(W318/W444, "NA")</f>
        <v>1.393454974391238E-4</v>
      </c>
      <c r="Y318" s="9"/>
      <c r="Z318" s="7">
        <v>1658.28</v>
      </c>
      <c r="AA318" s="8">
        <f>IFERROR(Z318/Z444, "NA")</f>
        <v>5.0992121294754864E-3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149.62</v>
      </c>
      <c r="C319" s="8">
        <f>IFERROR(B319/B444, "NA")</f>
        <v>1.5325827481496997E-3</v>
      </c>
      <c r="D319" s="9"/>
      <c r="E319" s="7">
        <v>150</v>
      </c>
      <c r="F319" s="8">
        <f>IFERROR(E319/E444, "NA")</f>
        <v>1.7071140792640381E-3</v>
      </c>
      <c r="G319" s="9"/>
      <c r="H319" s="10">
        <f t="shared" si="76"/>
        <v>0.37999999999999545</v>
      </c>
      <c r="I319" s="8">
        <f>IFERROR(H319/H444, "NA")</f>
        <v>3.8940570540843042E-5</v>
      </c>
      <c r="J319" s="9"/>
      <c r="K319" s="7">
        <v>149.58000000000001</v>
      </c>
      <c r="L319" s="8">
        <f>IFERROR(K319/K444, "NA")</f>
        <v>1.8704394907572807E-3</v>
      </c>
      <c r="M319" s="9"/>
      <c r="N319" s="10">
        <f t="shared" si="77"/>
        <v>-3.9999999999992042E-2</v>
      </c>
      <c r="O319" s="8">
        <f>IFERROR(N319/N444, "NA")</f>
        <v>-2.2655778299611354E-6</v>
      </c>
      <c r="P319" s="9"/>
      <c r="Q319" s="7">
        <v>598.51</v>
      </c>
      <c r="R319" s="8">
        <f>IFERROR(Q319/Q444, "NA")</f>
        <v>1.6622414566868633E-3</v>
      </c>
      <c r="S319" s="9"/>
      <c r="T319" s="7">
        <v>600</v>
      </c>
      <c r="U319" s="8">
        <f>IFERROR(T319/T444, "NA")</f>
        <v>1.7255332825317161E-3</v>
      </c>
      <c r="V319" s="9"/>
      <c r="W319" s="10">
        <f t="shared" si="78"/>
        <v>1.4900000000000091</v>
      </c>
      <c r="X319" s="8">
        <f>IFERROR(W319/W444, "NA")</f>
        <v>1.2071208789784444E-4</v>
      </c>
      <c r="Y319" s="9"/>
      <c r="Z319" s="7">
        <v>598.28</v>
      </c>
      <c r="AA319" s="8">
        <f>IFERROR(Z319/Z444, "NA")</f>
        <v>1.8397114074960768E-3</v>
      </c>
      <c r="AB319" s="9"/>
      <c r="AC319" s="10">
        <f t="shared" si="79"/>
        <v>-0.23000000000001819</v>
      </c>
      <c r="AD319" s="8">
        <f>IFERROR(AC319/AC444, "NA")</f>
        <v>-6.5980412997228556E-6</v>
      </c>
    </row>
    <row r="320" spans="1:30" ht="16.5" customHeight="1" x14ac:dyDescent="0.45">
      <c r="A320" s="6" t="s">
        <v>292</v>
      </c>
      <c r="B320" s="7">
        <v>1246.04</v>
      </c>
      <c r="C320" s="8">
        <f>IFERROR(B320/B444, "NA")</f>
        <v>1.276339665488873E-2</v>
      </c>
      <c r="D320" s="9"/>
      <c r="E320" s="7">
        <v>1242</v>
      </c>
      <c r="F320" s="8">
        <f>IFERROR(E320/E444, "NA")</f>
        <v>1.4134904576306236E-2</v>
      </c>
      <c r="G320" s="9"/>
      <c r="H320" s="10">
        <f t="shared" si="76"/>
        <v>-4.0399999999999636</v>
      </c>
      <c r="I320" s="8">
        <f>IFERROR(H320/H444, "NA")</f>
        <v>-4.1399974996054307E-4</v>
      </c>
      <c r="J320" s="9"/>
      <c r="K320" s="7">
        <v>1229.44</v>
      </c>
      <c r="L320" s="8">
        <f>IFERROR(K320/K444, "NA")</f>
        <v>1.537366711804139E-2</v>
      </c>
      <c r="M320" s="9"/>
      <c r="N320" s="10">
        <f t="shared" si="77"/>
        <v>-16.599999999999909</v>
      </c>
      <c r="O320" s="8">
        <f>IFERROR(N320/N444, "NA")</f>
        <v>-9.4021479943405312E-4</v>
      </c>
      <c r="P320" s="9"/>
      <c r="Q320" s="7">
        <v>5925.91</v>
      </c>
      <c r="R320" s="8">
        <f>IFERROR(Q320/Q444, "NA")</f>
        <v>1.6458026216095389E-2</v>
      </c>
      <c r="S320" s="9"/>
      <c r="T320" s="7">
        <v>4968</v>
      </c>
      <c r="U320" s="8">
        <f>IFERROR(T320/T444, "NA")</f>
        <v>1.4287415579362609E-2</v>
      </c>
      <c r="V320" s="9"/>
      <c r="W320" s="10">
        <f t="shared" si="78"/>
        <v>-957.90999999999985</v>
      </c>
      <c r="X320" s="8">
        <f>IFERROR(W320/W444, "NA")</f>
        <v>-7.7604910146458692E-2</v>
      </c>
      <c r="Y320" s="9"/>
      <c r="Z320" s="7">
        <v>4247.0200000000004</v>
      </c>
      <c r="AA320" s="8">
        <f>IFERROR(Z320/Z444, "NA")</f>
        <v>1.3059589392699052E-2</v>
      </c>
      <c r="AB320" s="9"/>
      <c r="AC320" s="10">
        <f t="shared" si="79"/>
        <v>-1678.8899999999994</v>
      </c>
      <c r="AD320" s="8">
        <f>IFERROR(AC320/AC444, "NA")</f>
        <v>-4.816254590300359E-2</v>
      </c>
    </row>
    <row r="321" spans="1:30" ht="16.5" customHeight="1" x14ac:dyDescent="0.45">
      <c r="A321" s="6" t="s">
        <v>293</v>
      </c>
      <c r="B321" s="7">
        <v>769.6</v>
      </c>
      <c r="C321" s="8">
        <f>IFERROR(B321/B444, "NA")</f>
        <v>7.8831418458495447E-3</v>
      </c>
      <c r="D321" s="9"/>
      <c r="E321" s="7">
        <v>1318.01</v>
      </c>
      <c r="F321" s="8">
        <f>IFERROR(E321/E444, "NA")</f>
        <v>1.4999956184071966E-2</v>
      </c>
      <c r="G321" s="9"/>
      <c r="H321" s="10">
        <f t="shared" si="76"/>
        <v>548.41</v>
      </c>
      <c r="I321" s="8">
        <f>IFERROR(H321/H444, "NA")</f>
        <v>5.6198416553431545E-2</v>
      </c>
      <c r="J321" s="9"/>
      <c r="K321" s="7">
        <v>1188.47</v>
      </c>
      <c r="L321" s="8">
        <f>IFERROR(K321/K444, "NA")</f>
        <v>1.4861353266347809E-2</v>
      </c>
      <c r="M321" s="9"/>
      <c r="N321" s="10">
        <f t="shared" si="77"/>
        <v>418.87</v>
      </c>
      <c r="O321" s="8">
        <f>IFERROR(N321/N444, "NA")</f>
        <v>2.3724564640900239E-2</v>
      </c>
      <c r="P321" s="9"/>
      <c r="Q321" s="7">
        <v>3623.93</v>
      </c>
      <c r="R321" s="8">
        <f>IFERROR(Q321/Q444, "NA")</f>
        <v>1.0064738571003366E-2</v>
      </c>
      <c r="S321" s="9"/>
      <c r="T321" s="7">
        <v>5150.2</v>
      </c>
      <c r="U321" s="8">
        <f>IFERROR(T321/T444, "NA")</f>
        <v>1.4811402519491406E-2</v>
      </c>
      <c r="V321" s="9"/>
      <c r="W321" s="10">
        <f t="shared" si="78"/>
        <v>1526.27</v>
      </c>
      <c r="X321" s="8">
        <f>IFERROR(W321/W444, "NA")</f>
        <v>0.12365049556767914</v>
      </c>
      <c r="Y321" s="9"/>
      <c r="Z321" s="7">
        <v>7828.28</v>
      </c>
      <c r="AA321" s="8">
        <f>IFERROR(Z321/Z444, "NA")</f>
        <v>2.4071966331940541E-2</v>
      </c>
      <c r="AB321" s="9"/>
      <c r="AC321" s="10">
        <f t="shared" si="79"/>
        <v>4204.3500000000004</v>
      </c>
      <c r="AD321" s="8">
        <f>IFERROR(AC321/AC444, "NA")</f>
        <v>0.12061076060211999</v>
      </c>
    </row>
    <row r="322" spans="1:30" ht="16.5" customHeight="1" x14ac:dyDescent="0.45">
      <c r="A322" s="6" t="s">
        <v>294</v>
      </c>
      <c r="B322" s="7">
        <v>548.4</v>
      </c>
      <c r="C322" s="8">
        <f>IFERROR(B322/B444, "NA")</f>
        <v>5.6173531552285473E-3</v>
      </c>
      <c r="D322" s="9"/>
      <c r="E322" s="7">
        <v>250</v>
      </c>
      <c r="F322" s="8">
        <f>IFERROR(E322/E444, "NA")</f>
        <v>2.8451901321067301E-3</v>
      </c>
      <c r="G322" s="9"/>
      <c r="H322" s="10">
        <f t="shared" si="76"/>
        <v>-298.39999999999998</v>
      </c>
      <c r="I322" s="8">
        <f>IFERROR(H322/H444, "NA")</f>
        <v>-3.0578595393125532E-2</v>
      </c>
      <c r="J322" s="9"/>
      <c r="K322" s="7">
        <v>162.27000000000001</v>
      </c>
      <c r="L322" s="8">
        <f>IFERROR(K322/K444, "NA")</f>
        <v>2.0291229854605157E-3</v>
      </c>
      <c r="M322" s="9"/>
      <c r="N322" s="10">
        <f t="shared" si="77"/>
        <v>-386.13</v>
      </c>
      <c r="O322" s="8">
        <f>IFERROR(N322/N444, "NA")</f>
        <v>-2.1870189187076682E-2</v>
      </c>
      <c r="P322" s="9"/>
      <c r="Q322" s="7">
        <v>1083.24</v>
      </c>
      <c r="R322" s="8">
        <f>IFERROR(Q322/Q444, "NA")</f>
        <v>3.0084817890118428E-3</v>
      </c>
      <c r="S322" s="9"/>
      <c r="T322" s="7">
        <v>1000</v>
      </c>
      <c r="U322" s="8">
        <f>IFERROR(T322/T444, "NA")</f>
        <v>2.875888804219527E-3</v>
      </c>
      <c r="V322" s="9"/>
      <c r="W322" s="10">
        <f t="shared" si="78"/>
        <v>-83.240000000000009</v>
      </c>
      <c r="X322" s="8">
        <f>IFERROR(W322/W444, "NA")</f>
        <v>-6.7436739574607456E-3</v>
      </c>
      <c r="Y322" s="9"/>
      <c r="Z322" s="7">
        <v>1429.2</v>
      </c>
      <c r="AA322" s="8">
        <f>IFERROR(Z322/Z444, "NA")</f>
        <v>4.3947909734462012E-3</v>
      </c>
      <c r="AB322" s="9"/>
      <c r="AC322" s="10">
        <f t="shared" si="79"/>
        <v>345.96000000000004</v>
      </c>
      <c r="AD322" s="8">
        <f>IFERROR(AC322/AC444, "NA")</f>
        <v>9.9246016002258221E-3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4190.54</v>
      </c>
      <c r="C324" s="15">
        <f>IFERROR(B324/B444, "NA")</f>
        <v>4.2924403886052953E-2</v>
      </c>
      <c r="D324" s="2"/>
      <c r="E324" s="14">
        <f>IFERROR(E297+E298+E299+E300+E301+E302+E303+E304+E305+E306+E307+E308+E309+E310+E311+E312+E313+E314+E315+E316+E317+E318+E319+E320+E321+E322+E323, "NA")</f>
        <v>3979.01</v>
      </c>
      <c r="F324" s="15">
        <f>IFERROR(E324/E444, "NA")</f>
        <v>4.5284159950216007E-2</v>
      </c>
      <c r="G324" s="2"/>
      <c r="H324" s="14">
        <f t="shared" si="76"/>
        <v>-211.52999999999975</v>
      </c>
      <c r="I324" s="15">
        <f>IFERROR(H324/H444, "NA")</f>
        <v>-2.1676576017117415E-2</v>
      </c>
      <c r="J324" s="2"/>
      <c r="K324" s="14">
        <f>IFERROR(K297+K298+K299+K300+K301+K302+K303+K304+K305+K306+K307+K308+K309+K310+K311+K312+K313+K314+K315+K316+K317+K318+K319+K320+K321+K322+K323, "NA")</f>
        <v>4118.8300000000008</v>
      </c>
      <c r="L324" s="15">
        <f>IFERROR(K324/K444, "NA")</f>
        <v>5.1504360794998073E-2</v>
      </c>
      <c r="M324" s="2"/>
      <c r="N324" s="14">
        <f t="shared" si="77"/>
        <v>-71.709999999999127</v>
      </c>
      <c r="O324" s="15">
        <f>IFERROR(N324/N444, "NA")</f>
        <v>-4.0616146546635836E-3</v>
      </c>
      <c r="P324" s="2"/>
      <c r="Q324" s="14">
        <f>IFERROR(Q297+Q298+Q299+Q300+Q301+Q302+Q303+Q304+Q305+Q306+Q307+Q308+Q309+Q310+Q311+Q312+Q313+Q314+Q315+Q316+Q317+Q318+Q319+Q320+Q321+Q322+Q323, "NA")</f>
        <v>17653.05</v>
      </c>
      <c r="R324" s="15">
        <f>IFERROR(Q324/Q444, "NA")</f>
        <v>4.9027804960595535E-2</v>
      </c>
      <c r="S324" s="2"/>
      <c r="T324" s="14">
        <f>IFERROR(T297+T298+T299+T300+T301+T302+T303+T304+T305+T306+T307+T308+T309+T310+T311+T312+T313+T314+T315+T316+T317+T318+T319+T320+T321+T322+T323, "NA")</f>
        <v>15794.2</v>
      </c>
      <c r="U324" s="15">
        <f>IFERROR(T324/T444, "NA")</f>
        <v>4.5422362951604053E-2</v>
      </c>
      <c r="V324" s="2"/>
      <c r="W324" s="14">
        <f t="shared" si="78"/>
        <v>-1858.8499999999985</v>
      </c>
      <c r="X324" s="15">
        <f>IFERROR(W324/W444, "NA")</f>
        <v>-0.15059440576436683</v>
      </c>
      <c r="Y324" s="2"/>
      <c r="Z324" s="14">
        <f>IFERROR(Z297+Z298+Z299+Z300+Z301+Z302+Z303+Z304+Z305+Z306+Z307+Z308+Z309+Z310+Z311+Z312+Z313+Z314+Z315+Z316+Z317+Z318+Z319+Z320+Z321+Z322+Z323, "NA")</f>
        <v>18496.86</v>
      </c>
      <c r="AA324" s="15">
        <f>IFERROR(Z324/Z444, "NA")</f>
        <v>5.6877857098445353E-2</v>
      </c>
      <c r="AB324" s="2"/>
      <c r="AC324" s="14">
        <f t="shared" si="79"/>
        <v>843.81000000000131</v>
      </c>
      <c r="AD324" s="15">
        <f>IFERROR(AC324/AC444, "NA")</f>
        <v>2.4206492300516136E-2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24564.98</v>
      </c>
      <c r="C325" s="15">
        <f>IFERROR(B325/B444, "NA")</f>
        <v>0.25162320917419068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20889.739999999994</v>
      </c>
      <c r="F325" s="15">
        <f>IFERROR(E325/E444, "NA")</f>
        <v>0.23774112844110093</v>
      </c>
      <c r="G325" s="2"/>
      <c r="H325" s="14">
        <f t="shared" si="76"/>
        <v>-3675.2400000000052</v>
      </c>
      <c r="I325" s="15">
        <f>IFERROR(H325/H444, "NA")</f>
        <v>-0.37662090124876291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20343.450000000004</v>
      </c>
      <c r="L325" s="15">
        <f>IFERROR(K325/K444, "NA")</f>
        <v>0.25438689837041184</v>
      </c>
      <c r="M325" s="2"/>
      <c r="N325" s="14">
        <f t="shared" si="77"/>
        <v>-4221.5299999999952</v>
      </c>
      <c r="O325" s="15">
        <f>IFERROR(N325/N444, "NA")</f>
        <v>-0.2391051194129431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96053.33</v>
      </c>
      <c r="R325" s="15">
        <f>IFERROR(Q325/Q444, "NA")</f>
        <v>0.26676885462034722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82747.719999999987</v>
      </c>
      <c r="U325" s="15">
        <f>IFERROR(T325/T444, "NA")</f>
        <v>0.2379732415226922</v>
      </c>
      <c r="V325" s="2"/>
      <c r="W325" s="14">
        <f t="shared" si="78"/>
        <v>-13305.610000000015</v>
      </c>
      <c r="X325" s="15">
        <f>IFERROR(W325/W444, "NA")</f>
        <v>-1.0779516535935771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90948.040000000023</v>
      </c>
      <c r="AA325" s="15">
        <f>IFERROR(Z325/Z444, "NA")</f>
        <v>0.27966528494586068</v>
      </c>
      <c r="AB325" s="2"/>
      <c r="AC325" s="14">
        <f t="shared" si="79"/>
        <v>-5105.289999999979</v>
      </c>
      <c r="AD325" s="15">
        <f>IFERROR(AC325/AC444, "NA")</f>
        <v>-0.14645614898721435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4735.7</v>
      </c>
      <c r="C329" s="8">
        <f>IFERROR(B329/B444, "NA")</f>
        <v>4.8508569178001157E-2</v>
      </c>
      <c r="D329" s="9"/>
      <c r="E329" s="7">
        <v>4735.7</v>
      </c>
      <c r="F329" s="8">
        <f>IFERROR(E329/E444, "NA")</f>
        <v>5.3895867634471364E-2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4597.76</v>
      </c>
      <c r="L329" s="8">
        <f>IFERROR(K329/K444, "NA")</f>
        <v>5.7493193428427562E-2</v>
      </c>
      <c r="M329" s="9"/>
      <c r="N329" s="10">
        <f t="shared" si="81"/>
        <v>-137.9399999999996</v>
      </c>
      <c r="O329" s="8">
        <f>IFERROR(N329/N444, "NA")</f>
        <v>-7.8128451466225064E-3</v>
      </c>
      <c r="P329" s="9"/>
      <c r="Q329" s="7">
        <v>18942.8</v>
      </c>
      <c r="R329" s="8">
        <f>IFERROR(Q329/Q444, "NA")</f>
        <v>5.2609826846214625E-2</v>
      </c>
      <c r="S329" s="9"/>
      <c r="T329" s="7">
        <v>18942.8</v>
      </c>
      <c r="U329" s="8">
        <f>IFERROR(T329/T444, "NA")</f>
        <v>5.4477386440569653E-2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18391.04</v>
      </c>
      <c r="AA329" s="8">
        <f>IFERROR(Z329/Z444, "NA")</f>
        <v>5.6552460526370009E-2</v>
      </c>
      <c r="AB329" s="9"/>
      <c r="AC329" s="10">
        <f t="shared" si="83"/>
        <v>-551.7599999999984</v>
      </c>
      <c r="AD329" s="8">
        <f>IFERROR(AC329/AC444, "NA")</f>
        <v>-1.5828414206672976E-2</v>
      </c>
    </row>
    <row r="330" spans="1:30" ht="16.5" customHeight="1" x14ac:dyDescent="0.45">
      <c r="A330" s="6" t="s">
        <v>301</v>
      </c>
      <c r="B330" s="7">
        <v>1736.6</v>
      </c>
      <c r="C330" s="8">
        <f>IFERROR(B330/B444, "NA")</f>
        <v>1.7788284991557067E-2</v>
      </c>
      <c r="D330" s="9"/>
      <c r="E330" s="7">
        <v>1736.6</v>
      </c>
      <c r="F330" s="8">
        <f>IFERROR(E330/E444, "NA")</f>
        <v>1.9763828733666191E-2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1686.02</v>
      </c>
      <c r="L330" s="8">
        <f>IFERROR(K330/K444, "NA")</f>
        <v>2.1083021728884811E-2</v>
      </c>
      <c r="M330" s="9"/>
      <c r="N330" s="10">
        <f t="shared" si="81"/>
        <v>-50.579999999999927</v>
      </c>
      <c r="O330" s="8">
        <f>IFERROR(N330/N444, "NA")</f>
        <v>-2.8648231659864215E-3</v>
      </c>
      <c r="P330" s="9"/>
      <c r="Q330" s="7">
        <v>9803.99</v>
      </c>
      <c r="R330" s="8">
        <f>IFERROR(Q330/Q444, "NA")</f>
        <v>2.7228615426548333E-2</v>
      </c>
      <c r="S330" s="9"/>
      <c r="T330" s="7">
        <v>6946.4</v>
      </c>
      <c r="U330" s="8">
        <f>IFERROR(T330/T444, "NA")</f>
        <v>1.9977073989630521E-2</v>
      </c>
      <c r="V330" s="9"/>
      <c r="W330" s="10">
        <f t="shared" si="82"/>
        <v>-2857.59</v>
      </c>
      <c r="X330" s="8">
        <f>IFERROR(W330/W444, "NA")</f>
        <v>-0.23150715117852297</v>
      </c>
      <c r="Y330" s="9"/>
      <c r="Z330" s="7">
        <v>7995.19</v>
      </c>
      <c r="AA330" s="8">
        <f>IFERROR(Z330/Z444, "NA")</f>
        <v>2.4585214695625055E-2</v>
      </c>
      <c r="AB330" s="9"/>
      <c r="AC330" s="10">
        <f t="shared" si="83"/>
        <v>-1808.8000000000002</v>
      </c>
      <c r="AD330" s="8">
        <f>IFERROR(AC330/AC444, "NA")</f>
        <v>-5.1889291751903301E-2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1881.98</v>
      </c>
      <c r="C333" s="8">
        <f>IFERROR(B333/B444, "NA")</f>
        <v>1.9277436708747306E-2</v>
      </c>
      <c r="D333" s="9"/>
      <c r="E333" s="7">
        <v>1914</v>
      </c>
      <c r="F333" s="8">
        <f>IFERROR(E333/E444, "NA")</f>
        <v>2.1782775651409125E-2</v>
      </c>
      <c r="G333" s="9"/>
      <c r="H333" s="10">
        <f t="shared" si="80"/>
        <v>32.019999999999982</v>
      </c>
      <c r="I333" s="8">
        <f>IFERROR(H333/H444, "NA")</f>
        <v>3.2812554439942327E-3</v>
      </c>
      <c r="J333" s="9"/>
      <c r="K333" s="7">
        <v>876.21</v>
      </c>
      <c r="L333" s="8">
        <f>IFERROR(K333/K444, "NA")</f>
        <v>1.0956663900230224E-2</v>
      </c>
      <c r="M333" s="9"/>
      <c r="N333" s="10">
        <f t="shared" si="81"/>
        <v>-1005.77</v>
      </c>
      <c r="O333" s="8">
        <f>IFERROR(N333/N444, "NA")</f>
        <v>-5.6966255351011609E-2</v>
      </c>
      <c r="P333" s="9"/>
      <c r="Q333" s="7">
        <v>7143.71</v>
      </c>
      <c r="R333" s="8">
        <f>IFERROR(Q333/Q444, "NA")</f>
        <v>1.9840221410750886E-2</v>
      </c>
      <c r="S333" s="9"/>
      <c r="T333" s="7">
        <v>7656</v>
      </c>
      <c r="U333" s="8">
        <f>IFERROR(T333/T444, "NA")</f>
        <v>2.2017804685104697E-2</v>
      </c>
      <c r="V333" s="9"/>
      <c r="W333" s="10">
        <f t="shared" si="82"/>
        <v>512.29</v>
      </c>
      <c r="X333" s="8">
        <f>IFERROR(W333/W444, "NA")</f>
        <v>4.1503084234353255E-2</v>
      </c>
      <c r="Y333" s="9"/>
      <c r="Z333" s="7">
        <v>6897.14</v>
      </c>
      <c r="AA333" s="8">
        <f>IFERROR(Z333/Z444, "NA")</f>
        <v>2.1208710197729311E-2</v>
      </c>
      <c r="AB333" s="9"/>
      <c r="AC333" s="10">
        <f t="shared" si="83"/>
        <v>-246.56999999999971</v>
      </c>
      <c r="AD333" s="8">
        <f>IFERROR(AC333/AC444, "NA")</f>
        <v>-7.0733871446631916E-3</v>
      </c>
    </row>
    <row r="334" spans="1:30" ht="16.5" customHeight="1" x14ac:dyDescent="0.45">
      <c r="A334" s="6" t="s">
        <v>305</v>
      </c>
      <c r="B334" s="7">
        <v>-364.65</v>
      </c>
      <c r="C334" s="8">
        <f>IFERROR(B334/B444, "NA")</f>
        <v>-3.7351710941905358E-3</v>
      </c>
      <c r="D334" s="9"/>
      <c r="E334" s="7">
        <v>-364.65</v>
      </c>
      <c r="F334" s="8">
        <f>IFERROR(E334/E444, "NA")</f>
        <v>-4.1499943266908763E-3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-354.03</v>
      </c>
      <c r="L334" s="8">
        <f>IFERROR(K334/K444, "NA")</f>
        <v>-4.427006905420511E-3</v>
      </c>
      <c r="M334" s="9"/>
      <c r="N334" s="10">
        <f t="shared" si="81"/>
        <v>10.620000000000005</v>
      </c>
      <c r="O334" s="8">
        <f>IFERROR(N334/N444, "NA")</f>
        <v>6.0151091385480138E-4</v>
      </c>
      <c r="P334" s="9"/>
      <c r="Q334" s="7">
        <v>-364.65</v>
      </c>
      <c r="R334" s="8">
        <f>IFERROR(Q334/Q444, "NA")</f>
        <v>-1.0127422218189582E-3</v>
      </c>
      <c r="S334" s="9"/>
      <c r="T334" s="7">
        <v>-364.65</v>
      </c>
      <c r="U334" s="8">
        <f>IFERROR(T334/T444, "NA")</f>
        <v>-1.0486928524586505E-3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-354.03</v>
      </c>
      <c r="AA334" s="8">
        <f>IFERROR(Z334/Z444, "NA")</f>
        <v>-1.0886424911343117E-3</v>
      </c>
      <c r="AB334" s="9"/>
      <c r="AC334" s="10">
        <f t="shared" si="83"/>
        <v>10.620000000000005</v>
      </c>
      <c r="AD334" s="8">
        <f>IFERROR(AC334/AC444, "NA")</f>
        <v>3.0465738523065749E-4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2033.83</v>
      </c>
      <c r="C338" s="8">
        <f>IFERROR(B338/B444, "NA")</f>
        <v>2.0832861720821438E-2</v>
      </c>
      <c r="D338" s="9"/>
      <c r="E338" s="7">
        <v>2548.16</v>
      </c>
      <c r="F338" s="8">
        <f>IFERROR(E338/E444, "NA")</f>
        <v>2.8999998748116342E-2</v>
      </c>
      <c r="G338" s="9"/>
      <c r="H338" s="10">
        <f t="shared" si="84"/>
        <v>514.32999999999993</v>
      </c>
      <c r="I338" s="8">
        <f>IFERROR(H338/H444, "NA")</f>
        <v>5.2706062227031683E-2</v>
      </c>
      <c r="J338" s="9"/>
      <c r="K338" s="7">
        <v>2154.98</v>
      </c>
      <c r="L338" s="8">
        <f>IFERROR(K338/K444, "NA")</f>
        <v>2.6947183405482848E-2</v>
      </c>
      <c r="M338" s="9"/>
      <c r="N338" s="10">
        <f t="shared" si="85"/>
        <v>121.15000000000009</v>
      </c>
      <c r="O338" s="8">
        <f>IFERROR(N338/N444, "NA")</f>
        <v>6.8618688524961589E-3</v>
      </c>
      <c r="P338" s="9"/>
      <c r="Q338" s="7">
        <v>9068.89</v>
      </c>
      <c r="R338" s="8">
        <f>IFERROR(Q338/Q444, "NA")</f>
        <v>2.5187022646460257E-2</v>
      </c>
      <c r="S338" s="9"/>
      <c r="T338" s="7">
        <v>10083.84</v>
      </c>
      <c r="U338" s="8">
        <f>IFERROR(T338/T444, "NA")</f>
        <v>2.9000002559541035E-2</v>
      </c>
      <c r="V338" s="9"/>
      <c r="W338" s="10">
        <f t="shared" si="86"/>
        <v>1014.9500000000007</v>
      </c>
      <c r="X338" s="8">
        <f>IFERROR(W338/W444, "NA")</f>
        <v>8.2225995712695676E-2</v>
      </c>
      <c r="Y338" s="9"/>
      <c r="Z338" s="7">
        <v>9328.52</v>
      </c>
      <c r="AA338" s="8">
        <f>IFERROR(Z338/Z444, "NA")</f>
        <v>2.8685205353772988E-2</v>
      </c>
      <c r="AB338" s="9"/>
      <c r="AC338" s="10">
        <f t="shared" si="87"/>
        <v>259.63000000000102</v>
      </c>
      <c r="AD338" s="8">
        <f>IFERROR(AC338/AC444, "NA")</f>
        <v>7.4480411419431142E-3</v>
      </c>
    </row>
    <row r="339" spans="1:30" ht="16.5" customHeight="1" x14ac:dyDescent="0.45">
      <c r="A339" s="12" t="s">
        <v>309</v>
      </c>
      <c r="B339" s="7">
        <v>329.61</v>
      </c>
      <c r="C339" s="8">
        <f>IFERROR(B339/B444, "NA")</f>
        <v>3.3762504987142265E-3</v>
      </c>
      <c r="D339" s="9"/>
      <c r="E339" s="7">
        <v>351.47</v>
      </c>
      <c r="F339" s="8">
        <f>IFERROR(E339/E444, "NA")</f>
        <v>3.9999959029262105E-3</v>
      </c>
      <c r="G339" s="9"/>
      <c r="H339" s="10">
        <f t="shared" si="84"/>
        <v>21.860000000000014</v>
      </c>
      <c r="I339" s="8">
        <f>IFERROR(H339/H444, "NA")</f>
        <v>2.240107557954841E-3</v>
      </c>
      <c r="J339" s="9"/>
      <c r="K339" s="7">
        <v>377.91</v>
      </c>
      <c r="L339" s="8">
        <f>IFERROR(K339/K444, "NA")</f>
        <v>4.7256169805594593E-3</v>
      </c>
      <c r="M339" s="9"/>
      <c r="N339" s="10">
        <f t="shared" si="85"/>
        <v>48.300000000000011</v>
      </c>
      <c r="O339" s="8">
        <f>IFERROR(N339/N444, "NA")</f>
        <v>2.7356852296786158E-3</v>
      </c>
      <c r="P339" s="9"/>
      <c r="Q339" s="7">
        <v>1669.05</v>
      </c>
      <c r="R339" s="8">
        <f>IFERROR(Q339/Q444, "NA")</f>
        <v>4.6354515434716371E-3</v>
      </c>
      <c r="S339" s="9"/>
      <c r="T339" s="7">
        <v>1390.88</v>
      </c>
      <c r="U339" s="8">
        <f>IFERROR(T339/T444, "NA")</f>
        <v>4.0000162200128555E-3</v>
      </c>
      <c r="V339" s="9"/>
      <c r="W339" s="10">
        <f t="shared" si="86"/>
        <v>-278.16999999999985</v>
      </c>
      <c r="X339" s="8">
        <f>IFERROR(W339/W444, "NA")</f>
        <v>-2.2535893617814204E-2</v>
      </c>
      <c r="Y339" s="9"/>
      <c r="Z339" s="7">
        <v>1280.19</v>
      </c>
      <c r="AA339" s="8">
        <f>IFERROR(Z339/Z444, "NA")</f>
        <v>3.9365851219536046E-3</v>
      </c>
      <c r="AB339" s="9"/>
      <c r="AC339" s="10">
        <f t="shared" si="87"/>
        <v>-388.8599999999999</v>
      </c>
      <c r="AD339" s="8">
        <f>IFERROR(AC339/AC444, "NA")</f>
        <v>-1.1155279738304462E-2</v>
      </c>
    </row>
    <row r="340" spans="1:30" ht="16.5" customHeight="1" x14ac:dyDescent="0.45">
      <c r="A340" s="12" t="s">
        <v>310</v>
      </c>
      <c r="B340" s="7">
        <v>654.23</v>
      </c>
      <c r="C340" s="8">
        <f>IFERROR(B340/B444, "NA")</f>
        <v>6.7013875907096518E-3</v>
      </c>
      <c r="D340" s="9"/>
      <c r="E340" s="7">
        <v>351.47</v>
      </c>
      <c r="F340" s="8">
        <f>IFERROR(E340/E444, "NA")</f>
        <v>3.9999959029262105E-3</v>
      </c>
      <c r="G340" s="9"/>
      <c r="H340" s="10">
        <f t="shared" si="84"/>
        <v>-302.76</v>
      </c>
      <c r="I340" s="8">
        <f>IFERROR(H340/H444, "NA")</f>
        <v>-3.1025387202488895E-2</v>
      </c>
      <c r="J340" s="9"/>
      <c r="K340" s="7">
        <v>343.26</v>
      </c>
      <c r="L340" s="8">
        <f>IFERROR(K340/K444, "NA")</f>
        <v>4.2923322609797034E-3</v>
      </c>
      <c r="M340" s="9"/>
      <c r="N340" s="10">
        <f t="shared" si="85"/>
        <v>-310.97000000000003</v>
      </c>
      <c r="O340" s="8">
        <f>IFERROR(N340/N444, "NA")</f>
        <v>-1.7613168444578862E-2</v>
      </c>
      <c r="P340" s="9"/>
      <c r="Q340" s="7">
        <v>2266.84</v>
      </c>
      <c r="R340" s="8">
        <f>IFERROR(Q340/Q444, "NA")</f>
        <v>6.295693344599171E-3</v>
      </c>
      <c r="S340" s="9"/>
      <c r="T340" s="7">
        <v>1390.88</v>
      </c>
      <c r="U340" s="8">
        <f>IFERROR(T340/T444, "NA")</f>
        <v>4.0000162200128555E-3</v>
      </c>
      <c r="V340" s="9"/>
      <c r="W340" s="10">
        <f t="shared" si="86"/>
        <v>-875.96</v>
      </c>
      <c r="X340" s="8">
        <f>IFERROR(W340/W444, "NA")</f>
        <v>-7.0965745312077305E-2</v>
      </c>
      <c r="Y340" s="9"/>
      <c r="Z340" s="7">
        <v>1702.66</v>
      </c>
      <c r="AA340" s="8">
        <f>IFERROR(Z340/Z444, "NA")</f>
        <v>5.2356806597032663E-3</v>
      </c>
      <c r="AB340" s="9"/>
      <c r="AC340" s="10">
        <f t="shared" si="87"/>
        <v>-564.18000000000006</v>
      </c>
      <c r="AD340" s="8">
        <f>IFERROR(AC340/AC444, "NA")</f>
        <v>-1.6184708436858031E-2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3017.67</v>
      </c>
      <c r="C342" s="15">
        <f>IFERROR(B342/B444, "NA")</f>
        <v>3.091049981024532E-2</v>
      </c>
      <c r="D342" s="2"/>
      <c r="E342" s="14">
        <f>IFERROR(E337+E338+E339+E340+E341, "NA")</f>
        <v>3251.1000000000004</v>
      </c>
      <c r="F342" s="15">
        <f>IFERROR(E342/E444, "NA")</f>
        <v>3.699999055396877E-2</v>
      </c>
      <c r="G342" s="2"/>
      <c r="H342" s="14">
        <f t="shared" si="84"/>
        <v>233.43000000000029</v>
      </c>
      <c r="I342" s="15">
        <f>IFERROR(H342/H444, "NA")</f>
        <v>2.3920782582497663E-2</v>
      </c>
      <c r="J342" s="2"/>
      <c r="K342" s="14">
        <f>IFERROR(K337+K338+K339+K340+K341, "NA")</f>
        <v>2876.1499999999996</v>
      </c>
      <c r="L342" s="15">
        <f>IFERROR(K342/K444, "NA")</f>
        <v>3.5965132647022009E-2</v>
      </c>
      <c r="M342" s="2"/>
      <c r="N342" s="14">
        <f t="shared" si="85"/>
        <v>-141.52000000000044</v>
      </c>
      <c r="O342" s="15">
        <f>IFERROR(N342/N444, "NA")</f>
        <v>-8.0156143624041162E-3</v>
      </c>
      <c r="P342" s="2"/>
      <c r="Q342" s="14">
        <f>IFERROR(Q337+Q338+Q339+Q340+Q341, "NA")</f>
        <v>13004.779999999999</v>
      </c>
      <c r="R342" s="15">
        <f>IFERROR(Q342/Q444, "NA")</f>
        <v>3.6118167534531065E-2</v>
      </c>
      <c r="S342" s="2"/>
      <c r="T342" s="14">
        <f>IFERROR(T337+T338+T339+T340+T341, "NA")</f>
        <v>12865.600000000002</v>
      </c>
      <c r="U342" s="15">
        <f>IFERROR(T342/T444, "NA")</f>
        <v>3.700003499956675E-2</v>
      </c>
      <c r="V342" s="2"/>
      <c r="W342" s="14">
        <f t="shared" si="86"/>
        <v>-139.17999999999665</v>
      </c>
      <c r="X342" s="15">
        <f>IFERROR(W342/W444, "NA")</f>
        <v>-1.1275643217195626E-2</v>
      </c>
      <c r="Y342" s="2"/>
      <c r="Z342" s="14">
        <f>IFERROR(Z337+Z338+Z339+Z340+Z341, "NA")</f>
        <v>12311.37</v>
      </c>
      <c r="AA342" s="15">
        <f>IFERROR(Z342/Z444, "NA")</f>
        <v>3.7857471135429858E-2</v>
      </c>
      <c r="AB342" s="2"/>
      <c r="AC342" s="14">
        <f t="shared" si="87"/>
        <v>-693.40999999999804</v>
      </c>
      <c r="AD342" s="15">
        <f>IFERROR(AC342/AC444, "NA")</f>
        <v>-1.9891947033219351E-2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11007.3</v>
      </c>
      <c r="C343" s="15">
        <f>IFERROR(B343/B444, "NA")</f>
        <v>0.11274961959436031</v>
      </c>
      <c r="D343" s="2"/>
      <c r="E343" s="14">
        <f>IFERROR(E328+E329+E330+E331+E332+E333+E334+E335+E337+E338+E339+E340+E341, "NA")</f>
        <v>11272.749999999998</v>
      </c>
      <c r="F343" s="15">
        <f>IFERROR(E343/E444, "NA")</f>
        <v>0.12829246824682455</v>
      </c>
      <c r="G343" s="2"/>
      <c r="H343" s="14">
        <f t="shared" si="84"/>
        <v>265.44999999999891</v>
      </c>
      <c r="I343" s="15">
        <f>IFERROR(H343/H444, "NA")</f>
        <v>2.7202038026491755E-2</v>
      </c>
      <c r="J343" s="2"/>
      <c r="K343" s="14">
        <f>IFERROR(K328+K329+K330+K331+K332+K333+K334+K335+K337+K338+K339+K340+K341, "NA")</f>
        <v>9682.11</v>
      </c>
      <c r="L343" s="15">
        <f>IFERROR(K343/K444, "NA")</f>
        <v>0.12107100479914409</v>
      </c>
      <c r="M343" s="2"/>
      <c r="N343" s="14">
        <f t="shared" si="85"/>
        <v>-1325.1899999999987</v>
      </c>
      <c r="O343" s="15">
        <f>IFERROR(N343/N444, "NA")</f>
        <v>-7.5058027112169787E-2</v>
      </c>
      <c r="P343" s="2"/>
      <c r="Q343" s="14">
        <f>IFERROR(Q328+Q329+Q330+Q331+Q332+Q333+Q334+Q335+Q337+Q338+Q339+Q340+Q341, "NA")</f>
        <v>48530.630000000005</v>
      </c>
      <c r="R343" s="15">
        <f>IFERROR(Q343/Q444, "NA")</f>
        <v>0.13478408899622596</v>
      </c>
      <c r="S343" s="2"/>
      <c r="T343" s="14">
        <f>IFERROR(T328+T329+T330+T331+T332+T333+T334+T335+T337+T338+T339+T340+T341, "NA")</f>
        <v>46046.149999999994</v>
      </c>
      <c r="U343" s="15">
        <f>IFERROR(T343/T444, "NA")</f>
        <v>0.13242360726241295</v>
      </c>
      <c r="V343" s="2"/>
      <c r="W343" s="14">
        <f t="shared" si="86"/>
        <v>-2484.4800000000105</v>
      </c>
      <c r="X343" s="15">
        <f>IFERROR(W343/W444, "NA")</f>
        <v>-0.20127971016136645</v>
      </c>
      <c r="Y343" s="2"/>
      <c r="Z343" s="14">
        <f>IFERROR(Z328+Z329+Z330+Z331+Z332+Z333+Z334+Z335+Z337+Z338+Z339+Z340+Z341, "NA")</f>
        <v>45240.710000000006</v>
      </c>
      <c r="AA343" s="15">
        <f>IFERROR(Z343/Z444, "NA")</f>
        <v>0.13911521406401994</v>
      </c>
      <c r="AB343" s="2"/>
      <c r="AC343" s="14">
        <f t="shared" si="87"/>
        <v>-3289.9199999999983</v>
      </c>
      <c r="AD343" s="15">
        <f>IFERROR(AC343/AC444, "NA")</f>
        <v>-9.4378382751228215E-2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11007.3</v>
      </c>
      <c r="C344" s="15">
        <f>IFERROR(B344/B444, "NA")</f>
        <v>0.11274961959436031</v>
      </c>
      <c r="D344" s="2"/>
      <c r="E344" s="14">
        <f>IFERROR(E328+E329+E330+E331+E332+E333+E334+E335+E337+E338+E339+E340+E341, "NA")</f>
        <v>11272.749999999998</v>
      </c>
      <c r="F344" s="15">
        <f>IFERROR(E344/E444, "NA")</f>
        <v>0.12829246824682455</v>
      </c>
      <c r="G344" s="2"/>
      <c r="H344" s="14">
        <f t="shared" si="84"/>
        <v>265.44999999999891</v>
      </c>
      <c r="I344" s="15">
        <f>IFERROR(H344/H444, "NA")</f>
        <v>2.7202038026491755E-2</v>
      </c>
      <c r="J344" s="2"/>
      <c r="K344" s="14">
        <f>IFERROR(K328+K329+K330+K331+K332+K333+K334+K335+K337+K338+K339+K340+K341, "NA")</f>
        <v>9682.11</v>
      </c>
      <c r="L344" s="15">
        <f>IFERROR(K344/K444, "NA")</f>
        <v>0.12107100479914409</v>
      </c>
      <c r="M344" s="2"/>
      <c r="N344" s="14">
        <f t="shared" si="85"/>
        <v>-1325.1899999999987</v>
      </c>
      <c r="O344" s="15">
        <f>IFERROR(N344/N444, "NA")</f>
        <v>-7.5058027112169787E-2</v>
      </c>
      <c r="P344" s="2"/>
      <c r="Q344" s="14">
        <f>IFERROR(Q328+Q329+Q330+Q331+Q332+Q333+Q334+Q335+Q337+Q338+Q339+Q340+Q341, "NA")</f>
        <v>48530.630000000005</v>
      </c>
      <c r="R344" s="15">
        <f>IFERROR(Q344/Q444, "NA")</f>
        <v>0.13478408899622596</v>
      </c>
      <c r="S344" s="2"/>
      <c r="T344" s="14">
        <f>IFERROR(T328+T329+T330+T331+T332+T333+T334+T335+T337+T338+T339+T340+T341, "NA")</f>
        <v>46046.149999999994</v>
      </c>
      <c r="U344" s="15">
        <f>IFERROR(T344/T444, "NA")</f>
        <v>0.13242360726241295</v>
      </c>
      <c r="V344" s="2"/>
      <c r="W344" s="14">
        <f t="shared" si="86"/>
        <v>-2484.4800000000105</v>
      </c>
      <c r="X344" s="15">
        <f>IFERROR(W344/W444, "NA")</f>
        <v>-0.20127971016136645</v>
      </c>
      <c r="Y344" s="2"/>
      <c r="Z344" s="14">
        <f>IFERROR(Z328+Z329+Z330+Z331+Z332+Z333+Z334+Z335+Z337+Z338+Z339+Z340+Z341, "NA")</f>
        <v>45240.710000000006</v>
      </c>
      <c r="AA344" s="15">
        <f>IFERROR(Z344/Z444, "NA")</f>
        <v>0.13911521406401994</v>
      </c>
      <c r="AB344" s="2"/>
      <c r="AC344" s="14">
        <f t="shared" si="87"/>
        <v>-3289.9199999999983</v>
      </c>
      <c r="AD344" s="15">
        <f>IFERROR(AC344/AC444, "NA")</f>
        <v>-9.4378382751228215E-2</v>
      </c>
    </row>
    <row r="345" spans="1:30" ht="16.5" customHeight="1" x14ac:dyDescent="0.45">
      <c r="A345" s="22" t="s">
        <v>315</v>
      </c>
      <c r="B345" s="23">
        <f>IFERROR(B198-B325-B344, "NA")</f>
        <v>8236.1400000000067</v>
      </c>
      <c r="C345" s="24">
        <f>IFERROR(B345/B444, "NA")</f>
        <v>8.4364163048694554E-2</v>
      </c>
      <c r="D345" s="25"/>
      <c r="E345" s="23">
        <f>IFERROR(E198-E325-E344, "NA")</f>
        <v>6375.7800000000116</v>
      </c>
      <c r="F345" s="24">
        <f>IFERROR(E345/E444, "NA")</f>
        <v>7.256122536193392E-2</v>
      </c>
      <c r="G345" s="25"/>
      <c r="H345" s="23">
        <f>IFERROR(B345-E345, "NA")</f>
        <v>1860.3599999999951</v>
      </c>
      <c r="I345" s="24">
        <f>IFERROR(H345/H444, "NA")</f>
        <v>0.19064073634569326</v>
      </c>
      <c r="J345" s="25"/>
      <c r="K345" s="23">
        <f>IFERROR(K198-K325-K344, "NA")</f>
        <v>1917.3000000000065</v>
      </c>
      <c r="L345" s="24">
        <f>IFERROR(K345/K444, "NA")</f>
        <v>2.3975087816746531E-2</v>
      </c>
      <c r="M345" s="25"/>
      <c r="N345" s="23">
        <f>IFERROR(B345-K345, "NA")</f>
        <v>6318.84</v>
      </c>
      <c r="O345" s="24">
        <f>IFERROR(N345/N444, "NA")</f>
        <v>0.35789559537686172</v>
      </c>
      <c r="P345" s="25"/>
      <c r="Q345" s="23">
        <f>IFERROR(Q198-Q325-Q344, "NA")</f>
        <v>9130.6499999999796</v>
      </c>
      <c r="R345" s="24">
        <f>IFERROR(Q345/Q444, "NA")</f>
        <v>2.5358548656660498E-2</v>
      </c>
      <c r="S345" s="25"/>
      <c r="T345" s="23">
        <f>IFERROR(T198-T325-T344, "NA")</f>
        <v>23657.709999999977</v>
      </c>
      <c r="U345" s="24">
        <f>IFERROR(T345/T444, "NA")</f>
        <v>6.8036943322472274E-2</v>
      </c>
      <c r="V345" s="25"/>
      <c r="W345" s="23">
        <f>IFERROR(Q345-T345, "NA")</f>
        <v>-14527.059999999998</v>
      </c>
      <c r="X345" s="24">
        <f>IFERROR(W345/W444, "NA")</f>
        <v>-1.1769072104813751</v>
      </c>
      <c r="Y345" s="25"/>
      <c r="Z345" s="23">
        <f>IFERROR(Z198-Z325-Z344, "NA")</f>
        <v>494.52999999979511</v>
      </c>
      <c r="AA345" s="24">
        <f>IFERROR(Z345/Z444, "NA")</f>
        <v>1.5206800868300093E-3</v>
      </c>
      <c r="AB345" s="25"/>
      <c r="AC345" s="23">
        <f>IFERROR(Q345-Z345, "NA")</f>
        <v>8636.1200000001845</v>
      </c>
      <c r="AD345" s="24">
        <f>IFERROR(AC345/AC444, "NA")</f>
        <v>0.24774554969286636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8236.1400000000067</v>
      </c>
      <c r="C404" s="24">
        <f>IFERROR(B404/B444, "NA")</f>
        <v>8.4364163048694554E-2</v>
      </c>
      <c r="D404" s="25"/>
      <c r="E404" s="23">
        <f>IFERROR(E345-E403, "NA")</f>
        <v>6375.7800000000116</v>
      </c>
      <c r="F404" s="24">
        <f>IFERROR(E404/E444, "NA")</f>
        <v>7.256122536193392E-2</v>
      </c>
      <c r="G404" s="25"/>
      <c r="H404" s="23">
        <f>IFERROR(B404-E404, "NA")</f>
        <v>1860.3599999999951</v>
      </c>
      <c r="I404" s="24">
        <f>IFERROR(H404/H444, "NA")</f>
        <v>0.19064073634569326</v>
      </c>
      <c r="J404" s="25"/>
      <c r="K404" s="23">
        <f>IFERROR(K345-K403, "NA")</f>
        <v>1917.3000000000065</v>
      </c>
      <c r="L404" s="24">
        <f>IFERROR(K404/K444, "NA")</f>
        <v>2.3975087816746531E-2</v>
      </c>
      <c r="M404" s="25"/>
      <c r="N404" s="23">
        <f>IFERROR(B404-K404, "NA")</f>
        <v>6318.84</v>
      </c>
      <c r="O404" s="24">
        <f>IFERROR(N404/N444, "NA")</f>
        <v>0.35789559537686172</v>
      </c>
      <c r="P404" s="25"/>
      <c r="Q404" s="23">
        <f>IFERROR(Q345-Q403, "NA")</f>
        <v>9130.6499999999796</v>
      </c>
      <c r="R404" s="24">
        <f>IFERROR(Q404/Q444, "NA")</f>
        <v>2.5358548656660498E-2</v>
      </c>
      <c r="S404" s="25"/>
      <c r="T404" s="23">
        <f>IFERROR(T345-T403, "NA")</f>
        <v>23657.709999999977</v>
      </c>
      <c r="U404" s="24">
        <f>IFERROR(T404/T444, "NA")</f>
        <v>6.8036943322472274E-2</v>
      </c>
      <c r="V404" s="25"/>
      <c r="W404" s="23">
        <f>IFERROR(Q404-T404, "NA")</f>
        <v>-14527.059999999998</v>
      </c>
      <c r="X404" s="24">
        <f>IFERROR(W404/W444, "NA")</f>
        <v>-1.1769072104813751</v>
      </c>
      <c r="Y404" s="25"/>
      <c r="Z404" s="23">
        <f>IFERROR(Z345-Z403, "NA")</f>
        <v>494.52999999979511</v>
      </c>
      <c r="AA404" s="24">
        <f>IFERROR(Z404/Z444, "NA")</f>
        <v>1.5206800868300093E-3</v>
      </c>
      <c r="AB404" s="25"/>
      <c r="AC404" s="23">
        <f>IFERROR(Q404-Z404, "NA")</f>
        <v>8636.1200000001845</v>
      </c>
      <c r="AD404" s="24">
        <f>IFERROR(AC404/AC444, "NA")</f>
        <v>0.24774554969286636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4225.57</v>
      </c>
      <c r="F407" s="8">
        <f>IFERROR(E407/E444, "NA")</f>
        <v>4.8090200266104943E-2</v>
      </c>
      <c r="G407" s="9"/>
      <c r="H407" s="10">
        <f t="shared" ref="H407:H429" si="100">IFERROR(-(B407-E407), "NA")</f>
        <v>4225.57</v>
      </c>
      <c r="I407" s="8">
        <f>IFERROR(H407/H444, "NA")</f>
        <v>0.43301607015861077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16194.7</v>
      </c>
      <c r="U407" s="8">
        <f>IFERROR(T407/T444, "NA")</f>
        <v>4.6574156417693975E-2</v>
      </c>
      <c r="V407" s="9"/>
      <c r="W407" s="10">
        <f t="shared" ref="W407:W429" si="102">IFERROR(-(Q407-T407), "NA")</f>
        <v>16194.7</v>
      </c>
      <c r="X407" s="8">
        <f>IFERROR(W407/W444, "NA")</f>
        <v>1.3120107717310132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5570.32</v>
      </c>
      <c r="C410" s="8">
        <f>IFERROR(B410/B444, "NA")</f>
        <v>5.7057721786346979E-2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-5570.32</v>
      </c>
      <c r="I410" s="8">
        <f>IFERROR(H410/H444, "NA")</f>
        <v>-0.5708195760396616</v>
      </c>
      <c r="J410" s="9"/>
      <c r="K410" s="7">
        <v>3879.26</v>
      </c>
      <c r="L410" s="8">
        <f>IFERROR(K410/K444, "NA")</f>
        <v>4.8508631494284589E-2</v>
      </c>
      <c r="M410" s="9"/>
      <c r="N410" s="10">
        <f t="shared" si="101"/>
        <v>-1691.0599999999995</v>
      </c>
      <c r="O410" s="8">
        <f>IFERROR(N410/N444, "NA")</f>
        <v>-9.5780701128370963E-2</v>
      </c>
      <c r="P410" s="9"/>
      <c r="Q410" s="7">
        <v>20437.8</v>
      </c>
      <c r="R410" s="8">
        <f>IFERROR(Q410/Q444, "NA")</f>
        <v>5.6761889431212138E-2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-20437.8</v>
      </c>
      <c r="X410" s="8">
        <f>IFERROR(W410/W444, "NA")</f>
        <v>-1.6557647718379531</v>
      </c>
      <c r="Y410" s="9"/>
      <c r="Z410" s="7">
        <v>15424.49</v>
      </c>
      <c r="AA410" s="8">
        <f>IFERROR(Z410/Z444, "NA")</f>
        <v>4.7430317255815271E-2</v>
      </c>
      <c r="AB410" s="9"/>
      <c r="AC410" s="10">
        <f t="shared" si="103"/>
        <v>-5013.3099999999995</v>
      </c>
      <c r="AD410" s="8">
        <f>IFERROR(AC410/AC444, "NA")</f>
        <v>-0.14381750621004771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-21.24</v>
      </c>
      <c r="C416" s="8">
        <f>IFERROR(B416/B444, "NA")</f>
        <v>-2.1756488150447549E-4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21.24</v>
      </c>
      <c r="I416" s="8">
        <f>IFERROR(H416/H444, "NA")</f>
        <v>2.1765729428618844E-3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21.24</v>
      </c>
      <c r="O416" s="8">
        <f>IFERROR(N416/N444, "NA")</f>
        <v>1.2030218277096021E-3</v>
      </c>
      <c r="P416" s="9"/>
      <c r="Q416" s="7">
        <v>-21.24</v>
      </c>
      <c r="R416" s="8">
        <f>IFERROR(Q416/Q444, "NA")</f>
        <v>-5.8989839000232205E-5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21.24</v>
      </c>
      <c r="X416" s="8">
        <f>IFERROR(W416/W444, "NA")</f>
        <v>1.7207548637249665E-3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21.24</v>
      </c>
      <c r="AD416" s="8">
        <f>IFERROR(AC416/AC444, "NA")</f>
        <v>6.0931477046131466E-4</v>
      </c>
    </row>
    <row r="417" spans="1:30" ht="16.5" customHeight="1" x14ac:dyDescent="0.45">
      <c r="A417" s="6" t="s">
        <v>382</v>
      </c>
      <c r="B417" s="7">
        <v>0</v>
      </c>
      <c r="C417" s="8">
        <f>IFERROR(B417/B444, "NA")</f>
        <v>0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0</v>
      </c>
      <c r="I417" s="8">
        <f>IFERROR(H417/H444, "NA")</f>
        <v>0</v>
      </c>
      <c r="J417" s="9"/>
      <c r="K417" s="7">
        <v>54.05</v>
      </c>
      <c r="L417" s="8">
        <f>IFERROR(K417/K444, "NA")</f>
        <v>6.7587414410637118E-4</v>
      </c>
      <c r="M417" s="9"/>
      <c r="N417" s="10">
        <f t="shared" si="101"/>
        <v>54.05</v>
      </c>
      <c r="O417" s="8">
        <f>IFERROR(N417/N444, "NA")</f>
        <v>3.061362042735593E-3</v>
      </c>
      <c r="P417" s="9"/>
      <c r="Q417" s="7">
        <v>10.47</v>
      </c>
      <c r="R417" s="8">
        <f>IFERROR(Q417/Q444, "NA")</f>
        <v>2.9078324591922376E-5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-10.47</v>
      </c>
      <c r="X417" s="8">
        <f>IFERROR(W417/W444, "NA")</f>
        <v>-8.4822520824860649E-4</v>
      </c>
      <c r="Y417" s="9"/>
      <c r="Z417" s="7">
        <v>115.69</v>
      </c>
      <c r="AA417" s="8">
        <f>IFERROR(Z417/Z444, "NA")</f>
        <v>3.5574682879792259E-4</v>
      </c>
      <c r="AB417" s="9"/>
      <c r="AC417" s="10">
        <f t="shared" si="103"/>
        <v>105.22</v>
      </c>
      <c r="AD417" s="8">
        <f>IFERROR(AC417/AC444, "NA")</f>
        <v>3.0184604589425391E-3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67.08</v>
      </c>
      <c r="C424" s="8">
        <f>IFERROR(B424/B444, "NA")</f>
        <v>6.8711168791526437E-4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-67.08</v>
      </c>
      <c r="I424" s="8">
        <f>IFERROR(H424/H444, "NA")</f>
        <v>-6.8740354523152171E-3</v>
      </c>
      <c r="J424" s="9"/>
      <c r="K424" s="7">
        <v>47.92</v>
      </c>
      <c r="L424" s="8">
        <f>IFERROR(K424/K444, "NA")</f>
        <v>5.9922088779976526E-4</v>
      </c>
      <c r="M424" s="9"/>
      <c r="N424" s="10">
        <f t="shared" si="101"/>
        <v>-19.159999999999997</v>
      </c>
      <c r="O424" s="8">
        <f>IFERROR(N424/N444, "NA")</f>
        <v>-1.0852117805515995E-3</v>
      </c>
      <c r="P424" s="9"/>
      <c r="Q424" s="7">
        <v>268.32</v>
      </c>
      <c r="R424" s="8">
        <f>IFERROR(Q424/Q444, "NA")</f>
        <v>7.4520497177694468E-4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-268.32</v>
      </c>
      <c r="X424" s="8">
        <f>IFERROR(W424/W444, "NA")</f>
        <v>-2.1737897600502969E-2</v>
      </c>
      <c r="Y424" s="9"/>
      <c r="Z424" s="7">
        <v>191.68</v>
      </c>
      <c r="AA424" s="8">
        <f>IFERROR(Z424/Z444, "NA")</f>
        <v>5.8941613055567298E-4</v>
      </c>
      <c r="AB424" s="9"/>
      <c r="AC424" s="10">
        <f t="shared" si="103"/>
        <v>-76.639999999999986</v>
      </c>
      <c r="AD424" s="8">
        <f>IFERROR(AC424/AC444, "NA")</f>
        <v>-2.1985821096118245E-3</v>
      </c>
    </row>
    <row r="425" spans="1:30" ht="16.5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12875.21</v>
      </c>
      <c r="R425" s="8">
        <f>IFERROR(Q425/Q444, "NA")</f>
        <v>3.5758312852833318E-2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-12875.21</v>
      </c>
      <c r="X425" s="8">
        <f>IFERROR(W425/W444, "NA")</f>
        <v>-1.0430828733041586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-12875.21</v>
      </c>
      <c r="AD425" s="8">
        <f>IFERROR(AC425/AC444, "NA")</f>
        <v>-0.36935290140259996</v>
      </c>
    </row>
    <row r="426" spans="1:30" ht="16.5" customHeight="1" x14ac:dyDescent="0.45">
      <c r="A426" s="6" t="s">
        <v>391</v>
      </c>
      <c r="B426" s="7">
        <v>-113.35</v>
      </c>
      <c r="C426" s="8">
        <f>IFERROR(B426/B444, "NA")</f>
        <v>-1.1610630564280742E-3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113.35</v>
      </c>
      <c r="I426" s="8">
        <f>IFERROR(H426/H444, "NA")</f>
        <v>1.1615562291591082E-2</v>
      </c>
      <c r="J426" s="9"/>
      <c r="K426" s="7">
        <v>-135.43</v>
      </c>
      <c r="L426" s="8">
        <f>IFERROR(K426/K444, "NA")</f>
        <v>-1.693499266166991E-3</v>
      </c>
      <c r="M426" s="9"/>
      <c r="N426" s="10">
        <f t="shared" si="101"/>
        <v>-22.080000000000013</v>
      </c>
      <c r="O426" s="8">
        <f>IFERROR(N426/N444, "NA")</f>
        <v>-1.2505989621387963E-3</v>
      </c>
      <c r="P426" s="9"/>
      <c r="Q426" s="7">
        <v>-444.57</v>
      </c>
      <c r="R426" s="8">
        <f>IFERROR(Q426/Q444, "NA")</f>
        <v>-1.2347039889045778E-3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444.57</v>
      </c>
      <c r="X426" s="8">
        <f>IFERROR(W426/W444, "NA")</f>
        <v>3.6016760346808306E-2</v>
      </c>
      <c r="Y426" s="9"/>
      <c r="Z426" s="7">
        <v>-535.52</v>
      </c>
      <c r="AA426" s="8">
        <f>IFERROR(Z426/Z444, "NA")</f>
        <v>-1.6467243647494468E-3</v>
      </c>
      <c r="AB426" s="9"/>
      <c r="AC426" s="10">
        <f t="shared" si="103"/>
        <v>-90.949999999999989</v>
      </c>
      <c r="AD426" s="8">
        <f>IFERROR(AC426/AC444, "NA")</f>
        <v>-2.6090950269988967E-3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5502.8099999999995</v>
      </c>
      <c r="C428" s="15">
        <f>IFERROR(B428/B444, "NA")</f>
        <v>5.6366205536329692E-2</v>
      </c>
      <c r="D428" s="2"/>
      <c r="E428" s="14">
        <f>IFERROR(E407+E408+E409+E410+E411+E412+E413+E414+E415+E416+E417+E418+E419+E420+E421+E422+E423+E424+E425+E426+E427, "NA")</f>
        <v>4225.57</v>
      </c>
      <c r="F428" s="15">
        <f>IFERROR(E428/E444, "NA")</f>
        <v>4.8090200266104943E-2</v>
      </c>
      <c r="G428" s="2"/>
      <c r="H428" s="14">
        <f t="shared" si="100"/>
        <v>-1277.2399999999998</v>
      </c>
      <c r="I428" s="15">
        <f>IFERROR(H428/H444, "NA")</f>
        <v>-0.13088540609891303</v>
      </c>
      <c r="J428" s="2"/>
      <c r="K428" s="14">
        <f>IFERROR(K407+K408+K409+K410+K411+K412+K413+K414+K415+K416+K417+K418+K419+K420+K421+K422+K423+K424+K425+K426+K427, "NA")</f>
        <v>3845.8000000000006</v>
      </c>
      <c r="L428" s="15">
        <f>IFERROR(K428/K444, "NA")</f>
        <v>4.8090227260023738E-2</v>
      </c>
      <c r="M428" s="2"/>
      <c r="N428" s="14">
        <f t="shared" si="101"/>
        <v>-1657.0099999999989</v>
      </c>
      <c r="O428" s="15">
        <f>IFERROR(N428/N444, "NA")</f>
        <v>-9.3852128000616125E-2</v>
      </c>
      <c r="P428" s="2"/>
      <c r="Q428" s="14">
        <f>IFERROR(Q407+Q408+Q409+Q410+Q411+Q412+Q413+Q414+Q415+Q416+Q417+Q418+Q419+Q420+Q421+Q422+Q423+Q424+Q425+Q426+Q427, "NA")</f>
        <v>33125.99</v>
      </c>
      <c r="R428" s="15">
        <f>IFERROR(Q428/Q444, "NA")</f>
        <v>9.2000791752509511E-2</v>
      </c>
      <c r="S428" s="2"/>
      <c r="T428" s="14">
        <f>IFERROR(T407+T408+T409+T410+T411+T412+T413+T414+T415+T416+T417+T418+T419+T420+T421+T422+T423+T424+T425+T426+T427, "NA")</f>
        <v>16194.7</v>
      </c>
      <c r="U428" s="15">
        <f>IFERROR(T428/T444, "NA")</f>
        <v>4.6574156417693975E-2</v>
      </c>
      <c r="V428" s="2"/>
      <c r="W428" s="14">
        <f t="shared" si="102"/>
        <v>-16931.289999999997</v>
      </c>
      <c r="X428" s="15">
        <f>IFERROR(W428/W444, "NA")</f>
        <v>-1.3716854810093166</v>
      </c>
      <c r="Y428" s="2"/>
      <c r="Z428" s="14">
        <f>IFERROR(Z407+Z408+Z409+Z410+Z411+Z412+Z413+Z414+Z415+Z416+Z417+Z418+Z419+Z420+Z421+Z422+Z423+Z424+Z425+Z426+Z427, "NA")</f>
        <v>15196.34</v>
      </c>
      <c r="AA428" s="15">
        <f>IFERROR(Z428/Z444, "NA")</f>
        <v>4.6728755850419419E-2</v>
      </c>
      <c r="AB428" s="2"/>
      <c r="AC428" s="14">
        <f t="shared" si="103"/>
        <v>-17929.649999999998</v>
      </c>
      <c r="AD428" s="15">
        <f>IFERROR(AC428/AC444, "NA")</f>
        <v>-0.5143503095198545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5502.8099999999995</v>
      </c>
      <c r="C429" s="15">
        <f>IFERROR(B429/B444, "NA")</f>
        <v>5.6366205536329692E-2</v>
      </c>
      <c r="D429" s="2"/>
      <c r="E429" s="14">
        <f>IFERROR(E407+E408+E409+E410+E411+E412+E413+E414+E415+E416+E417+E418+E419+E420+E421+E422+E423+E424+E425+E426+E427, "NA")</f>
        <v>4225.57</v>
      </c>
      <c r="F429" s="15">
        <f>IFERROR(E429/E444, "NA")</f>
        <v>4.8090200266104943E-2</v>
      </c>
      <c r="G429" s="2"/>
      <c r="H429" s="14">
        <f t="shared" si="100"/>
        <v>-1277.2399999999998</v>
      </c>
      <c r="I429" s="15">
        <f>IFERROR(H429/H444, "NA")</f>
        <v>-0.13088540609891303</v>
      </c>
      <c r="J429" s="2"/>
      <c r="K429" s="14">
        <f>IFERROR(K407+K408+K409+K410+K411+K412+K413+K414+K415+K416+K417+K418+K419+K420+K421+K422+K423+K424+K425+K426+K427, "NA")</f>
        <v>3845.8000000000006</v>
      </c>
      <c r="L429" s="15">
        <f>IFERROR(K429/K444, "NA")</f>
        <v>4.8090227260023738E-2</v>
      </c>
      <c r="M429" s="2"/>
      <c r="N429" s="14">
        <f t="shared" si="101"/>
        <v>-1657.0099999999989</v>
      </c>
      <c r="O429" s="15">
        <f>IFERROR(N429/N444, "NA")</f>
        <v>-9.3852128000616125E-2</v>
      </c>
      <c r="P429" s="2"/>
      <c r="Q429" s="14">
        <f>IFERROR(Q407+Q408+Q409+Q410+Q411+Q412+Q413+Q414+Q415+Q416+Q417+Q418+Q419+Q420+Q421+Q422+Q423+Q424+Q425+Q426+Q427, "NA")</f>
        <v>33125.99</v>
      </c>
      <c r="R429" s="15">
        <f>IFERROR(Q429/Q444, "NA")</f>
        <v>9.2000791752509511E-2</v>
      </c>
      <c r="S429" s="2"/>
      <c r="T429" s="14">
        <f>IFERROR(T407+T408+T409+T410+T411+T412+T413+T414+T415+T416+T417+T418+T419+T420+T421+T422+T423+T424+T425+T426+T427, "NA")</f>
        <v>16194.7</v>
      </c>
      <c r="U429" s="15">
        <f>IFERROR(T429/T444, "NA")</f>
        <v>4.6574156417693975E-2</v>
      </c>
      <c r="V429" s="2"/>
      <c r="W429" s="14">
        <f t="shared" si="102"/>
        <v>-16931.289999999997</v>
      </c>
      <c r="X429" s="15">
        <f>IFERROR(W429/W444, "NA")</f>
        <v>-1.3716854810093166</v>
      </c>
      <c r="Y429" s="2"/>
      <c r="Z429" s="14">
        <f>IFERROR(Z407+Z408+Z409+Z410+Z411+Z412+Z413+Z414+Z415+Z416+Z417+Z418+Z419+Z420+Z421+Z422+Z423+Z424+Z425+Z426+Z427, "NA")</f>
        <v>15196.34</v>
      </c>
      <c r="AA429" s="15">
        <f>IFERROR(Z429/Z444, "NA")</f>
        <v>4.6728755850419419E-2</v>
      </c>
      <c r="AB429" s="2"/>
      <c r="AC429" s="14">
        <f t="shared" si="103"/>
        <v>-17929.649999999998</v>
      </c>
      <c r="AD429" s="15">
        <f>IFERROR(AC429/AC444, "NA")</f>
        <v>-0.5143503095198545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2733.3300000000072</v>
      </c>
      <c r="C443" s="24">
        <f>IFERROR(B443/B444, "NA")</f>
        <v>2.7997957512364856E-2</v>
      </c>
      <c r="D443" s="25"/>
      <c r="E443" s="23">
        <f>IFERROR(E404-E429-E442, "NA")</f>
        <v>2150.2100000000119</v>
      </c>
      <c r="F443" s="24">
        <f>IFERROR(E443/E444, "NA")</f>
        <v>2.4471025095828984E-2</v>
      </c>
      <c r="G443" s="25"/>
      <c r="H443" s="23">
        <f>IFERROR(B443-E443, "NA")</f>
        <v>583.11999999999534</v>
      </c>
      <c r="I443" s="24">
        <f>IFERROR(H443/H444, "NA")</f>
        <v>5.9755330246780224E-2</v>
      </c>
      <c r="J443" s="25"/>
      <c r="K443" s="23">
        <f>IFERROR(K404-K429-K442, "NA")</f>
        <v>-1928.4999999999941</v>
      </c>
      <c r="L443" s="24">
        <f>IFERROR(K443/K444, "NA")</f>
        <v>-2.4115139443277207E-2</v>
      </c>
      <c r="M443" s="25"/>
      <c r="N443" s="23">
        <f>IFERROR(B443-K443, "NA")</f>
        <v>4661.8300000000017</v>
      </c>
      <c r="O443" s="24">
        <f>IFERROR(N443/N444, "NA")</f>
        <v>0.26404346737624562</v>
      </c>
      <c r="P443" s="25"/>
      <c r="Q443" s="23">
        <f>IFERROR(Q404-Q429-Q442, "NA")</f>
        <v>-23995.340000000018</v>
      </c>
      <c r="R443" s="24">
        <f>IFERROR(Q443/Q444, "NA")</f>
        <v>-6.6642243095849013E-2</v>
      </c>
      <c r="S443" s="25"/>
      <c r="T443" s="23">
        <f>IFERROR(T404-T429-T442, "NA")</f>
        <v>7463.0099999999766</v>
      </c>
      <c r="U443" s="24">
        <f>IFERROR(T443/T444, "NA")</f>
        <v>2.1462786904778305E-2</v>
      </c>
      <c r="V443" s="25"/>
      <c r="W443" s="23">
        <f>IFERROR(Q443-T443, "NA")</f>
        <v>-31458.349999999995</v>
      </c>
      <c r="X443" s="24">
        <f>IFERROR(W443/W444, "NA")</f>
        <v>-2.548592691490692</v>
      </c>
      <c r="Y443" s="25"/>
      <c r="Z443" s="23">
        <f>IFERROR(Z404-Z429-Z442, "NA")</f>
        <v>-14701.810000000205</v>
      </c>
      <c r="AA443" s="24">
        <f>IFERROR(Z443/Z444, "NA")</f>
        <v>-4.5208075763589414E-2</v>
      </c>
      <c r="AB443" s="25"/>
      <c r="AC443" s="23">
        <f>IFERROR(Q443-Z443, "NA")</f>
        <v>-9293.5299999998133</v>
      </c>
      <c r="AD443" s="24">
        <f>IFERROR(AC443/AC444, "NA")</f>
        <v>-0.26660475982698811</v>
      </c>
    </row>
    <row r="444" spans="1:30" ht="15.75" hidden="1" x14ac:dyDescent="0.45">
      <c r="A444" s="26" t="s">
        <v>117</v>
      </c>
      <c r="B444" s="7">
        <v>97626.05</v>
      </c>
      <c r="C444" s="27"/>
      <c r="D444" s="9"/>
      <c r="E444" s="7">
        <v>87867.59</v>
      </c>
      <c r="F444" s="27"/>
      <c r="G444" s="9"/>
      <c r="H444" s="10">
        <f>IFERROR(B444-E444, "NA")</f>
        <v>9758.4600000000064</v>
      </c>
      <c r="I444" s="27"/>
      <c r="J444" s="9"/>
      <c r="K444" s="7">
        <v>79970.509999999995</v>
      </c>
      <c r="L444" s="27"/>
      <c r="M444" s="9"/>
      <c r="N444" s="10">
        <f>IFERROR(B444-K444, "NA")</f>
        <v>17655.540000000008</v>
      </c>
      <c r="O444" s="27"/>
      <c r="P444" s="9"/>
      <c r="Q444" s="7">
        <v>360062.01</v>
      </c>
      <c r="R444" s="27"/>
      <c r="S444" s="9"/>
      <c r="T444" s="7">
        <v>347718.59</v>
      </c>
      <c r="U444" s="27"/>
      <c r="V444" s="9"/>
      <c r="W444" s="10">
        <f>IFERROR(Q444-T444, "NA")</f>
        <v>12343.419999999984</v>
      </c>
      <c r="X444" s="27"/>
      <c r="Y444" s="9"/>
      <c r="Z444" s="7">
        <v>325203.18</v>
      </c>
      <c r="AA444" s="27"/>
      <c r="AB444" s="9"/>
      <c r="AC444" s="10">
        <f>IFERROR(Q444-Z444, "NA")</f>
        <v>34858.830000000016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63261.18</v>
      </c>
      <c r="F10" s="8">
        <f>IFERROR(E10/E444, "NA")</f>
        <v>0.27999999468868597</v>
      </c>
      <c r="G10" s="9"/>
      <c r="H10" s="10">
        <f t="shared" ref="H10:H19" si="0">IFERROR(B10-E10, "NA")</f>
        <v>-63261.18</v>
      </c>
      <c r="I10" s="8">
        <f>IFERROR(H10/H444, "NA")</f>
        <v>2.3357338834229857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214847.21</v>
      </c>
      <c r="U10" s="8">
        <f>IFERROR(T10/T444, "NA")</f>
        <v>0.28000000156390209</v>
      </c>
      <c r="V10" s="9"/>
      <c r="W10" s="10">
        <f t="shared" ref="W10:W19" si="2">IFERROR(Q10-T10, "NA")</f>
        <v>-214847.21</v>
      </c>
      <c r="X10" s="8">
        <f>IFERROR(W10/W444, "NA")</f>
        <v>384.80327046731526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48692.3</v>
      </c>
      <c r="C11" s="8">
        <f>IFERROR(B11/B444, "NA")</f>
        <v>0.24487107586108678</v>
      </c>
      <c r="D11" s="9"/>
      <c r="E11" s="7">
        <v>0</v>
      </c>
      <c r="F11" s="8">
        <f>IFERROR(E11/E444, "NA")</f>
        <v>0</v>
      </c>
      <c r="G11" s="9"/>
      <c r="H11" s="10">
        <f t="shared" si="0"/>
        <v>48692.3</v>
      </c>
      <c r="I11" s="8">
        <f>IFERROR(H11/H444, "NA")</f>
        <v>-1.7978206377401915</v>
      </c>
      <c r="J11" s="9"/>
      <c r="K11" s="7">
        <v>51976.86</v>
      </c>
      <c r="L11" s="8">
        <f>IFERROR(K11/K444, "NA")</f>
        <v>0.25277242153393203</v>
      </c>
      <c r="M11" s="9"/>
      <c r="N11" s="10">
        <f t="shared" si="1"/>
        <v>-3284.5599999999977</v>
      </c>
      <c r="O11" s="8">
        <f>IFERROR(N11/N444, "NA")</f>
        <v>0.48456415839772859</v>
      </c>
      <c r="P11" s="9"/>
      <c r="Q11" s="7">
        <v>180308.78</v>
      </c>
      <c r="R11" s="8">
        <f>IFERROR(Q11/Q444, "NA")</f>
        <v>0.23515884441189044</v>
      </c>
      <c r="S11" s="9"/>
      <c r="T11" s="7">
        <v>0</v>
      </c>
      <c r="U11" s="8">
        <f>IFERROR(T11/T444, "NA")</f>
        <v>0</v>
      </c>
      <c r="V11" s="9"/>
      <c r="W11" s="10">
        <f t="shared" si="2"/>
        <v>180308.78</v>
      </c>
      <c r="X11" s="8">
        <f>IFERROR(W11/W444, "NA")</f>
        <v>-322.94302652555575</v>
      </c>
      <c r="Y11" s="9"/>
      <c r="Z11" s="7">
        <v>178771.09</v>
      </c>
      <c r="AA11" s="8">
        <f>IFERROR(Z11/Z444, "NA")</f>
        <v>0.24983419953733507</v>
      </c>
      <c r="AB11" s="9"/>
      <c r="AC11" s="10">
        <f t="shared" si="3"/>
        <v>1537.6900000000023</v>
      </c>
      <c r="AD11" s="8">
        <f>IFERROR(AC11/AC444, "NA")</f>
        <v>3.0036404507462922E-2</v>
      </c>
    </row>
    <row r="12" spans="1:30" ht="16.5" customHeight="1" x14ac:dyDescent="0.45">
      <c r="A12" s="12" t="s">
        <v>14</v>
      </c>
      <c r="B12" s="7">
        <v>5334.95</v>
      </c>
      <c r="C12" s="8">
        <f>IFERROR(B12/B444, "NA")</f>
        <v>2.6829189546706662E-2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5334.95</v>
      </c>
      <c r="I12" s="8">
        <f>IFERROR(H12/H444, "NA")</f>
        <v>-0.19697741144517786</v>
      </c>
      <c r="J12" s="9"/>
      <c r="K12" s="7">
        <v>5329.7</v>
      </c>
      <c r="L12" s="8">
        <f>IFERROR(K12/K444, "NA")</f>
        <v>2.5919248970588019E-2</v>
      </c>
      <c r="M12" s="9"/>
      <c r="N12" s="10">
        <f t="shared" si="1"/>
        <v>5.25</v>
      </c>
      <c r="O12" s="8">
        <f>IFERROR(N12/N444, "NA")</f>
        <v>-7.745213458082899E-4</v>
      </c>
      <c r="P12" s="9"/>
      <c r="Q12" s="7">
        <v>18401.8</v>
      </c>
      <c r="R12" s="8">
        <f>IFERROR(Q12/Q444, "NA")</f>
        <v>2.3999641188292245E-2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18401.8</v>
      </c>
      <c r="X12" s="8">
        <f>IFERROR(W12/W444, "NA")</f>
        <v>-32.958644529223541</v>
      </c>
      <c r="Y12" s="9"/>
      <c r="Z12" s="7">
        <v>15751.49</v>
      </c>
      <c r="AA12" s="8">
        <f>IFERROR(Z12/Z444, "NA")</f>
        <v>2.2012848361949004E-2</v>
      </c>
      <c r="AB12" s="9"/>
      <c r="AC12" s="10">
        <f t="shared" si="3"/>
        <v>2650.3099999999995</v>
      </c>
      <c r="AD12" s="8">
        <f>IFERROR(AC12/AC444, "NA")</f>
        <v>5.1769721615002977E-2</v>
      </c>
    </row>
    <row r="13" spans="1:30" ht="16.5" customHeight="1" x14ac:dyDescent="0.45">
      <c r="A13" s="12" t="s">
        <v>15</v>
      </c>
      <c r="B13" s="7">
        <v>181</v>
      </c>
      <c r="C13" s="8">
        <f>IFERROR(B13/B444, "NA")</f>
        <v>9.1023970383113354E-4</v>
      </c>
      <c r="D13" s="9"/>
      <c r="E13" s="7">
        <v>0</v>
      </c>
      <c r="F13" s="8">
        <f>IFERROR(E13/E444, "NA")</f>
        <v>0</v>
      </c>
      <c r="G13" s="9"/>
      <c r="H13" s="10">
        <f t="shared" si="0"/>
        <v>181</v>
      </c>
      <c r="I13" s="8">
        <f>IFERROR(H13/H444, "NA")</f>
        <v>-6.6828951483288868E-3</v>
      </c>
      <c r="J13" s="9"/>
      <c r="K13" s="7">
        <v>471</v>
      </c>
      <c r="L13" s="8">
        <f>IFERROR(K13/K444, "NA")</f>
        <v>2.2905541147056978E-3</v>
      </c>
      <c r="M13" s="9"/>
      <c r="N13" s="10">
        <f t="shared" si="1"/>
        <v>-290</v>
      </c>
      <c r="O13" s="8">
        <f>IFERROR(N13/N444, "NA")</f>
        <v>4.2783083863696017E-2</v>
      </c>
      <c r="P13" s="9"/>
      <c r="Q13" s="7">
        <v>546</v>
      </c>
      <c r="R13" s="8">
        <f>IFERROR(Q13/Q444, "NA")</f>
        <v>7.1209360436520156E-4</v>
      </c>
      <c r="S13" s="9"/>
      <c r="T13" s="7">
        <v>0</v>
      </c>
      <c r="U13" s="8">
        <f>IFERROR(T13/T444, "NA")</f>
        <v>0</v>
      </c>
      <c r="V13" s="9"/>
      <c r="W13" s="10">
        <f t="shared" si="2"/>
        <v>546</v>
      </c>
      <c r="X13" s="8">
        <f>IFERROR(W13/W444, "NA")</f>
        <v>-0.97791628606745296</v>
      </c>
      <c r="Y13" s="9"/>
      <c r="Z13" s="7">
        <v>1397</v>
      </c>
      <c r="AA13" s="8">
        <f>IFERROR(Z13/Z444, "NA")</f>
        <v>1.9523200130046592E-3</v>
      </c>
      <c r="AB13" s="9"/>
      <c r="AC13" s="10">
        <f t="shared" si="3"/>
        <v>-851</v>
      </c>
      <c r="AD13" s="8">
        <f>IFERROR(AC13/AC444, "NA")</f>
        <v>-1.6622973574550729E-2</v>
      </c>
    </row>
    <row r="14" spans="1:30" ht="16.5" customHeight="1" x14ac:dyDescent="0.45">
      <c r="A14" s="12" t="s">
        <v>16</v>
      </c>
      <c r="B14" s="7">
        <v>50</v>
      </c>
      <c r="C14" s="8">
        <f>IFERROR(B14/B444, "NA")</f>
        <v>2.5144743199755071E-4</v>
      </c>
      <c r="D14" s="9"/>
      <c r="E14" s="7">
        <v>0</v>
      </c>
      <c r="F14" s="8">
        <f>IFERROR(E14/E444, "NA")</f>
        <v>0</v>
      </c>
      <c r="G14" s="9"/>
      <c r="H14" s="10">
        <f t="shared" si="0"/>
        <v>50</v>
      </c>
      <c r="I14" s="8">
        <f>IFERROR(H14/H444, "NA")</f>
        <v>-1.8461036321350515E-3</v>
      </c>
      <c r="J14" s="9"/>
      <c r="K14" s="7">
        <v>495</v>
      </c>
      <c r="L14" s="8">
        <f>IFERROR(K14/K444, "NA")</f>
        <v>2.4072702479391093E-3</v>
      </c>
      <c r="M14" s="9"/>
      <c r="N14" s="10">
        <f t="shared" si="1"/>
        <v>-445</v>
      </c>
      <c r="O14" s="8">
        <f>IFERROR(N14/N444, "NA")</f>
        <v>6.564990454946458E-2</v>
      </c>
      <c r="P14" s="9"/>
      <c r="Q14" s="7">
        <v>130</v>
      </c>
      <c r="R14" s="8">
        <f>IFERROR(Q14/Q444, "NA")</f>
        <v>1.6954609627742895E-4</v>
      </c>
      <c r="S14" s="9"/>
      <c r="T14" s="7">
        <v>0</v>
      </c>
      <c r="U14" s="8">
        <f>IFERROR(T14/T444, "NA")</f>
        <v>0</v>
      </c>
      <c r="V14" s="9"/>
      <c r="W14" s="10">
        <f t="shared" si="2"/>
        <v>130</v>
      </c>
      <c r="X14" s="8">
        <f>IFERROR(W14/W444, "NA")</f>
        <v>-0.23283721096844118</v>
      </c>
      <c r="Y14" s="9"/>
      <c r="Z14" s="7">
        <v>1640</v>
      </c>
      <c r="AA14" s="8">
        <f>IFERROR(Z14/Z444, "NA")</f>
        <v>2.2919146895688195E-3</v>
      </c>
      <c r="AB14" s="9"/>
      <c r="AC14" s="10">
        <f t="shared" si="3"/>
        <v>-1510</v>
      </c>
      <c r="AD14" s="8">
        <f>IFERROR(AC14/AC444, "NA")</f>
        <v>-2.9495523028873795E-2</v>
      </c>
    </row>
    <row r="15" spans="1:30" ht="16.5" customHeight="1" x14ac:dyDescent="0.45">
      <c r="A15" s="12" t="s">
        <v>17</v>
      </c>
      <c r="B15" s="7">
        <v>50</v>
      </c>
      <c r="C15" s="8">
        <f>IFERROR(B15/B444, "NA")</f>
        <v>2.5144743199755071E-4</v>
      </c>
      <c r="D15" s="9"/>
      <c r="E15" s="7">
        <v>0</v>
      </c>
      <c r="F15" s="8">
        <f>IFERROR(E15/E444, "NA")</f>
        <v>0</v>
      </c>
      <c r="G15" s="9"/>
      <c r="H15" s="10">
        <f t="shared" si="0"/>
        <v>50</v>
      </c>
      <c r="I15" s="8">
        <f>IFERROR(H15/H444, "NA")</f>
        <v>-1.8461036321350515E-3</v>
      </c>
      <c r="J15" s="9"/>
      <c r="K15" s="7">
        <v>54</v>
      </c>
      <c r="L15" s="8">
        <f>IFERROR(K15/K444, "NA")</f>
        <v>2.6261129977517555E-4</v>
      </c>
      <c r="M15" s="9"/>
      <c r="N15" s="10">
        <f t="shared" si="1"/>
        <v>-4</v>
      </c>
      <c r="O15" s="8">
        <f>IFERROR(N15/N444, "NA")</f>
        <v>5.9011150156822092E-4</v>
      </c>
      <c r="P15" s="9"/>
      <c r="Q15" s="7">
        <v>160</v>
      </c>
      <c r="R15" s="8">
        <f>IFERROR(Q15/Q444, "NA")</f>
        <v>2.0867211849529718E-4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160</v>
      </c>
      <c r="X15" s="8">
        <f>IFERROR(W15/W444, "NA")</f>
        <v>-0.28656887503808143</v>
      </c>
      <c r="Y15" s="9"/>
      <c r="Z15" s="7">
        <v>314</v>
      </c>
      <c r="AA15" s="8">
        <f>IFERROR(Z15/Z444, "NA")</f>
        <v>4.3881781251500573E-4</v>
      </c>
      <c r="AB15" s="9"/>
      <c r="AC15" s="10">
        <f t="shared" si="3"/>
        <v>-154</v>
      </c>
      <c r="AD15" s="8">
        <f>IFERROR(AC15/AC444, "NA")</f>
        <v>-3.0081526797659367E-3</v>
      </c>
    </row>
    <row r="16" spans="1:30" ht="16.5" customHeight="1" x14ac:dyDescent="0.45">
      <c r="A16" s="12" t="s">
        <v>18</v>
      </c>
      <c r="B16" s="7">
        <v>0.02</v>
      </c>
      <c r="C16" s="8">
        <f>IFERROR(B16/B444, "NA")</f>
        <v>1.0057897279902028E-7</v>
      </c>
      <c r="D16" s="9"/>
      <c r="E16" s="7">
        <v>0</v>
      </c>
      <c r="F16" s="8">
        <f>IFERROR(E16/E444, "NA")</f>
        <v>0</v>
      </c>
      <c r="G16" s="9"/>
      <c r="H16" s="10">
        <f t="shared" si="0"/>
        <v>0.02</v>
      </c>
      <c r="I16" s="8">
        <f>IFERROR(H16/H444, "NA")</f>
        <v>-7.3844145285402066E-7</v>
      </c>
      <c r="J16" s="9"/>
      <c r="K16" s="7">
        <v>0</v>
      </c>
      <c r="L16" s="8">
        <f>IFERROR(K16/K444, "NA")</f>
        <v>0</v>
      </c>
      <c r="M16" s="9"/>
      <c r="N16" s="10">
        <f t="shared" si="1"/>
        <v>0.02</v>
      </c>
      <c r="O16" s="8">
        <f>IFERROR(N16/N444, "NA")</f>
        <v>-2.9505575078411044E-6</v>
      </c>
      <c r="P16" s="9"/>
      <c r="Q16" s="7">
        <v>0.48</v>
      </c>
      <c r="R16" s="8">
        <f>IFERROR(Q16/Q444, "NA")</f>
        <v>6.2601635548589151E-7</v>
      </c>
      <c r="S16" s="9"/>
      <c r="T16" s="7">
        <v>0</v>
      </c>
      <c r="U16" s="8">
        <f>IFERROR(T16/T444, "NA")</f>
        <v>0</v>
      </c>
      <c r="V16" s="9"/>
      <c r="W16" s="10">
        <f t="shared" si="2"/>
        <v>0.48</v>
      </c>
      <c r="X16" s="8">
        <f>IFERROR(W16/W444, "NA")</f>
        <v>-8.5970662511424423E-4</v>
      </c>
      <c r="Y16" s="9"/>
      <c r="Z16" s="7">
        <v>0.6</v>
      </c>
      <c r="AA16" s="8">
        <f>IFERROR(Z16/Z444, "NA")</f>
        <v>8.3850537423249499E-7</v>
      </c>
      <c r="AB16" s="9"/>
      <c r="AC16" s="10">
        <f t="shared" si="3"/>
        <v>-0.12</v>
      </c>
      <c r="AD16" s="8">
        <f>IFERROR(AC16/AC444, "NA")</f>
        <v>-2.3440150751422881E-6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54308.27</v>
      </c>
      <c r="C18" s="15">
        <f>IFERROR(B18/B444, "NA")</f>
        <v>0.27311350055459244</v>
      </c>
      <c r="D18" s="2"/>
      <c r="E18" s="14">
        <f>IFERROR(E10+E11+E12+E13+E14+E15+E16+E17, "NA")</f>
        <v>63261.18</v>
      </c>
      <c r="F18" s="15">
        <f>IFERROR(E18/E444, "NA")</f>
        <v>0.27999999468868597</v>
      </c>
      <c r="G18" s="2"/>
      <c r="H18" s="14">
        <f t="shared" si="0"/>
        <v>-8952.9100000000035</v>
      </c>
      <c r="I18" s="15">
        <f>IFERROR(H18/H444, "NA")</f>
        <v>0.33055999338356462</v>
      </c>
      <c r="J18" s="2"/>
      <c r="K18" s="14">
        <f>IFERROR(K10+K11+K12+K13+K14+K15+K16+K17, "NA")</f>
        <v>58326.559999999998</v>
      </c>
      <c r="L18" s="15">
        <f>IFERROR(K18/K444, "NA")</f>
        <v>0.28365210616694003</v>
      </c>
      <c r="M18" s="2"/>
      <c r="N18" s="14">
        <f t="shared" si="1"/>
        <v>-4018.2900000000009</v>
      </c>
      <c r="O18" s="15">
        <f>IFERROR(N18/N444, "NA")</f>
        <v>0.59280978640914173</v>
      </c>
      <c r="P18" s="2"/>
      <c r="Q18" s="14">
        <f>IFERROR(Q10+Q11+Q12+Q13+Q14+Q15+Q16+Q17, "NA")</f>
        <v>199547.06</v>
      </c>
      <c r="R18" s="15">
        <f>IFERROR(Q18/Q444, "NA")</f>
        <v>0.26024942343567609</v>
      </c>
      <c r="S18" s="2"/>
      <c r="T18" s="14">
        <f>IFERROR(T10+T11+T12+T13+T14+T15+T16+T17, "NA")</f>
        <v>214847.21</v>
      </c>
      <c r="U18" s="15">
        <f>IFERROR(T18/T444, "NA")</f>
        <v>0.28000000156390209</v>
      </c>
      <c r="V18" s="2"/>
      <c r="W18" s="14">
        <f t="shared" si="2"/>
        <v>-15300.149999999994</v>
      </c>
      <c r="X18" s="15">
        <f>IFERROR(W18/W444, "NA")</f>
        <v>27.403417333836874</v>
      </c>
      <c r="Y18" s="2"/>
      <c r="Z18" s="14">
        <f>IFERROR(Z10+Z11+Z12+Z13+Z14+Z15+Z16+Z17, "NA")</f>
        <v>197874.18</v>
      </c>
      <c r="AA18" s="15">
        <f>IFERROR(Z18/Z444, "NA")</f>
        <v>0.27653093891974678</v>
      </c>
      <c r="AB18" s="2"/>
      <c r="AC18" s="14">
        <f t="shared" si="3"/>
        <v>1672.8800000000047</v>
      </c>
      <c r="AD18" s="15">
        <f>IFERROR(AC18/AC444, "NA")</f>
        <v>3.2677132824200351E-2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18752.419999999998</v>
      </c>
      <c r="F21" s="8">
        <f>IFERROR(E21/E444, "NA")</f>
        <v>8.2999993051030785E-2</v>
      </c>
      <c r="G21" s="9"/>
      <c r="H21" s="10">
        <f t="shared" ref="H21:H29" si="4">IFERROR(B21-E21, "NA")</f>
        <v>-18752.419999999998</v>
      </c>
      <c r="I21" s="8">
        <f>IFERROR(H21/H444, "NA")</f>
        <v>0.69237821346643957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63686.86</v>
      </c>
      <c r="U21" s="8">
        <f>IFERROR(T21/T444, "NA")</f>
        <v>8.3000011494680406E-2</v>
      </c>
      <c r="V21" s="9"/>
      <c r="W21" s="10">
        <f t="shared" ref="W21:W29" si="6">IFERROR(Q21-T21, "NA")</f>
        <v>-63686.86</v>
      </c>
      <c r="X21" s="8">
        <f>IFERROR(W21/W444, "NA")</f>
        <v>114.06669890567368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IFERROR(B22/B444, "NA")</f>
        <v>0</v>
      </c>
      <c r="D22" s="9"/>
      <c r="E22" s="7">
        <v>0</v>
      </c>
      <c r="F22" s="8">
        <f>IFERROR(E22/E444, "NA")</f>
        <v>0</v>
      </c>
      <c r="G22" s="9"/>
      <c r="H22" s="10">
        <f t="shared" si="4"/>
        <v>0</v>
      </c>
      <c r="I22" s="8">
        <f>IFERROR(H22/H444, "NA")</f>
        <v>0</v>
      </c>
      <c r="J22" s="9"/>
      <c r="K22" s="7">
        <v>8185.1</v>
      </c>
      <c r="L22" s="8">
        <f>IFERROR(K22/K444, "NA")</f>
        <v>3.9805550922033139E-2</v>
      </c>
      <c r="M22" s="9"/>
      <c r="N22" s="10">
        <f t="shared" si="5"/>
        <v>-8185.1</v>
      </c>
      <c r="O22" s="8">
        <f>IFERROR(N22/N444, "NA")</f>
        <v>1.2075304128715112</v>
      </c>
      <c r="P22" s="9"/>
      <c r="Q22" s="7">
        <v>4179.45</v>
      </c>
      <c r="R22" s="8">
        <f>IFERROR(Q22/Q444, "NA")</f>
        <v>5.4508417852823111E-3</v>
      </c>
      <c r="S22" s="9"/>
      <c r="T22" s="7">
        <v>0</v>
      </c>
      <c r="U22" s="8">
        <f>IFERROR(T22/T444, "NA")</f>
        <v>0</v>
      </c>
      <c r="V22" s="9"/>
      <c r="W22" s="10">
        <f t="shared" si="6"/>
        <v>4179.45</v>
      </c>
      <c r="X22" s="8">
        <f>IFERROR(W22/W444, "NA")</f>
        <v>-7.485626779861934</v>
      </c>
      <c r="Y22" s="9"/>
      <c r="Z22" s="7">
        <v>28463.25</v>
      </c>
      <c r="AA22" s="8">
        <f>IFERROR(Z22/Z444, "NA")</f>
        <v>3.9777646821871772E-2</v>
      </c>
      <c r="AB22" s="9"/>
      <c r="AC22" s="10">
        <f t="shared" si="7"/>
        <v>-24283.8</v>
      </c>
      <c r="AD22" s="8">
        <f>IFERROR(AC22/AC444, "NA")</f>
        <v>-0.47434661068116918</v>
      </c>
    </row>
    <row r="23" spans="1:30" ht="16.5" customHeight="1" x14ac:dyDescent="0.45">
      <c r="A23" s="12" t="s">
        <v>24</v>
      </c>
      <c r="B23" s="7">
        <v>7336.71</v>
      </c>
      <c r="C23" s="8">
        <f>IFERROR(B23/B444, "NA")</f>
        <v>3.6895937776215006E-2</v>
      </c>
      <c r="D23" s="9"/>
      <c r="E23" s="7">
        <v>0</v>
      </c>
      <c r="F23" s="8">
        <f>IFERROR(E23/E444, "NA")</f>
        <v>0</v>
      </c>
      <c r="G23" s="9"/>
      <c r="H23" s="10">
        <f t="shared" si="4"/>
        <v>7336.71</v>
      </c>
      <c r="I23" s="8">
        <f>IFERROR(H23/H444, "NA")</f>
        <v>-0.27088653957843112</v>
      </c>
      <c r="J23" s="9"/>
      <c r="K23" s="7">
        <v>0</v>
      </c>
      <c r="L23" s="8">
        <f>IFERROR(K23/K444, "NA")</f>
        <v>0</v>
      </c>
      <c r="M23" s="9"/>
      <c r="N23" s="10">
        <f t="shared" si="5"/>
        <v>7336.71</v>
      </c>
      <c r="O23" s="8">
        <f>IFERROR(N23/N444, "NA")</f>
        <v>-1.0823692386676456</v>
      </c>
      <c r="P23" s="9"/>
      <c r="Q23" s="7">
        <v>24138.67</v>
      </c>
      <c r="R23" s="8">
        <f>IFERROR(Q23/Q444, "NA")</f>
        <v>3.1481671290992969E-2</v>
      </c>
      <c r="S23" s="9"/>
      <c r="T23" s="7">
        <v>0</v>
      </c>
      <c r="U23" s="8">
        <f>IFERROR(T23/T444, "NA")</f>
        <v>0</v>
      </c>
      <c r="V23" s="9"/>
      <c r="W23" s="10">
        <f t="shared" si="6"/>
        <v>24138.67</v>
      </c>
      <c r="X23" s="8">
        <f>IFERROR(W23/W444, "NA")</f>
        <v>-43.233696917596781</v>
      </c>
      <c r="Y23" s="9"/>
      <c r="Z23" s="7">
        <v>0</v>
      </c>
      <c r="AA23" s="8">
        <f>IFERROR(Z23/Z444, "NA")</f>
        <v>0</v>
      </c>
      <c r="AB23" s="9"/>
      <c r="AC23" s="10">
        <f t="shared" si="7"/>
        <v>24138.67</v>
      </c>
      <c r="AD23" s="8">
        <f>IFERROR(AC23/AC444, "NA")</f>
        <v>0.47151171978237416</v>
      </c>
    </row>
    <row r="24" spans="1:30" ht="16.5" customHeight="1" x14ac:dyDescent="0.45">
      <c r="A24" s="12" t="s">
        <v>25</v>
      </c>
      <c r="B24" s="7">
        <v>1104.8</v>
      </c>
      <c r="C24" s="8">
        <f>IFERROR(B24/B444, "NA")</f>
        <v>5.5559824574178797E-3</v>
      </c>
      <c r="D24" s="9"/>
      <c r="E24" s="7">
        <v>0</v>
      </c>
      <c r="F24" s="8">
        <f>IFERROR(E24/E444, "NA")</f>
        <v>0</v>
      </c>
      <c r="G24" s="9"/>
      <c r="H24" s="10">
        <f t="shared" si="4"/>
        <v>1104.8</v>
      </c>
      <c r="I24" s="8">
        <f>IFERROR(H24/H444, "NA")</f>
        <v>-4.07915058556561E-2</v>
      </c>
      <c r="J24" s="9"/>
      <c r="K24" s="7">
        <v>1717.59</v>
      </c>
      <c r="L24" s="8">
        <f>IFERROR(K24/K444, "NA")</f>
        <v>8.3529359700156239E-3</v>
      </c>
      <c r="M24" s="9"/>
      <c r="N24" s="10">
        <f t="shared" si="5"/>
        <v>-612.79</v>
      </c>
      <c r="O24" s="8">
        <f>IFERROR(N24/N444, "NA")</f>
        <v>9.0403606761497515E-2</v>
      </c>
      <c r="P24" s="9"/>
      <c r="Q24" s="7">
        <v>5416.64</v>
      </c>
      <c r="R24" s="8">
        <f>IFERROR(Q24/Q444, "NA")</f>
        <v>7.064385899539791E-3</v>
      </c>
      <c r="S24" s="9"/>
      <c r="T24" s="7">
        <v>0</v>
      </c>
      <c r="U24" s="8">
        <f>IFERROR(T24/T444, "NA")</f>
        <v>0</v>
      </c>
      <c r="V24" s="9"/>
      <c r="W24" s="10">
        <f t="shared" si="6"/>
        <v>5416.64</v>
      </c>
      <c r="X24" s="8">
        <f>IFERROR(W24/W444, "NA")</f>
        <v>-9.7015026955392099</v>
      </c>
      <c r="Y24" s="9"/>
      <c r="Z24" s="7">
        <v>6578.68</v>
      </c>
      <c r="AA24" s="8">
        <f>IFERROR(Z24/Z444, "NA")</f>
        <v>9.1937642255930513E-3</v>
      </c>
      <c r="AB24" s="9"/>
      <c r="AC24" s="10">
        <f t="shared" si="7"/>
        <v>-1162.04</v>
      </c>
      <c r="AD24" s="8">
        <f>IFERROR(AC24/AC444, "NA")</f>
        <v>-2.2698660649319538E-2</v>
      </c>
    </row>
    <row r="25" spans="1:30" ht="16.5" customHeight="1" x14ac:dyDescent="0.45">
      <c r="A25" s="12" t="s">
        <v>26</v>
      </c>
      <c r="B25" s="7">
        <v>334</v>
      </c>
      <c r="C25" s="8">
        <f>IFERROR(B25/B444, "NA")</f>
        <v>1.6796688457436386E-3</v>
      </c>
      <c r="D25" s="9"/>
      <c r="E25" s="7">
        <v>0</v>
      </c>
      <c r="F25" s="8">
        <f>IFERROR(E25/E444, "NA")</f>
        <v>0</v>
      </c>
      <c r="G25" s="9"/>
      <c r="H25" s="10">
        <f t="shared" si="4"/>
        <v>334</v>
      </c>
      <c r="I25" s="8">
        <f>IFERROR(H25/H444, "NA")</f>
        <v>-1.2331972262662146E-2</v>
      </c>
      <c r="J25" s="9"/>
      <c r="K25" s="7">
        <v>0</v>
      </c>
      <c r="L25" s="8">
        <f>IFERROR(K25/K444, "NA")</f>
        <v>0</v>
      </c>
      <c r="M25" s="9"/>
      <c r="N25" s="10">
        <f t="shared" si="5"/>
        <v>334</v>
      </c>
      <c r="O25" s="8">
        <f>IFERROR(N25/N444, "NA")</f>
        <v>-4.9274310380946443E-2</v>
      </c>
      <c r="P25" s="9"/>
      <c r="Q25" s="7">
        <v>1163.43</v>
      </c>
      <c r="R25" s="8">
        <f>IFERROR(Q25/Q444, "NA")</f>
        <v>1.5173462676311476E-3</v>
      </c>
      <c r="S25" s="9"/>
      <c r="T25" s="7">
        <v>0</v>
      </c>
      <c r="U25" s="8">
        <f>IFERROR(T25/T444, "NA")</f>
        <v>0</v>
      </c>
      <c r="V25" s="9"/>
      <c r="W25" s="10">
        <f t="shared" si="6"/>
        <v>1163.43</v>
      </c>
      <c r="X25" s="8">
        <f>IFERROR(W25/W444, "NA")</f>
        <v>-2.0837676642847196</v>
      </c>
      <c r="Y25" s="9"/>
      <c r="Z25" s="7">
        <v>0</v>
      </c>
      <c r="AA25" s="8">
        <f>IFERROR(Z25/Z444, "NA")</f>
        <v>0</v>
      </c>
      <c r="AB25" s="9"/>
      <c r="AC25" s="10">
        <f t="shared" si="7"/>
        <v>1163.43</v>
      </c>
      <c r="AD25" s="8">
        <f>IFERROR(AC25/AC444, "NA")</f>
        <v>2.2725812157273272E-2</v>
      </c>
    </row>
    <row r="26" spans="1:30" ht="16.5" customHeight="1" x14ac:dyDescent="0.45">
      <c r="A26" s="12" t="s">
        <v>27</v>
      </c>
      <c r="B26" s="7">
        <v>3753.34</v>
      </c>
      <c r="C26" s="8">
        <f>IFERROR(B26/B444, "NA")</f>
        <v>1.8875354088273739E-2</v>
      </c>
      <c r="D26" s="9"/>
      <c r="E26" s="7">
        <v>0</v>
      </c>
      <c r="F26" s="8">
        <f>IFERROR(E26/E444, "NA")</f>
        <v>0</v>
      </c>
      <c r="G26" s="9"/>
      <c r="H26" s="10">
        <f t="shared" si="4"/>
        <v>3753.34</v>
      </c>
      <c r="I26" s="8">
        <f>IFERROR(H26/H444, "NA")</f>
        <v>-0.13858109213275549</v>
      </c>
      <c r="J26" s="9"/>
      <c r="K26" s="7">
        <v>1535.57</v>
      </c>
      <c r="L26" s="8">
        <f>IFERROR(K26/K444, "NA")</f>
        <v>7.4677413628845609E-3</v>
      </c>
      <c r="M26" s="9"/>
      <c r="N26" s="10">
        <f t="shared" si="5"/>
        <v>2217.7700000000004</v>
      </c>
      <c r="O26" s="8">
        <f>IFERROR(N26/N444, "NA")</f>
        <v>-0.32718289620823837</v>
      </c>
      <c r="P26" s="9"/>
      <c r="Q26" s="7">
        <v>12526.93</v>
      </c>
      <c r="R26" s="8">
        <f>IFERROR(Q26/Q444, "NA")</f>
        <v>1.6337631383389332E-2</v>
      </c>
      <c r="S26" s="9"/>
      <c r="T26" s="7">
        <v>0</v>
      </c>
      <c r="U26" s="8">
        <f>IFERROR(T26/T444, "NA")</f>
        <v>0</v>
      </c>
      <c r="V26" s="9"/>
      <c r="W26" s="10">
        <f t="shared" si="6"/>
        <v>12526.93</v>
      </c>
      <c r="X26" s="8">
        <f>IFERROR(W26/W444, "NA")</f>
        <v>-22.43642648612996</v>
      </c>
      <c r="Y26" s="9"/>
      <c r="Z26" s="7">
        <v>11530.31</v>
      </c>
      <c r="AA26" s="8">
        <f>IFERROR(Z26/Z444, "NA")</f>
        <v>1.6113711502611133E-2</v>
      </c>
      <c r="AB26" s="9"/>
      <c r="AC26" s="10">
        <f t="shared" si="7"/>
        <v>996.6200000000008</v>
      </c>
      <c r="AD26" s="8">
        <f>IFERROR(AC26/AC444, "NA")</f>
        <v>1.9467435868235912E-2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868.55</v>
      </c>
      <c r="C28" s="8">
        <f>IFERROR(B28/B444, "NA")</f>
        <v>4.367893341229453E-3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868.55</v>
      </c>
      <c r="I28" s="8">
        <f>IFERROR(H28/H444, "NA")</f>
        <v>-3.2068666193817978E-2</v>
      </c>
      <c r="J28" s="9"/>
      <c r="K28" s="7">
        <v>814.64</v>
      </c>
      <c r="L28" s="8">
        <f>IFERROR(K28/K444, "NA")</f>
        <v>3.9617346157194257E-3</v>
      </c>
      <c r="M28" s="9"/>
      <c r="N28" s="10">
        <f t="shared" si="5"/>
        <v>53.909999999999968</v>
      </c>
      <c r="O28" s="8">
        <f>IFERROR(N28/N444, "NA")</f>
        <v>-7.953227762385693E-3</v>
      </c>
      <c r="P28" s="9"/>
      <c r="Q28" s="7">
        <v>3438.26</v>
      </c>
      <c r="R28" s="8">
        <f>IFERROR(Q28/Q444, "NA")</f>
        <v>4.4841812383602528E-3</v>
      </c>
      <c r="S28" s="9"/>
      <c r="T28" s="7">
        <v>0</v>
      </c>
      <c r="U28" s="8">
        <f>IFERROR(T28/T444, "NA")</f>
        <v>0</v>
      </c>
      <c r="V28" s="9"/>
      <c r="W28" s="10">
        <f t="shared" si="6"/>
        <v>3438.26</v>
      </c>
      <c r="X28" s="8">
        <f>IFERROR(W28/W444, "NA")</f>
        <v>-6.158114376802712</v>
      </c>
      <c r="Y28" s="9"/>
      <c r="Z28" s="7">
        <v>3144.75</v>
      </c>
      <c r="AA28" s="8">
        <f>IFERROR(Z28/Z444, "NA")</f>
        <v>4.3948162926960646E-3</v>
      </c>
      <c r="AB28" s="9"/>
      <c r="AC28" s="10">
        <f t="shared" si="7"/>
        <v>293.51000000000022</v>
      </c>
      <c r="AD28" s="8">
        <f>IFERROR(AC28/AC444, "NA")</f>
        <v>5.7332655392084465E-3</v>
      </c>
    </row>
    <row r="29" spans="1:30" ht="16.5" customHeight="1" x14ac:dyDescent="0.45">
      <c r="A29" s="13" t="s">
        <v>30</v>
      </c>
      <c r="B29" s="14">
        <f>IFERROR(B21+B22+B23+B24+B25+B26+B27+B28, "NA")</f>
        <v>13397.4</v>
      </c>
      <c r="C29" s="15">
        <f>IFERROR(B29/B444, "NA")</f>
        <v>6.737483650887971E-2</v>
      </c>
      <c r="D29" s="2"/>
      <c r="E29" s="14">
        <f>IFERROR(E21+E22+E23+E24+E25+E26+E27+E28, "NA")</f>
        <v>18752.419999999998</v>
      </c>
      <c r="F29" s="15">
        <f>IFERROR(E29/E444, "NA")</f>
        <v>8.2999993051030785E-2</v>
      </c>
      <c r="G29" s="2"/>
      <c r="H29" s="14">
        <f t="shared" si="4"/>
        <v>-5355.0199999999986</v>
      </c>
      <c r="I29" s="15">
        <f>IFERROR(H29/H444, "NA")</f>
        <v>0.19771843744311682</v>
      </c>
      <c r="J29" s="2"/>
      <c r="K29" s="14">
        <f>IFERROR(K21+K22+K23+K24+K25+K26+K27+K28, "NA")</f>
        <v>12252.9</v>
      </c>
      <c r="L29" s="15">
        <f>IFERROR(K29/K444, "NA")</f>
        <v>5.9587962870652746E-2</v>
      </c>
      <c r="M29" s="2"/>
      <c r="N29" s="14">
        <f t="shared" si="5"/>
        <v>1144.5</v>
      </c>
      <c r="O29" s="15">
        <f>IFERROR(N29/N444, "NA")</f>
        <v>-0.16884565338620722</v>
      </c>
      <c r="P29" s="2"/>
      <c r="Q29" s="14">
        <f>IFERROR(Q21+Q22+Q23+Q24+Q25+Q26+Q27+Q28, "NA")</f>
        <v>50863.380000000005</v>
      </c>
      <c r="R29" s="15">
        <f>IFERROR(Q29/Q444, "NA")</f>
        <v>6.6336057865195808E-2</v>
      </c>
      <c r="S29" s="2"/>
      <c r="T29" s="14">
        <f>IFERROR(T21+T22+T23+T24+T25+T26+T27+T28, "NA")</f>
        <v>63686.86</v>
      </c>
      <c r="U29" s="15">
        <f>IFERROR(T29/T444, "NA")</f>
        <v>8.3000011494680406E-2</v>
      </c>
      <c r="V29" s="2"/>
      <c r="W29" s="14">
        <f t="shared" si="6"/>
        <v>-12823.479999999996</v>
      </c>
      <c r="X29" s="15">
        <f>IFERROR(W29/W444, "NA")</f>
        <v>22.967563985458348</v>
      </c>
      <c r="Y29" s="2"/>
      <c r="Z29" s="14">
        <f>IFERROR(Z21+Z22+Z23+Z24+Z25+Z26+Z27+Z28, "NA")</f>
        <v>49716.99</v>
      </c>
      <c r="AA29" s="15">
        <f>IFERROR(Z29/Z444, "NA")</f>
        <v>6.9479938842772024E-2</v>
      </c>
      <c r="AB29" s="2"/>
      <c r="AC29" s="14">
        <f t="shared" si="7"/>
        <v>1146.3900000000067</v>
      </c>
      <c r="AD29" s="15">
        <f>IFERROR(AC29/AC444, "NA")</f>
        <v>2.2392962016603197E-2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50157.08</v>
      </c>
      <c r="F31" s="8">
        <f>IFERROR(E31/E444, "NA")</f>
        <v>0.22200000274417891</v>
      </c>
      <c r="G31" s="9"/>
      <c r="H31" s="10">
        <f t="shared" ref="H31:H40" si="8">IFERROR(B31-E31, "NA")</f>
        <v>-50157.08</v>
      </c>
      <c r="I31" s="8">
        <f>IFERROR(H31/H444, "NA")</f>
        <v>1.8519033513057672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170343.14</v>
      </c>
      <c r="U31" s="8">
        <f>IFERROR(T31/T444, "NA")</f>
        <v>0.22199999463060283</v>
      </c>
      <c r="V31" s="9"/>
      <c r="W31" s="10">
        <f t="shared" ref="W31:W40" si="10">IFERROR(Q31-T31, "NA")</f>
        <v>-170343.14</v>
      </c>
      <c r="X31" s="8">
        <f>IFERROR(W31/W444, "NA")</f>
        <v>305.0940125015901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18238.59</v>
      </c>
      <c r="C33" s="8">
        <f>IFERROR(B33/B444, "NA")</f>
        <v>9.1720932375124159E-2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18238.59</v>
      </c>
      <c r="I33" s="8">
        <f>IFERROR(H33/H444, "NA")</f>
        <v>-0.67340654488044061</v>
      </c>
      <c r="J33" s="9"/>
      <c r="K33" s="7">
        <v>19636.46</v>
      </c>
      <c r="L33" s="8">
        <f>IFERROR(K33/K444, "NA")</f>
        <v>9.5495486733023022E-2</v>
      </c>
      <c r="M33" s="9"/>
      <c r="N33" s="10">
        <f t="shared" si="9"/>
        <v>-1397.869999999999</v>
      </c>
      <c r="O33" s="8">
        <f>IFERROR(N33/N444, "NA")</f>
        <v>0.2062247911742921</v>
      </c>
      <c r="P33" s="9"/>
      <c r="Q33" s="7">
        <v>83108.539999999994</v>
      </c>
      <c r="R33" s="8">
        <f>IFERROR(Q33/Q444, "NA")</f>
        <v>0.10839021941781965</v>
      </c>
      <c r="S33" s="9"/>
      <c r="T33" s="7">
        <v>0</v>
      </c>
      <c r="U33" s="8">
        <f>IFERROR(T33/T444, "NA")</f>
        <v>0</v>
      </c>
      <c r="V33" s="9"/>
      <c r="W33" s="10">
        <f t="shared" si="10"/>
        <v>83108.539999999994</v>
      </c>
      <c r="X33" s="8">
        <f>IFERROR(W33/W444, "NA")</f>
        <v>-148.8520050866087</v>
      </c>
      <c r="Y33" s="9"/>
      <c r="Z33" s="7">
        <v>81716.5</v>
      </c>
      <c r="AA33" s="8">
        <f>IFERROR(Z33/Z444, "NA")</f>
        <v>0.11419954068911613</v>
      </c>
      <c r="AB33" s="9"/>
      <c r="AC33" s="10">
        <f t="shared" si="11"/>
        <v>1392.0399999999936</v>
      </c>
      <c r="AD33" s="8">
        <f>IFERROR(AC33/AC444, "NA")</f>
        <v>2.7191356210008798E-2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1223.56</v>
      </c>
      <c r="C35" s="8">
        <f>IFERROR(B35/B444, "NA")</f>
        <v>6.1532203978984625E-3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1223.56</v>
      </c>
      <c r="I35" s="8">
        <f>IFERROR(H35/H444, "NA")</f>
        <v>-4.5176371202703271E-2</v>
      </c>
      <c r="J35" s="9"/>
      <c r="K35" s="7">
        <v>2745.13</v>
      </c>
      <c r="L35" s="8">
        <f>IFERROR(K35/K444, "NA")</f>
        <v>1.3350039950959772E-2</v>
      </c>
      <c r="M35" s="9"/>
      <c r="N35" s="10">
        <f t="shared" si="9"/>
        <v>-1521.5700000000002</v>
      </c>
      <c r="O35" s="8">
        <f>IFERROR(N35/N444, "NA")</f>
        <v>0.22447398936028951</v>
      </c>
      <c r="P35" s="9"/>
      <c r="Q35" s="7">
        <v>5485.53</v>
      </c>
      <c r="R35" s="8">
        <f>IFERROR(Q35/Q444, "NA")</f>
        <v>7.154232288559422E-3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5485.53</v>
      </c>
      <c r="X35" s="8">
        <f>IFERROR(W35/W444, "NA")</f>
        <v>-9.8248885067977927</v>
      </c>
      <c r="Y35" s="9"/>
      <c r="Z35" s="7">
        <v>9226.9599999999991</v>
      </c>
      <c r="AA35" s="8">
        <f>IFERROR(Z35/Z444, "NA")</f>
        <v>1.2894759246380436E-2</v>
      </c>
      <c r="AB35" s="9"/>
      <c r="AC35" s="10">
        <f t="shared" si="11"/>
        <v>-3741.4299999999994</v>
      </c>
      <c r="AD35" s="8">
        <f>IFERROR(AC35/AC444, "NA")</f>
        <v>-7.3083069354913419E-2</v>
      </c>
    </row>
    <row r="36" spans="1:30" ht="16.5" customHeight="1" x14ac:dyDescent="0.45">
      <c r="A36" s="12" t="s">
        <v>36</v>
      </c>
      <c r="B36" s="7">
        <v>31284.22</v>
      </c>
      <c r="C36" s="8">
        <f>IFERROR(B36/B444, "NA")</f>
        <v>0.1573267356209283</v>
      </c>
      <c r="D36" s="9"/>
      <c r="E36" s="7">
        <v>0</v>
      </c>
      <c r="F36" s="8">
        <f>IFERROR(E36/E444, "NA")</f>
        <v>0</v>
      </c>
      <c r="G36" s="9"/>
      <c r="H36" s="10">
        <f t="shared" si="8"/>
        <v>31284.22</v>
      </c>
      <c r="I36" s="8">
        <f>IFERROR(H36/H444, "NA")</f>
        <v>-1.1550782434102405</v>
      </c>
      <c r="J36" s="9"/>
      <c r="K36" s="7">
        <v>18986.89</v>
      </c>
      <c r="L36" s="8">
        <f>IFERROR(K36/K444, "NA")</f>
        <v>9.2336515955338566E-2</v>
      </c>
      <c r="M36" s="9"/>
      <c r="N36" s="10">
        <f t="shared" si="9"/>
        <v>12297.330000000002</v>
      </c>
      <c r="O36" s="8">
        <f>IFERROR(N36/N444, "NA")</f>
        <v>-1.8141989678949828</v>
      </c>
      <c r="P36" s="9"/>
      <c r="Q36" s="7">
        <v>115790.19</v>
      </c>
      <c r="R36" s="8">
        <f>IFERROR(Q36/Q444, "NA")</f>
        <v>0.1510136515517061</v>
      </c>
      <c r="S36" s="9"/>
      <c r="T36" s="7">
        <v>0</v>
      </c>
      <c r="U36" s="8">
        <f>IFERROR(T36/T444, "NA")</f>
        <v>0</v>
      </c>
      <c r="V36" s="9"/>
      <c r="W36" s="10">
        <f t="shared" si="10"/>
        <v>115790.19</v>
      </c>
      <c r="X36" s="8">
        <f>IFERROR(W36/W444, "NA")</f>
        <v>-207.38665305466068</v>
      </c>
      <c r="Y36" s="9"/>
      <c r="Z36" s="7">
        <v>94444.37</v>
      </c>
      <c r="AA36" s="8">
        <f>IFERROR(Z36/Z444, "NA")</f>
        <v>0.13198685301833704</v>
      </c>
      <c r="AB36" s="9"/>
      <c r="AC36" s="10">
        <f t="shared" si="11"/>
        <v>21345.820000000007</v>
      </c>
      <c r="AD36" s="8">
        <f>IFERROR(AC36/AC444, "NA")</f>
        <v>0.41695769892728146</v>
      </c>
    </row>
    <row r="37" spans="1:30" ht="16.5" customHeight="1" x14ac:dyDescent="0.45">
      <c r="A37" s="12" t="s">
        <v>37</v>
      </c>
      <c r="B37" s="7">
        <v>1670.24</v>
      </c>
      <c r="C37" s="8">
        <f>IFERROR(B37/B444, "NA")</f>
        <v>8.3995511763917813E-3</v>
      </c>
      <c r="D37" s="9"/>
      <c r="E37" s="7">
        <v>0</v>
      </c>
      <c r="F37" s="8">
        <f>IFERROR(E37/E444, "NA")</f>
        <v>0</v>
      </c>
      <c r="G37" s="9"/>
      <c r="H37" s="10">
        <f t="shared" si="8"/>
        <v>1670.24</v>
      </c>
      <c r="I37" s="8">
        <f>IFERROR(H37/H444, "NA")</f>
        <v>-6.1668722610744971E-2</v>
      </c>
      <c r="J37" s="9"/>
      <c r="K37" s="7">
        <v>0</v>
      </c>
      <c r="L37" s="8">
        <f>IFERROR(K37/K444, "NA")</f>
        <v>0</v>
      </c>
      <c r="M37" s="9"/>
      <c r="N37" s="10">
        <f t="shared" si="9"/>
        <v>1670.24</v>
      </c>
      <c r="O37" s="8">
        <f>IFERROR(N37/N444, "NA")</f>
        <v>-0.24640695859482634</v>
      </c>
      <c r="P37" s="9"/>
      <c r="Q37" s="7">
        <v>6174.39</v>
      </c>
      <c r="R37" s="8">
        <f>IFERROR(Q37/Q444, "NA")</f>
        <v>8.0526440107261121E-3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6174.39</v>
      </c>
      <c r="X37" s="8">
        <f>IFERROR(W37/W444, "NA")</f>
        <v>-11.058674977164873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6174.39</v>
      </c>
      <c r="AD37" s="8">
        <f>IFERROR(AC37/AC444, "NA")</f>
        <v>0.12060719366506495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2918.95</v>
      </c>
      <c r="L39" s="8">
        <f>IFERROR(K39/K444, "NA")</f>
        <v>1.4195356545902751E-2</v>
      </c>
      <c r="M39" s="9"/>
      <c r="N39" s="10">
        <f t="shared" si="9"/>
        <v>-2918.95</v>
      </c>
      <c r="O39" s="8">
        <f>IFERROR(N39/N444, "NA")</f>
        <v>0.43062649187563956</v>
      </c>
      <c r="P39" s="9"/>
      <c r="Q39" s="7">
        <v>904.59</v>
      </c>
      <c r="R39" s="8">
        <f>IFERROR(Q39/Q444, "NA")</f>
        <v>1.1797669479353804E-3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904.59</v>
      </c>
      <c r="X39" s="8">
        <f>IFERROR(W39/W444, "NA")</f>
        <v>-1.6201708666918631</v>
      </c>
      <c r="Y39" s="9"/>
      <c r="Z39" s="7">
        <v>9210.75</v>
      </c>
      <c r="AA39" s="8">
        <f>IFERROR(Z39/Z444, "NA")</f>
        <v>1.2872105626186589E-2</v>
      </c>
      <c r="AB39" s="9"/>
      <c r="AC39" s="10">
        <f t="shared" si="11"/>
        <v>-8306.16</v>
      </c>
      <c r="AD39" s="8">
        <f>IFERROR(AC39/AC444, "NA")</f>
        <v>-0.1622480354711989</v>
      </c>
    </row>
    <row r="40" spans="1:30" ht="16.5" customHeight="1" x14ac:dyDescent="0.45">
      <c r="A40" s="13" t="s">
        <v>40</v>
      </c>
      <c r="B40" s="14">
        <f>IFERROR(B31+B32+B33+B34+B35+B36+B37+B38+B39, "NA")</f>
        <v>52416.61</v>
      </c>
      <c r="C40" s="15">
        <f>IFERROR(B40/B444, "NA")</f>
        <v>0.26360043957034274</v>
      </c>
      <c r="D40" s="2"/>
      <c r="E40" s="14">
        <f>IFERROR(E31+E32+E33+E34+E35+E36+E37+E38+E39, "NA")</f>
        <v>50157.08</v>
      </c>
      <c r="F40" s="15">
        <f>IFERROR(E40/E444, "NA")</f>
        <v>0.22200000274417891</v>
      </c>
      <c r="G40" s="2"/>
      <c r="H40" s="14">
        <f t="shared" si="8"/>
        <v>2259.5299999999988</v>
      </c>
      <c r="I40" s="15">
        <f>IFERROR(H40/H444, "NA")</f>
        <v>-8.3426530798362222E-2</v>
      </c>
      <c r="J40" s="2"/>
      <c r="K40" s="14">
        <f>IFERROR(K31+K32+K33+K34+K35+K36+K37+K38+K39, "NA")</f>
        <v>44287.429999999993</v>
      </c>
      <c r="L40" s="15">
        <f>IFERROR(K40/K444, "NA")</f>
        <v>0.21537739918522408</v>
      </c>
      <c r="M40" s="2"/>
      <c r="N40" s="14">
        <f t="shared" si="9"/>
        <v>8129.1800000000076</v>
      </c>
      <c r="O40" s="15">
        <f>IFERROR(N40/N444, "NA")</f>
        <v>-1.1992806540795886</v>
      </c>
      <c r="P40" s="2"/>
      <c r="Q40" s="14">
        <f>IFERROR(Q31+Q32+Q33+Q34+Q35+Q36+Q37+Q38+Q39, "NA")</f>
        <v>211463.24000000002</v>
      </c>
      <c r="R40" s="15">
        <f>IFERROR(Q40/Q444, "NA")</f>
        <v>0.27579051421674666</v>
      </c>
      <c r="S40" s="2"/>
      <c r="T40" s="14">
        <f>IFERROR(T31+T32+T33+T34+T35+T36+T37+T38+T39, "NA")</f>
        <v>170343.14</v>
      </c>
      <c r="U40" s="15">
        <f>IFERROR(T40/T444, "NA")</f>
        <v>0.22199999463060283</v>
      </c>
      <c r="V40" s="2"/>
      <c r="W40" s="14">
        <f t="shared" si="10"/>
        <v>41120.100000000006</v>
      </c>
      <c r="X40" s="15">
        <f>IFERROR(W40/W444, "NA")</f>
        <v>-73.648379990333837</v>
      </c>
      <c r="Y40" s="2"/>
      <c r="Z40" s="14">
        <f>IFERROR(Z31+Z32+Z33+Z34+Z35+Z36+Z37+Z38+Z39, "NA")</f>
        <v>194598.58</v>
      </c>
      <c r="AA40" s="15">
        <f>IFERROR(Z40/Z444, "NA")</f>
        <v>0.27195325858002017</v>
      </c>
      <c r="AB40" s="2"/>
      <c r="AC40" s="14">
        <f t="shared" si="11"/>
        <v>16864.660000000033</v>
      </c>
      <c r="AD40" s="15">
        <f>IFERROR(AC40/AC444, "NA")</f>
        <v>0.32942514397624351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77043.08</v>
      </c>
      <c r="F42" s="8">
        <f>IFERROR(E42/E444, "NA")</f>
        <v>0.34099999384772789</v>
      </c>
      <c r="G42" s="9"/>
      <c r="H42" s="10">
        <f>IFERROR(B42-E42, "NA")</f>
        <v>-77043.08</v>
      </c>
      <c r="I42" s="8">
        <f>IFERROR(H42/H444, "NA")</f>
        <v>2.8445901963774269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261653.2</v>
      </c>
      <c r="U42" s="8">
        <f>IFERROR(T42/T444, "NA")</f>
        <v>0.3409999897564413</v>
      </c>
      <c r="V42" s="9"/>
      <c r="W42" s="10">
        <f>IFERROR(Q42-T42, "NA")</f>
        <v>-261653.2</v>
      </c>
      <c r="X42" s="8">
        <f>IFERROR(W42/W444, "NA")</f>
        <v>468.63539483821336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12491.21</v>
      </c>
      <c r="C43" s="8">
        <f>IFERROR(B43/B444, "NA")</f>
        <v>6.2817653540842497E-2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12491.21</v>
      </c>
      <c r="I43" s="8">
        <f>IFERROR(H43/H444, "NA")</f>
        <v>-0.46120136301523351</v>
      </c>
      <c r="J43" s="9"/>
      <c r="K43" s="7">
        <v>19211.830000000002</v>
      </c>
      <c r="L43" s="8">
        <f>IFERROR(K43/K444, "NA")</f>
        <v>9.3430437914068729E-2</v>
      </c>
      <c r="M43" s="9"/>
      <c r="N43" s="10">
        <f>IFERROR(B43-K43, "NA")</f>
        <v>-6720.6200000000026</v>
      </c>
      <c r="O43" s="8">
        <f>IFERROR(N43/N444, "NA")</f>
        <v>0.99147878991735461</v>
      </c>
      <c r="P43" s="9"/>
      <c r="Q43" s="7">
        <v>37618.99</v>
      </c>
      <c r="R43" s="8">
        <f>IFERROR(Q43/Q444, "NA")</f>
        <v>4.9062714618458743E-2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37618.99</v>
      </c>
      <c r="X43" s="8">
        <f>IFERROR(W43/W444, "NA")</f>
        <v>-67.377697777305215</v>
      </c>
      <c r="Y43" s="9"/>
      <c r="Z43" s="7">
        <v>52200.160000000003</v>
      </c>
      <c r="AA43" s="8">
        <f>IFERROR(Z43/Z444, "NA")</f>
        <v>7.2950191159660199E-2</v>
      </c>
      <c r="AB43" s="9"/>
      <c r="AC43" s="10">
        <f>IFERROR(Q43-Z43, "NA")</f>
        <v>-14581.170000000006</v>
      </c>
      <c r="AD43" s="8">
        <f>IFERROR(AC43/AC444, "NA")</f>
        <v>-0.28482068577677078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45858.89</v>
      </c>
      <c r="C48" s="8">
        <f>IFERROR(B48/B444, "NA")</f>
        <v>0.23062200249516315</v>
      </c>
      <c r="D48" s="9"/>
      <c r="E48" s="7">
        <v>0</v>
      </c>
      <c r="F48" s="8">
        <f>IFERROR(E48/E444, "NA")</f>
        <v>0</v>
      </c>
      <c r="G48" s="9"/>
      <c r="H48" s="10">
        <f t="shared" si="12"/>
        <v>45858.89</v>
      </c>
      <c r="I48" s="8">
        <f>IFERROR(H48/H444, "NA")</f>
        <v>-1.693205267893636</v>
      </c>
      <c r="J48" s="9"/>
      <c r="K48" s="7">
        <v>40257.699999999997</v>
      </c>
      <c r="L48" s="8">
        <f>IFERROR(K48/K444, "NA")</f>
        <v>0.19578012820294599</v>
      </c>
      <c r="M48" s="9"/>
      <c r="N48" s="10">
        <f t="shared" si="13"/>
        <v>5601.1900000000023</v>
      </c>
      <c r="O48" s="8">
        <f>IFERROR(N48/N444, "NA")</f>
        <v>-0.82633166036722616</v>
      </c>
      <c r="P48" s="9"/>
      <c r="Q48" s="7">
        <v>180978.6</v>
      </c>
      <c r="R48" s="8">
        <f>IFERROR(Q48/Q444, "NA")</f>
        <v>0.23603242415195619</v>
      </c>
      <c r="S48" s="9"/>
      <c r="T48" s="7">
        <v>0</v>
      </c>
      <c r="U48" s="8">
        <f>IFERROR(T48/T444, "NA")</f>
        <v>0</v>
      </c>
      <c r="V48" s="9"/>
      <c r="W48" s="10">
        <f t="shared" si="14"/>
        <v>180978.6</v>
      </c>
      <c r="X48" s="8">
        <f>IFERROR(W48/W444, "NA")</f>
        <v>-324.14271129979329</v>
      </c>
      <c r="Y48" s="9"/>
      <c r="Z48" s="7">
        <v>159747.44</v>
      </c>
      <c r="AA48" s="8">
        <f>IFERROR(Z48/Z444, "NA")</f>
        <v>0.22324847826647173</v>
      </c>
      <c r="AB48" s="9"/>
      <c r="AC48" s="10">
        <f t="shared" si="15"/>
        <v>21231.160000000003</v>
      </c>
      <c r="AD48" s="8">
        <f>IFERROR(AC48/AC444, "NA")</f>
        <v>0.41471799252298297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2141.23</v>
      </c>
      <c r="L49" s="8">
        <f>IFERROR(K49/K444, "NA")</f>
        <v>1.0413170248474058E-2</v>
      </c>
      <c r="M49" s="9"/>
      <c r="N49" s="10">
        <f t="shared" si="13"/>
        <v>-2141.23</v>
      </c>
      <c r="O49" s="8">
        <f>IFERROR(N49/N444, "NA")</f>
        <v>0.31589111262573044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2141.23</v>
      </c>
      <c r="AA49" s="8">
        <f>IFERROR(Z49/Z444, "NA")</f>
        <v>2.9923881041130757E-3</v>
      </c>
      <c r="AB49" s="9"/>
      <c r="AC49" s="10">
        <f t="shared" si="15"/>
        <v>-2141.23</v>
      </c>
      <c r="AD49" s="8">
        <f>IFERROR(AC49/AC444, "NA")</f>
        <v>-4.1825628327891017E-2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2079.3200000000002</v>
      </c>
      <c r="C51" s="8">
        <f>IFERROR(B51/B444, "NA")</f>
        <v>1.0456793486022943E-2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2079.3200000000002</v>
      </c>
      <c r="I51" s="8">
        <f>IFERROR(H51/H444, "NA")</f>
        <v>-7.6772804087421112E-2</v>
      </c>
      <c r="J51" s="9"/>
      <c r="K51" s="7">
        <v>2657.79</v>
      </c>
      <c r="L51" s="8">
        <f>IFERROR(K51/K444, "NA")</f>
        <v>1.2925290489434514E-2</v>
      </c>
      <c r="M51" s="9"/>
      <c r="N51" s="10">
        <f t="shared" si="13"/>
        <v>-578.4699999999998</v>
      </c>
      <c r="O51" s="8">
        <f>IFERROR(N51/N444, "NA")</f>
        <v>8.5340450078042154E-2</v>
      </c>
      <c r="P51" s="9"/>
      <c r="Q51" s="7">
        <v>8991.06</v>
      </c>
      <c r="R51" s="8">
        <f>IFERROR(Q51/Q444, "NA")</f>
        <v>1.172614711073954E-2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8991.06</v>
      </c>
      <c r="X51" s="8">
        <f>IFERROR(W51/W444, "NA")</f>
        <v>-16.103487184999327</v>
      </c>
      <c r="Y51" s="9"/>
      <c r="Z51" s="7">
        <v>13224.87</v>
      </c>
      <c r="AA51" s="8">
        <f>IFERROR(Z51/Z444, "NA")</f>
        <v>1.8481874280876828E-2</v>
      </c>
      <c r="AB51" s="9"/>
      <c r="AC51" s="10">
        <f t="shared" si="15"/>
        <v>-4233.8100000000013</v>
      </c>
      <c r="AD51" s="8">
        <f>IFERROR(AC51/AC444, "NA")</f>
        <v>-8.2700953877401451E-2</v>
      </c>
    </row>
    <row r="52" spans="1:30" ht="16.5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12600</v>
      </c>
      <c r="R52" s="8">
        <f>IFERROR(Q52/Q444, "NA")</f>
        <v>1.6432929331504652E-2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12600</v>
      </c>
      <c r="X52" s="8">
        <f>IFERROR(W52/W444, "NA")</f>
        <v>-22.567298909248912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12600</v>
      </c>
      <c r="AD52" s="8">
        <f>IFERROR(AC52/AC444, "NA")</f>
        <v>0.24612158288994027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11.65</v>
      </c>
      <c r="L54" s="8">
        <f>IFERROR(K54/K444, "NA")</f>
        <v>5.6655956340385097E-5</v>
      </c>
      <c r="M54" s="9"/>
      <c r="N54" s="10">
        <f t="shared" si="13"/>
        <v>-11.65</v>
      </c>
      <c r="O54" s="8">
        <f>IFERROR(N54/N444, "NA")</f>
        <v>1.7186997483174433E-3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11.65</v>
      </c>
      <c r="AA54" s="8">
        <f>IFERROR(Z54/Z444, "NA")</f>
        <v>1.6280979349680945E-5</v>
      </c>
      <c r="AB54" s="9"/>
      <c r="AC54" s="10">
        <f t="shared" si="15"/>
        <v>-11.65</v>
      </c>
      <c r="AD54" s="8">
        <f>IFERROR(AC54/AC444, "NA")</f>
        <v>-2.2756479687839715E-4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15.65</v>
      </c>
      <c r="L55" s="8">
        <f>IFERROR(K55/K444, "NA")</f>
        <v>7.6108645212620321E-5</v>
      </c>
      <c r="M55" s="9"/>
      <c r="N55" s="10">
        <f t="shared" si="13"/>
        <v>-15.65</v>
      </c>
      <c r="O55" s="8">
        <f>IFERROR(N55/N444, "NA")</f>
        <v>2.3088112498856643E-3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15.65</v>
      </c>
      <c r="AA55" s="8">
        <f>IFERROR(Z55/Z444, "NA")</f>
        <v>2.1871015177897579E-5</v>
      </c>
      <c r="AB55" s="9"/>
      <c r="AC55" s="10">
        <f t="shared" si="15"/>
        <v>-15.65</v>
      </c>
      <c r="AD55" s="8">
        <f>IFERROR(AC55/AC444, "NA")</f>
        <v>-3.0569863271647342E-4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11.65</v>
      </c>
      <c r="L56" s="8">
        <f>IFERROR(K56/K444, "NA")</f>
        <v>5.6655956340385097E-5</v>
      </c>
      <c r="M56" s="9"/>
      <c r="N56" s="10">
        <f t="shared" si="13"/>
        <v>-11.65</v>
      </c>
      <c r="O56" s="8">
        <f>IFERROR(N56/N444, "NA")</f>
        <v>1.7186997483174433E-3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11.65</v>
      </c>
      <c r="AA56" s="8">
        <f>IFERROR(Z56/Z444, "NA")</f>
        <v>1.6280979349680945E-5</v>
      </c>
      <c r="AB56" s="9"/>
      <c r="AC56" s="10">
        <f t="shared" si="15"/>
        <v>-11.65</v>
      </c>
      <c r="AD56" s="8">
        <f>IFERROR(AC56/AC444, "NA")</f>
        <v>-2.2756479687839715E-4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87.5</v>
      </c>
      <c r="L58" s="8">
        <f>IFERROR(K58/K444, "NA")</f>
        <v>4.2552756908014556E-4</v>
      </c>
      <c r="M58" s="9"/>
      <c r="N58" s="10">
        <f t="shared" si="13"/>
        <v>-87.5</v>
      </c>
      <c r="O58" s="8">
        <f>IFERROR(N58/N444, "NA")</f>
        <v>1.2908689096804832E-2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135</v>
      </c>
      <c r="AA58" s="8">
        <f>IFERROR(Z58/Z444, "NA")</f>
        <v>1.8866370920231137E-4</v>
      </c>
      <c r="AB58" s="9"/>
      <c r="AC58" s="10">
        <f t="shared" si="15"/>
        <v>-135</v>
      </c>
      <c r="AD58" s="8">
        <f>IFERROR(AC58/AC444, "NA")</f>
        <v>-2.6370169595350745E-3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47938.21</v>
      </c>
      <c r="C61" s="15">
        <f>IFERROR(B61/B444, "NA")</f>
        <v>0.24107879598118609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47938.21</v>
      </c>
      <c r="I61" s="15">
        <f>IFERROR(H61/H444, "NA")</f>
        <v>-1.7699780719810569</v>
      </c>
      <c r="J61" s="2"/>
      <c r="K61" s="14">
        <f>IFERROR(K46+K47+K48+K49+K50+K51+K52+K53+K54+K55+K56+K57+K58+K59+K60, "NA")</f>
        <v>45183.170000000006</v>
      </c>
      <c r="L61" s="15">
        <f>IFERROR(K61/K444, "NA")</f>
        <v>0.21973353706782814</v>
      </c>
      <c r="M61" s="2"/>
      <c r="N61" s="14">
        <f t="shared" si="13"/>
        <v>2755.0399999999936</v>
      </c>
      <c r="O61" s="15">
        <f>IFERROR(N61/N444, "NA")</f>
        <v>-0.40644519782012689</v>
      </c>
      <c r="P61" s="2"/>
      <c r="Q61" s="14">
        <f>IFERROR(Q46+Q47+Q48+Q49+Q50+Q51+Q52+Q53+Q54+Q55+Q56+Q57+Q58+Q59+Q60, "NA")</f>
        <v>202569.66</v>
      </c>
      <c r="R61" s="15">
        <f>IFERROR(Q61/Q444, "NA")</f>
        <v>0.26419150059420038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202569.66</v>
      </c>
      <c r="X61" s="15">
        <f>IFERROR(W61/W444, "NA")</f>
        <v>-362.81349739404152</v>
      </c>
      <c r="Y61" s="2"/>
      <c r="Z61" s="14">
        <f>IFERROR(Z46+Z47+Z48+Z49+Z50+Z51+Z52+Z53+Z54+Z55+Z56+Z57+Z58+Z59+Z60, "NA")</f>
        <v>175287.49</v>
      </c>
      <c r="AA61" s="15">
        <f>IFERROR(Z61/Z444, "NA")</f>
        <v>0.24496583733454119</v>
      </c>
      <c r="AB61" s="2"/>
      <c r="AC61" s="14">
        <f t="shared" si="15"/>
        <v>27282.170000000013</v>
      </c>
      <c r="AD61" s="15">
        <f>IFERROR(AC61/AC444, "NA")</f>
        <v>0.53291514802162265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60429.42</v>
      </c>
      <c r="C62" s="15">
        <f>IFERROR(B62/B444, "NA")</f>
        <v>0.3038964495220286</v>
      </c>
      <c r="D62" s="2"/>
      <c r="E62" s="14">
        <f>IFERROR(E42+E43+E44+E46+E47+E48+E49+E50+E51+E52+E53+E54+E55+E56+E57+E58+E59+E60, "NA")</f>
        <v>77043.08</v>
      </c>
      <c r="F62" s="15">
        <f>IFERROR(E62/E444, "NA")</f>
        <v>0.34099999384772789</v>
      </c>
      <c r="G62" s="2"/>
      <c r="H62" s="14">
        <f t="shared" si="12"/>
        <v>-16613.660000000003</v>
      </c>
      <c r="I62" s="15">
        <f>IFERROR(H62/H444, "NA")</f>
        <v>0.61341076138113659</v>
      </c>
      <c r="J62" s="2"/>
      <c r="K62" s="14">
        <f>IFERROR(K42+K43+K44+K46+K47+K48+K49+K50+K51+K52+K53+K54+K55+K56+K57+K58+K59+K60, "NA")</f>
        <v>64395.000000000007</v>
      </c>
      <c r="L62" s="15">
        <f>IFERROR(K62/K444, "NA")</f>
        <v>0.31316397498189685</v>
      </c>
      <c r="M62" s="2"/>
      <c r="N62" s="14">
        <f t="shared" si="13"/>
        <v>-3965.580000000009</v>
      </c>
      <c r="O62" s="15">
        <f>IFERROR(N62/N444, "NA")</f>
        <v>0.58503359209722772</v>
      </c>
      <c r="P62" s="2"/>
      <c r="Q62" s="14">
        <f>IFERROR(Q42+Q43+Q44+Q46+Q47+Q48+Q49+Q50+Q51+Q52+Q53+Q54+Q55+Q56+Q57+Q58+Q59+Q60, "NA")</f>
        <v>240188.65</v>
      </c>
      <c r="R62" s="15">
        <f>IFERROR(Q62/Q444, "NA")</f>
        <v>0.31325421521265912</v>
      </c>
      <c r="S62" s="2"/>
      <c r="T62" s="14">
        <f>IFERROR(T42+T43+T44+T46+T47+T48+T49+T50+T51+T52+T53+T54+T55+T56+T57+T58+T59+T60, "NA")</f>
        <v>261653.2</v>
      </c>
      <c r="U62" s="15">
        <f>IFERROR(T62/T444, "NA")</f>
        <v>0.3409999897564413</v>
      </c>
      <c r="V62" s="2"/>
      <c r="W62" s="14">
        <f t="shared" si="14"/>
        <v>-21464.550000000017</v>
      </c>
      <c r="X62" s="15">
        <f>IFERROR(W62/W444, "NA")</f>
        <v>38.444199666866602</v>
      </c>
      <c r="Y62" s="2"/>
      <c r="Z62" s="14">
        <f>IFERROR(Z42+Z43+Z44+Z46+Z47+Z48+Z49+Z50+Z51+Z52+Z53+Z54+Z55+Z56+Z57+Z58+Z59+Z60, "NA")</f>
        <v>227487.65</v>
      </c>
      <c r="AA62" s="15">
        <f>IFERROR(Z62/Z444, "NA")</f>
        <v>0.31791602849420142</v>
      </c>
      <c r="AB62" s="2"/>
      <c r="AC62" s="14">
        <f t="shared" si="15"/>
        <v>12701</v>
      </c>
      <c r="AD62" s="15">
        <f>IFERROR(AC62/AC444, "NA")</f>
        <v>0.24809446224485171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19656.150000000001</v>
      </c>
      <c r="F64" s="8">
        <f>IFERROR(E64/E444, "NA")</f>
        <v>8.6999987916760557E-2</v>
      </c>
      <c r="G64" s="9"/>
      <c r="H64" s="10">
        <f t="shared" ref="H64:H73" si="16">IFERROR(B64-E64, "NA")</f>
        <v>-19656.150000000001</v>
      </c>
      <c r="I64" s="8">
        <f>IFERROR(H64/H444, "NA")</f>
        <v>0.72574579817582796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66756.09</v>
      </c>
      <c r="U64" s="8">
        <f>IFERROR(T64/T444, "NA")</f>
        <v>8.6999990851172743E-2</v>
      </c>
      <c r="V64" s="9"/>
      <c r="W64" s="10">
        <f t="shared" ref="W64:W73" si="18">IFERROR(Q64-T64, "NA")</f>
        <v>-66756.09</v>
      </c>
      <c r="X64" s="8">
        <f>IFERROR(W64/W444, "NA")</f>
        <v>119.56386008275572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3690.42</v>
      </c>
      <c r="C65" s="8">
        <f>IFERROR(B65/B444, "NA")</f>
        <v>1.8558932639848022E-2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3690.42</v>
      </c>
      <c r="I65" s="8">
        <f>IFERROR(H65/H444, "NA")</f>
        <v>-0.13625795532207674</v>
      </c>
      <c r="J65" s="9"/>
      <c r="K65" s="7">
        <v>2925</v>
      </c>
      <c r="L65" s="8">
        <f>IFERROR(K65/K444, "NA")</f>
        <v>1.4224778737822009E-2</v>
      </c>
      <c r="M65" s="9"/>
      <c r="N65" s="10">
        <f t="shared" si="17"/>
        <v>765.42000000000007</v>
      </c>
      <c r="O65" s="8">
        <f>IFERROR(N65/N444, "NA")</f>
        <v>-0.11292078638258693</v>
      </c>
      <c r="P65" s="9"/>
      <c r="Q65" s="7">
        <v>12023.85</v>
      </c>
      <c r="R65" s="8">
        <f>IFERROR(Q65/Q444, "NA")</f>
        <v>1.5681514074810495E-2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12023.85</v>
      </c>
      <c r="X65" s="8">
        <f>IFERROR(W65/W444, "NA")</f>
        <v>-21.535382300791472</v>
      </c>
      <c r="Y65" s="9"/>
      <c r="Z65" s="7">
        <v>2925</v>
      </c>
      <c r="AA65" s="8">
        <f>IFERROR(Z65/Z444, "NA")</f>
        <v>4.0877136993834129E-3</v>
      </c>
      <c r="AB65" s="9"/>
      <c r="AC65" s="10">
        <f t="shared" si="19"/>
        <v>9098.85</v>
      </c>
      <c r="AD65" s="8">
        <f>IFERROR(AC65/AC444, "NA")</f>
        <v>0.17773201305382008</v>
      </c>
    </row>
    <row r="66" spans="1:30" ht="16.5" customHeight="1" x14ac:dyDescent="0.45">
      <c r="A66" s="12" t="s">
        <v>63</v>
      </c>
      <c r="B66" s="7">
        <v>12056.5</v>
      </c>
      <c r="C66" s="8">
        <f>IFERROR(B66/B444, "NA")</f>
        <v>6.06315192775694E-2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12056.5</v>
      </c>
      <c r="I66" s="8">
        <f>IFERROR(H66/H444, "NA")</f>
        <v>-0.445150968816725</v>
      </c>
      <c r="J66" s="9"/>
      <c r="K66" s="7">
        <v>25585.54</v>
      </c>
      <c r="L66" s="8">
        <f>IFERROR(K66/K444, "NA")</f>
        <v>0.12442688731203232</v>
      </c>
      <c r="M66" s="9"/>
      <c r="N66" s="10">
        <f t="shared" si="17"/>
        <v>-13529.04</v>
      </c>
      <c r="O66" s="8">
        <f>IFERROR(N66/N444, "NA")</f>
        <v>1.9959105272941309</v>
      </c>
      <c r="P66" s="9"/>
      <c r="Q66" s="7">
        <v>52105.06</v>
      </c>
      <c r="R66" s="8">
        <f>IFERROR(Q66/Q444, "NA")</f>
        <v>6.7955457840778555E-2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52105.06</v>
      </c>
      <c r="X66" s="8">
        <f>IFERROR(W66/W444, "NA")</f>
        <v>-93.323052674948343</v>
      </c>
      <c r="Y66" s="9"/>
      <c r="Z66" s="7">
        <v>42453.54</v>
      </c>
      <c r="AA66" s="8">
        <f>IFERROR(Z66/Z444, "NA")</f>
        <v>5.9329202408656995E-2</v>
      </c>
      <c r="AB66" s="9"/>
      <c r="AC66" s="10">
        <f t="shared" si="19"/>
        <v>9651.5199999999968</v>
      </c>
      <c r="AD66" s="8">
        <f>IFERROR(AC66/AC444, "NA")</f>
        <v>0.18852756981697744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9882.75</v>
      </c>
      <c r="AA67" s="8">
        <f>IFERROR(Z67/Z444, "NA")</f>
        <v>1.3811231645326983E-2</v>
      </c>
      <c r="AB67" s="9"/>
      <c r="AC67" s="10">
        <f t="shared" si="19"/>
        <v>-9882.75</v>
      </c>
      <c r="AD67" s="8">
        <f>IFERROR(AC67/AC444, "NA")</f>
        <v>-0.19304429153218708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760</v>
      </c>
      <c r="R69" s="8">
        <f>IFERROR(Q69/Q444, "NA")</f>
        <v>9.9119256285266151E-4</v>
      </c>
      <c r="S69" s="9"/>
      <c r="T69" s="7">
        <v>0</v>
      </c>
      <c r="U69" s="8">
        <f>IFERROR(T69/T444, "NA")</f>
        <v>0</v>
      </c>
      <c r="V69" s="9"/>
      <c r="W69" s="10">
        <f t="shared" si="18"/>
        <v>760</v>
      </c>
      <c r="X69" s="8">
        <f>IFERROR(W69/W444, "NA")</f>
        <v>-1.3612021564308869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760</v>
      </c>
      <c r="AD69" s="8">
        <f>IFERROR(AC69/AC444, "NA")</f>
        <v>1.4845428809234493E-2</v>
      </c>
    </row>
    <row r="70" spans="1:30" ht="16.5" customHeight="1" x14ac:dyDescent="0.45">
      <c r="A70" s="12" t="s">
        <v>67</v>
      </c>
      <c r="B70" s="7">
        <v>2284</v>
      </c>
      <c r="C70" s="8">
        <f>IFERROR(B70/B444, "NA")</f>
        <v>1.1486118693648116E-2</v>
      </c>
      <c r="D70" s="9"/>
      <c r="E70" s="7">
        <v>0</v>
      </c>
      <c r="F70" s="8">
        <f>IFERROR(E70/E444, "NA")</f>
        <v>0</v>
      </c>
      <c r="G70" s="9"/>
      <c r="H70" s="10">
        <f t="shared" si="16"/>
        <v>2284</v>
      </c>
      <c r="I70" s="8">
        <f>IFERROR(H70/H444, "NA")</f>
        <v>-8.4330013915929161E-2</v>
      </c>
      <c r="J70" s="9"/>
      <c r="K70" s="7">
        <v>0</v>
      </c>
      <c r="L70" s="8">
        <f>IFERROR(K70/K444, "NA")</f>
        <v>0</v>
      </c>
      <c r="M70" s="9"/>
      <c r="N70" s="10">
        <f t="shared" si="17"/>
        <v>2284</v>
      </c>
      <c r="O70" s="8">
        <f>IFERROR(N70/N444, "NA")</f>
        <v>-0.33695366739545413</v>
      </c>
      <c r="P70" s="9"/>
      <c r="Q70" s="7">
        <v>2284</v>
      </c>
      <c r="R70" s="8">
        <f>IFERROR(Q70/Q444, "NA")</f>
        <v>2.9787944915203673E-3</v>
      </c>
      <c r="S70" s="9"/>
      <c r="T70" s="7">
        <v>0</v>
      </c>
      <c r="U70" s="8">
        <f>IFERROR(T70/T444, "NA")</f>
        <v>0</v>
      </c>
      <c r="V70" s="9"/>
      <c r="W70" s="10">
        <f t="shared" si="18"/>
        <v>2284</v>
      </c>
      <c r="X70" s="8">
        <f>IFERROR(W70/W444, "NA")</f>
        <v>-4.0907706911686121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2284</v>
      </c>
      <c r="AD70" s="8">
        <f>IFERROR(AC70/AC444, "NA")</f>
        <v>4.4614420263541552E-2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1353.8</v>
      </c>
      <c r="R72" s="8">
        <f>IFERROR(Q72/Q444, "NA")</f>
        <v>1.7656269626183331E-3</v>
      </c>
      <c r="S72" s="9"/>
      <c r="T72" s="7">
        <v>0</v>
      </c>
      <c r="U72" s="8">
        <f>IFERROR(T72/T444, "NA")</f>
        <v>0</v>
      </c>
      <c r="V72" s="9"/>
      <c r="W72" s="10">
        <f t="shared" si="18"/>
        <v>1353.8</v>
      </c>
      <c r="X72" s="8">
        <f>IFERROR(W72/W444, "NA")</f>
        <v>-2.4247308939159664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1353.8</v>
      </c>
      <c r="AD72" s="8">
        <f>IFERROR(AC72/AC444, "NA")</f>
        <v>2.6444396739396914E-2</v>
      </c>
    </row>
    <row r="73" spans="1:30" ht="16.5" customHeight="1" x14ac:dyDescent="0.45">
      <c r="A73" s="13" t="s">
        <v>70</v>
      </c>
      <c r="B73" s="14">
        <f>IFERROR(B64+B65+B66+B67+B68+B69+B70+B71+B72, "NA")</f>
        <v>18030.919999999998</v>
      </c>
      <c r="C73" s="15">
        <f>IFERROR(B73/B444, "NA")</f>
        <v>9.067657061106553E-2</v>
      </c>
      <c r="D73" s="2"/>
      <c r="E73" s="14">
        <f>IFERROR(E64+E65+E66+E67+E68+E69+E70+E71+E72, "NA")</f>
        <v>19656.150000000001</v>
      </c>
      <c r="F73" s="15">
        <f>IFERROR(E73/E444, "NA")</f>
        <v>8.6999987916760557E-2</v>
      </c>
      <c r="G73" s="2"/>
      <c r="H73" s="14">
        <f t="shared" si="16"/>
        <v>-1625.2300000000032</v>
      </c>
      <c r="I73" s="15">
        <f>IFERROR(H73/H444, "NA")</f>
        <v>6.0006860121097114E-2</v>
      </c>
      <c r="J73" s="2"/>
      <c r="K73" s="14">
        <f>IFERROR(K64+K65+K66+K67+K68+K69+K70+K71+K72, "NA")</f>
        <v>28510.54</v>
      </c>
      <c r="L73" s="15">
        <f>IFERROR(K73/K444, "NA")</f>
        <v>0.13865166604985432</v>
      </c>
      <c r="M73" s="2"/>
      <c r="N73" s="14">
        <f t="shared" si="17"/>
        <v>-10479.620000000003</v>
      </c>
      <c r="O73" s="15">
        <f>IFERROR(N73/N444, "NA")</f>
        <v>1.5460360735160903</v>
      </c>
      <c r="P73" s="2"/>
      <c r="Q73" s="14">
        <f>IFERROR(Q64+Q65+Q66+Q67+Q68+Q69+Q70+Q71+Q72, "NA")</f>
        <v>68526.710000000006</v>
      </c>
      <c r="R73" s="15">
        <f>IFERROR(Q73/Q444, "NA")</f>
        <v>8.937258593258042E-2</v>
      </c>
      <c r="S73" s="2"/>
      <c r="T73" s="14">
        <f>IFERROR(T64+T65+T66+T67+T68+T69+T70+T71+T72, "NA")</f>
        <v>66756.09</v>
      </c>
      <c r="U73" s="15">
        <f>IFERROR(T73/T444, "NA")</f>
        <v>8.6999990851172743E-2</v>
      </c>
      <c r="V73" s="2"/>
      <c r="W73" s="14">
        <f t="shared" si="18"/>
        <v>1770.6200000000099</v>
      </c>
      <c r="X73" s="15">
        <f>IFERROR(W73/W444, "NA")</f>
        <v>-3.1712786344995663</v>
      </c>
      <c r="Y73" s="2"/>
      <c r="Z73" s="14">
        <f>IFERROR(Z64+Z65+Z66+Z67+Z68+Z69+Z70+Z71+Z72, "NA")</f>
        <v>55261.29</v>
      </c>
      <c r="AA73" s="15">
        <f>IFERROR(Z73/Z444, "NA")</f>
        <v>7.7228147753367393E-2</v>
      </c>
      <c r="AB73" s="2"/>
      <c r="AC73" s="14">
        <f t="shared" si="19"/>
        <v>13265.420000000006</v>
      </c>
      <c r="AD73" s="15">
        <f>IFERROR(AC73/AC444, "NA")</f>
        <v>0.25911953715078356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6326.12</v>
      </c>
      <c r="F75" s="8">
        <f>IFERROR(E75/E444, "NA")</f>
        <v>2.8000008321058662E-2</v>
      </c>
      <c r="G75" s="9"/>
      <c r="H75" s="10">
        <f t="shared" ref="H75:H92" si="20">IFERROR(B75-E75, "NA")</f>
        <v>-6326.12</v>
      </c>
      <c r="I75" s="8">
        <f>IFERROR(H75/H444, "NA")</f>
        <v>0.23357346218644384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21484.720000000001</v>
      </c>
      <c r="U75" s="8">
        <f>IFERROR(T75/T444, "NA")</f>
        <v>2.7999998853138468E-2</v>
      </c>
      <c r="V75" s="9"/>
      <c r="W75" s="10">
        <f t="shared" ref="W75:W92" si="22">IFERROR(Q75-T75, "NA")</f>
        <v>-21484.720000000001</v>
      </c>
      <c r="X75" s="8">
        <f>IFERROR(W75/W444, "NA")</f>
        <v>38.480325255676057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1136.05</v>
      </c>
      <c r="C77" s="8">
        <f>IFERROR(B77/B444, "NA")</f>
        <v>5.7131371024163489E-3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1136.05</v>
      </c>
      <c r="I77" s="8">
        <f>IFERROR(H77/H444, "NA")</f>
        <v>-4.1945320625740509E-2</v>
      </c>
      <c r="J77" s="9"/>
      <c r="K77" s="7">
        <v>1551.27</v>
      </c>
      <c r="L77" s="8">
        <f>IFERROR(K77/K444, "NA")</f>
        <v>7.5440931667080839E-3</v>
      </c>
      <c r="M77" s="9"/>
      <c r="N77" s="10">
        <f t="shared" si="21"/>
        <v>-415.22</v>
      </c>
      <c r="O77" s="8">
        <f>IFERROR(N77/N444, "NA")</f>
        <v>6.1256524420289178E-2</v>
      </c>
      <c r="P77" s="9"/>
      <c r="Q77" s="7">
        <v>3383.36</v>
      </c>
      <c r="R77" s="8">
        <f>IFERROR(Q77/Q444, "NA")</f>
        <v>4.4125806177015541E-3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3383.36</v>
      </c>
      <c r="X77" s="8">
        <f>IFERROR(W77/W444, "NA")</f>
        <v>-6.0597854315552704</v>
      </c>
      <c r="Y77" s="9"/>
      <c r="Z77" s="7">
        <v>4754.07</v>
      </c>
      <c r="AA77" s="8">
        <f>IFERROR(Z77/Z444, "NA")</f>
        <v>6.6438554074624619E-3</v>
      </c>
      <c r="AB77" s="9"/>
      <c r="AC77" s="10">
        <f t="shared" si="23"/>
        <v>-1370.7099999999996</v>
      </c>
      <c r="AD77" s="8">
        <f>IFERROR(AC77/AC444, "NA")</f>
        <v>-2.6774707530402377E-2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4762.66</v>
      </c>
      <c r="C80" s="8">
        <f>IFERROR(B80/B444, "NA")</f>
        <v>2.3951172529549095E-2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4762.66</v>
      </c>
      <c r="I80" s="8">
        <f>IFERROR(H80/H444, "NA")</f>
        <v>-0.17584727849248649</v>
      </c>
      <c r="J80" s="9"/>
      <c r="K80" s="7">
        <v>3791.15</v>
      </c>
      <c r="L80" s="8">
        <f>IFERROR(K80/K444, "NA")</f>
        <v>1.8437015354493644E-2</v>
      </c>
      <c r="M80" s="9"/>
      <c r="N80" s="10">
        <f t="shared" si="21"/>
        <v>971.50999999999976</v>
      </c>
      <c r="O80" s="8">
        <f>IFERROR(N80/N444, "NA")</f>
        <v>-0.14332480622213553</v>
      </c>
      <c r="P80" s="9"/>
      <c r="Q80" s="7">
        <v>18048.46</v>
      </c>
      <c r="R80" s="8">
        <f>IFERROR(Q80/Q444, "NA")</f>
        <v>2.3538814898610195E-2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18048.46</v>
      </c>
      <c r="X80" s="8">
        <f>IFERROR(W80/W444, "NA")</f>
        <v>-32.325792989811319</v>
      </c>
      <c r="Y80" s="9"/>
      <c r="Z80" s="7">
        <v>14392.95</v>
      </c>
      <c r="AA80" s="8">
        <f>IFERROR(Z80/Z444, "NA")</f>
        <v>2.011427654343265E-2</v>
      </c>
      <c r="AB80" s="9"/>
      <c r="AC80" s="10">
        <f t="shared" si="23"/>
        <v>3655.5099999999984</v>
      </c>
      <c r="AD80" s="8">
        <f>IFERROR(AC80/AC444, "NA")</f>
        <v>7.1404754561111519E-2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988.28</v>
      </c>
      <c r="AA87" s="8">
        <f>IFERROR(Z87/Z444, "NA")</f>
        <v>1.3811301520774836E-3</v>
      </c>
      <c r="AB87" s="9"/>
      <c r="AC87" s="10">
        <f t="shared" si="23"/>
        <v>-988.28</v>
      </c>
      <c r="AD87" s="8">
        <f>IFERROR(AC87/AC444, "NA")</f>
        <v>-1.9304526820513507E-2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5898.71</v>
      </c>
      <c r="C88" s="15">
        <f>IFERROR(B88/B444, "NA")</f>
        <v>2.9664309631965445E-2</v>
      </c>
      <c r="D88" s="2"/>
      <c r="E88" s="14">
        <f>IFERROR(E75+E76+E77+E78+E79+E80+E81+E82+E83+E84+E85+E86+E87, "NA")</f>
        <v>6326.12</v>
      </c>
      <c r="F88" s="15">
        <f>IFERROR(E88/E444, "NA")</f>
        <v>2.8000008321058662E-2</v>
      </c>
      <c r="G88" s="2"/>
      <c r="H88" s="14">
        <f t="shared" si="20"/>
        <v>-427.40999999999985</v>
      </c>
      <c r="I88" s="15">
        <f>IFERROR(H88/H444, "NA")</f>
        <v>1.5780863068216841E-2</v>
      </c>
      <c r="J88" s="2"/>
      <c r="K88" s="14">
        <f>IFERROR(K75+K76+K77+K78+K79+K80+K81+K82+K83+K84+K85+K86+K87, "NA")</f>
        <v>5342.42</v>
      </c>
      <c r="L88" s="15">
        <f>IFERROR(K88/K444, "NA")</f>
        <v>2.5981108521201727E-2</v>
      </c>
      <c r="M88" s="2"/>
      <c r="N88" s="14">
        <f t="shared" si="21"/>
        <v>556.29</v>
      </c>
      <c r="O88" s="15">
        <f>IFERROR(N88/N444, "NA")</f>
        <v>-8.2068281801846402E-2</v>
      </c>
      <c r="P88" s="2"/>
      <c r="Q88" s="14">
        <f>IFERROR(Q75+Q76+Q77+Q78+Q79+Q80+Q81+Q82+Q83+Q84+Q85+Q86+Q87, "NA")</f>
        <v>21431.82</v>
      </c>
      <c r="R88" s="15">
        <f>IFERROR(Q88/Q444, "NA")</f>
        <v>2.7951395516311747E-2</v>
      </c>
      <c r="S88" s="2"/>
      <c r="T88" s="14">
        <f>IFERROR(T75+T76+T77+T78+T79+T80+T81+T82+T83+T84+T85+T86+T87, "NA")</f>
        <v>21484.720000000001</v>
      </c>
      <c r="U88" s="15">
        <f>IFERROR(T88/T444, "NA")</f>
        <v>2.7999998853138468E-2</v>
      </c>
      <c r="V88" s="2"/>
      <c r="W88" s="14">
        <f t="shared" si="22"/>
        <v>-52.900000000001455</v>
      </c>
      <c r="X88" s="15">
        <f>IFERROR(W88/W444, "NA")</f>
        <v>9.4746834309468286E-2</v>
      </c>
      <c r="Y88" s="2"/>
      <c r="Z88" s="14">
        <f>IFERROR(Z75+Z76+Z77+Z78+Z79+Z80+Z81+Z82+Z83+Z84+Z85+Z86+Z87, "NA")</f>
        <v>20135.3</v>
      </c>
      <c r="AA88" s="15">
        <f>IFERROR(Z88/Z444, "NA")</f>
        <v>2.8139262102972594E-2</v>
      </c>
      <c r="AB88" s="2"/>
      <c r="AC88" s="14">
        <f t="shared" si="23"/>
        <v>1296.5200000000004</v>
      </c>
      <c r="AD88" s="15">
        <f>IFERROR(AC88/AC444, "NA")</f>
        <v>2.5325520210195671E-2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15.99</v>
      </c>
      <c r="L89" s="8">
        <f>IFERROR(K89/K444, "NA")</f>
        <v>7.7762123766760314E-5</v>
      </c>
      <c r="M89" s="9"/>
      <c r="N89" s="10">
        <f t="shared" si="21"/>
        <v>-15.99</v>
      </c>
      <c r="O89" s="8">
        <f>IFERROR(N89/N444, "NA")</f>
        <v>2.3589707275189632E-3</v>
      </c>
      <c r="P89" s="9"/>
      <c r="Q89" s="7">
        <v>-51</v>
      </c>
      <c r="R89" s="8">
        <f>IFERROR(Q89/Q444, "NA")</f>
        <v>-6.6514237770375973E-5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-51</v>
      </c>
      <c r="X89" s="8">
        <f>IFERROR(W89/W444, "NA")</f>
        <v>9.1343828918388464E-2</v>
      </c>
      <c r="Y89" s="9"/>
      <c r="Z89" s="7">
        <v>15.99</v>
      </c>
      <c r="AA89" s="8">
        <f>IFERROR(Z89/Z444, "NA")</f>
        <v>2.2346168223295993E-5</v>
      </c>
      <c r="AB89" s="9"/>
      <c r="AC89" s="10">
        <f t="shared" si="23"/>
        <v>-66.989999999999995</v>
      </c>
      <c r="AD89" s="8">
        <f>IFERROR(AC89/AC444, "NA")</f>
        <v>-1.3085464156981823E-3</v>
      </c>
    </row>
    <row r="90" spans="1:30" ht="16.5" customHeight="1" x14ac:dyDescent="0.45">
      <c r="A90" s="6" t="s">
        <v>86</v>
      </c>
      <c r="B90" s="7">
        <v>0.15</v>
      </c>
      <c r="C90" s="8">
        <f>IFERROR(B90/B444, "NA")</f>
        <v>7.5434229599265202E-7</v>
      </c>
      <c r="D90" s="9"/>
      <c r="E90" s="7">
        <v>0</v>
      </c>
      <c r="F90" s="8">
        <f>IFERROR(E90/E444, "NA")</f>
        <v>0</v>
      </c>
      <c r="G90" s="9"/>
      <c r="H90" s="10">
        <f t="shared" si="20"/>
        <v>0.15</v>
      </c>
      <c r="I90" s="8">
        <f>IFERROR(H90/H444, "NA")</f>
        <v>-5.5383108964051542E-6</v>
      </c>
      <c r="J90" s="9"/>
      <c r="K90" s="7">
        <v>0</v>
      </c>
      <c r="L90" s="8">
        <f>IFERROR(K90/K444, "NA")</f>
        <v>0</v>
      </c>
      <c r="M90" s="9"/>
      <c r="N90" s="10">
        <f t="shared" si="21"/>
        <v>0.15</v>
      </c>
      <c r="O90" s="8">
        <f>IFERROR(N90/N444, "NA")</f>
        <v>-2.2129181308808283E-5</v>
      </c>
      <c r="P90" s="9"/>
      <c r="Q90" s="7">
        <v>-572.34</v>
      </c>
      <c r="R90" s="8">
        <f>IFERROR(Q90/Q444, "NA")</f>
        <v>-7.4644625187248999E-4</v>
      </c>
      <c r="S90" s="9"/>
      <c r="T90" s="7">
        <v>0</v>
      </c>
      <c r="U90" s="8">
        <f>IFERROR(T90/T444, "NA")</f>
        <v>0</v>
      </c>
      <c r="V90" s="9"/>
      <c r="W90" s="10">
        <f t="shared" si="22"/>
        <v>-572.34</v>
      </c>
      <c r="X90" s="8">
        <f>IFERROR(W90/W444, "NA")</f>
        <v>1.0250926871205972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-572.34</v>
      </c>
      <c r="AD90" s="8">
        <f>IFERROR(AC90/AC444, "NA")</f>
        <v>-1.1179779900891145E-2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-9263.24</v>
      </c>
      <c r="F94" s="8">
        <f>IFERROR(E94/E444, "NA")</f>
        <v>-4.0999980569442797E-2</v>
      </c>
      <c r="G94" s="9"/>
      <c r="H94" s="10">
        <f t="shared" ref="H94:H124" si="24">IFERROR(B94-E94, "NA")</f>
        <v>9263.24</v>
      </c>
      <c r="I94" s="8">
        <f>IFERROR(H94/H444, "NA")</f>
        <v>-0.34201802018677391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-31459.759999999998</v>
      </c>
      <c r="U94" s="8">
        <f>IFERROR(T94/T444, "NA")</f>
        <v>-4.0999987149937786E-2</v>
      </c>
      <c r="V94" s="9"/>
      <c r="W94" s="10">
        <f t="shared" ref="W94:W124" si="26">IFERROR(Q94-T94, "NA")</f>
        <v>31459.759999999998</v>
      </c>
      <c r="X94" s="8">
        <f>IFERROR(W94/W444, "NA")</f>
        <v>-56.346175201050201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-1073.1500000000001</v>
      </c>
      <c r="C96" s="8">
        <f>IFERROR(B96/B444, "NA")</f>
        <v>-5.3968162329634311E-3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-1073.1500000000001</v>
      </c>
      <c r="I96" s="8">
        <f>IFERROR(H96/H444, "NA")</f>
        <v>3.9622922256514613E-2</v>
      </c>
      <c r="J96" s="9"/>
      <c r="K96" s="7">
        <v>-2246.0500000000002</v>
      </c>
      <c r="L96" s="8">
        <f>IFERROR(K96/K444, "NA")</f>
        <v>-1.0922927960370983E-2</v>
      </c>
      <c r="M96" s="9"/>
      <c r="N96" s="10">
        <f t="shared" si="25"/>
        <v>1172.9000000000001</v>
      </c>
      <c r="O96" s="8">
        <f>IFERROR(N96/N444, "NA")</f>
        <v>-0.17303544504734159</v>
      </c>
      <c r="P96" s="9"/>
      <c r="Q96" s="7">
        <v>-5166.03</v>
      </c>
      <c r="R96" s="8">
        <f>IFERROR(Q96/Q444, "NA")</f>
        <v>-6.7375401519391247E-3</v>
      </c>
      <c r="S96" s="9"/>
      <c r="T96" s="7">
        <v>0</v>
      </c>
      <c r="U96" s="8">
        <f>IFERROR(T96/T444, "NA")</f>
        <v>0</v>
      </c>
      <c r="V96" s="9"/>
      <c r="W96" s="10">
        <f t="shared" si="26"/>
        <v>-5166.03</v>
      </c>
      <c r="X96" s="8">
        <f>IFERROR(W96/W444, "NA")</f>
        <v>9.252646284456123</v>
      </c>
      <c r="Y96" s="9"/>
      <c r="Z96" s="7">
        <v>-9202.15</v>
      </c>
      <c r="AA96" s="8">
        <f>IFERROR(Z96/Z444, "NA")</f>
        <v>-1.2860087049155923E-2</v>
      </c>
      <c r="AB96" s="9"/>
      <c r="AC96" s="10">
        <f t="shared" si="27"/>
        <v>4036.12</v>
      </c>
      <c r="AD96" s="8">
        <f>IFERROR(AC96/AC444, "NA")</f>
        <v>7.8839384375694099E-2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-1320.29</v>
      </c>
      <c r="C98" s="8">
        <f>IFERROR(B98/B444, "NA")</f>
        <v>-6.6396705998409238E-3</v>
      </c>
      <c r="D98" s="9"/>
      <c r="E98" s="7">
        <v>0</v>
      </c>
      <c r="F98" s="8">
        <f>IFERROR(E98/E444, "NA")</f>
        <v>0</v>
      </c>
      <c r="G98" s="9"/>
      <c r="H98" s="10">
        <f t="shared" si="24"/>
        <v>-1320.29</v>
      </c>
      <c r="I98" s="8">
        <f>IFERROR(H98/H444, "NA")</f>
        <v>4.8747843289431741E-2</v>
      </c>
      <c r="J98" s="9"/>
      <c r="K98" s="7">
        <v>-2226.62</v>
      </c>
      <c r="L98" s="8">
        <f>IFERROR(K98/K444, "NA")</f>
        <v>-1.0828436524174099E-2</v>
      </c>
      <c r="M98" s="9"/>
      <c r="N98" s="10">
        <f t="shared" si="25"/>
        <v>906.32999999999993</v>
      </c>
      <c r="O98" s="8">
        <f>IFERROR(N98/N444, "NA")</f>
        <v>-0.1337089393040814</v>
      </c>
      <c r="P98" s="9"/>
      <c r="Q98" s="7">
        <v>-5845.12</v>
      </c>
      <c r="R98" s="8">
        <f>IFERROR(Q98/Q444, "NA")</f>
        <v>-7.6232098328701961E-3</v>
      </c>
      <c r="S98" s="9"/>
      <c r="T98" s="7">
        <v>0</v>
      </c>
      <c r="U98" s="8">
        <f>IFERROR(T98/T444, "NA")</f>
        <v>0</v>
      </c>
      <c r="V98" s="9"/>
      <c r="W98" s="10">
        <f t="shared" si="26"/>
        <v>-5845.12</v>
      </c>
      <c r="X98" s="8">
        <f>IFERROR(W98/W444, "NA")</f>
        <v>10.468934142891191</v>
      </c>
      <c r="Y98" s="9"/>
      <c r="Z98" s="7">
        <v>-7482.71</v>
      </c>
      <c r="AA98" s="8">
        <f>IFERROR(Z98/Z444, "NA")</f>
        <v>-1.0457154248038721E-2</v>
      </c>
      <c r="AB98" s="9"/>
      <c r="AC98" s="10">
        <f t="shared" si="27"/>
        <v>1637.5900000000001</v>
      </c>
      <c r="AD98" s="8">
        <f>IFERROR(AC98/AC444, "NA")</f>
        <v>3.1987797057518835E-2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-32.92</v>
      </c>
      <c r="C100" s="8">
        <f>IFERROR(B100/B444, "NA")</f>
        <v>-1.6555298922718738E-4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-32.92</v>
      </c>
      <c r="I100" s="8">
        <f>IFERROR(H100/H444, "NA")</f>
        <v>1.215474631397718E-3</v>
      </c>
      <c r="J100" s="9"/>
      <c r="K100" s="7">
        <v>-923.54</v>
      </c>
      <c r="L100" s="8">
        <f>IFERROR(K100/K444, "NA")</f>
        <v>-4.4913340702660296E-3</v>
      </c>
      <c r="M100" s="9"/>
      <c r="N100" s="10">
        <f t="shared" si="25"/>
        <v>890.62</v>
      </c>
      <c r="O100" s="8">
        <f>IFERROR(N100/N444, "NA")</f>
        <v>-0.13139127638167222</v>
      </c>
      <c r="P100" s="9"/>
      <c r="Q100" s="7">
        <v>-2188.84</v>
      </c>
      <c r="R100" s="8">
        <f>IFERROR(Q100/Q444, "NA")</f>
        <v>-2.8546867490452893E-3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-2188.84</v>
      </c>
      <c r="X100" s="8">
        <f>IFERROR(W100/W444, "NA")</f>
        <v>3.9203338527397138</v>
      </c>
      <c r="Y100" s="9"/>
      <c r="Z100" s="7">
        <v>-2088.52</v>
      </c>
      <c r="AA100" s="8">
        <f>IFERROR(Z100/Z444, "NA")</f>
        <v>-2.9187254069867508E-3</v>
      </c>
      <c r="AB100" s="9"/>
      <c r="AC100" s="10">
        <f t="shared" si="27"/>
        <v>-100.32000000000016</v>
      </c>
      <c r="AD100" s="8">
        <f>IFERROR(AC100/AC444, "NA")</f>
        <v>-1.9595966028189563E-3</v>
      </c>
    </row>
    <row r="101" spans="1:30" ht="16.5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-78.069999999999993</v>
      </c>
      <c r="R101" s="8">
        <f>IFERROR(Q101/Q444, "NA")</f>
        <v>-1.0181895181829906E-4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-78.069999999999993</v>
      </c>
      <c r="X101" s="8">
        <f>IFERROR(W101/W444, "NA")</f>
        <v>0.13982770046389384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-78.069999999999993</v>
      </c>
      <c r="AD101" s="8">
        <f>IFERROR(AC101/AC444, "NA")</f>
        <v>-1.5249771409696535E-3</v>
      </c>
    </row>
    <row r="102" spans="1:30" ht="16.5" customHeight="1" x14ac:dyDescent="0.45">
      <c r="A102" s="12" t="s">
        <v>97</v>
      </c>
      <c r="B102" s="7">
        <v>-1825.35</v>
      </c>
      <c r="C102" s="8">
        <f>IFERROR(B102/B444, "NA")</f>
        <v>-9.1795913999345828E-3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-1825.35</v>
      </c>
      <c r="I102" s="8">
        <f>IFERROR(H102/H444, "NA")</f>
        <v>6.7395705298354328E-2</v>
      </c>
      <c r="J102" s="9"/>
      <c r="K102" s="7">
        <v>-1298.3</v>
      </c>
      <c r="L102" s="8">
        <f>IFERROR(K102/K444, "NA")</f>
        <v>-6.3138564907057482E-3</v>
      </c>
      <c r="M102" s="9"/>
      <c r="N102" s="10">
        <f t="shared" si="25"/>
        <v>-527.04999999999995</v>
      </c>
      <c r="O102" s="8">
        <f>IFERROR(N102/N444, "NA")</f>
        <v>7.7754566725382696E-2</v>
      </c>
      <c r="P102" s="9"/>
      <c r="Q102" s="7">
        <v>-7931.86</v>
      </c>
      <c r="R102" s="8">
        <f>IFERROR(Q102/Q444, "NA")</f>
        <v>-1.0344737686300674E-2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-7931.86</v>
      </c>
      <c r="X102" s="8">
        <f>IFERROR(W102/W444, "NA")</f>
        <v>14.206401232247229</v>
      </c>
      <c r="Y102" s="9"/>
      <c r="Z102" s="7">
        <v>-6344.48</v>
      </c>
      <c r="AA102" s="8">
        <f>IFERROR(Z102/Z444, "NA")</f>
        <v>-8.8664676278509668E-3</v>
      </c>
      <c r="AB102" s="9"/>
      <c r="AC102" s="10">
        <f t="shared" si="27"/>
        <v>-1587.38</v>
      </c>
      <c r="AD102" s="8">
        <f>IFERROR(AC102/AC444, "NA")</f>
        <v>-3.1007022083161383E-2</v>
      </c>
    </row>
    <row r="103" spans="1:30" ht="16.5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-86</v>
      </c>
      <c r="R103" s="8">
        <f>IFERROR(Q103/Q444, "NA")</f>
        <v>-1.1216126369122223E-4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-86</v>
      </c>
      <c r="X103" s="8">
        <f>IFERROR(W103/W444, "NA")</f>
        <v>0.15403077033296877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-86</v>
      </c>
      <c r="AD103" s="8">
        <f>IFERROR(AC103/AC444, "NA")</f>
        <v>-1.6798774705186399E-3</v>
      </c>
    </row>
    <row r="104" spans="1:30" ht="16.5" customHeight="1" x14ac:dyDescent="0.45">
      <c r="A104" s="12" t="s">
        <v>99</v>
      </c>
      <c r="B104" s="7">
        <v>-955.89</v>
      </c>
      <c r="C104" s="8">
        <f>IFERROR(B104/B444, "NA")</f>
        <v>-4.8071217154427746E-3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-955.89</v>
      </c>
      <c r="I104" s="8">
        <f>IFERROR(H104/H444, "NA")</f>
        <v>3.5293440018431488E-2</v>
      </c>
      <c r="J104" s="9"/>
      <c r="K104" s="7">
        <v>-809.23</v>
      </c>
      <c r="L104" s="8">
        <f>IFERROR(K104/K444, "NA")</f>
        <v>-3.9354248540197281E-3</v>
      </c>
      <c r="M104" s="9"/>
      <c r="N104" s="10">
        <f t="shared" si="25"/>
        <v>-146.65999999999997</v>
      </c>
      <c r="O104" s="8">
        <f>IFERROR(N104/N444, "NA")</f>
        <v>2.1636438204998814E-2</v>
      </c>
      <c r="P104" s="9"/>
      <c r="Q104" s="7">
        <v>-2622.72</v>
      </c>
      <c r="R104" s="8">
        <f>IFERROR(Q104/Q444, "NA")</f>
        <v>-3.4205533663749111E-3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-2622.72</v>
      </c>
      <c r="X104" s="8">
        <f>IFERROR(W104/W444, "NA")</f>
        <v>4.6974369996242302</v>
      </c>
      <c r="Y104" s="9"/>
      <c r="Z104" s="7">
        <v>-2726.14</v>
      </c>
      <c r="AA104" s="8">
        <f>IFERROR(Z104/Z444, "NA")</f>
        <v>-3.8098050681836231E-3</v>
      </c>
      <c r="AB104" s="9"/>
      <c r="AC104" s="10">
        <f t="shared" si="27"/>
        <v>103.42000000000007</v>
      </c>
      <c r="AD104" s="8">
        <f>IFERROR(AC104/AC444, "NA")</f>
        <v>2.0201503255934637E-3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-425.16</v>
      </c>
      <c r="C106" s="8">
        <f>IFERROR(B106/B444, "NA")</f>
        <v>-2.1381078037615731E-3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-425.16</v>
      </c>
      <c r="I106" s="8">
        <f>IFERROR(H106/H444, "NA")</f>
        <v>1.5697788404770773E-2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-425.16</v>
      </c>
      <c r="O106" s="8">
        <f>IFERROR(N106/N444, "NA")</f>
        <v>6.2722951501686205E-2</v>
      </c>
      <c r="P106" s="9"/>
      <c r="Q106" s="7">
        <v>-725.75</v>
      </c>
      <c r="R106" s="8">
        <f>IFERROR(Q106/Q444, "NA")</f>
        <v>-9.46523687487262E-4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-725.75</v>
      </c>
      <c r="X106" s="8">
        <f>IFERROR(W106/W444, "NA")</f>
        <v>1.2998585066180475</v>
      </c>
      <c r="Y106" s="9"/>
      <c r="Z106" s="7">
        <v>-1687.06</v>
      </c>
      <c r="AA106" s="8">
        <f>IFERROR(Z106/Z444, "NA")</f>
        <v>-2.3576814610877885E-3</v>
      </c>
      <c r="AB106" s="9"/>
      <c r="AC106" s="10">
        <f t="shared" si="27"/>
        <v>961.31</v>
      </c>
      <c r="AD106" s="8">
        <f>IFERROR(AC106/AC444, "NA")</f>
        <v>1.8777709432375275E-2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-5632.76</v>
      </c>
      <c r="C118" s="15">
        <f>IFERROR(B118/B444, "NA")</f>
        <v>-2.8326860741170475E-2</v>
      </c>
      <c r="D118" s="2"/>
      <c r="E118" s="14">
        <f>IFERROR(E94+E95+E96+E97+E98+E99+E100+E101+E102+E103+E104+E105+E106+E107+E108+E109+E110+E111+E112+E113+E114+E115+E116+E117, "NA")</f>
        <v>-9263.24</v>
      </c>
      <c r="F118" s="15">
        <f>IFERROR(E118/E444, "NA")</f>
        <v>-4.0999980569442797E-2</v>
      </c>
      <c r="G118" s="2"/>
      <c r="H118" s="14">
        <f t="shared" si="24"/>
        <v>3630.4799999999996</v>
      </c>
      <c r="I118" s="15">
        <f>IFERROR(H118/H444, "NA")</f>
        <v>-0.13404484628787322</v>
      </c>
      <c r="J118" s="2"/>
      <c r="K118" s="14">
        <f>IFERROR(K94+K95+K96+K97+K98+K99+K100+K101+K102+K103+K104+K105+K106+K107+K108+K109+K110+K111+K112+K113+K114+K115+K116+K117, "NA")</f>
        <v>-7503.74</v>
      </c>
      <c r="L118" s="15">
        <f>IFERROR(K118/K444, "NA")</f>
        <v>-3.6491979899536585E-2</v>
      </c>
      <c r="M118" s="2"/>
      <c r="N118" s="14">
        <f t="shared" si="25"/>
        <v>1870.9799999999996</v>
      </c>
      <c r="O118" s="15">
        <f>IFERROR(N118/N444, "NA")</f>
        <v>-0.2760217043010274</v>
      </c>
      <c r="P118" s="2"/>
      <c r="Q118" s="14">
        <f>IFERROR(Q94+Q95+Q96+Q97+Q98+Q99+Q100+Q101+Q102+Q103+Q104+Q105+Q106+Q107+Q108+Q109+Q110+Q111+Q112+Q113+Q114+Q115+Q116+Q117, "NA")</f>
        <v>-24644.39</v>
      </c>
      <c r="R118" s="15">
        <f>IFERROR(Q118/Q444, "NA")</f>
        <v>-3.2141231689526976E-2</v>
      </c>
      <c r="S118" s="2"/>
      <c r="T118" s="14">
        <f>IFERROR(T94+T95+T96+T97+T98+T99+T100+T101+T102+T103+T104+T105+T106+T107+T108+T109+T110+T111+T112+T113+T114+T115+T116+T117, "NA")</f>
        <v>-31459.759999999998</v>
      </c>
      <c r="U118" s="15">
        <f>IFERROR(T118/T444, "NA")</f>
        <v>-4.0999987149937786E-2</v>
      </c>
      <c r="V118" s="2"/>
      <c r="W118" s="14">
        <f t="shared" si="26"/>
        <v>6815.369999999999</v>
      </c>
      <c r="X118" s="15">
        <f>IFERROR(W118/W444, "NA")</f>
        <v>-12.206705711676806</v>
      </c>
      <c r="Y118" s="2"/>
      <c r="Z118" s="14">
        <f>IFERROR(Z94+Z95+Z96+Z97+Z98+Z99+Z100+Z101+Z102+Z103+Z104+Z105+Z106+Z107+Z108+Z109+Z110+Z111+Z112+Z113+Z114+Z115+Z116+Z117, "NA")</f>
        <v>-29531.06</v>
      </c>
      <c r="AA118" s="15">
        <f>IFERROR(Z118/Z444, "NA")</f>
        <v>-4.1269920861303773E-2</v>
      </c>
      <c r="AB118" s="2"/>
      <c r="AC118" s="14">
        <f t="shared" si="27"/>
        <v>4886.6700000000019</v>
      </c>
      <c r="AD118" s="15">
        <f>IFERROR(AC118/AC444, "NA")</f>
        <v>9.5453567893713093E-2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198848.71999999997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225932.79</v>
      </c>
      <c r="F122" s="15">
        <f>IFERROR(E122/E444, "NA")</f>
        <v>1</v>
      </c>
      <c r="G122" s="2"/>
      <c r="H122" s="14">
        <f t="shared" si="24"/>
        <v>-27084.070000000036</v>
      </c>
      <c r="I122" s="15">
        <f>IFERROR(H122/H444, "NA")</f>
        <v>1.0000000000000011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205627.10000000003</v>
      </c>
      <c r="L122" s="15">
        <f>IFERROR(K122/K444, "NA")</f>
        <v>1.0000000000000002</v>
      </c>
      <c r="M122" s="2"/>
      <c r="N122" s="14">
        <f t="shared" si="25"/>
        <v>-6778.3800000000629</v>
      </c>
      <c r="O122" s="15">
        <f>IFERROR(N122/N444, "NA")</f>
        <v>1.0000000000000087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766753.13000000012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767311.46</v>
      </c>
      <c r="U122" s="15">
        <f>IFERROR(T122/T444, "NA")</f>
        <v>1</v>
      </c>
      <c r="V122" s="2"/>
      <c r="W122" s="14">
        <f t="shared" si="26"/>
        <v>-558.32999999984168</v>
      </c>
      <c r="X122" s="15">
        <f>IFERROR(W122/W444, "NA")</f>
        <v>0.9999999999997915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715558.92</v>
      </c>
      <c r="AA122" s="15">
        <f>IFERROR(Z122/Z444, "NA")</f>
        <v>1</v>
      </c>
      <c r="AB122" s="2"/>
      <c r="AC122" s="14">
        <f t="shared" si="27"/>
        <v>51194.210000000079</v>
      </c>
      <c r="AD122" s="15">
        <f>IFERROR(AC122/AC444, "NA")</f>
        <v>1.0000000000000022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198848.71999999997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225932.79</v>
      </c>
      <c r="F124" s="15">
        <f>IFERROR(E124/E444, "NA")</f>
        <v>1</v>
      </c>
      <c r="G124" s="2"/>
      <c r="H124" s="14">
        <f t="shared" si="24"/>
        <v>-27084.070000000036</v>
      </c>
      <c r="I124" s="15">
        <f>IFERROR(H124/H444, "NA")</f>
        <v>1.0000000000000011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205627.10000000003</v>
      </c>
      <c r="L124" s="15">
        <f>IFERROR(K124/K444, "NA")</f>
        <v>1.0000000000000002</v>
      </c>
      <c r="M124" s="2"/>
      <c r="N124" s="14">
        <f t="shared" si="25"/>
        <v>-6778.3800000000629</v>
      </c>
      <c r="O124" s="15">
        <f>IFERROR(N124/N444, "NA")</f>
        <v>1.0000000000000087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766753.13000000012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767311.46</v>
      </c>
      <c r="U124" s="15">
        <f>IFERROR(T124/T444, "NA")</f>
        <v>1</v>
      </c>
      <c r="V124" s="2"/>
      <c r="W124" s="14">
        <f t="shared" si="26"/>
        <v>-558.32999999984168</v>
      </c>
      <c r="X124" s="15">
        <f>IFERROR(W124/W444, "NA")</f>
        <v>0.9999999999997915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715558.92</v>
      </c>
      <c r="AA124" s="15">
        <f>IFERROR(Z124/Z444, "NA")</f>
        <v>1</v>
      </c>
      <c r="AB124" s="2"/>
      <c r="AC124" s="14">
        <f t="shared" si="27"/>
        <v>51194.210000000079</v>
      </c>
      <c r="AD124" s="15">
        <f>IFERROR(AC124/AC444, "NA")</f>
        <v>1.0000000000000022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46090.29</v>
      </c>
      <c r="F129" s="8">
        <f>IFERROR(E129/E444, "NA")</f>
        <v>0.20400000371791982</v>
      </c>
      <c r="G129" s="9"/>
      <c r="H129" s="10">
        <f t="shared" ref="H129:H141" si="28">IFERROR(-(B129-E129), "NA")</f>
        <v>46090.29</v>
      </c>
      <c r="I129" s="8">
        <f>IFERROR(H129/H444, "NA")</f>
        <v>-1.701749035503157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158095.39000000001</v>
      </c>
      <c r="U129" s="8">
        <f>IFERROR(T129/T444, "NA")</f>
        <v>0.20603809305806539</v>
      </c>
      <c r="V129" s="9"/>
      <c r="W129" s="10">
        <f t="shared" ref="W129:W141" si="30">IFERROR(-(Q129-T129), "NA")</f>
        <v>158095.39000000001</v>
      </c>
      <c r="X129" s="8">
        <f>IFERROR(W129/W444, "NA")</f>
        <v>-283.15761288129221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9535.66</v>
      </c>
      <c r="C130" s="8">
        <f>IFERROR(B130/B444, "NA")</f>
        <v>4.7954344388035287E-2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-9535.66</v>
      </c>
      <c r="I130" s="8">
        <f>IFERROR(H130/H444, "NA")</f>
        <v>0.35207633121609849</v>
      </c>
      <c r="J130" s="9"/>
      <c r="K130" s="7">
        <v>10881.86</v>
      </c>
      <c r="L130" s="8">
        <f>IFERROR(K130/K444, "NA")</f>
        <v>5.2920359232805407E-2</v>
      </c>
      <c r="M130" s="9"/>
      <c r="N130" s="10">
        <f t="shared" si="29"/>
        <v>1346.2000000000007</v>
      </c>
      <c r="O130" s="8">
        <f>IFERROR(N130/N444, "NA")</f>
        <v>-0.19860202585278486</v>
      </c>
      <c r="P130" s="9"/>
      <c r="Q130" s="7">
        <v>36283.300000000003</v>
      </c>
      <c r="R130" s="8">
        <f>IFERROR(Q130/Q444, "NA")</f>
        <v>4.7320706731252604E-2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-36283.300000000003</v>
      </c>
      <c r="X130" s="8">
        <f>IFERROR(W130/W444, "NA")</f>
        <v>64.98540289793263</v>
      </c>
      <c r="Y130" s="9"/>
      <c r="Z130" s="7">
        <v>38711.85</v>
      </c>
      <c r="AA130" s="8">
        <f>IFERROR(Z130/Z444, "NA")</f>
        <v>5.4100157119137016E-2</v>
      </c>
      <c r="AB130" s="9"/>
      <c r="AC130" s="10">
        <f t="shared" si="31"/>
        <v>2428.5499999999956</v>
      </c>
      <c r="AD130" s="8">
        <f>IFERROR(AC130/AC444, "NA")</f>
        <v>4.7437981756139953E-2</v>
      </c>
    </row>
    <row r="131" spans="1:30" ht="16.5" customHeight="1" x14ac:dyDescent="0.45">
      <c r="A131" s="12" t="s">
        <v>123</v>
      </c>
      <c r="B131" s="7">
        <v>4910.22</v>
      </c>
      <c r="C131" s="8">
        <f>IFERROR(B131/B444, "NA")</f>
        <v>2.4693244190860268E-2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-4910.22</v>
      </c>
      <c r="I131" s="8">
        <f>IFERROR(H131/H444, "NA")</f>
        <v>0.18129549953164348</v>
      </c>
      <c r="J131" s="9"/>
      <c r="K131" s="7">
        <v>5699.84</v>
      </c>
      <c r="L131" s="8">
        <f>IFERROR(K131/K444, "NA")</f>
        <v>2.7719303535380307E-2</v>
      </c>
      <c r="M131" s="9"/>
      <c r="N131" s="10">
        <f t="shared" si="29"/>
        <v>789.61999999999989</v>
      </c>
      <c r="O131" s="8">
        <f>IFERROR(N131/N444, "NA")</f>
        <v>-0.11649096096707463</v>
      </c>
      <c r="P131" s="9"/>
      <c r="Q131" s="7">
        <v>19847.55</v>
      </c>
      <c r="R131" s="8">
        <f>IFERROR(Q131/Q444, "NA")</f>
        <v>2.5885189409008344E-2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-19847.55</v>
      </c>
      <c r="X131" s="8">
        <f>IFERROR(W131/W444, "NA")</f>
        <v>35.548062973512955</v>
      </c>
      <c r="Y131" s="9"/>
      <c r="Z131" s="7">
        <v>20167.39</v>
      </c>
      <c r="AA131" s="8">
        <f>IFERROR(Z131/Z444, "NA")</f>
        <v>2.818410816540446E-2</v>
      </c>
      <c r="AB131" s="9"/>
      <c r="AC131" s="10">
        <f t="shared" si="31"/>
        <v>319.84000000000015</v>
      </c>
      <c r="AD131" s="8">
        <f>IFERROR(AC131/AC444, "NA")</f>
        <v>6.2475815136125816E-3</v>
      </c>
    </row>
    <row r="132" spans="1:30" ht="16.5" customHeight="1" x14ac:dyDescent="0.45">
      <c r="A132" s="12" t="s">
        <v>124</v>
      </c>
      <c r="B132" s="7">
        <v>7609.17</v>
      </c>
      <c r="C132" s="8">
        <f>IFERROR(B132/B444, "NA")</f>
        <v>3.8266125122656057E-2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-7609.17</v>
      </c>
      <c r="I132" s="8">
        <f>IFERROR(H132/H444, "NA")</f>
        <v>0.2809463274906614</v>
      </c>
      <c r="J132" s="9"/>
      <c r="K132" s="7">
        <v>8394.93</v>
      </c>
      <c r="L132" s="8">
        <f>IFERROR(K132/K444, "NA")</f>
        <v>4.0825990348548419E-2</v>
      </c>
      <c r="M132" s="9"/>
      <c r="N132" s="10">
        <f t="shared" si="29"/>
        <v>785.76000000000022</v>
      </c>
      <c r="O132" s="8">
        <f>IFERROR(N132/N444, "NA")</f>
        <v>-0.11592150336806135</v>
      </c>
      <c r="P132" s="9"/>
      <c r="Q132" s="7">
        <v>26976.09</v>
      </c>
      <c r="R132" s="8">
        <f>IFERROR(Q132/Q444, "NA")</f>
        <v>3.5182236556373758E-2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-26976.09</v>
      </c>
      <c r="X132" s="8">
        <f>IFERROR(W132/W444, "NA")</f>
        <v>48.315673526412738</v>
      </c>
      <c r="Y132" s="9"/>
      <c r="Z132" s="7">
        <v>26589.3</v>
      </c>
      <c r="AA132" s="8">
        <f>IFERROR(Z132/Z444, "NA")</f>
        <v>3.7158784911800129E-2</v>
      </c>
      <c r="AB132" s="9"/>
      <c r="AC132" s="10">
        <f t="shared" si="31"/>
        <v>-386.79000000000087</v>
      </c>
      <c r="AD132" s="8">
        <f>IFERROR(AC132/AC444, "NA")</f>
        <v>-7.5553465909523982E-3</v>
      </c>
    </row>
    <row r="133" spans="1:30" ht="16.5" customHeight="1" x14ac:dyDescent="0.45">
      <c r="A133" s="12" t="s">
        <v>125</v>
      </c>
      <c r="B133" s="7">
        <v>4294.62</v>
      </c>
      <c r="C133" s="8">
        <f>IFERROR(B133/B444, "NA")</f>
        <v>2.1597423408106425E-2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-4294.62</v>
      </c>
      <c r="I133" s="8">
        <f>IFERROR(H133/H444, "NA")</f>
        <v>0.15856627161279671</v>
      </c>
      <c r="J133" s="9"/>
      <c r="K133" s="7">
        <v>4348.7700000000004</v>
      </c>
      <c r="L133" s="8">
        <f>IFERROR(K133/K444, "NA")</f>
        <v>2.1148817446727596E-2</v>
      </c>
      <c r="M133" s="9"/>
      <c r="N133" s="10">
        <f t="shared" si="29"/>
        <v>54.150000000000546</v>
      </c>
      <c r="O133" s="8">
        <f>IFERROR(N133/N444, "NA")</f>
        <v>-7.9886344524798709E-3</v>
      </c>
      <c r="P133" s="9"/>
      <c r="Q133" s="7">
        <v>16148.25</v>
      </c>
      <c r="R133" s="8">
        <f>IFERROR(Q133/Q444, "NA")</f>
        <v>2.1060559609323015E-2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-16148.25</v>
      </c>
      <c r="X133" s="8">
        <f>IFERROR(W133/W444, "NA")</f>
        <v>28.922411477085618</v>
      </c>
      <c r="Y133" s="9"/>
      <c r="Z133" s="7">
        <v>15143</v>
      </c>
      <c r="AA133" s="8">
        <f>IFERROR(Z133/Z444, "NA")</f>
        <v>2.1162478136671121E-2</v>
      </c>
      <c r="AB133" s="9"/>
      <c r="AC133" s="10">
        <f t="shared" si="31"/>
        <v>-1005.25</v>
      </c>
      <c r="AD133" s="8">
        <f>IFERROR(AC133/AC444, "NA")</f>
        <v>-1.9636009619056545E-2</v>
      </c>
    </row>
    <row r="134" spans="1:30" ht="16.5" customHeight="1" x14ac:dyDescent="0.45">
      <c r="A134" s="12" t="s">
        <v>126</v>
      </c>
      <c r="B134" s="7">
        <v>2023.97</v>
      </c>
      <c r="C134" s="8">
        <f>IFERROR(B134/B444, "NA")</f>
        <v>1.0178441178801654E-2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-2023.97</v>
      </c>
      <c r="I134" s="8">
        <f>IFERROR(H134/H444, "NA")</f>
        <v>7.4729167366647614E-2</v>
      </c>
      <c r="J134" s="9"/>
      <c r="K134" s="7">
        <v>1517.66</v>
      </c>
      <c r="L134" s="8">
        <f>IFERROR(K134/K444, "NA")</f>
        <v>7.3806419484591284E-3</v>
      </c>
      <c r="M134" s="9"/>
      <c r="N134" s="10">
        <f t="shared" si="29"/>
        <v>-506.30999999999995</v>
      </c>
      <c r="O134" s="8">
        <f>IFERROR(N134/N444, "NA")</f>
        <v>7.4694838589751469E-2</v>
      </c>
      <c r="P134" s="9"/>
      <c r="Q134" s="7">
        <v>7678.3</v>
      </c>
      <c r="R134" s="8">
        <f>IFERROR(Q134/Q444, "NA")</f>
        <v>1.0014044546515253E-2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-7678.3</v>
      </c>
      <c r="X134" s="8">
        <f>IFERROR(W134/W444, "NA")</f>
        <v>13.75226120753063</v>
      </c>
      <c r="Y134" s="9"/>
      <c r="Z134" s="7">
        <v>5898.95</v>
      </c>
      <c r="AA134" s="8">
        <f>IFERROR(Z134/Z444, "NA")</f>
        <v>8.2438354622146274E-3</v>
      </c>
      <c r="AB134" s="9"/>
      <c r="AC134" s="10">
        <f t="shared" si="31"/>
        <v>-1779.3500000000004</v>
      </c>
      <c r="AD134" s="8">
        <f>IFERROR(AC134/AC444, "NA")</f>
        <v>-3.4756860199620265E-2</v>
      </c>
    </row>
    <row r="135" spans="1:30" ht="16.5" customHeight="1" x14ac:dyDescent="0.45">
      <c r="A135" s="12" t="s">
        <v>127</v>
      </c>
      <c r="B135" s="7">
        <v>2074.25</v>
      </c>
      <c r="C135" s="8">
        <f>IFERROR(B135/B444, "NA")</f>
        <v>1.0431296716418391E-2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-2074.25</v>
      </c>
      <c r="I135" s="8">
        <f>IFERROR(H135/H444, "NA")</f>
        <v>7.6585609179122618E-2</v>
      </c>
      <c r="J135" s="9"/>
      <c r="K135" s="7">
        <v>1702.75</v>
      </c>
      <c r="L135" s="8">
        <f>IFERROR(K135/K444, "NA")</f>
        <v>8.2807664942996326E-3</v>
      </c>
      <c r="M135" s="9"/>
      <c r="N135" s="10">
        <f t="shared" si="29"/>
        <v>-371.5</v>
      </c>
      <c r="O135" s="8">
        <f>IFERROR(N135/N444, "NA")</f>
        <v>5.480660570814852E-2</v>
      </c>
      <c r="P135" s="9"/>
      <c r="Q135" s="7">
        <v>7687.11</v>
      </c>
      <c r="R135" s="8">
        <f>IFERROR(Q135/Q444, "NA")</f>
        <v>1.0025534555039899E-2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-7687.11</v>
      </c>
      <c r="X135" s="8">
        <f>IFERROR(W135/W444, "NA")</f>
        <v>13.768040406212414</v>
      </c>
      <c r="Y135" s="9"/>
      <c r="Z135" s="7">
        <v>6787.43</v>
      </c>
      <c r="AA135" s="8">
        <f>IFERROR(Z135/Z444, "NA")</f>
        <v>9.485494220378107E-3</v>
      </c>
      <c r="AB135" s="9"/>
      <c r="AC135" s="10">
        <f t="shared" si="31"/>
        <v>-899.67999999999938</v>
      </c>
      <c r="AD135" s="8">
        <f>IFERROR(AC135/AC444, "NA")</f>
        <v>-1.7573862356700103E-2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1982.13</v>
      </c>
      <c r="L136" s="8">
        <f>IFERROR(K136/K444, "NA")</f>
        <v>9.6394395485809026E-3</v>
      </c>
      <c r="M136" s="9"/>
      <c r="N136" s="10">
        <f t="shared" si="29"/>
        <v>1982.13</v>
      </c>
      <c r="O136" s="8">
        <f>IFERROR(N136/N444, "NA")</f>
        <v>-0.29241942765085444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5381.28</v>
      </c>
      <c r="AA136" s="8">
        <f>IFERROR(Z136/Z444, "NA")</f>
        <v>7.5203870004164012E-3</v>
      </c>
      <c r="AB136" s="9"/>
      <c r="AC136" s="10">
        <f t="shared" si="31"/>
        <v>5381.28</v>
      </c>
      <c r="AD136" s="8">
        <f>IFERROR(AC136/AC444, "NA")</f>
        <v>0.10511501202968077</v>
      </c>
    </row>
    <row r="137" spans="1:30" ht="16.5" customHeight="1" x14ac:dyDescent="0.45">
      <c r="A137" s="12" t="s">
        <v>129</v>
      </c>
      <c r="B137" s="7">
        <v>624.04999999999995</v>
      </c>
      <c r="C137" s="8">
        <f>IFERROR(B137/B444, "NA")</f>
        <v>3.1383153987614302E-3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-624.04999999999995</v>
      </c>
      <c r="I137" s="8">
        <f>IFERROR(H137/H444, "NA")</f>
        <v>2.3041219432677576E-2</v>
      </c>
      <c r="J137" s="9"/>
      <c r="K137" s="7">
        <v>532.53</v>
      </c>
      <c r="L137" s="8">
        <f>IFERROR(K137/K444, "NA")</f>
        <v>2.5897851012828561E-3</v>
      </c>
      <c r="M137" s="9"/>
      <c r="N137" s="10">
        <f t="shared" si="29"/>
        <v>-91.519999999999982</v>
      </c>
      <c r="O137" s="8">
        <f>IFERROR(N137/N444, "NA")</f>
        <v>1.3501751155880893E-2</v>
      </c>
      <c r="P137" s="9"/>
      <c r="Q137" s="7">
        <v>3090.51</v>
      </c>
      <c r="R137" s="8">
        <f>IFERROR(Q137/Q444, "NA")</f>
        <v>4.0306454308181305E-3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-3090.51</v>
      </c>
      <c r="X137" s="8">
        <f>IFERROR(W137/W444, "NA")</f>
        <v>5.5352748374621319</v>
      </c>
      <c r="Y137" s="9"/>
      <c r="Z137" s="7">
        <v>3160.28</v>
      </c>
      <c r="AA137" s="8">
        <f>IFERROR(Z137/Z444, "NA")</f>
        <v>4.416519606799116E-3</v>
      </c>
      <c r="AB137" s="9"/>
      <c r="AC137" s="10">
        <f t="shared" si="31"/>
        <v>69.769999999999982</v>
      </c>
      <c r="AD137" s="8">
        <f>IFERROR(AC137/AC444, "NA")</f>
        <v>1.3628494316056451E-3</v>
      </c>
    </row>
    <row r="138" spans="1:30" ht="16.5" customHeight="1" x14ac:dyDescent="0.45">
      <c r="A138" s="12" t="s">
        <v>130</v>
      </c>
      <c r="B138" s="7">
        <v>11113.01</v>
      </c>
      <c r="C138" s="8">
        <f>IFERROR(B138/B444, "NA")</f>
        <v>5.5886756525262017E-2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-11113.01</v>
      </c>
      <c r="I138" s="8">
        <f>IFERROR(H138/H444, "NA")</f>
        <v>0.41031536249906303</v>
      </c>
      <c r="J138" s="9"/>
      <c r="K138" s="7">
        <v>12449.78</v>
      </c>
      <c r="L138" s="8">
        <f>IFERROR(K138/K444, "NA")</f>
        <v>6.0545424216944171E-2</v>
      </c>
      <c r="M138" s="9"/>
      <c r="N138" s="10">
        <f t="shared" si="29"/>
        <v>1336.7700000000004</v>
      </c>
      <c r="O138" s="8">
        <f>IFERROR(N138/N444, "NA")</f>
        <v>-0.19721083798783773</v>
      </c>
      <c r="P138" s="9"/>
      <c r="Q138" s="7">
        <v>46516.42</v>
      </c>
      <c r="R138" s="8">
        <f>IFERROR(Q138/Q444, "NA")</f>
        <v>6.0666749413856316E-2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-46516.42</v>
      </c>
      <c r="X138" s="8">
        <f>IFERROR(W138/W444, "NA")</f>
        <v>83.313488438743192</v>
      </c>
      <c r="Y138" s="9"/>
      <c r="Z138" s="7">
        <v>38195.910000000003</v>
      </c>
      <c r="AA138" s="8">
        <f>IFERROR(Z138/Z444, "NA")</f>
        <v>5.3379126347834503E-2</v>
      </c>
      <c r="AB138" s="9"/>
      <c r="AC138" s="10">
        <f t="shared" si="31"/>
        <v>-8320.5099999999948</v>
      </c>
      <c r="AD138" s="8">
        <f>IFERROR(AC138/AC444, "NA")</f>
        <v>-0.1625283406072679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42184.950000000004</v>
      </c>
      <c r="C141" s="15">
        <f>IFERROR(B141/B444, "NA")</f>
        <v>0.21214594692890154</v>
      </c>
      <c r="D141" s="2"/>
      <c r="E141" s="14">
        <f>IFERROR(E129+E130+E131+E132+E133+E134+E135+E136+E137+E138+E139+E140, "NA")</f>
        <v>46090.29</v>
      </c>
      <c r="F141" s="15">
        <f>IFERROR(E141/E444, "NA")</f>
        <v>0.20400000371791982</v>
      </c>
      <c r="G141" s="2"/>
      <c r="H141" s="14">
        <f t="shared" si="28"/>
        <v>3905.3399999999965</v>
      </c>
      <c r="I141" s="15">
        <f>IFERROR(H141/H444, "NA")</f>
        <v>-0.14419324717444593</v>
      </c>
      <c r="J141" s="2"/>
      <c r="K141" s="14">
        <f>IFERROR(K129+K130+K131+K132+K133+K134+K135+K136+K137+K138+K139+K140, "NA")</f>
        <v>47510.25</v>
      </c>
      <c r="L141" s="15">
        <f>IFERROR(K141/K444, "NA")</f>
        <v>0.23105052787302841</v>
      </c>
      <c r="M141" s="2"/>
      <c r="N141" s="14">
        <f t="shared" si="29"/>
        <v>5325.2999999999956</v>
      </c>
      <c r="O141" s="15">
        <f>IFERROR(N141/N444, "NA")</f>
        <v>-0.78563019482531105</v>
      </c>
      <c r="P141" s="2"/>
      <c r="Q141" s="14">
        <f>IFERROR(Q129+Q130+Q131+Q132+Q133+Q134+Q135+Q136+Q137+Q138+Q139+Q140, "NA")</f>
        <v>164227.53</v>
      </c>
      <c r="R141" s="15">
        <f>IFERROR(Q141/Q444, "NA")</f>
        <v>0.21418566625218732</v>
      </c>
      <c r="S141" s="2"/>
      <c r="T141" s="14">
        <f>IFERROR(T129+T130+T131+T132+T133+T134+T135+T136+T137+T138+T139+T140, "NA")</f>
        <v>158095.39000000001</v>
      </c>
      <c r="U141" s="15">
        <f>IFERROR(T141/T444, "NA")</f>
        <v>0.20603809305806539</v>
      </c>
      <c r="V141" s="2"/>
      <c r="W141" s="14">
        <f t="shared" si="30"/>
        <v>-6132.1399999999849</v>
      </c>
      <c r="X141" s="15">
        <f>IFERROR(W141/W444, "NA")</f>
        <v>10.983002883600102</v>
      </c>
      <c r="Y141" s="2"/>
      <c r="Z141" s="14">
        <f>IFERROR(Z129+Z130+Z131+Z132+Z133+Z134+Z135+Z136+Z137+Z138+Z139+Z140, "NA")</f>
        <v>160035.38999999998</v>
      </c>
      <c r="AA141" s="15">
        <f>IFERROR(Z141/Z444, "NA")</f>
        <v>0.22365089097065546</v>
      </c>
      <c r="AB141" s="2"/>
      <c r="AC141" s="14">
        <f t="shared" si="31"/>
        <v>-4192.140000000014</v>
      </c>
      <c r="AD141" s="15">
        <f>IFERROR(AC141/AC444, "NA")</f>
        <v>-8.1886994642558539E-2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2033.39</v>
      </c>
      <c r="F143" s="8">
        <f>IFERROR(E143/E444, "NA")</f>
        <v>8.9999773826543727E-3</v>
      </c>
      <c r="G143" s="9"/>
      <c r="H143" s="10">
        <f t="shared" ref="H143:H149" si="32">IFERROR(-(B143-E143), "NA")</f>
        <v>2033.39</v>
      </c>
      <c r="I143" s="8">
        <f>IFERROR(H143/H444, "NA")</f>
        <v>-7.5076973290941859E-2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6905.8</v>
      </c>
      <c r="U143" s="8">
        <f>IFERROR(T143/T444, "NA")</f>
        <v>8.9999959077895174E-3</v>
      </c>
      <c r="V143" s="9"/>
      <c r="W143" s="10">
        <f t="shared" ref="W143:W149" si="34">IFERROR(-(Q143-T143), "NA")</f>
        <v>6905.8</v>
      </c>
      <c r="X143" s="8">
        <f>IFERROR(W143/W444, "NA")</f>
        <v>-12.368670857737392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1993.47</v>
      </c>
      <c r="C144" s="8">
        <f>IFERROR(B144/B444, "NA")</f>
        <v>1.0025058245283148E-2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-1993.47</v>
      </c>
      <c r="I144" s="8">
        <f>IFERROR(H144/H444, "NA")</f>
        <v>7.3603044151045224E-2</v>
      </c>
      <c r="J144" s="9"/>
      <c r="K144" s="7">
        <v>2312.5100000000002</v>
      </c>
      <c r="L144" s="8">
        <f>IFERROR(K144/K444, "NA")</f>
        <v>1.124613438598317E-2</v>
      </c>
      <c r="M144" s="9"/>
      <c r="N144" s="10">
        <f t="shared" si="33"/>
        <v>319.04000000000019</v>
      </c>
      <c r="O144" s="8">
        <f>IFERROR(N144/N444, "NA")</f>
        <v>-4.7067293365081329E-2</v>
      </c>
      <c r="P144" s="9"/>
      <c r="Q144" s="7">
        <v>7887.11</v>
      </c>
      <c r="R144" s="8">
        <f>IFERROR(Q144/Q444, "NA")</f>
        <v>1.028637470315902E-2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-7887.11</v>
      </c>
      <c r="X144" s="8">
        <f>IFERROR(W144/W444, "NA")</f>
        <v>14.126251500010016</v>
      </c>
      <c r="Y144" s="9"/>
      <c r="Z144" s="7">
        <v>6225.94</v>
      </c>
      <c r="AA144" s="8">
        <f>IFERROR(Z144/Z444, "NA")</f>
        <v>8.7008069160817662E-3</v>
      </c>
      <c r="AB144" s="9"/>
      <c r="AC144" s="10">
        <f t="shared" si="35"/>
        <v>-1661.17</v>
      </c>
      <c r="AD144" s="8">
        <f>IFERROR(AC144/AC444, "NA")</f>
        <v>-3.2448396019784297E-2</v>
      </c>
    </row>
    <row r="145" spans="1:30" ht="16.5" customHeight="1" x14ac:dyDescent="0.45">
      <c r="A145" s="12" t="s">
        <v>136</v>
      </c>
      <c r="B145" s="7">
        <v>57.53</v>
      </c>
      <c r="C145" s="8">
        <f>IFERROR(B145/B444, "NA")</f>
        <v>2.8931541525638186E-4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-57.53</v>
      </c>
      <c r="I145" s="8">
        <f>IFERROR(H145/H444, "NA")</f>
        <v>2.1241268391345904E-3</v>
      </c>
      <c r="J145" s="9"/>
      <c r="K145" s="7">
        <v>-1370.9</v>
      </c>
      <c r="L145" s="8">
        <f>IFERROR(K145/K444, "NA")</f>
        <v>-6.6669227937368181E-3</v>
      </c>
      <c r="M145" s="9"/>
      <c r="N145" s="10">
        <f t="shared" si="33"/>
        <v>-1428.43</v>
      </c>
      <c r="O145" s="8">
        <f>IFERROR(N145/N444, "NA")</f>
        <v>0.21073324304627347</v>
      </c>
      <c r="P145" s="9"/>
      <c r="Q145" s="7">
        <v>161.12</v>
      </c>
      <c r="R145" s="8">
        <f>IFERROR(Q145/Q444, "NA")</f>
        <v>2.1013282332476427E-4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-161.12</v>
      </c>
      <c r="X145" s="8">
        <f>IFERROR(W145/W444, "NA")</f>
        <v>0.28857485716334802</v>
      </c>
      <c r="Y145" s="9"/>
      <c r="Z145" s="7">
        <v>-931.38</v>
      </c>
      <c r="AA145" s="8">
        <f>IFERROR(Z145/Z444, "NA")</f>
        <v>-1.3016118924211019E-3</v>
      </c>
      <c r="AB145" s="9"/>
      <c r="AC145" s="10">
        <f t="shared" si="35"/>
        <v>-1092.5</v>
      </c>
      <c r="AD145" s="8">
        <f>IFERROR(AC145/AC444, "NA")</f>
        <v>-2.1340303913274582E-2</v>
      </c>
    </row>
    <row r="146" spans="1:30" ht="16.5" customHeight="1" x14ac:dyDescent="0.45">
      <c r="A146" s="12" t="s">
        <v>137</v>
      </c>
      <c r="B146" s="7">
        <v>8</v>
      </c>
      <c r="C146" s="8">
        <f>IFERROR(B146/B444, "NA")</f>
        <v>4.0231589119608112E-5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-8</v>
      </c>
      <c r="I146" s="8">
        <f>IFERROR(H146/H444, "NA")</f>
        <v>2.9537658114160828E-4</v>
      </c>
      <c r="J146" s="9"/>
      <c r="K146" s="7">
        <v>158.91</v>
      </c>
      <c r="L146" s="8">
        <f>IFERROR(K146/K444, "NA")</f>
        <v>7.7280669717172488E-4</v>
      </c>
      <c r="M146" s="9"/>
      <c r="N146" s="10">
        <f t="shared" si="33"/>
        <v>150.91</v>
      </c>
      <c r="O146" s="8">
        <f>IFERROR(N146/N444, "NA")</f>
        <v>-2.2263431675415054E-2</v>
      </c>
      <c r="P146" s="9"/>
      <c r="Q146" s="7">
        <v>15.99</v>
      </c>
      <c r="R146" s="8">
        <f>IFERROR(Q146/Q444, "NA")</f>
        <v>2.0854169842123761E-5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-15.99</v>
      </c>
      <c r="X146" s="8">
        <f>IFERROR(W146/W444, "NA")</f>
        <v>2.8638976949118263E-2</v>
      </c>
      <c r="Y146" s="9"/>
      <c r="Z146" s="7">
        <v>859.51</v>
      </c>
      <c r="AA146" s="8">
        <f>IFERROR(Z146/Z444, "NA")</f>
        <v>1.2011729236776196E-3</v>
      </c>
      <c r="AB146" s="9"/>
      <c r="AC146" s="10">
        <f t="shared" si="35"/>
        <v>843.52</v>
      </c>
      <c r="AD146" s="8">
        <f>IFERROR(AC146/AC444, "NA")</f>
        <v>1.6476863301533525E-2</v>
      </c>
    </row>
    <row r="147" spans="1:30" ht="16.5" customHeight="1" x14ac:dyDescent="0.45">
      <c r="A147" s="12" t="s">
        <v>138</v>
      </c>
      <c r="B147" s="7">
        <v>24.62</v>
      </c>
      <c r="C147" s="8">
        <f>IFERROR(B147/B444, "NA")</f>
        <v>1.2381271551559396E-4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-24.62</v>
      </c>
      <c r="I147" s="8">
        <f>IFERROR(H147/H444, "NA")</f>
        <v>9.0902142846329944E-4</v>
      </c>
      <c r="J147" s="9"/>
      <c r="K147" s="7">
        <v>-295.72000000000003</v>
      </c>
      <c r="L147" s="8">
        <f>IFERROR(K147/K444, "NA")</f>
        <v>-1.4381372883243504E-3</v>
      </c>
      <c r="M147" s="9"/>
      <c r="N147" s="10">
        <f t="shared" si="33"/>
        <v>-320.34000000000003</v>
      </c>
      <c r="O147" s="8">
        <f>IFERROR(N147/N444, "NA")</f>
        <v>4.7259079603090975E-2</v>
      </c>
      <c r="P147" s="9"/>
      <c r="Q147" s="7">
        <v>57.75</v>
      </c>
      <c r="R147" s="8">
        <f>IFERROR(Q147/Q444, "NA")</f>
        <v>7.5317592769396323E-5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-57.75</v>
      </c>
      <c r="X147" s="8">
        <f>IFERROR(W147/W444, "NA")</f>
        <v>0.10343345333405753</v>
      </c>
      <c r="Y147" s="9"/>
      <c r="Z147" s="7">
        <v>87.2</v>
      </c>
      <c r="AA147" s="8">
        <f>IFERROR(Z147/Z444, "NA")</f>
        <v>1.2186278105512262E-4</v>
      </c>
      <c r="AB147" s="9"/>
      <c r="AC147" s="10">
        <f t="shared" si="35"/>
        <v>29.450000000000003</v>
      </c>
      <c r="AD147" s="8">
        <f>IFERROR(AC147/AC444, "NA")</f>
        <v>5.7526036635783661E-4</v>
      </c>
    </row>
    <row r="148" spans="1:30" ht="16.5" customHeight="1" x14ac:dyDescent="0.45">
      <c r="A148" s="13" t="s">
        <v>139</v>
      </c>
      <c r="B148" s="14">
        <f>IFERROR(B143+B144+B145+B146+B147, "NA")</f>
        <v>2083.62</v>
      </c>
      <c r="C148" s="15">
        <f>IFERROR(B148/B444, "NA")</f>
        <v>1.047841796517473E-2</v>
      </c>
      <c r="D148" s="2"/>
      <c r="E148" s="14">
        <f>IFERROR(E143+E144+E145+E146+E147, "NA")</f>
        <v>2033.39</v>
      </c>
      <c r="F148" s="15">
        <f>IFERROR(E148/E444, "NA")</f>
        <v>8.9999773826543727E-3</v>
      </c>
      <c r="G148" s="2"/>
      <c r="H148" s="14">
        <f t="shared" si="32"/>
        <v>-50.229999999999791</v>
      </c>
      <c r="I148" s="15">
        <f>IFERROR(H148/H444, "NA")</f>
        <v>1.8545957088428652E-3</v>
      </c>
      <c r="J148" s="2"/>
      <c r="K148" s="14">
        <f>IFERROR(K143+K144+K145+K146+K147, "NA")</f>
        <v>804.80000000000018</v>
      </c>
      <c r="L148" s="15">
        <f>IFERROR(K148/K444, "NA")</f>
        <v>3.9138810010937285E-3</v>
      </c>
      <c r="M148" s="2"/>
      <c r="N148" s="14">
        <f t="shared" si="33"/>
        <v>-1278.8199999999997</v>
      </c>
      <c r="O148" s="15">
        <f>IFERROR(N148/N444, "NA")</f>
        <v>0.18866159760886803</v>
      </c>
      <c r="P148" s="2"/>
      <c r="Q148" s="14">
        <f>IFERROR(Q143+Q144+Q145+Q146+Q147, "NA")</f>
        <v>8121.9699999999993</v>
      </c>
      <c r="R148" s="15">
        <f>IFERROR(Q148/Q444, "NA")</f>
        <v>1.0592679289095304E-2</v>
      </c>
      <c r="S148" s="2"/>
      <c r="T148" s="14">
        <f>IFERROR(T143+T144+T145+T146+T147, "NA")</f>
        <v>6905.8</v>
      </c>
      <c r="U148" s="15">
        <f>IFERROR(T148/T444, "NA")</f>
        <v>8.9999959077895174E-3</v>
      </c>
      <c r="V148" s="2"/>
      <c r="W148" s="14">
        <f t="shared" si="34"/>
        <v>-1216.1699999999992</v>
      </c>
      <c r="X148" s="15">
        <f>IFERROR(W148/W444, "NA")</f>
        <v>2.1782279297191454</v>
      </c>
      <c r="Y148" s="2"/>
      <c r="Z148" s="14">
        <f>IFERROR(Z143+Z144+Z145+Z146+Z147, "NA")</f>
        <v>6241.2699999999995</v>
      </c>
      <c r="AA148" s="15">
        <f>IFERROR(Z148/Z444, "NA")</f>
        <v>8.7222307283934056E-3</v>
      </c>
      <c r="AB148" s="2"/>
      <c r="AC148" s="14">
        <f t="shared" si="35"/>
        <v>-1880.6999999999998</v>
      </c>
      <c r="AD148" s="15">
        <f>IFERROR(AC148/AC444, "NA")</f>
        <v>-3.6736576265167513E-2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44268.570000000007</v>
      </c>
      <c r="C149" s="15">
        <f>IFERROR(B149/B444, "NA")</f>
        <v>0.2226243648940763</v>
      </c>
      <c r="D149" s="2"/>
      <c r="E149" s="14">
        <f>IFERROR(E127+E129+E130+E131+E132+E133+E134+E135+E136+E137+E138+E139+E140+E143+E144+E145+E146+E147, "NA")</f>
        <v>48123.68</v>
      </c>
      <c r="F149" s="15">
        <f>IFERROR(E149/E444, "NA")</f>
        <v>0.21299998110057419</v>
      </c>
      <c r="G149" s="2"/>
      <c r="H149" s="14">
        <f t="shared" si="32"/>
        <v>3855.1099999999933</v>
      </c>
      <c r="I149" s="15">
        <f>IFERROR(H149/H444, "NA")</f>
        <v>-0.14233865146560293</v>
      </c>
      <c r="J149" s="2"/>
      <c r="K149" s="14">
        <f>IFERROR(K127+K129+K130+K131+K132+K133+K134+K135+K136+K137+K138+K139+K140+K143+K144+K145+K146+K147, "NA")</f>
        <v>48315.05</v>
      </c>
      <c r="L149" s="15">
        <f>IFERROR(K149/K444, "NA")</f>
        <v>0.23496440887412215</v>
      </c>
      <c r="M149" s="2"/>
      <c r="N149" s="14">
        <f t="shared" si="33"/>
        <v>4046.4799999999959</v>
      </c>
      <c r="O149" s="15">
        <f>IFERROR(N149/N444, "NA")</f>
        <v>-0.59696859721644302</v>
      </c>
      <c r="P149" s="2"/>
      <c r="Q149" s="14">
        <f>IFERROR(Q127+Q129+Q130+Q131+Q132+Q133+Q134+Q135+Q136+Q137+Q138+Q139+Q140+Q143+Q144+Q145+Q146+Q147, "NA")</f>
        <v>172349.49999999997</v>
      </c>
      <c r="R149" s="15">
        <f>IFERROR(Q149/Q444, "NA")</f>
        <v>0.22477834554128259</v>
      </c>
      <c r="S149" s="2"/>
      <c r="T149" s="14">
        <f>IFERROR(T127+T129+T130+T131+T132+T133+T134+T135+T136+T137+T138+T139+T140+T143+T144+T145+T146+T147, "NA")</f>
        <v>165001.19</v>
      </c>
      <c r="U149" s="15">
        <f>IFERROR(T149/T444, "NA")</f>
        <v>0.21503808896585488</v>
      </c>
      <c r="V149" s="2"/>
      <c r="W149" s="14">
        <f t="shared" si="34"/>
        <v>-7348.3099999999686</v>
      </c>
      <c r="X149" s="15">
        <f>IFERROR(W149/W444, "NA")</f>
        <v>13.16123081331922</v>
      </c>
      <c r="Y149" s="2"/>
      <c r="Z149" s="14">
        <f>IFERROR(Z127+Z129+Z130+Z131+Z132+Z133+Z134+Z135+Z136+Z137+Z138+Z139+Z140+Z143+Z144+Z145+Z146+Z147, "NA")</f>
        <v>166276.66</v>
      </c>
      <c r="AA149" s="15">
        <f>IFERROR(Z149/Z444, "NA")</f>
        <v>0.23237312169904889</v>
      </c>
      <c r="AB149" s="2"/>
      <c r="AC149" s="14">
        <f t="shared" si="35"/>
        <v>-6072.8399999999674</v>
      </c>
      <c r="AD149" s="15">
        <f>IFERROR(AC149/AC444, "NA")</f>
        <v>-0.11862357090772514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9263.24</v>
      </c>
      <c r="F153" s="8">
        <f>IFERROR(E153/E444, "NA")</f>
        <v>4.0999980569442797E-2</v>
      </c>
      <c r="G153" s="9"/>
      <c r="H153" s="10">
        <f t="shared" ref="H153:H158" si="36">IFERROR(-(B153-E153), "NA")</f>
        <v>9263.24</v>
      </c>
      <c r="I153" s="8">
        <f>IFERROR(H153/H444, "NA")</f>
        <v>-0.34201802018677391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31459.759999999998</v>
      </c>
      <c r="U153" s="8">
        <f>IFERROR(T153/T444, "NA")</f>
        <v>4.0999987149937786E-2</v>
      </c>
      <c r="V153" s="9"/>
      <c r="W153" s="10">
        <f t="shared" ref="W153:W158" si="38">IFERROR(-(Q153-T153), "NA")</f>
        <v>31459.759999999998</v>
      </c>
      <c r="X153" s="8">
        <f>IFERROR(W153/W444, "NA")</f>
        <v>-56.346175201050201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4928.84</v>
      </c>
      <c r="C154" s="8">
        <f>IFERROR(B154/B444, "NA")</f>
        <v>2.4786883214536155E-2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-4928.84</v>
      </c>
      <c r="I154" s="8">
        <f>IFERROR(H154/H444, "NA")</f>
        <v>0.18198298852425057</v>
      </c>
      <c r="J154" s="9"/>
      <c r="K154" s="7">
        <v>5539.02</v>
      </c>
      <c r="L154" s="8">
        <f>IFERROR(K154/K444, "NA")</f>
        <v>2.6937208179272091E-2</v>
      </c>
      <c r="M154" s="9"/>
      <c r="N154" s="10">
        <f t="shared" si="37"/>
        <v>610.18000000000029</v>
      </c>
      <c r="O154" s="8">
        <f>IFERROR(N154/N444, "NA")</f>
        <v>-9.00185590067243E-2</v>
      </c>
      <c r="P154" s="9"/>
      <c r="Q154" s="7">
        <v>18971.099999999999</v>
      </c>
      <c r="R154" s="8">
        <f>IFERROR(Q154/Q444, "NA")</f>
        <v>2.4742122669913325E-2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-18971.099999999999</v>
      </c>
      <c r="X154" s="8">
        <f>IFERROR(W154/W444, "NA")</f>
        <v>33.978292407718413</v>
      </c>
      <c r="Y154" s="9"/>
      <c r="Z154" s="7">
        <v>18881.060000000001</v>
      </c>
      <c r="AA154" s="8">
        <f>IFERROR(Z154/Z444, "NA")</f>
        <v>2.6386450468676988E-2</v>
      </c>
      <c r="AB154" s="9"/>
      <c r="AC154" s="10">
        <f t="shared" si="39"/>
        <v>-90.039999999997235</v>
      </c>
      <c r="AD154" s="8">
        <f>IFERROR(AC154/AC444, "NA")</f>
        <v>-1.758792644715043E-3</v>
      </c>
    </row>
    <row r="155" spans="1:30" ht="16.5" customHeight="1" x14ac:dyDescent="0.45">
      <c r="A155" s="12" t="s">
        <v>144</v>
      </c>
      <c r="B155" s="7">
        <v>3204.26</v>
      </c>
      <c r="C155" s="8">
        <f>IFERROR(B155/B444, "NA")</f>
        <v>1.6114058969049438E-2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-3204.26</v>
      </c>
      <c r="I155" s="8">
        <f>IFERROR(H155/H444, "NA")</f>
        <v>0.11830792048610121</v>
      </c>
      <c r="J155" s="9"/>
      <c r="K155" s="7">
        <v>2941.02</v>
      </c>
      <c r="L155" s="8">
        <f>IFERROR(K155/K444, "NA")</f>
        <v>1.430268675675531E-2</v>
      </c>
      <c r="M155" s="9"/>
      <c r="N155" s="10">
        <f t="shared" si="37"/>
        <v>-263.24000000000024</v>
      </c>
      <c r="O155" s="8">
        <f>IFERROR(N155/N444, "NA")</f>
        <v>3.8835237918204653E-2</v>
      </c>
      <c r="P155" s="9"/>
      <c r="Q155" s="7">
        <v>12042.18</v>
      </c>
      <c r="R155" s="8">
        <f>IFERROR(Q155/Q444, "NA")</f>
        <v>1.570542007438561E-2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-12042.18</v>
      </c>
      <c r="X155" s="8">
        <f>IFERROR(W155/W444, "NA")</f>
        <v>21.568212347538022</v>
      </c>
      <c r="Y155" s="9"/>
      <c r="Z155" s="7">
        <v>11369.45</v>
      </c>
      <c r="AA155" s="8">
        <f>IFERROR(Z155/Z444, "NA")</f>
        <v>1.5888908211779403E-2</v>
      </c>
      <c r="AB155" s="9"/>
      <c r="AC155" s="10">
        <f t="shared" si="39"/>
        <v>-672.72999999999956</v>
      </c>
      <c r="AD155" s="8">
        <f>IFERROR(AC155/AC444, "NA")</f>
        <v>-1.3140743845837254E-2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118.69</v>
      </c>
      <c r="R156" s="8">
        <f>IFERROR(Q156/Q444, "NA")</f>
        <v>1.5479558590129262E-4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-118.69</v>
      </c>
      <c r="X156" s="8">
        <f>IFERROR(W156/W444, "NA")</f>
        <v>0.21258037361418677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-118.69</v>
      </c>
      <c r="AD156" s="8">
        <f>IFERROR(AC156/AC444, "NA")</f>
        <v>-2.3184262439053184E-3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8133.1</v>
      </c>
      <c r="C158" s="15">
        <f>IFERROR(B158/B444, "NA")</f>
        <v>4.0900942183585594E-2</v>
      </c>
      <c r="D158" s="2"/>
      <c r="E158" s="14">
        <f>IFERROR(E153+E154+E155+E156+E157, "NA")</f>
        <v>9263.24</v>
      </c>
      <c r="F158" s="15">
        <f>IFERROR(E158/E444, "NA")</f>
        <v>4.0999980569442797E-2</v>
      </c>
      <c r="G158" s="2"/>
      <c r="H158" s="14">
        <f t="shared" si="36"/>
        <v>1130.1399999999994</v>
      </c>
      <c r="I158" s="15">
        <f>IFERROR(H158/H444, "NA")</f>
        <v>-4.1727111176422124E-2</v>
      </c>
      <c r="J158" s="2"/>
      <c r="K158" s="14">
        <f>IFERROR(K153+K154+K155+K156+K157, "NA")</f>
        <v>8480.0400000000009</v>
      </c>
      <c r="L158" s="15">
        <f>IFERROR(K158/K444, "NA")</f>
        <v>4.1239894936027408E-2</v>
      </c>
      <c r="M158" s="2"/>
      <c r="N158" s="14">
        <f t="shared" si="37"/>
        <v>346.94000000000051</v>
      </c>
      <c r="O158" s="15">
        <f>IFERROR(N158/N444, "NA")</f>
        <v>-5.1183321088519716E-2</v>
      </c>
      <c r="P158" s="2"/>
      <c r="Q158" s="14">
        <f>IFERROR(Q153+Q154+Q155+Q156+Q157, "NA")</f>
        <v>31131.969999999998</v>
      </c>
      <c r="R158" s="15">
        <f>IFERROR(Q158/Q444, "NA")</f>
        <v>4.060233833020023E-2</v>
      </c>
      <c r="S158" s="2"/>
      <c r="T158" s="14">
        <f>IFERROR(T153+T154+T155+T156+T157, "NA")</f>
        <v>31459.759999999998</v>
      </c>
      <c r="U158" s="15">
        <f>IFERROR(T158/T444, "NA")</f>
        <v>4.0999987149937786E-2</v>
      </c>
      <c r="V158" s="2"/>
      <c r="W158" s="14">
        <f t="shared" si="38"/>
        <v>327.79000000000087</v>
      </c>
      <c r="X158" s="15">
        <f>IFERROR(W158/W444, "NA")</f>
        <v>-0.58709007217958098</v>
      </c>
      <c r="Y158" s="2"/>
      <c r="Z158" s="14">
        <f>IFERROR(Z153+Z154+Z155+Z156+Z157, "NA")</f>
        <v>30250.510000000002</v>
      </c>
      <c r="AA158" s="15">
        <f>IFERROR(Z158/Z444, "NA")</f>
        <v>4.2275358680456392E-2</v>
      </c>
      <c r="AB158" s="2"/>
      <c r="AC158" s="14">
        <f t="shared" si="39"/>
        <v>-881.45999999999549</v>
      </c>
      <c r="AD158" s="15">
        <f>IFERROR(AC158/AC444, "NA")</f>
        <v>-1.7217962734457592E-2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366.68</v>
      </c>
      <c r="C161" s="8">
        <f>IFERROR(B161/B444, "NA")</f>
        <v>1.8440148872972378E-3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-366.68</v>
      </c>
      <c r="I161" s="8">
        <f>IFERROR(H161/H444, "NA")</f>
        <v>1.3538585596625614E-2</v>
      </c>
      <c r="J161" s="9"/>
      <c r="K161" s="7">
        <v>197.64</v>
      </c>
      <c r="L161" s="8">
        <f>IFERROR(K161/K444, "NA")</f>
        <v>9.6115735717714238E-4</v>
      </c>
      <c r="M161" s="9"/>
      <c r="N161" s="10">
        <f t="shared" si="41"/>
        <v>-169.04000000000002</v>
      </c>
      <c r="O161" s="8">
        <f>IFERROR(N161/N444, "NA")</f>
        <v>2.4938112056273019E-2</v>
      </c>
      <c r="P161" s="9"/>
      <c r="Q161" s="7">
        <v>1105.1500000000001</v>
      </c>
      <c r="R161" s="8">
        <f>IFERROR(Q161/Q444, "NA")</f>
        <v>1.4413374484692355E-3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-1105.1500000000001</v>
      </c>
      <c r="X161" s="8">
        <f>IFERROR(W161/W444, "NA")</f>
        <v>1.9793849515520983</v>
      </c>
      <c r="Y161" s="9"/>
      <c r="Z161" s="7">
        <v>608.25</v>
      </c>
      <c r="AA161" s="8">
        <f>IFERROR(Z161/Z444, "NA")</f>
        <v>8.5003482312819185E-4</v>
      </c>
      <c r="AB161" s="9"/>
      <c r="AC161" s="10">
        <f t="shared" si="43"/>
        <v>-496.90000000000009</v>
      </c>
      <c r="AD161" s="8">
        <f>IFERROR(AC161/AC444, "NA")</f>
        <v>-9.7061757569850277E-3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366.68</v>
      </c>
      <c r="C166" s="15">
        <f>IFERROR(B166/B444, "NA")</f>
        <v>1.8440148872972378E-3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-366.68</v>
      </c>
      <c r="I166" s="15">
        <f>IFERROR(H166/H444, "NA")</f>
        <v>1.3538585596625614E-2</v>
      </c>
      <c r="J166" s="2"/>
      <c r="K166" s="14">
        <f>IFERROR(K160+K161+K162+K163+K164+K165, "NA")</f>
        <v>197.64</v>
      </c>
      <c r="L166" s="15">
        <f>IFERROR(K166/K444, "NA")</f>
        <v>9.6115735717714238E-4</v>
      </c>
      <c r="M166" s="2"/>
      <c r="N166" s="14">
        <f t="shared" si="41"/>
        <v>-169.04000000000002</v>
      </c>
      <c r="O166" s="15">
        <f>IFERROR(N166/N444, "NA")</f>
        <v>2.4938112056273019E-2</v>
      </c>
      <c r="P166" s="2"/>
      <c r="Q166" s="14">
        <f>IFERROR(Q160+Q161+Q162+Q163+Q164+Q165, "NA")</f>
        <v>1105.1500000000001</v>
      </c>
      <c r="R166" s="15">
        <f>IFERROR(Q166/Q444, "NA")</f>
        <v>1.4413374484692355E-3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-1105.1500000000001</v>
      </c>
      <c r="X166" s="15">
        <f>IFERROR(W166/W444, "NA")</f>
        <v>1.9793849515520983</v>
      </c>
      <c r="Y166" s="2"/>
      <c r="Z166" s="14">
        <f>IFERROR(Z160+Z161+Z162+Z163+Z164+Z165, "NA")</f>
        <v>608.25</v>
      </c>
      <c r="AA166" s="15">
        <f>IFERROR(Z166/Z444, "NA")</f>
        <v>8.5003482312819185E-4</v>
      </c>
      <c r="AB166" s="2"/>
      <c r="AC166" s="14">
        <f t="shared" si="43"/>
        <v>-496.90000000000009</v>
      </c>
      <c r="AD166" s="15">
        <f>IFERROR(AC166/AC444, "NA")</f>
        <v>-9.7061757569850277E-3</v>
      </c>
    </row>
    <row r="167" spans="1:30" ht="16.5" customHeight="1" x14ac:dyDescent="0.45">
      <c r="A167" s="6" t="s">
        <v>155</v>
      </c>
      <c r="B167" s="7">
        <v>205.82</v>
      </c>
      <c r="C167" s="8">
        <f>IFERROR(B167/B444, "NA")</f>
        <v>1.0350582090747178E-3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-205.82</v>
      </c>
      <c r="I167" s="8">
        <f>IFERROR(H167/H444, "NA")</f>
        <v>7.5993009913207258E-3</v>
      </c>
      <c r="J167" s="9"/>
      <c r="K167" s="7">
        <v>137.38</v>
      </c>
      <c r="L167" s="8">
        <f>IFERROR(K167/K444, "NA")</f>
        <v>6.6810259931691875E-4</v>
      </c>
      <c r="M167" s="9"/>
      <c r="N167" s="10">
        <f t="shared" si="41"/>
        <v>-68.44</v>
      </c>
      <c r="O167" s="8">
        <f>IFERROR(N167/N444, "NA")</f>
        <v>1.0096807791832259E-2</v>
      </c>
      <c r="P167" s="9"/>
      <c r="Q167" s="7">
        <v>806.99</v>
      </c>
      <c r="R167" s="8">
        <f>IFERROR(Q167/Q444, "NA")</f>
        <v>1.0524769556532491E-3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-806.99</v>
      </c>
      <c r="X167" s="8">
        <f>IFERROR(W167/W444, "NA")</f>
        <v>1.4453638529186335</v>
      </c>
      <c r="Y167" s="9"/>
      <c r="Z167" s="7">
        <v>532.23</v>
      </c>
      <c r="AA167" s="8">
        <f>IFERROR(Z167/Z444, "NA")</f>
        <v>7.4379619221293472E-4</v>
      </c>
      <c r="AB167" s="9"/>
      <c r="AC167" s="10">
        <f t="shared" si="43"/>
        <v>-274.76</v>
      </c>
      <c r="AD167" s="8">
        <f>IFERROR(AC167/AC444, "NA")</f>
        <v>-5.3670131837174591E-3</v>
      </c>
    </row>
    <row r="168" spans="1:30" ht="16.5" customHeight="1" x14ac:dyDescent="0.45">
      <c r="A168" s="6" t="s">
        <v>156</v>
      </c>
      <c r="B168" s="7">
        <v>169.74</v>
      </c>
      <c r="C168" s="8">
        <f>IFERROR(B168/B444, "NA")</f>
        <v>8.5361374214528514E-4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-169.74</v>
      </c>
      <c r="I168" s="8">
        <f>IFERROR(H168/H444, "NA")</f>
        <v>6.2671526103720739E-3</v>
      </c>
      <c r="J168" s="9"/>
      <c r="K168" s="7">
        <v>50.4</v>
      </c>
      <c r="L168" s="8">
        <f>IFERROR(K168/K444, "NA")</f>
        <v>2.4510387979016383E-4</v>
      </c>
      <c r="M168" s="9"/>
      <c r="N168" s="10">
        <f t="shared" si="41"/>
        <v>-119.34</v>
      </c>
      <c r="O168" s="8">
        <f>IFERROR(N168/N444, "NA")</f>
        <v>1.7605976649287872E-2</v>
      </c>
      <c r="P168" s="9"/>
      <c r="Q168" s="7">
        <v>508.18</v>
      </c>
      <c r="R168" s="8">
        <f>IFERROR(Q168/Q444, "NA")</f>
        <v>6.627687323558757E-4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-508.18</v>
      </c>
      <c r="X168" s="8">
        <f>IFERROR(W168/W444, "NA")</f>
        <v>0.91017856823032639</v>
      </c>
      <c r="Y168" s="9"/>
      <c r="Z168" s="7">
        <v>214.4</v>
      </c>
      <c r="AA168" s="8">
        <f>IFERROR(Z168/Z444, "NA")</f>
        <v>2.9962592039241157E-4</v>
      </c>
      <c r="AB168" s="9"/>
      <c r="AC168" s="10">
        <f t="shared" si="43"/>
        <v>-293.77999999999997</v>
      </c>
      <c r="AD168" s="8">
        <f>IFERROR(AC168/AC444, "NA")</f>
        <v>-5.7385395731275116E-3</v>
      </c>
    </row>
    <row r="169" spans="1:30" ht="16.5" customHeight="1" x14ac:dyDescent="0.45">
      <c r="A169" s="6" t="s">
        <v>157</v>
      </c>
      <c r="B169" s="7">
        <v>-1404.83</v>
      </c>
      <c r="C169" s="8">
        <f>IFERROR(B169/B444, "NA")</f>
        <v>-7.0648179178623826E-3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1404.83</v>
      </c>
      <c r="I169" s="8">
        <f>IFERROR(H169/H444, "NA")</f>
        <v>-5.1869235310645689E-2</v>
      </c>
      <c r="J169" s="9"/>
      <c r="K169" s="7">
        <v>-1733.42</v>
      </c>
      <c r="L169" s="8">
        <f>IFERROR(K169/K444, "NA")</f>
        <v>-8.4299199862274965E-3</v>
      </c>
      <c r="M169" s="9"/>
      <c r="N169" s="10">
        <f t="shared" si="41"/>
        <v>-328.59000000000015</v>
      </c>
      <c r="O169" s="8">
        <f>IFERROR(N169/N444, "NA")</f>
        <v>4.8476184575075451E-2</v>
      </c>
      <c r="P169" s="9"/>
      <c r="Q169" s="7">
        <v>-5682.39</v>
      </c>
      <c r="R169" s="8">
        <f>IFERROR(Q169/Q444, "NA")</f>
        <v>-7.4109772463530734E-3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5682.39</v>
      </c>
      <c r="X169" s="8">
        <f>IFERROR(W169/W444, "NA")</f>
        <v>-10.177475686422772</v>
      </c>
      <c r="Y169" s="9"/>
      <c r="Z169" s="7">
        <v>-10531.55</v>
      </c>
      <c r="AA169" s="8">
        <f>IFERROR(Z169/Z444, "NA")</f>
        <v>-1.471793545666372E-2</v>
      </c>
      <c r="AB169" s="9"/>
      <c r="AC169" s="10">
        <f t="shared" si="43"/>
        <v>-4849.1599999999989</v>
      </c>
      <c r="AD169" s="8">
        <f>IFERROR(AC169/AC444, "NA")</f>
        <v>-9.4720867848141474E-2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7470.51</v>
      </c>
      <c r="C170" s="15">
        <f>IFERROR(B170/B444, "NA")</f>
        <v>3.756881110424045E-2</v>
      </c>
      <c r="D170" s="2"/>
      <c r="E170" s="14">
        <f>IFERROR(E151+E153+E154+E155+E156+E157+E160+E161+E162+E163+E164+E165+E167+E168+E169, "NA")</f>
        <v>9263.24</v>
      </c>
      <c r="F170" s="15">
        <f>IFERROR(E170/E444, "NA")</f>
        <v>4.0999980569442797E-2</v>
      </c>
      <c r="G170" s="2"/>
      <c r="H170" s="14">
        <f t="shared" si="40"/>
        <v>1792.7299999999996</v>
      </c>
      <c r="I170" s="15">
        <f>IFERROR(H170/H444, "NA")</f>
        <v>-6.6191307288749404E-2</v>
      </c>
      <c r="J170" s="2"/>
      <c r="K170" s="14">
        <f>IFERROR(K151+K153+K154+K155+K156+K157+K160+K161+K162+K163+K164+K165+K167+K168+K169, "NA")</f>
        <v>7132.0399999999991</v>
      </c>
      <c r="L170" s="15">
        <f>IFERROR(K170/K444, "NA")</f>
        <v>3.4684338786084123E-2</v>
      </c>
      <c r="M170" s="2"/>
      <c r="N170" s="14">
        <f t="shared" si="41"/>
        <v>-338.47000000000116</v>
      </c>
      <c r="O170" s="15">
        <f>IFERROR(N170/N444, "NA")</f>
        <v>4.9933759983949104E-2</v>
      </c>
      <c r="P170" s="2"/>
      <c r="Q170" s="14">
        <f>IFERROR(Q151+Q153+Q154+Q155+Q156+Q157+Q160+Q161+Q162+Q163+Q164+Q165+Q167+Q168+Q169, "NA")</f>
        <v>27869.9</v>
      </c>
      <c r="R170" s="15">
        <f>IFERROR(Q170/Q444, "NA")</f>
        <v>3.6347944220325522E-2</v>
      </c>
      <c r="S170" s="2"/>
      <c r="T170" s="14">
        <f>IFERROR(T151+T153+T154+T155+T156+T157+T160+T161+T162+T163+T164+T165+T167+T168+T169, "NA")</f>
        <v>31459.759999999998</v>
      </c>
      <c r="U170" s="15">
        <f>IFERROR(T170/T444, "NA")</f>
        <v>4.0999987149937786E-2</v>
      </c>
      <c r="V170" s="2"/>
      <c r="W170" s="14">
        <f t="shared" si="42"/>
        <v>3589.8599999999969</v>
      </c>
      <c r="X170" s="15">
        <f>IFERROR(W170/W444, "NA")</f>
        <v>-6.4296383859012884</v>
      </c>
      <c r="Y170" s="2"/>
      <c r="Z170" s="14">
        <f>IFERROR(Z151+Z153+Z154+Z155+Z156+Z157+Z160+Z161+Z162+Z163+Z164+Z165+Z167+Z168+Z169, "NA")</f>
        <v>21073.840000000004</v>
      </c>
      <c r="AA170" s="15">
        <f>IFERROR(Z170/Z444, "NA")</f>
        <v>2.945088015952621E-2</v>
      </c>
      <c r="AB170" s="2"/>
      <c r="AC170" s="14">
        <f t="shared" si="43"/>
        <v>-6796.0599999999977</v>
      </c>
      <c r="AD170" s="15">
        <f>IFERROR(AC170/AC444, "NA")</f>
        <v>-0.13275055909642913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51739.08</v>
      </c>
      <c r="C171" s="15">
        <f>IFERROR(B171/B444, "NA")</f>
        <v>0.26019317599831671</v>
      </c>
      <c r="D171" s="2"/>
      <c r="E171" s="14">
        <f>IFERROR(E127+E129+E130+E131+E132+E133+E134+E135+E136+E137+E138+E139+E140+E143+E144+E145+E146+E147+E151+E153+E154+E155+E156+E157+E160+E161+E162+E163+E164+E165+E167+E168+E169, "NA")</f>
        <v>57386.92</v>
      </c>
      <c r="F171" s="15">
        <f>IFERROR(E171/E444, "NA")</f>
        <v>0.25399996167001698</v>
      </c>
      <c r="G171" s="2"/>
      <c r="H171" s="14">
        <f t="shared" si="40"/>
        <v>5647.8399999999965</v>
      </c>
      <c r="I171" s="15">
        <f>IFERROR(H171/H444, "NA")</f>
        <v>-0.20852995875435246</v>
      </c>
      <c r="J171" s="2"/>
      <c r="K171" s="14">
        <f>IFERROR(K127+K129+K130+K131+K132+K133+K134+K135+K136+K137+K138+K139+K140+K143+K144+K145+K146+K147+K151+K153+K154+K155+K156+K157+K160+K161+K162+K163+K164+K165+K167+K168+K169, "NA")</f>
        <v>55447.090000000004</v>
      </c>
      <c r="L171" s="15">
        <f>IFERROR(K171/K444, "NA")</f>
        <v>0.2696487476602063</v>
      </c>
      <c r="M171" s="2"/>
      <c r="N171" s="14">
        <f t="shared" si="41"/>
        <v>3708.010000000002</v>
      </c>
      <c r="O171" s="15">
        <f>IFERROR(N171/N444, "NA")</f>
        <v>-0.54703483723249502</v>
      </c>
      <c r="P171" s="2"/>
      <c r="Q171" s="14">
        <f>IFERROR(Q127+Q129+Q130+Q131+Q132+Q133+Q134+Q135+Q136+Q137+Q138+Q139+Q140+Q143+Q144+Q145+Q146+Q147+Q151+Q153+Q154+Q155+Q156+Q157+Q160+Q161+Q162+Q163+Q164+Q165+Q167+Q168+Q169, "NA")</f>
        <v>200219.39999999994</v>
      </c>
      <c r="R171" s="15">
        <f>IFERROR(Q171/Q444, "NA")</f>
        <v>0.26112628976160807</v>
      </c>
      <c r="S171" s="2"/>
      <c r="T171" s="14">
        <f>IFERROR(T127+T129+T130+T131+T132+T133+T134+T135+T136+T137+T138+T139+T140+T143+T144+T145+T146+T147+T151+T153+T154+T155+T156+T157+T160+T161+T162+T163+T164+T165+T167+T168+T169, "NA")</f>
        <v>196460.95</v>
      </c>
      <c r="U171" s="15">
        <f>IFERROR(T171/T444, "NA")</f>
        <v>0.25603807611579271</v>
      </c>
      <c r="V171" s="2"/>
      <c r="W171" s="14">
        <f t="shared" si="42"/>
        <v>-3758.4499999999243</v>
      </c>
      <c r="X171" s="15">
        <f>IFERROR(W171/W444, "NA")</f>
        <v>6.7315924274178469</v>
      </c>
      <c r="Y171" s="2"/>
      <c r="Z171" s="14">
        <f>IFERROR(Z127+Z129+Z130+Z131+Z132+Z133+Z134+Z135+Z136+Z137+Z138+Z139+Z140+Z143+Z144+Z145+Z146+Z147+Z151+Z153+Z154+Z155+Z156+Z157+Z160+Z161+Z162+Z163+Z164+Z165+Z167+Z168+Z169, "NA")</f>
        <v>187350.50000000003</v>
      </c>
      <c r="AA171" s="15">
        <f>IFERROR(Z171/Z444, "NA")</f>
        <v>0.26182400185857513</v>
      </c>
      <c r="AB171" s="2"/>
      <c r="AC171" s="14">
        <f t="shared" si="43"/>
        <v>-12868.899999999907</v>
      </c>
      <c r="AD171" s="15">
        <f>IFERROR(AC171/AC444, "NA")</f>
        <v>-0.25137413000415315</v>
      </c>
    </row>
    <row r="172" spans="1:30" ht="16.5" customHeight="1" x14ac:dyDescent="0.45">
      <c r="A172" s="22" t="s">
        <v>160</v>
      </c>
      <c r="B172" s="23">
        <f>IFERROR(B124-B171, "NA")</f>
        <v>147109.63999999996</v>
      </c>
      <c r="C172" s="24">
        <f>IFERROR(B172/B444, "NA")</f>
        <v>0.73980682400168307</v>
      </c>
      <c r="D172" s="25"/>
      <c r="E172" s="23">
        <f>IFERROR(E124-E171, "NA")</f>
        <v>168545.87</v>
      </c>
      <c r="F172" s="24">
        <f>IFERROR(E172/E444, "NA")</f>
        <v>0.74600003832998296</v>
      </c>
      <c r="G172" s="25"/>
      <c r="H172" s="23">
        <f>IFERROR(B172-E172, "NA")</f>
        <v>-21436.23000000004</v>
      </c>
      <c r="I172" s="24">
        <f>IFERROR(H172/H444, "NA")</f>
        <v>0.79147004124564857</v>
      </c>
      <c r="J172" s="25"/>
      <c r="K172" s="23">
        <f>IFERROR(K124-K171, "NA")</f>
        <v>150180.01000000004</v>
      </c>
      <c r="L172" s="24">
        <f>IFERROR(K172/K444, "NA")</f>
        <v>0.73035125233979392</v>
      </c>
      <c r="M172" s="25"/>
      <c r="N172" s="23">
        <f>IFERROR(B172-K172, "NA")</f>
        <v>-3070.3700000000827</v>
      </c>
      <c r="O172" s="24">
        <f>IFERROR(N172/N444, "NA")</f>
        <v>0.4529651627675168</v>
      </c>
      <c r="P172" s="25"/>
      <c r="Q172" s="23">
        <f>IFERROR(Q124-Q171, "NA")</f>
        <v>566533.73000000021</v>
      </c>
      <c r="R172" s="24">
        <f>IFERROR(Q172/Q444, "NA")</f>
        <v>0.7388737102383921</v>
      </c>
      <c r="S172" s="25"/>
      <c r="T172" s="23">
        <f>IFERROR(T124-T171, "NA")</f>
        <v>570850.51</v>
      </c>
      <c r="U172" s="24">
        <f>IFERROR(T172/T444, "NA")</f>
        <v>0.74396192388420734</v>
      </c>
      <c r="V172" s="25"/>
      <c r="W172" s="23">
        <f>IFERROR(Q172-T172, "NA")</f>
        <v>-4316.7799999997951</v>
      </c>
      <c r="X172" s="24">
        <f>IFERROR(W172/W444, "NA")</f>
        <v>7.7315924274176906</v>
      </c>
      <c r="Y172" s="25"/>
      <c r="Z172" s="23">
        <f>IFERROR(Z124-Z171, "NA")</f>
        <v>528208.42000000004</v>
      </c>
      <c r="AA172" s="24">
        <f>IFERROR(Z172/Z444, "NA")</f>
        <v>0.73817599814142487</v>
      </c>
      <c r="AB172" s="25"/>
      <c r="AC172" s="23">
        <f>IFERROR(Q172-Z172, "NA")</f>
        <v>38325.310000000172</v>
      </c>
      <c r="AD172" s="24">
        <f>IFERROR(AC172/AC444, "NA")</f>
        <v>0.74862586999584912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10076.92</v>
      </c>
      <c r="C178" s="8">
        <f>IFERROR(B178/B444, "NA")</f>
        <v>5.0676313128895173E-2</v>
      </c>
      <c r="D178" s="9"/>
      <c r="E178" s="7">
        <v>10278.459999999999</v>
      </c>
      <c r="F178" s="8">
        <f>IFERROR(E178/E444, "NA")</f>
        <v>4.5493440770593765E-2</v>
      </c>
      <c r="G178" s="9"/>
      <c r="H178" s="10">
        <f t="shared" si="44"/>
        <v>201.53999999999905</v>
      </c>
      <c r="I178" s="8">
        <f>IFERROR(H178/H444, "NA")</f>
        <v>-7.4412745204099308E-3</v>
      </c>
      <c r="J178" s="9"/>
      <c r="K178" s="7">
        <v>10076.92</v>
      </c>
      <c r="L178" s="8">
        <f>IFERROR(K178/K444, "NA")</f>
        <v>4.9005797387601149E-2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42826.91</v>
      </c>
      <c r="R178" s="8">
        <f>IFERROR(Q178/Q444, "NA")</f>
        <v>5.5854887739421426E-2</v>
      </c>
      <c r="S178" s="9"/>
      <c r="T178" s="7">
        <v>43028.45</v>
      </c>
      <c r="U178" s="8">
        <f>IFERROR(T178/T444, "NA")</f>
        <v>5.6076902591810633E-2</v>
      </c>
      <c r="V178" s="9"/>
      <c r="W178" s="10">
        <f t="shared" si="46"/>
        <v>201.5399999999936</v>
      </c>
      <c r="X178" s="8">
        <f>IFERROR(W178/W444, "NA")</f>
        <v>-0.36096931921983189</v>
      </c>
      <c r="Y178" s="9"/>
      <c r="Z178" s="7">
        <v>42826.91</v>
      </c>
      <c r="AA178" s="8">
        <f>IFERROR(Z178/Z444, "NA")</f>
        <v>5.9850990327952311E-2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27503.54</v>
      </c>
      <c r="C180" s="8">
        <f>IFERROR(B180/B444, "NA")</f>
        <v>0.13831389007683831</v>
      </c>
      <c r="D180" s="9"/>
      <c r="E180" s="7">
        <v>33663.980000000003</v>
      </c>
      <c r="F180" s="8">
        <f>IFERROR(E180/E444, "NA")</f>
        <v>0.14899997472699736</v>
      </c>
      <c r="G180" s="9"/>
      <c r="H180" s="10">
        <f t="shared" si="44"/>
        <v>6160.4400000000023</v>
      </c>
      <c r="I180" s="8">
        <f>IFERROR(H180/H444, "NA")</f>
        <v>-0.22745621319100123</v>
      </c>
      <c r="J180" s="9"/>
      <c r="K180" s="7">
        <v>30547.81</v>
      </c>
      <c r="L180" s="8">
        <f>IFERROR(K180/K444, "NA")</f>
        <v>0.148559260914539</v>
      </c>
      <c r="M180" s="9"/>
      <c r="N180" s="10">
        <f t="shared" si="45"/>
        <v>3044.2700000000004</v>
      </c>
      <c r="O180" s="8">
        <f>IFERROR(N180/N444, "NA")</f>
        <v>-0.44911468521977205</v>
      </c>
      <c r="P180" s="9"/>
      <c r="Q180" s="7">
        <v>113301.33</v>
      </c>
      <c r="R180" s="8">
        <f>IFERROR(Q180/Q444, "NA")</f>
        <v>0.1477676784964673</v>
      </c>
      <c r="S180" s="9"/>
      <c r="T180" s="7">
        <v>118574.19</v>
      </c>
      <c r="U180" s="8">
        <f>IFERROR(T180/T444, "NA")</f>
        <v>0.15453202015254666</v>
      </c>
      <c r="V180" s="9"/>
      <c r="W180" s="10">
        <f t="shared" si="46"/>
        <v>5272.8600000000006</v>
      </c>
      <c r="X180" s="8">
        <f>IFERROR(W180/W444, "NA")</f>
        <v>-9.4439847402081138</v>
      </c>
      <c r="Y180" s="9"/>
      <c r="Z180" s="7">
        <v>112296.35</v>
      </c>
      <c r="AA180" s="8">
        <f>IFERROR(Z180/Z444, "NA")</f>
        <v>0.15693515496948873</v>
      </c>
      <c r="AB180" s="9"/>
      <c r="AC180" s="10">
        <f t="shared" si="47"/>
        <v>-1004.9799999999959</v>
      </c>
      <c r="AD180" s="8">
        <f>IFERROR(AC180/AC444, "NA")</f>
        <v>-1.9630735585137393E-2</v>
      </c>
    </row>
    <row r="181" spans="1:30" ht="16.5" customHeight="1" x14ac:dyDescent="0.45">
      <c r="A181" s="12" t="s">
        <v>166</v>
      </c>
      <c r="B181" s="7">
        <v>1047.83</v>
      </c>
      <c r="C181" s="8">
        <f>IFERROR(B181/B444, "NA")</f>
        <v>5.2694832533998707E-3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-1047.83</v>
      </c>
      <c r="I181" s="8">
        <f>IFERROR(H181/H444, "NA")</f>
        <v>3.8688055377201422E-2</v>
      </c>
      <c r="J181" s="9"/>
      <c r="K181" s="7">
        <v>1395.34</v>
      </c>
      <c r="L181" s="8">
        <f>IFERROR(K181/K444, "NA")</f>
        <v>6.7857787227461747E-3</v>
      </c>
      <c r="M181" s="9"/>
      <c r="N181" s="10">
        <f t="shared" si="45"/>
        <v>347.51</v>
      </c>
      <c r="O181" s="8">
        <f>IFERROR(N181/N444, "NA")</f>
        <v>-5.1267411977493113E-2</v>
      </c>
      <c r="P181" s="9"/>
      <c r="Q181" s="7">
        <v>2475.59</v>
      </c>
      <c r="R181" s="8">
        <f>IFERROR(Q181/Q444, "NA")</f>
        <v>3.2286663114110799E-3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-2475.59</v>
      </c>
      <c r="X181" s="8">
        <f>IFERROR(W181/W444, "NA")</f>
        <v>4.4339190084720252</v>
      </c>
      <c r="Y181" s="9"/>
      <c r="Z181" s="7">
        <v>2662.81</v>
      </c>
      <c r="AA181" s="8">
        <f>IFERROR(Z181/Z444, "NA")</f>
        <v>3.7213008259333832E-3</v>
      </c>
      <c r="AB181" s="9"/>
      <c r="AC181" s="10">
        <f t="shared" si="47"/>
        <v>187.2199999999998</v>
      </c>
      <c r="AD181" s="8">
        <f>IFERROR(AC181/AC444, "NA")</f>
        <v>3.6570541864011561E-3</v>
      </c>
    </row>
    <row r="182" spans="1:30" ht="16.5" customHeight="1" x14ac:dyDescent="0.45">
      <c r="A182" s="13" t="s">
        <v>167</v>
      </c>
      <c r="B182" s="14">
        <f>IFERROR(B177+B178+B179+B180+B181, "NA")</f>
        <v>38628.29</v>
      </c>
      <c r="C182" s="15">
        <f>IFERROR(B182/B444, "NA")</f>
        <v>0.19425968645913336</v>
      </c>
      <c r="D182" s="2"/>
      <c r="E182" s="14">
        <f>IFERROR(E177+E178+E179+E180+E181, "NA")</f>
        <v>43942.44</v>
      </c>
      <c r="F182" s="15">
        <f>IFERROR(E182/E444, "NA")</f>
        <v>0.19449341549759111</v>
      </c>
      <c r="G182" s="2"/>
      <c r="H182" s="14">
        <f t="shared" si="44"/>
        <v>5314.1500000000015</v>
      </c>
      <c r="I182" s="15">
        <f>IFERROR(H182/H444, "NA")</f>
        <v>-0.19620943233420973</v>
      </c>
      <c r="J182" s="2"/>
      <c r="K182" s="14">
        <f>IFERROR(K177+K178+K179+K180+K181, "NA")</f>
        <v>42020.07</v>
      </c>
      <c r="L182" s="15">
        <f>IFERROR(K182/K444, "NA")</f>
        <v>0.20435083702488629</v>
      </c>
      <c r="M182" s="2"/>
      <c r="N182" s="14">
        <f t="shared" si="45"/>
        <v>3391.7799999999988</v>
      </c>
      <c r="O182" s="15">
        <f>IFERROR(N182/N444, "NA")</f>
        <v>-0.5003820971972649</v>
      </c>
      <c r="P182" s="2"/>
      <c r="Q182" s="14">
        <f>IFERROR(Q177+Q178+Q179+Q180+Q181, "NA")</f>
        <v>158603.82999999999</v>
      </c>
      <c r="R182" s="15">
        <f>IFERROR(Q182/Q444, "NA")</f>
        <v>0.20685123254729978</v>
      </c>
      <c r="S182" s="2"/>
      <c r="T182" s="14">
        <f>IFERROR(T177+T178+T179+T180+T181, "NA")</f>
        <v>161602.64000000001</v>
      </c>
      <c r="U182" s="15">
        <f>IFERROR(T182/T444, "NA")</f>
        <v>0.21060892274435733</v>
      </c>
      <c r="V182" s="2"/>
      <c r="W182" s="14">
        <f t="shared" si="46"/>
        <v>2998.8100000000268</v>
      </c>
      <c r="X182" s="15">
        <f>IFERROR(W182/W444, "NA")</f>
        <v>-5.371035050955979</v>
      </c>
      <c r="Y182" s="2"/>
      <c r="Z182" s="14">
        <f>IFERROR(Z177+Z178+Z179+Z180+Z181, "NA")</f>
        <v>157786.07</v>
      </c>
      <c r="AA182" s="15">
        <f>IFERROR(Z182/Z444, "NA")</f>
        <v>0.22050744612337445</v>
      </c>
      <c r="AB182" s="2"/>
      <c r="AC182" s="14">
        <f t="shared" si="47"/>
        <v>-817.75999999998021</v>
      </c>
      <c r="AD182" s="15">
        <f>IFERROR(AC182/AC444, "NA")</f>
        <v>-1.5973681398735926E-2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863</v>
      </c>
      <c r="C184" s="8">
        <f>IFERROR(B184/B444, "NA")</f>
        <v>4.3399826762777248E-3</v>
      </c>
      <c r="D184" s="9"/>
      <c r="E184" s="7">
        <v>862.5</v>
      </c>
      <c r="F184" s="8">
        <f>IFERROR(E184/E444, "NA")</f>
        <v>3.8175069674481511E-3</v>
      </c>
      <c r="G184" s="9"/>
      <c r="H184" s="10">
        <f t="shared" si="44"/>
        <v>-0.5</v>
      </c>
      <c r="I184" s="8">
        <f>IFERROR(H184/H444, "NA")</f>
        <v>1.8461036321350517E-5</v>
      </c>
      <c r="J184" s="9"/>
      <c r="K184" s="7">
        <v>1150</v>
      </c>
      <c r="L184" s="8">
        <f>IFERROR(K184/K444, "NA")</f>
        <v>5.5926480507676275E-3</v>
      </c>
      <c r="M184" s="9"/>
      <c r="N184" s="10">
        <f t="shared" si="45"/>
        <v>287</v>
      </c>
      <c r="O184" s="8">
        <f>IFERROR(N184/N444, "NA")</f>
        <v>-4.2340500237519847E-2</v>
      </c>
      <c r="P184" s="9"/>
      <c r="Q184" s="7">
        <v>952</v>
      </c>
      <c r="R184" s="8">
        <f>IFERROR(Q184/Q444, "NA")</f>
        <v>1.2415991050470181E-3</v>
      </c>
      <c r="S184" s="9"/>
      <c r="T184" s="7">
        <v>3600</v>
      </c>
      <c r="U184" s="8">
        <f>IFERROR(T184/T444, "NA")</f>
        <v>4.6917062857369553E-3</v>
      </c>
      <c r="V184" s="9"/>
      <c r="W184" s="10">
        <f t="shared" si="46"/>
        <v>2648</v>
      </c>
      <c r="X184" s="8">
        <f>IFERROR(W184/W444, "NA")</f>
        <v>-4.7427148818802483</v>
      </c>
      <c r="Y184" s="9"/>
      <c r="Z184" s="7">
        <v>4600</v>
      </c>
      <c r="AA184" s="8">
        <f>IFERROR(Z184/Z444, "NA")</f>
        <v>6.4285412024491281E-3</v>
      </c>
      <c r="AB184" s="9"/>
      <c r="AC184" s="10">
        <f t="shared" si="47"/>
        <v>3648</v>
      </c>
      <c r="AD184" s="8">
        <f>IFERROR(AC184/AC444, "NA")</f>
        <v>7.1258058284325562E-2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3737.81</v>
      </c>
      <c r="C186" s="8">
        <f>IFERROR(B186/B444, "NA")</f>
        <v>1.8797254515895298E-2</v>
      </c>
      <c r="D186" s="9"/>
      <c r="E186" s="7">
        <v>4673.17</v>
      </c>
      <c r="F186" s="8">
        <f>IFERROR(E186/E444, "NA")</f>
        <v>2.068389453341412E-2</v>
      </c>
      <c r="G186" s="9"/>
      <c r="H186" s="10">
        <f t="shared" ref="H186:H197" si="48">IFERROR(-(B186-E186), "NA")</f>
        <v>935.36000000000013</v>
      </c>
      <c r="I186" s="8">
        <f>IFERROR(H186/H444, "NA")</f>
        <v>-3.453542986707684E-2</v>
      </c>
      <c r="J186" s="9"/>
      <c r="K186" s="7">
        <v>4253.17</v>
      </c>
      <c r="L186" s="8">
        <f>IFERROR(K186/K444, "NA")</f>
        <v>2.0683898182681175E-2</v>
      </c>
      <c r="M186" s="9"/>
      <c r="N186" s="10">
        <f t="shared" ref="N186:N197" si="49">IFERROR(-(B186-K186), "NA")</f>
        <v>515.36000000000013</v>
      </c>
      <c r="O186" s="8">
        <f>IFERROR(N186/N444, "NA")</f>
        <v>-7.6029965862049603E-2</v>
      </c>
      <c r="P186" s="9"/>
      <c r="Q186" s="7">
        <v>17822.8</v>
      </c>
      <c r="R186" s="8">
        <f>IFERROR(Q186/Q444, "NA")</f>
        <v>2.3244508959487389E-2</v>
      </c>
      <c r="S186" s="9"/>
      <c r="T186" s="7">
        <v>17831.75</v>
      </c>
      <c r="U186" s="8">
        <f>IFERROR(T186/T444, "NA")</f>
        <v>2.3239259322413875E-2</v>
      </c>
      <c r="V186" s="9"/>
      <c r="W186" s="10">
        <f t="shared" ref="W186:W197" si="50">IFERROR(-(Q186-T186), "NA")</f>
        <v>8.9500000000007276</v>
      </c>
      <c r="X186" s="8">
        <f>IFERROR(W186/W444, "NA")</f>
        <v>-1.6029946447443984E-2</v>
      </c>
      <c r="Y186" s="9"/>
      <c r="Z186" s="7">
        <v>16648.98</v>
      </c>
      <c r="AA186" s="8">
        <f>IFERROR(Z186/Z444, "NA")</f>
        <v>2.3267098675815542E-2</v>
      </c>
      <c r="AB186" s="9"/>
      <c r="AC186" s="10">
        <f t="shared" ref="AC186:AC197" si="51">IFERROR(-(Q186-Z186), "NA")</f>
        <v>-1173.8199999999997</v>
      </c>
      <c r="AD186" s="8">
        <f>IFERROR(AC186/AC444, "NA")</f>
        <v>-2.2928764795862668E-2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3737.81</v>
      </c>
      <c r="C193" s="15">
        <f>IFERROR(B193/B444, "NA")</f>
        <v>1.8797254515895298E-2</v>
      </c>
      <c r="D193" s="2"/>
      <c r="E193" s="14">
        <f>IFERROR(E186+E187+E188+E189+E190+E191+E192, "NA")</f>
        <v>4673.17</v>
      </c>
      <c r="F193" s="15">
        <f>IFERROR(E193/E444, "NA")</f>
        <v>2.068389453341412E-2</v>
      </c>
      <c r="G193" s="2"/>
      <c r="H193" s="14">
        <f t="shared" si="48"/>
        <v>935.36000000000013</v>
      </c>
      <c r="I193" s="15">
        <f>IFERROR(H193/H444, "NA")</f>
        <v>-3.453542986707684E-2</v>
      </c>
      <c r="J193" s="2"/>
      <c r="K193" s="14">
        <f>IFERROR(K186+K187+K188+K189+K190+K191+K192, "NA")</f>
        <v>4253.17</v>
      </c>
      <c r="L193" s="15">
        <f>IFERROR(K193/K444, "NA")</f>
        <v>2.0683898182681175E-2</v>
      </c>
      <c r="M193" s="2"/>
      <c r="N193" s="14">
        <f t="shared" si="49"/>
        <v>515.36000000000013</v>
      </c>
      <c r="O193" s="15">
        <f>IFERROR(N193/N444, "NA")</f>
        <v>-7.6029965862049603E-2</v>
      </c>
      <c r="P193" s="2"/>
      <c r="Q193" s="14">
        <f>IFERROR(Q186+Q187+Q188+Q189+Q190+Q191+Q192, "NA")</f>
        <v>17822.8</v>
      </c>
      <c r="R193" s="15">
        <f>IFERROR(Q193/Q444, "NA")</f>
        <v>2.3244508959487389E-2</v>
      </c>
      <c r="S193" s="2"/>
      <c r="T193" s="14">
        <f>IFERROR(T186+T187+T188+T189+T190+T191+T192, "NA")</f>
        <v>17831.75</v>
      </c>
      <c r="U193" s="15">
        <f>IFERROR(T193/T444, "NA")</f>
        <v>2.3239259322413875E-2</v>
      </c>
      <c r="V193" s="2"/>
      <c r="W193" s="14">
        <f t="shared" si="50"/>
        <v>8.9500000000007276</v>
      </c>
      <c r="X193" s="15">
        <f>IFERROR(W193/W444, "NA")</f>
        <v>-1.6029946447443984E-2</v>
      </c>
      <c r="Y193" s="2"/>
      <c r="Z193" s="14">
        <f>IFERROR(Z186+Z187+Z188+Z189+Z190+Z191+Z192, "NA")</f>
        <v>16648.98</v>
      </c>
      <c r="AA193" s="15">
        <f>IFERROR(Z193/Z444, "NA")</f>
        <v>2.3267098675815542E-2</v>
      </c>
      <c r="AB193" s="2"/>
      <c r="AC193" s="14">
        <f t="shared" si="51"/>
        <v>-1173.8199999999997</v>
      </c>
      <c r="AD193" s="15">
        <f>IFERROR(AC193/AC444, "NA")</f>
        <v>-2.2928764795862668E-2</v>
      </c>
    </row>
    <row r="194" spans="1:30" ht="16.5" customHeight="1" x14ac:dyDescent="0.45">
      <c r="A194" s="6" t="s">
        <v>178</v>
      </c>
      <c r="B194" s="7">
        <v>229.57</v>
      </c>
      <c r="C194" s="8">
        <f>IFERROR(B194/B444, "NA")</f>
        <v>1.1544957392735542E-3</v>
      </c>
      <c r="D194" s="9"/>
      <c r="E194" s="7">
        <v>358.44</v>
      </c>
      <c r="F194" s="8">
        <f>IFERROR(E194/E444, "NA")</f>
        <v>1.5864895042459308E-3</v>
      </c>
      <c r="G194" s="9"/>
      <c r="H194" s="10">
        <f t="shared" si="48"/>
        <v>128.87</v>
      </c>
      <c r="I194" s="8">
        <f>IFERROR(H194/H444, "NA")</f>
        <v>-4.7581475014648825E-3</v>
      </c>
      <c r="J194" s="9"/>
      <c r="K194" s="7">
        <v>250.16</v>
      </c>
      <c r="L194" s="8">
        <f>IFERROR(K194/K444, "NA")</f>
        <v>1.2165711620695909E-3</v>
      </c>
      <c r="M194" s="9"/>
      <c r="N194" s="10">
        <f t="shared" si="49"/>
        <v>20.590000000000003</v>
      </c>
      <c r="O194" s="8">
        <f>IFERROR(N194/N444, "NA")</f>
        <v>-3.0375989543224178E-3</v>
      </c>
      <c r="P194" s="9"/>
      <c r="Q194" s="7">
        <v>1076.01</v>
      </c>
      <c r="R194" s="8">
        <f>IFERROR(Q194/Q444, "NA")</f>
        <v>1.4033330388882794E-3</v>
      </c>
      <c r="S194" s="9"/>
      <c r="T194" s="7">
        <v>1321.62</v>
      </c>
      <c r="U194" s="8">
        <f>IFERROR(T194/T444, "NA")</f>
        <v>1.7224035725987984E-3</v>
      </c>
      <c r="V194" s="9"/>
      <c r="W194" s="10">
        <f t="shared" si="50"/>
        <v>245.6099999999999</v>
      </c>
      <c r="X194" s="8">
        <f>IFERROR(W194/W444, "NA")</f>
        <v>-0.43990113373814471</v>
      </c>
      <c r="Y194" s="9"/>
      <c r="Z194" s="7">
        <v>1111.94</v>
      </c>
      <c r="AA194" s="8">
        <f>IFERROR(Z194/Z444, "NA")</f>
        <v>1.553946109706801E-3</v>
      </c>
      <c r="AB194" s="9"/>
      <c r="AC194" s="10">
        <f t="shared" si="51"/>
        <v>35.930000000000064</v>
      </c>
      <c r="AD194" s="8">
        <f>IFERROR(AC194/AC444, "NA")</f>
        <v>7.0183718041552136E-4</v>
      </c>
    </row>
    <row r="195" spans="1:30" ht="16.5" customHeight="1" x14ac:dyDescent="0.45">
      <c r="A195" s="6" t="s">
        <v>179</v>
      </c>
      <c r="B195" s="7">
        <v>239.37</v>
      </c>
      <c r="C195" s="8">
        <f>IFERROR(B195/B444, "NA")</f>
        <v>1.2037794359450742E-3</v>
      </c>
      <c r="D195" s="9"/>
      <c r="E195" s="7">
        <v>677.8</v>
      </c>
      <c r="F195" s="8">
        <f>IFERROR(E195/E444, "NA")</f>
        <v>3.0000072145349062E-3</v>
      </c>
      <c r="G195" s="9"/>
      <c r="H195" s="10">
        <f t="shared" si="48"/>
        <v>438.42999999999995</v>
      </c>
      <c r="I195" s="8">
        <f>IFERROR(H195/H444, "NA")</f>
        <v>-1.6187744308739413E-2</v>
      </c>
      <c r="J195" s="9"/>
      <c r="K195" s="7">
        <v>381.85</v>
      </c>
      <c r="L195" s="8">
        <f>IFERROR(K195/K444, "NA")</f>
        <v>1.8570023114657553E-3</v>
      </c>
      <c r="M195" s="9"/>
      <c r="N195" s="10">
        <f t="shared" si="49"/>
        <v>142.48000000000002</v>
      </c>
      <c r="O195" s="8">
        <f>IFERROR(N195/N444, "NA")</f>
        <v>-2.1019771685860032E-2</v>
      </c>
      <c r="P195" s="9"/>
      <c r="Q195" s="7">
        <v>896.23</v>
      </c>
      <c r="R195" s="8">
        <f>IFERROR(Q195/Q444, "NA")</f>
        <v>1.1688638297440012E-3</v>
      </c>
      <c r="S195" s="9"/>
      <c r="T195" s="7">
        <v>2301.9299999999998</v>
      </c>
      <c r="U195" s="8">
        <f>IFERROR(T195/T444, "NA")</f>
        <v>2.9999942917573524E-3</v>
      </c>
      <c r="V195" s="9"/>
      <c r="W195" s="10">
        <f t="shared" si="50"/>
        <v>1405.6999999999998</v>
      </c>
      <c r="X195" s="8">
        <f>IFERROR(W195/W444, "NA")</f>
        <v>-2.5176866727564438</v>
      </c>
      <c r="Y195" s="9"/>
      <c r="Z195" s="7">
        <v>1527.4</v>
      </c>
      <c r="AA195" s="8">
        <f>IFERROR(Z195/Z444, "NA")</f>
        <v>2.1345551810045215E-3</v>
      </c>
      <c r="AB195" s="9"/>
      <c r="AC195" s="10">
        <f t="shared" si="51"/>
        <v>631.17000000000007</v>
      </c>
      <c r="AD195" s="8">
        <f>IFERROR(AC195/AC444, "NA")</f>
        <v>1.2328933291479653E-2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43698.04</v>
      </c>
      <c r="C196" s="15">
        <f>IFERROR(B196/B444, "NA")</f>
        <v>0.219755198826525</v>
      </c>
      <c r="D196" s="2"/>
      <c r="E196" s="14">
        <f>IFERROR(E175+E177+E178+E179+E180+E181+E183+E184+E186+E187+E188+E189+E190+E191+E192+E194+E195, "NA")</f>
        <v>50514.350000000006</v>
      </c>
      <c r="F196" s="15">
        <f>IFERROR(E196/E444, "NA")</f>
        <v>0.22358131371723425</v>
      </c>
      <c r="G196" s="2"/>
      <c r="H196" s="14">
        <f t="shared" si="48"/>
        <v>6816.3100000000049</v>
      </c>
      <c r="I196" s="15">
        <f>IFERROR(H196/H444, "NA")</f>
        <v>-0.25167229297516963</v>
      </c>
      <c r="J196" s="2"/>
      <c r="K196" s="14">
        <f>IFERROR(K175+K177+K178+K179+K180+K181+K183+K184+K186+K187+K188+K189+K190+K191+K192+K194+K195, "NA")</f>
        <v>48055.25</v>
      </c>
      <c r="L196" s="15">
        <f>IFERROR(K196/K444, "NA")</f>
        <v>0.23370095673187044</v>
      </c>
      <c r="M196" s="2"/>
      <c r="N196" s="14">
        <f t="shared" si="49"/>
        <v>4357.2099999999991</v>
      </c>
      <c r="O196" s="15">
        <f>IFERROR(N196/N444, "NA")</f>
        <v>-0.6428099339370168</v>
      </c>
      <c r="P196" s="2"/>
      <c r="Q196" s="14">
        <f>IFERROR(Q175+Q177+Q178+Q179+Q180+Q181+Q183+Q184+Q186+Q187+Q188+Q189+Q190+Q191+Q192+Q194+Q195, "NA")</f>
        <v>179350.87</v>
      </c>
      <c r="R196" s="15">
        <f>IFERROR(Q196/Q444, "NA")</f>
        <v>0.2339095374804665</v>
      </c>
      <c r="S196" s="2"/>
      <c r="T196" s="14">
        <f>IFERROR(T175+T177+T178+T179+T180+T181+T183+T184+T186+T187+T188+T189+T190+T191+T192+T194+T195, "NA")</f>
        <v>186657.94</v>
      </c>
      <c r="U196" s="15">
        <f>IFERROR(T196/T444, "NA")</f>
        <v>0.2432622862168643</v>
      </c>
      <c r="V196" s="2"/>
      <c r="W196" s="14">
        <f t="shared" si="50"/>
        <v>7307.070000000007</v>
      </c>
      <c r="X196" s="15">
        <f>IFERROR(W196/W444, "NA")</f>
        <v>-13.087367685778224</v>
      </c>
      <c r="Y196" s="2"/>
      <c r="Z196" s="14">
        <f>IFERROR(Z175+Z177+Z178+Z179+Z180+Z181+Z183+Z184+Z186+Z187+Z188+Z189+Z190+Z191+Z192+Z194+Z195, "NA")</f>
        <v>181674.39</v>
      </c>
      <c r="AA196" s="15">
        <f>IFERROR(Z196/Z444, "NA")</f>
        <v>0.25389158729235045</v>
      </c>
      <c r="AB196" s="2"/>
      <c r="AC196" s="14">
        <f t="shared" si="51"/>
        <v>2323.5200000000186</v>
      </c>
      <c r="AD196" s="15">
        <f>IFERROR(AC196/AC444, "NA")</f>
        <v>4.5386382561622113E-2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43698.04</v>
      </c>
      <c r="C197" s="15">
        <f>IFERROR(B197/B444, "NA")</f>
        <v>0.219755198826525</v>
      </c>
      <c r="D197" s="2"/>
      <c r="E197" s="14">
        <f>IFERROR(E175+E177+E178+E179+E180+E181+E183+E184+E186+E187+E188+E189+E190+E191+E192+E194+E195, "NA")</f>
        <v>50514.350000000006</v>
      </c>
      <c r="F197" s="15">
        <f>IFERROR(E197/E444, "NA")</f>
        <v>0.22358131371723425</v>
      </c>
      <c r="G197" s="2"/>
      <c r="H197" s="14">
        <f t="shared" si="48"/>
        <v>6816.3100000000049</v>
      </c>
      <c r="I197" s="15">
        <f>IFERROR(H197/H444, "NA")</f>
        <v>-0.25167229297516963</v>
      </c>
      <c r="J197" s="2"/>
      <c r="K197" s="14">
        <f>IFERROR(K175+K177+K178+K179+K180+K181+K183+K184+K186+K187+K188+K189+K190+K191+K192+K194+K195, "NA")</f>
        <v>48055.25</v>
      </c>
      <c r="L197" s="15">
        <f>IFERROR(K197/K444, "NA")</f>
        <v>0.23370095673187044</v>
      </c>
      <c r="M197" s="2"/>
      <c r="N197" s="14">
        <f t="shared" si="49"/>
        <v>4357.2099999999991</v>
      </c>
      <c r="O197" s="15">
        <f>IFERROR(N197/N444, "NA")</f>
        <v>-0.6428099339370168</v>
      </c>
      <c r="P197" s="2"/>
      <c r="Q197" s="14">
        <f>IFERROR(Q175+Q177+Q178+Q179+Q180+Q181+Q183+Q184+Q186+Q187+Q188+Q189+Q190+Q191+Q192+Q194+Q195, "NA")</f>
        <v>179350.87</v>
      </c>
      <c r="R197" s="15">
        <f>IFERROR(Q197/Q444, "NA")</f>
        <v>0.2339095374804665</v>
      </c>
      <c r="S197" s="2"/>
      <c r="T197" s="14">
        <f>IFERROR(T175+T177+T178+T179+T180+T181+T183+T184+T186+T187+T188+T189+T190+T191+T192+T194+T195, "NA")</f>
        <v>186657.94</v>
      </c>
      <c r="U197" s="15">
        <f>IFERROR(T197/T444, "NA")</f>
        <v>0.2432622862168643</v>
      </c>
      <c r="V197" s="2"/>
      <c r="W197" s="14">
        <f t="shared" si="50"/>
        <v>7307.070000000007</v>
      </c>
      <c r="X197" s="15">
        <f>IFERROR(W197/W444, "NA")</f>
        <v>-13.087367685778224</v>
      </c>
      <c r="Y197" s="2"/>
      <c r="Z197" s="14">
        <f>IFERROR(Z175+Z177+Z178+Z179+Z180+Z181+Z183+Z184+Z186+Z187+Z188+Z189+Z190+Z191+Z192+Z194+Z195, "NA")</f>
        <v>181674.39</v>
      </c>
      <c r="AA197" s="15">
        <f>IFERROR(Z197/Z444, "NA")</f>
        <v>0.25389158729235045</v>
      </c>
      <c r="AB197" s="2"/>
      <c r="AC197" s="14">
        <f t="shared" si="51"/>
        <v>2323.5200000000186</v>
      </c>
      <c r="AD197" s="15">
        <f>IFERROR(AC197/AC444, "NA")</f>
        <v>4.5386382561622113E-2</v>
      </c>
    </row>
    <row r="198" spans="1:30" ht="16.5" customHeight="1" x14ac:dyDescent="0.45">
      <c r="A198" s="22" t="s">
        <v>181</v>
      </c>
      <c r="B198" s="23">
        <f>IFERROR(B172-B197, "NA")</f>
        <v>103411.59999999995</v>
      </c>
      <c r="C198" s="24">
        <f>IFERROR(B198/B444, "NA")</f>
        <v>0.52005162517515802</v>
      </c>
      <c r="D198" s="25"/>
      <c r="E198" s="23">
        <f>IFERROR(E172-E197, "NA")</f>
        <v>118031.51999999999</v>
      </c>
      <c r="F198" s="24">
        <f>IFERROR(E198/E444, "NA")</f>
        <v>0.52241872461274874</v>
      </c>
      <c r="G198" s="25"/>
      <c r="H198" s="23">
        <f>IFERROR(B198-E198, "NA")</f>
        <v>-14619.920000000042</v>
      </c>
      <c r="I198" s="24">
        <f>IFERROR(H198/H444, "NA")</f>
        <v>0.53979774827047922</v>
      </c>
      <c r="J198" s="25"/>
      <c r="K198" s="23">
        <f>IFERROR(K172-K197, "NA")</f>
        <v>102124.76000000004</v>
      </c>
      <c r="L198" s="24">
        <f>IFERROR(K198/K444, "NA")</f>
        <v>0.49665029560792345</v>
      </c>
      <c r="M198" s="25"/>
      <c r="N198" s="23">
        <f>IFERROR(B198-K198, "NA")</f>
        <v>1286.8399999999092</v>
      </c>
      <c r="O198" s="24">
        <f>IFERROR(N198/N444, "NA")</f>
        <v>-0.18984477116949897</v>
      </c>
      <c r="P198" s="25"/>
      <c r="Q198" s="23">
        <f>IFERROR(Q172-Q197, "NA")</f>
        <v>387182.86000000022</v>
      </c>
      <c r="R198" s="24">
        <f>IFERROR(Q198/Q444, "NA")</f>
        <v>0.5049641727579256</v>
      </c>
      <c r="S198" s="25"/>
      <c r="T198" s="23">
        <f>IFERROR(T172-T197, "NA")</f>
        <v>384192.57</v>
      </c>
      <c r="U198" s="24">
        <f>IFERROR(T198/T444, "NA")</f>
        <v>0.50069963766734304</v>
      </c>
      <c r="V198" s="25"/>
      <c r="W198" s="23">
        <f>IFERROR(Q198-T198, "NA")</f>
        <v>2990.2900000002119</v>
      </c>
      <c r="X198" s="24">
        <f>IFERROR(W198/W444, "NA")</f>
        <v>-5.3557752583605325</v>
      </c>
      <c r="Y198" s="25"/>
      <c r="Z198" s="23">
        <f>IFERROR(Z172-Z197, "NA")</f>
        <v>346534.03</v>
      </c>
      <c r="AA198" s="24">
        <f>IFERROR(Z198/Z444, "NA")</f>
        <v>0.48428441084907448</v>
      </c>
      <c r="AB198" s="25"/>
      <c r="AC198" s="23">
        <f>IFERROR(Q198-Z198, "NA")</f>
        <v>40648.830000000191</v>
      </c>
      <c r="AD198" s="24">
        <f>IFERROR(AC198/AC444, "NA")</f>
        <v>0.79401225255747121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1777.86</v>
      </c>
      <c r="C202" s="8">
        <f>IFERROR(B202/B444, "NA")</f>
        <v>8.9407666290233084E-3</v>
      </c>
      <c r="D202" s="9"/>
      <c r="E202" s="7">
        <v>2033.39</v>
      </c>
      <c r="F202" s="8">
        <f>IFERROR(E202/E444, "NA")</f>
        <v>8.9999773826543727E-3</v>
      </c>
      <c r="G202" s="9"/>
      <c r="H202" s="10">
        <f t="shared" si="52"/>
        <v>255.5300000000002</v>
      </c>
      <c r="I202" s="8">
        <f>IFERROR(H202/H444, "NA")</f>
        <v>-9.4346972223894026E-3</v>
      </c>
      <c r="J202" s="9"/>
      <c r="K202" s="7">
        <v>1633.85</v>
      </c>
      <c r="L202" s="8">
        <f>IFERROR(K202/K444, "NA")</f>
        <v>7.9456939284753801E-3</v>
      </c>
      <c r="M202" s="9"/>
      <c r="N202" s="10">
        <f t="shared" si="53"/>
        <v>-144.01</v>
      </c>
      <c r="O202" s="8">
        <f>IFERROR(N202/N444, "NA")</f>
        <v>2.1245489335209873E-2</v>
      </c>
      <c r="P202" s="9"/>
      <c r="Q202" s="7">
        <v>7969.7</v>
      </c>
      <c r="R202" s="8">
        <f>IFERROR(Q202/Q444, "NA")</f>
        <v>1.0394088642324812E-2</v>
      </c>
      <c r="S202" s="9"/>
      <c r="T202" s="7">
        <v>6905.8</v>
      </c>
      <c r="U202" s="8">
        <f>IFERROR(T202/T444, "NA")</f>
        <v>8.9999959077895174E-3</v>
      </c>
      <c r="V202" s="9"/>
      <c r="W202" s="10">
        <f t="shared" si="54"/>
        <v>-1063.8999999999996</v>
      </c>
      <c r="X202" s="8">
        <f>IFERROR(W202/W444, "NA")</f>
        <v>1.9055039134563421</v>
      </c>
      <c r="Y202" s="9"/>
      <c r="Z202" s="7">
        <v>5377.51</v>
      </c>
      <c r="AA202" s="8">
        <f>IFERROR(Z202/Z444, "NA")</f>
        <v>7.5151183916483079E-3</v>
      </c>
      <c r="AB202" s="9"/>
      <c r="AC202" s="10">
        <f t="shared" si="55"/>
        <v>-2592.1899999999996</v>
      </c>
      <c r="AD202" s="8">
        <f>IFERROR(AC202/AC444, "NA")</f>
        <v>-5.0634436980275727E-2</v>
      </c>
    </row>
    <row r="203" spans="1:30" ht="16.5" customHeight="1" x14ac:dyDescent="0.45">
      <c r="A203" s="6" t="s">
        <v>185</v>
      </c>
      <c r="B203" s="7">
        <v>1123.03</v>
      </c>
      <c r="C203" s="8">
        <f>IFERROR(B203/B444, "NA")</f>
        <v>5.6476601911241873E-3</v>
      </c>
      <c r="D203" s="9"/>
      <c r="E203" s="7">
        <v>1355.6</v>
      </c>
      <c r="F203" s="8">
        <f>IFERROR(E203/E444, "NA")</f>
        <v>6.0000144290698124E-3</v>
      </c>
      <c r="G203" s="9"/>
      <c r="H203" s="10">
        <f t="shared" si="52"/>
        <v>232.56999999999994</v>
      </c>
      <c r="I203" s="8">
        <f>IFERROR(H203/H444, "NA")</f>
        <v>-8.5869664345129774E-3</v>
      </c>
      <c r="J203" s="9"/>
      <c r="K203" s="7">
        <v>1999.35</v>
      </c>
      <c r="L203" s="8">
        <f>IFERROR(K203/K444, "NA")</f>
        <v>9.7231833741758741E-3</v>
      </c>
      <c r="M203" s="9"/>
      <c r="N203" s="10">
        <f t="shared" si="53"/>
        <v>876.31999999999994</v>
      </c>
      <c r="O203" s="8">
        <f>IFERROR(N203/N444, "NA")</f>
        <v>-0.12928162776356583</v>
      </c>
      <c r="P203" s="9"/>
      <c r="Q203" s="7">
        <v>4434.54</v>
      </c>
      <c r="R203" s="8">
        <f>IFERROR(Q203/Q444, "NA")</f>
        <v>5.7835303522008443E-3</v>
      </c>
      <c r="S203" s="9"/>
      <c r="T203" s="7">
        <v>4603.88</v>
      </c>
      <c r="U203" s="8">
        <f>IFERROR(T203/T444, "NA")</f>
        <v>6.000014648549626E-3</v>
      </c>
      <c r="V203" s="9"/>
      <c r="W203" s="10">
        <f t="shared" si="54"/>
        <v>169.34000000000015</v>
      </c>
      <c r="X203" s="8">
        <f>IFERROR(W203/W444, "NA")</f>
        <v>-0.30329733311842971</v>
      </c>
      <c r="Y203" s="9"/>
      <c r="Z203" s="7">
        <v>5531.17</v>
      </c>
      <c r="AA203" s="8">
        <f>IFERROR(Z203/Z444, "NA")</f>
        <v>7.7298596179892496E-3</v>
      </c>
      <c r="AB203" s="9"/>
      <c r="AC203" s="10">
        <f t="shared" si="55"/>
        <v>1096.6300000000001</v>
      </c>
      <c r="AD203" s="8">
        <f>IFERROR(AC203/AC444, "NA")</f>
        <v>2.14209770987774E-2</v>
      </c>
    </row>
    <row r="204" spans="1:30" ht="16.5" customHeight="1" x14ac:dyDescent="0.45">
      <c r="A204" s="6" t="s">
        <v>186</v>
      </c>
      <c r="B204" s="7">
        <v>98.36</v>
      </c>
      <c r="C204" s="8">
        <f>IFERROR(B204/B444, "NA")</f>
        <v>4.9464738822558175E-4</v>
      </c>
      <c r="D204" s="9"/>
      <c r="E204" s="7">
        <v>451.87</v>
      </c>
      <c r="F204" s="8">
        <f>IFERROR(E204/E444, "NA")</f>
        <v>2.0000195633400534E-3</v>
      </c>
      <c r="G204" s="9"/>
      <c r="H204" s="10">
        <f t="shared" si="52"/>
        <v>353.51</v>
      </c>
      <c r="I204" s="8">
        <f>IFERROR(H204/H444, "NA")</f>
        <v>-1.3052321899921242E-2</v>
      </c>
      <c r="J204" s="9"/>
      <c r="K204" s="7">
        <v>40.659999999999997</v>
      </c>
      <c r="L204" s="8">
        <f>IFERROR(K204/K444, "NA")</f>
        <v>1.9773658238627105E-4</v>
      </c>
      <c r="M204" s="9"/>
      <c r="N204" s="10">
        <f t="shared" si="53"/>
        <v>-57.7</v>
      </c>
      <c r="O204" s="8">
        <f>IFERROR(N204/N444, "NA")</f>
        <v>8.5123584101215871E-3</v>
      </c>
      <c r="P204" s="9"/>
      <c r="Q204" s="7">
        <v>1173.99</v>
      </c>
      <c r="R204" s="8">
        <f>IFERROR(Q204/Q444, "NA")</f>
        <v>1.5311186274518372E-3</v>
      </c>
      <c r="S204" s="9"/>
      <c r="T204" s="7">
        <v>1534.63</v>
      </c>
      <c r="U204" s="8">
        <f>IFERROR(T204/T444, "NA")</f>
        <v>2.0000092270223624E-3</v>
      </c>
      <c r="V204" s="9"/>
      <c r="W204" s="10">
        <f t="shared" si="54"/>
        <v>360.6400000000001</v>
      </c>
      <c r="X204" s="8">
        <f>IFERROR(W204/W444, "NA")</f>
        <v>-0.64592624433583579</v>
      </c>
      <c r="Y204" s="9"/>
      <c r="Z204" s="7">
        <v>412.59</v>
      </c>
      <c r="AA204" s="8">
        <f>IFERROR(Z204/Z444, "NA")</f>
        <v>5.7659822059097517E-4</v>
      </c>
      <c r="AB204" s="9"/>
      <c r="AC204" s="10">
        <f t="shared" si="55"/>
        <v>-761.40000000000009</v>
      </c>
      <c r="AD204" s="8">
        <f>IFERROR(AC204/AC444, "NA")</f>
        <v>-1.487277565177782E-2</v>
      </c>
    </row>
    <row r="205" spans="1:30" ht="16.5" customHeight="1" x14ac:dyDescent="0.45">
      <c r="A205" s="6" t="s">
        <v>187</v>
      </c>
      <c r="B205" s="7">
        <v>450.4</v>
      </c>
      <c r="C205" s="8">
        <f>IFERROR(B205/B444, "NA")</f>
        <v>2.2650384674339366E-3</v>
      </c>
      <c r="D205" s="9"/>
      <c r="E205" s="7">
        <v>677.8</v>
      </c>
      <c r="F205" s="8">
        <f>IFERROR(E205/E444, "NA")</f>
        <v>3.0000072145349062E-3</v>
      </c>
      <c r="G205" s="9"/>
      <c r="H205" s="10">
        <f t="shared" si="52"/>
        <v>227.39999999999998</v>
      </c>
      <c r="I205" s="8">
        <f>IFERROR(H205/H444, "NA")</f>
        <v>-8.3960793189502142E-3</v>
      </c>
      <c r="J205" s="9"/>
      <c r="K205" s="7">
        <v>712.45</v>
      </c>
      <c r="L205" s="8">
        <f>IFERROR(K205/K444, "NA")</f>
        <v>3.4647670467559968E-3</v>
      </c>
      <c r="M205" s="9"/>
      <c r="N205" s="10">
        <f t="shared" si="53"/>
        <v>262.05000000000007</v>
      </c>
      <c r="O205" s="8">
        <f>IFERROR(N205/N444, "NA")</f>
        <v>-3.8659679746488082E-2</v>
      </c>
      <c r="P205" s="9"/>
      <c r="Q205" s="7">
        <v>2411.65</v>
      </c>
      <c r="R205" s="8">
        <f>IFERROR(Q205/Q444, "NA")</f>
        <v>3.1452757160573964E-3</v>
      </c>
      <c r="S205" s="9"/>
      <c r="T205" s="7">
        <v>2301.9299999999998</v>
      </c>
      <c r="U205" s="8">
        <f>IFERROR(T205/T444, "NA")</f>
        <v>2.9999942917573524E-3</v>
      </c>
      <c r="V205" s="9"/>
      <c r="W205" s="10">
        <f t="shared" si="54"/>
        <v>-109.72000000000025</v>
      </c>
      <c r="X205" s="8">
        <f>IFERROR(W205/W444, "NA")</f>
        <v>0.19651460605736482</v>
      </c>
      <c r="Y205" s="9"/>
      <c r="Z205" s="7">
        <v>2995.04</v>
      </c>
      <c r="AA205" s="8">
        <f>IFERROR(Z205/Z444, "NA")</f>
        <v>4.1855952267354866E-3</v>
      </c>
      <c r="AB205" s="9"/>
      <c r="AC205" s="10">
        <f t="shared" si="55"/>
        <v>583.38999999999987</v>
      </c>
      <c r="AD205" s="8">
        <f>IFERROR(AC205/AC444, "NA")</f>
        <v>1.1395624622393827E-2</v>
      </c>
    </row>
    <row r="206" spans="1:30" ht="16.5" customHeight="1" x14ac:dyDescent="0.45">
      <c r="A206" s="6" t="s">
        <v>188</v>
      </c>
      <c r="B206" s="7">
        <v>193</v>
      </c>
      <c r="C206" s="8">
        <f>IFERROR(B206/B444, "NA")</f>
        <v>9.7058708751054565E-4</v>
      </c>
      <c r="D206" s="9"/>
      <c r="E206" s="7">
        <v>225.93</v>
      </c>
      <c r="F206" s="8">
        <f>IFERROR(E206/E444, "NA")</f>
        <v>9.9998765119485317E-4</v>
      </c>
      <c r="G206" s="9"/>
      <c r="H206" s="10">
        <f t="shared" si="52"/>
        <v>32.930000000000007</v>
      </c>
      <c r="I206" s="8">
        <f>IFERROR(H206/H444, "NA")</f>
        <v>-1.2158438521241452E-3</v>
      </c>
      <c r="J206" s="9"/>
      <c r="K206" s="7">
        <v>38.58</v>
      </c>
      <c r="L206" s="8">
        <f>IFERROR(K206/K444, "NA")</f>
        <v>1.8762118417270875E-4</v>
      </c>
      <c r="M206" s="9"/>
      <c r="N206" s="10">
        <f t="shared" si="53"/>
        <v>-154.42000000000002</v>
      </c>
      <c r="O206" s="8">
        <f>IFERROR(N206/N444, "NA")</f>
        <v>2.278125451804117E-2</v>
      </c>
      <c r="P206" s="9"/>
      <c r="Q206" s="7">
        <v>471.77</v>
      </c>
      <c r="R206" s="8">
        <f>IFERROR(Q206/Q444, "NA")</f>
        <v>6.1528278339078961E-4</v>
      </c>
      <c r="S206" s="9"/>
      <c r="T206" s="7">
        <v>767.31</v>
      </c>
      <c r="U206" s="8">
        <f>IFERROR(T206/T444, "NA")</f>
        <v>9.9999809725245066E-4</v>
      </c>
      <c r="V206" s="9"/>
      <c r="W206" s="10">
        <f t="shared" si="54"/>
        <v>295.53999999999996</v>
      </c>
      <c r="X206" s="8">
        <f>IFERROR(W206/W444, "NA")</f>
        <v>-0.52932853330471608</v>
      </c>
      <c r="Y206" s="9"/>
      <c r="Z206" s="7">
        <v>293.82</v>
      </c>
      <c r="AA206" s="8">
        <f>IFERROR(Z206/Z444, "NA")</f>
        <v>4.1061608176165283E-4</v>
      </c>
      <c r="AB206" s="9"/>
      <c r="AC206" s="10">
        <f t="shared" si="55"/>
        <v>-177.95</v>
      </c>
      <c r="AD206" s="8">
        <f>IFERROR(AC206/AC444, "NA")</f>
        <v>-3.475979021846418E-3</v>
      </c>
    </row>
    <row r="207" spans="1:30" ht="16.5" customHeight="1" x14ac:dyDescent="0.45">
      <c r="A207" s="6" t="s">
        <v>189</v>
      </c>
      <c r="B207" s="7">
        <v>144.01</v>
      </c>
      <c r="C207" s="8">
        <f>IFERROR(B207/B444, "NA")</f>
        <v>7.2421889363934546E-4</v>
      </c>
      <c r="D207" s="9"/>
      <c r="E207" s="7">
        <v>100</v>
      </c>
      <c r="F207" s="8">
        <f>IFERROR(E207/E444, "NA")</f>
        <v>4.4260950347224941E-4</v>
      </c>
      <c r="G207" s="9"/>
      <c r="H207" s="10">
        <f t="shared" si="52"/>
        <v>-44.009999999999991</v>
      </c>
      <c r="I207" s="8">
        <f>IFERROR(H207/H444, "NA")</f>
        <v>1.6249404170052722E-3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-144.01</v>
      </c>
      <c r="O207" s="8">
        <f>IFERROR(N207/N444, "NA")</f>
        <v>2.1245489335209873E-2</v>
      </c>
      <c r="P207" s="9"/>
      <c r="Q207" s="7">
        <v>247.78</v>
      </c>
      <c r="R207" s="8">
        <f>IFERROR(Q207/Q444, "NA")</f>
        <v>3.2315485950477961E-4</v>
      </c>
      <c r="S207" s="9"/>
      <c r="T207" s="7">
        <v>400</v>
      </c>
      <c r="U207" s="8">
        <f>IFERROR(T207/T444, "NA")</f>
        <v>5.2130069841521719E-4</v>
      </c>
      <c r="V207" s="9"/>
      <c r="W207" s="10">
        <f t="shared" si="54"/>
        <v>152.22</v>
      </c>
      <c r="X207" s="8">
        <f>IFERROR(W207/W444, "NA")</f>
        <v>-0.27263446348935472</v>
      </c>
      <c r="Y207" s="9"/>
      <c r="Z207" s="7">
        <v>99.6</v>
      </c>
      <c r="AA207" s="8">
        <f>IFERROR(Z207/Z444, "NA")</f>
        <v>1.3919189212259416E-4</v>
      </c>
      <c r="AB207" s="9"/>
      <c r="AC207" s="10">
        <f t="shared" si="55"/>
        <v>-148.18</v>
      </c>
      <c r="AD207" s="8">
        <f>IFERROR(AC207/AC444, "NA")</f>
        <v>-2.8944679486215359E-3</v>
      </c>
    </row>
    <row r="208" spans="1:30" ht="16.5" customHeight="1" x14ac:dyDescent="0.45">
      <c r="A208" s="6" t="s">
        <v>190</v>
      </c>
      <c r="B208" s="7">
        <v>333.73</v>
      </c>
      <c r="C208" s="8">
        <f>IFERROR(B208/B444, "NA")</f>
        <v>1.678311029610852E-3</v>
      </c>
      <c r="D208" s="9"/>
      <c r="E208" s="7">
        <v>100</v>
      </c>
      <c r="F208" s="8">
        <f>IFERROR(E208/E444, "NA")</f>
        <v>4.4260950347224941E-4</v>
      </c>
      <c r="G208" s="9"/>
      <c r="H208" s="10">
        <f t="shared" si="52"/>
        <v>-233.73000000000002</v>
      </c>
      <c r="I208" s="8">
        <f>IFERROR(H208/H444, "NA")</f>
        <v>8.6297960387785137E-3</v>
      </c>
      <c r="J208" s="9"/>
      <c r="K208" s="7">
        <v>234.27</v>
      </c>
      <c r="L208" s="8">
        <f>IFERROR(K208/K444, "NA")</f>
        <v>1.1392953555246367E-3</v>
      </c>
      <c r="M208" s="9"/>
      <c r="N208" s="10">
        <f t="shared" si="53"/>
        <v>-99.460000000000008</v>
      </c>
      <c r="O208" s="8">
        <f>IFERROR(N208/N444, "NA")</f>
        <v>1.4673122486493814E-2</v>
      </c>
      <c r="P208" s="9"/>
      <c r="Q208" s="7">
        <v>762.98</v>
      </c>
      <c r="R208" s="8">
        <f>IFERROR(Q208/Q444, "NA")</f>
        <v>9.9507908105963649E-4</v>
      </c>
      <c r="S208" s="9"/>
      <c r="T208" s="7">
        <v>400</v>
      </c>
      <c r="U208" s="8">
        <f>IFERROR(T208/T444, "NA")</f>
        <v>5.2130069841521719E-4</v>
      </c>
      <c r="V208" s="9"/>
      <c r="W208" s="10">
        <f t="shared" si="54"/>
        <v>-362.98</v>
      </c>
      <c r="X208" s="8">
        <f>IFERROR(W208/W444, "NA")</f>
        <v>0.65011731413326757</v>
      </c>
      <c r="Y208" s="9"/>
      <c r="Z208" s="7">
        <v>636.57000000000005</v>
      </c>
      <c r="AA208" s="8">
        <f>IFERROR(Z208/Z444, "NA")</f>
        <v>8.8961227679196567E-4</v>
      </c>
      <c r="AB208" s="9"/>
      <c r="AC208" s="10">
        <f t="shared" si="55"/>
        <v>-126.40999999999997</v>
      </c>
      <c r="AD208" s="8">
        <f>IFERROR(AC208/AC444, "NA")</f>
        <v>-2.4692245470728049E-3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4120.3899999999994</v>
      </c>
      <c r="C209" s="15">
        <f>IFERROR(B209/B444, "NA")</f>
        <v>2.0721229686567755E-2</v>
      </c>
      <c r="D209" s="2"/>
      <c r="E209" s="14">
        <f>IFERROR(E201+E202+E203+E204+E205+E206+E207+E208, "NA")</f>
        <v>4944.59</v>
      </c>
      <c r="F209" s="15">
        <f>IFERROR(E209/E444, "NA")</f>
        <v>2.1885225247738498E-2</v>
      </c>
      <c r="G209" s="2"/>
      <c r="H209" s="14">
        <f t="shared" si="52"/>
        <v>824.20000000000073</v>
      </c>
      <c r="I209" s="15">
        <f>IFERROR(H209/H444, "NA")</f>
        <v>-3.0431172272114216E-2</v>
      </c>
      <c r="J209" s="2"/>
      <c r="K209" s="14">
        <f>IFERROR(K201+K202+K203+K204+K205+K206+K207+K208, "NA")</f>
        <v>4659.16</v>
      </c>
      <c r="L209" s="15">
        <f>IFERROR(K209/K444, "NA")</f>
        <v>2.2658297471490868E-2</v>
      </c>
      <c r="M209" s="2"/>
      <c r="N209" s="14">
        <f t="shared" si="53"/>
        <v>538.77000000000044</v>
      </c>
      <c r="O209" s="15">
        <f>IFERROR(N209/N444, "NA")</f>
        <v>-7.9483593424977655E-2</v>
      </c>
      <c r="P209" s="2"/>
      <c r="Q209" s="14">
        <f>IFERROR(Q201+Q202+Q203+Q204+Q205+Q206+Q207+Q208, "NA")</f>
        <v>17472.409999999996</v>
      </c>
      <c r="R209" s="15">
        <f>IFERROR(Q209/Q444, "NA")</f>
        <v>2.278753006199009E-2</v>
      </c>
      <c r="S209" s="2"/>
      <c r="T209" s="14">
        <f>IFERROR(T201+T202+T203+T204+T205+T206+T207+T208, "NA")</f>
        <v>16913.550000000003</v>
      </c>
      <c r="U209" s="15">
        <f>IFERROR(T209/T444, "NA")</f>
        <v>2.2042613569201747E-2</v>
      </c>
      <c r="V209" s="2"/>
      <c r="W209" s="14">
        <f t="shared" si="54"/>
        <v>-558.85999999999331</v>
      </c>
      <c r="X209" s="15">
        <f>IFERROR(W209/W444, "NA")</f>
        <v>1.0009492593986267</v>
      </c>
      <c r="Y209" s="2"/>
      <c r="Z209" s="14">
        <f>IFERROR(Z201+Z202+Z203+Z204+Z205+Z206+Z207+Z208, "NA")</f>
        <v>15346.300000000001</v>
      </c>
      <c r="AA209" s="15">
        <f>IFERROR(Z209/Z444, "NA")</f>
        <v>2.1446591707640232E-2</v>
      </c>
      <c r="AB209" s="2"/>
      <c r="AC209" s="14">
        <f t="shared" si="55"/>
        <v>-2126.1099999999951</v>
      </c>
      <c r="AD209" s="15">
        <f>IFERROR(AC209/AC444, "NA")</f>
        <v>-4.1530282428422993E-2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8585.4500000000007</v>
      </c>
      <c r="F213" s="8">
        <f>IFERROR(E213/E444, "NA")</f>
        <v>3.8000017615858243E-2</v>
      </c>
      <c r="G213" s="9"/>
      <c r="H213" s="10">
        <f t="shared" ref="H213:H227" si="56">IFERROR(-(B213-E213), "NA")</f>
        <v>8585.4500000000007</v>
      </c>
      <c r="I213" s="8">
        <f>IFERROR(H213/H444, "NA")</f>
        <v>-0.31699260857027761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29157.85</v>
      </c>
      <c r="U213" s="8">
        <f>IFERROR(T213/T444, "NA")</f>
        <v>3.8000018923215355E-2</v>
      </c>
      <c r="V213" s="9"/>
      <c r="W213" s="10">
        <f t="shared" ref="W213:W227" si="58">IFERROR(-(Q213-T213), "NA")</f>
        <v>29157.85</v>
      </c>
      <c r="X213" s="8">
        <f>IFERROR(W213/W444, "NA")</f>
        <v>-52.223326706432019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2193.2600000000002</v>
      </c>
      <c r="C214" s="8">
        <f>IFERROR(B214/B444, "NA")</f>
        <v>1.1029791894058963E-2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-2193.2600000000002</v>
      </c>
      <c r="I214" s="8">
        <f>IFERROR(H214/H444, "NA")</f>
        <v>8.0979705044330469E-2</v>
      </c>
      <c r="J214" s="9"/>
      <c r="K214" s="7">
        <v>3986.91</v>
      </c>
      <c r="L214" s="8">
        <f>IFERROR(K214/K444, "NA")</f>
        <v>1.9389029947900836E-2</v>
      </c>
      <c r="M214" s="9"/>
      <c r="N214" s="10">
        <f t="shared" si="57"/>
        <v>1793.6499999999996</v>
      </c>
      <c r="O214" s="8">
        <f>IFERROR(N214/N444, "NA")</f>
        <v>-0.26461337369695981</v>
      </c>
      <c r="P214" s="9"/>
      <c r="Q214" s="7">
        <v>11678.8</v>
      </c>
      <c r="R214" s="8">
        <f>IFERROR(Q214/Q444, "NA")</f>
        <v>1.5231499609267979E-2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-11678.8</v>
      </c>
      <c r="X214" s="8">
        <f>IFERROR(W214/W444, "NA")</f>
        <v>20.91737861121716</v>
      </c>
      <c r="Y214" s="9"/>
      <c r="Z214" s="7">
        <v>21223.9</v>
      </c>
      <c r="AA214" s="8">
        <f>IFERROR(Z214/Z444, "NA")</f>
        <v>2.9660590353621754E-2</v>
      </c>
      <c r="AB214" s="9"/>
      <c r="AC214" s="10">
        <f t="shared" si="59"/>
        <v>9545.1000000000022</v>
      </c>
      <c r="AD214" s="8">
        <f>IFERROR(AC214/AC444, "NA")</f>
        <v>0.1864488191145055</v>
      </c>
    </row>
    <row r="215" spans="1:30" ht="16.5" customHeight="1" x14ac:dyDescent="0.45">
      <c r="A215" s="12" t="s">
        <v>195</v>
      </c>
      <c r="B215" s="7">
        <v>1375.91</v>
      </c>
      <c r="C215" s="8">
        <f>IFERROR(B215/B444, "NA")</f>
        <v>6.9193807231949997E-3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-1375.91</v>
      </c>
      <c r="I215" s="8">
        <f>IFERROR(H215/H444, "NA")</f>
        <v>5.080144896981878E-2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-1375.91</v>
      </c>
      <c r="O215" s="8">
        <f>IFERROR(N215/N444, "NA")</f>
        <v>0.20298507903068272</v>
      </c>
      <c r="P215" s="9"/>
      <c r="Q215" s="7">
        <v>5282.57</v>
      </c>
      <c r="R215" s="8">
        <f>IFERROR(Q215/Q444, "NA")</f>
        <v>6.8895317062481372E-3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-5282.57</v>
      </c>
      <c r="X215" s="8">
        <f>IFERROR(W215/W444, "NA")</f>
        <v>9.4613758888119861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-5282.57</v>
      </c>
      <c r="AD215" s="8">
        <f>IFERROR(AC215/AC444, "NA")</f>
        <v>-0.10318686429578665</v>
      </c>
    </row>
    <row r="216" spans="1:30" ht="16.5" customHeight="1" x14ac:dyDescent="0.45">
      <c r="A216" s="12" t="s">
        <v>196</v>
      </c>
      <c r="B216" s="7">
        <v>92</v>
      </c>
      <c r="C216" s="8">
        <f>IFERROR(B216/B444, "NA")</f>
        <v>4.6266327487549328E-4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-92</v>
      </c>
      <c r="I216" s="8">
        <f>IFERROR(H216/H444, "NA")</f>
        <v>3.3968306831284952E-3</v>
      </c>
      <c r="J216" s="9"/>
      <c r="K216" s="7">
        <v>111.03</v>
      </c>
      <c r="L216" s="8">
        <f>IFERROR(K216/K444, "NA")</f>
        <v>5.3995801137106923E-4</v>
      </c>
      <c r="M216" s="9"/>
      <c r="N216" s="10">
        <f t="shared" si="57"/>
        <v>19.03</v>
      </c>
      <c r="O216" s="8">
        <f>IFERROR(N216/N444, "NA")</f>
        <v>-2.807455468710811E-3</v>
      </c>
      <c r="P216" s="9"/>
      <c r="Q216" s="7">
        <v>358</v>
      </c>
      <c r="R216" s="8">
        <f>IFERROR(Q216/Q444, "NA")</f>
        <v>4.6690386513322744E-4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-358</v>
      </c>
      <c r="X216" s="8">
        <f>IFERROR(W216/W444, "NA")</f>
        <v>0.64119785789770722</v>
      </c>
      <c r="Y216" s="9"/>
      <c r="Z216" s="7">
        <v>115</v>
      </c>
      <c r="AA216" s="8">
        <f>IFERROR(Z216/Z444, "NA")</f>
        <v>1.6071353006122822E-4</v>
      </c>
      <c r="AB216" s="9"/>
      <c r="AC216" s="10">
        <f t="shared" si="59"/>
        <v>-243</v>
      </c>
      <c r="AD216" s="8">
        <f>IFERROR(AC216/AC444, "NA")</f>
        <v>-4.7466305271631334E-3</v>
      </c>
    </row>
    <row r="217" spans="1:30" ht="16.5" customHeight="1" x14ac:dyDescent="0.45">
      <c r="A217" s="12" t="s">
        <v>197</v>
      </c>
      <c r="B217" s="7">
        <v>5625.95</v>
      </c>
      <c r="C217" s="8">
        <f>IFERROR(B217/B444, "NA")</f>
        <v>2.8292613600932406E-2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-5625.95</v>
      </c>
      <c r="I217" s="8">
        <f>IFERROR(H217/H444, "NA")</f>
        <v>0.20772173458420387</v>
      </c>
      <c r="J217" s="9"/>
      <c r="K217" s="7">
        <v>3074.48</v>
      </c>
      <c r="L217" s="8">
        <f>IFERROR(K217/K444, "NA")</f>
        <v>1.4951725720977438E-2</v>
      </c>
      <c r="M217" s="9"/>
      <c r="N217" s="10">
        <f t="shared" si="57"/>
        <v>-2551.4699999999998</v>
      </c>
      <c r="O217" s="8">
        <f>IFERROR(N217/N444, "NA")</f>
        <v>0.37641294822656712</v>
      </c>
      <c r="P217" s="9"/>
      <c r="Q217" s="7">
        <v>22761.99</v>
      </c>
      <c r="R217" s="8">
        <f>IFERROR(Q217/Q444, "NA")</f>
        <v>2.968620421542981E-2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-22761.99</v>
      </c>
      <c r="X217" s="8">
        <f>IFERROR(W217/W444, "NA")</f>
        <v>40.767986674550372</v>
      </c>
      <c r="Y217" s="9"/>
      <c r="Z217" s="7">
        <v>20369.34</v>
      </c>
      <c r="AA217" s="8">
        <f>IFERROR(Z217/Z444, "NA")</f>
        <v>2.8466335099281551E-2</v>
      </c>
      <c r="AB217" s="9"/>
      <c r="AC217" s="10">
        <f t="shared" si="59"/>
        <v>-2392.6500000000015</v>
      </c>
      <c r="AD217" s="8">
        <f>IFERROR(AC217/AC444, "NA")</f>
        <v>-4.6736730579493332E-2</v>
      </c>
    </row>
    <row r="218" spans="1:30" ht="16.5" customHeight="1" x14ac:dyDescent="0.45">
      <c r="A218" s="13" t="s">
        <v>198</v>
      </c>
      <c r="B218" s="14">
        <f>IFERROR(B213+B214+B215+B216+B217, "NA")</f>
        <v>9287.119999999999</v>
      </c>
      <c r="C218" s="15">
        <f>IFERROR(B218/B444, "NA")</f>
        <v>4.6704449493061857E-2</v>
      </c>
      <c r="D218" s="2"/>
      <c r="E218" s="14">
        <f>IFERROR(E213+E214+E215+E216+E217, "NA")</f>
        <v>8585.4500000000007</v>
      </c>
      <c r="F218" s="15">
        <f>IFERROR(E218/E444, "NA")</f>
        <v>3.8000017615858243E-2</v>
      </c>
      <c r="G218" s="2"/>
      <c r="H218" s="14">
        <f t="shared" si="56"/>
        <v>-701.66999999999825</v>
      </c>
      <c r="I218" s="15">
        <f>IFERROR(H218/H444, "NA")</f>
        <v>2.5907110711203968E-2</v>
      </c>
      <c r="J218" s="2"/>
      <c r="K218" s="14">
        <f>IFERROR(K213+K214+K215+K216+K217, "NA")</f>
        <v>7172.42</v>
      </c>
      <c r="L218" s="15">
        <f>IFERROR(K218/K444, "NA")</f>
        <v>3.4880713680249344E-2</v>
      </c>
      <c r="M218" s="2"/>
      <c r="N218" s="14">
        <f t="shared" si="57"/>
        <v>-2114.6999999999989</v>
      </c>
      <c r="O218" s="15">
        <f>IFERROR(N218/N444, "NA")</f>
        <v>0.31197719809157903</v>
      </c>
      <c r="P218" s="2"/>
      <c r="Q218" s="14">
        <f>IFERROR(Q213+Q214+Q215+Q216+Q217, "NA")</f>
        <v>40081.360000000001</v>
      </c>
      <c r="R218" s="15">
        <f>IFERROR(Q218/Q444, "NA")</f>
        <v>5.2274139396079153E-2</v>
      </c>
      <c r="S218" s="2"/>
      <c r="T218" s="14">
        <f>IFERROR(T213+T214+T215+T216+T217, "NA")</f>
        <v>29157.85</v>
      </c>
      <c r="U218" s="15">
        <f>IFERROR(T218/T444, "NA")</f>
        <v>3.8000018923215355E-2</v>
      </c>
      <c r="V218" s="2"/>
      <c r="W218" s="14">
        <f t="shared" si="58"/>
        <v>-10923.510000000002</v>
      </c>
      <c r="X218" s="15">
        <f>IFERROR(W218/W444, "NA")</f>
        <v>19.564612326045211</v>
      </c>
      <c r="Y218" s="2"/>
      <c r="Z218" s="14">
        <f>IFERROR(Z213+Z214+Z215+Z216+Z217, "NA")</f>
        <v>41708.240000000005</v>
      </c>
      <c r="AA218" s="15">
        <f>IFERROR(Z218/Z444, "NA")</f>
        <v>5.8287638982964539E-2</v>
      </c>
      <c r="AB218" s="2"/>
      <c r="AC218" s="14">
        <f t="shared" si="59"/>
        <v>1626.8800000000047</v>
      </c>
      <c r="AD218" s="15">
        <f>IFERROR(AC218/AC444, "NA")</f>
        <v>3.1778593712062472E-2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124.37</v>
      </c>
      <c r="C222" s="8">
        <f>IFERROR(B222/B444, "NA")</f>
        <v>6.2545034235070762E-4</v>
      </c>
      <c r="D222" s="9"/>
      <c r="E222" s="7">
        <v>100</v>
      </c>
      <c r="F222" s="8">
        <f>IFERROR(E222/E444, "NA")</f>
        <v>4.4260950347224941E-4</v>
      </c>
      <c r="G222" s="9"/>
      <c r="H222" s="10">
        <f t="shared" si="56"/>
        <v>-24.370000000000005</v>
      </c>
      <c r="I222" s="8">
        <f>IFERROR(H222/H444, "NA")</f>
        <v>8.9979091030262433E-4</v>
      </c>
      <c r="J222" s="9"/>
      <c r="K222" s="7">
        <v>599.79999999999995</v>
      </c>
      <c r="L222" s="8">
        <f>IFERROR(K222/K444, "NA")</f>
        <v>2.9169306963916716E-3</v>
      </c>
      <c r="M222" s="9"/>
      <c r="N222" s="10">
        <f t="shared" si="57"/>
        <v>475.42999999999995</v>
      </c>
      <c r="O222" s="8">
        <f>IFERROR(N222/N444, "NA")</f>
        <v>-7.0139177797644808E-2</v>
      </c>
      <c r="P222" s="9"/>
      <c r="Q222" s="7">
        <v>1767.15</v>
      </c>
      <c r="R222" s="8">
        <f>IFERROR(Q222/Q444, "NA")</f>
        <v>2.3047183387435275E-3</v>
      </c>
      <c r="S222" s="9"/>
      <c r="T222" s="7">
        <v>400</v>
      </c>
      <c r="U222" s="8">
        <f>IFERROR(T222/T444, "NA")</f>
        <v>5.2130069841521719E-4</v>
      </c>
      <c r="V222" s="9"/>
      <c r="W222" s="10">
        <f t="shared" si="58"/>
        <v>-1367.15</v>
      </c>
      <c r="X222" s="8">
        <f>IFERROR(W222/W444, "NA")</f>
        <v>2.4486414844269566</v>
      </c>
      <c r="Y222" s="9"/>
      <c r="Z222" s="7">
        <v>1353.8</v>
      </c>
      <c r="AA222" s="8">
        <f>IFERROR(Z222/Z444, "NA")</f>
        <v>1.8919476260599196E-3</v>
      </c>
      <c r="AB222" s="9"/>
      <c r="AC222" s="10">
        <f t="shared" si="59"/>
        <v>-413.35000000000014</v>
      </c>
      <c r="AD222" s="8">
        <f>IFERROR(AC222/AC444, "NA")</f>
        <v>-8.0741552609172092E-3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9411.49</v>
      </c>
      <c r="C227" s="15">
        <f>IFERROR(B227/B444, "NA")</f>
        <v>4.7329899835412567E-2</v>
      </c>
      <c r="D227" s="2"/>
      <c r="E227" s="14">
        <f>IFERROR(E211+E213+E214+E215+E216+E217+E219+E220+E221+E222+E223+E224+E225+E226, "NA")</f>
        <v>8685.4500000000007</v>
      </c>
      <c r="F227" s="15">
        <f>IFERROR(E227/E444, "NA")</f>
        <v>3.844262711933049E-2</v>
      </c>
      <c r="G227" s="2"/>
      <c r="H227" s="14">
        <f t="shared" si="56"/>
        <v>-726.03999999999905</v>
      </c>
      <c r="I227" s="15">
        <f>IFERROR(H227/H444, "NA")</f>
        <v>2.6806901621506622E-2</v>
      </c>
      <c r="J227" s="2"/>
      <c r="K227" s="14">
        <f>IFERROR(K211+K213+K214+K215+K216+K217+K219+K220+K221+K222+K223+K224+K225+K226, "NA")</f>
        <v>7772.22</v>
      </c>
      <c r="L227" s="15">
        <f>IFERROR(K227/K444, "NA")</f>
        <v>3.7797644376641015E-2</v>
      </c>
      <c r="M227" s="2"/>
      <c r="N227" s="14">
        <f t="shared" si="57"/>
        <v>-1639.2699999999995</v>
      </c>
      <c r="O227" s="15">
        <f>IFERROR(N227/N444, "NA")</f>
        <v>0.24183802029393431</v>
      </c>
      <c r="P227" s="2"/>
      <c r="Q227" s="14">
        <f>IFERROR(Q211+Q213+Q214+Q215+Q216+Q217+Q219+Q220+Q221+Q222+Q223+Q224+Q225+Q226, "NA")</f>
        <v>41848.51</v>
      </c>
      <c r="R227" s="15">
        <f>IFERROR(Q227/Q444, "NA")</f>
        <v>5.4578857734822683E-2</v>
      </c>
      <c r="S227" s="2"/>
      <c r="T227" s="14">
        <f>IFERROR(T211+T213+T214+T215+T216+T217+T219+T220+T221+T222+T223+T224+T225+T226, "NA")</f>
        <v>29557.85</v>
      </c>
      <c r="U227" s="15">
        <f>IFERROR(T227/T444, "NA")</f>
        <v>3.8521319621630572E-2</v>
      </c>
      <c r="V227" s="2"/>
      <c r="W227" s="14">
        <f t="shared" si="58"/>
        <v>-12290.660000000003</v>
      </c>
      <c r="X227" s="15">
        <f>IFERROR(W227/W444, "NA")</f>
        <v>22.013253810472168</v>
      </c>
      <c r="Y227" s="2"/>
      <c r="Z227" s="14">
        <f>IFERROR(Z211+Z213+Z214+Z215+Z216+Z217+Z219+Z220+Z221+Z222+Z223+Z224+Z225+Z226, "NA")</f>
        <v>43062.040000000008</v>
      </c>
      <c r="AA227" s="15">
        <f>IFERROR(Z227/Z444, "NA")</f>
        <v>6.0179586609024463E-2</v>
      </c>
      <c r="AB227" s="2"/>
      <c r="AC227" s="14">
        <f t="shared" si="59"/>
        <v>1213.5300000000061</v>
      </c>
      <c r="AD227" s="15">
        <f>IFERROR(AC227/AC444, "NA")</f>
        <v>2.3704438451145296E-2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4970.5200000000004</v>
      </c>
      <c r="F229" s="8">
        <f>IFERROR(E229/E444, "NA")</f>
        <v>2.1999993891988853E-2</v>
      </c>
      <c r="G229" s="9"/>
      <c r="H229" s="10">
        <f t="shared" ref="H229:H236" si="60">IFERROR(-(B229-E229), "NA")</f>
        <v>4970.5200000000004</v>
      </c>
      <c r="I229" s="8">
        <f>IFERROR(H229/H444, "NA")</f>
        <v>-0.18352190051199835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16880.849999999999</v>
      </c>
      <c r="U229" s="8">
        <f>IFERROR(T229/T444, "NA")</f>
        <v>2.1999997237106297E-2</v>
      </c>
      <c r="V229" s="9"/>
      <c r="W229" s="10">
        <f t="shared" ref="W229:W236" si="62">IFERROR(-(Q229-T229), "NA")</f>
        <v>16880.849999999999</v>
      </c>
      <c r="X229" s="8">
        <f>IFERROR(W229/W444, "NA")</f>
        <v>-30.234538713666229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392</v>
      </c>
      <c r="L231" s="8">
        <f>IFERROR(K231/K444, "NA")</f>
        <v>1.9063635094790522E-3</v>
      </c>
      <c r="M231" s="9"/>
      <c r="N231" s="10">
        <f t="shared" si="61"/>
        <v>392</v>
      </c>
      <c r="O231" s="8">
        <f>IFERROR(N231/N444, "NA")</f>
        <v>-5.7830927153685652E-2</v>
      </c>
      <c r="P231" s="9"/>
      <c r="Q231" s="7">
        <v>0</v>
      </c>
      <c r="R231" s="8">
        <f>IFERROR(Q231/Q444, "NA")</f>
        <v>0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0</v>
      </c>
      <c r="X231" s="8">
        <f>IFERROR(W231/W444, "NA")</f>
        <v>0</v>
      </c>
      <c r="Y231" s="9"/>
      <c r="Z231" s="7">
        <v>1576.81</v>
      </c>
      <c r="AA231" s="8">
        <f>IFERROR(Z231/Z444, "NA")</f>
        <v>2.2036060985725675E-3</v>
      </c>
      <c r="AB231" s="9"/>
      <c r="AC231" s="10">
        <f t="shared" si="63"/>
        <v>1576.81</v>
      </c>
      <c r="AD231" s="8">
        <f>IFERROR(AC231/AC444, "NA")</f>
        <v>3.0800553421959264E-2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39.1</v>
      </c>
      <c r="C233" s="8">
        <f>IFERROR(B233/B444, "NA")</f>
        <v>1.9663189182208464E-4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-39.1</v>
      </c>
      <c r="I233" s="8">
        <f>IFERROR(H233/H444, "NA")</f>
        <v>1.4436530403296103E-3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-39.1</v>
      </c>
      <c r="O233" s="8">
        <f>IFERROR(N233/N444, "NA")</f>
        <v>5.7683399278293593E-3</v>
      </c>
      <c r="P233" s="9"/>
      <c r="Q233" s="7">
        <v>324.76</v>
      </c>
      <c r="R233" s="8">
        <f>IFERROR(Q233/Q444, "NA")</f>
        <v>4.2355223251582945E-4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-324.76</v>
      </c>
      <c r="X233" s="8">
        <f>IFERROR(W233/W444, "NA")</f>
        <v>0.58166317410854573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-324.76</v>
      </c>
      <c r="AD233" s="8">
        <f>IFERROR(AC233/AC444, "NA")</f>
        <v>-6.3436861316934125E-3</v>
      </c>
    </row>
    <row r="234" spans="1:30" ht="16.5" customHeight="1" x14ac:dyDescent="0.45">
      <c r="A234" s="6" t="s">
        <v>213</v>
      </c>
      <c r="B234" s="7">
        <v>4546.91</v>
      </c>
      <c r="C234" s="8">
        <f>IFERROR(B234/B444, "NA")</f>
        <v>2.2866176860479665E-2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-4546.91</v>
      </c>
      <c r="I234" s="8">
        <f>IFERROR(H234/H444, "NA")</f>
        <v>0.16788134131982374</v>
      </c>
      <c r="J234" s="9"/>
      <c r="K234" s="7">
        <v>3984.95</v>
      </c>
      <c r="L234" s="8">
        <f>IFERROR(K234/K444, "NA")</f>
        <v>1.9379498130353438E-2</v>
      </c>
      <c r="M234" s="9"/>
      <c r="N234" s="10">
        <f t="shared" si="61"/>
        <v>-561.96</v>
      </c>
      <c r="O234" s="8">
        <f>IFERROR(N234/N444, "NA")</f>
        <v>8.2904764855319363E-2</v>
      </c>
      <c r="P234" s="9"/>
      <c r="Q234" s="7">
        <v>17308.48</v>
      </c>
      <c r="R234" s="8">
        <f>IFERROR(Q234/Q444, "NA")</f>
        <v>2.2573732434584257E-2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-17308.48</v>
      </c>
      <c r="X234" s="8">
        <f>IFERROR(W234/W444, "NA")</f>
        <v>31.000447763869573</v>
      </c>
      <c r="Y234" s="9"/>
      <c r="Z234" s="7">
        <v>14624.77</v>
      </c>
      <c r="AA234" s="8">
        <f>IFERROR(Z234/Z444, "NA")</f>
        <v>2.0438247069856943E-2</v>
      </c>
      <c r="AB234" s="9"/>
      <c r="AC234" s="10">
        <f t="shared" si="63"/>
        <v>-2683.7099999999991</v>
      </c>
      <c r="AD234" s="8">
        <f>IFERROR(AC234/AC444, "NA")</f>
        <v>-5.2422139144250902E-2</v>
      </c>
    </row>
    <row r="235" spans="1:30" ht="16.5" customHeight="1" x14ac:dyDescent="0.45">
      <c r="A235" s="6" t="s">
        <v>214</v>
      </c>
      <c r="B235" s="7">
        <v>61.09</v>
      </c>
      <c r="C235" s="8">
        <f>IFERROR(B235/B444, "NA")</f>
        <v>3.0721847241460749E-4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-61.09</v>
      </c>
      <c r="I235" s="8">
        <f>IFERROR(H235/H444, "NA")</f>
        <v>2.2555694177426064E-3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-61.09</v>
      </c>
      <c r="O235" s="8">
        <f>IFERROR(N235/N444, "NA")</f>
        <v>9.0124779077006539E-3</v>
      </c>
      <c r="P235" s="9"/>
      <c r="Q235" s="7">
        <v>190.72</v>
      </c>
      <c r="R235" s="8">
        <f>IFERROR(Q235/Q444, "NA")</f>
        <v>2.4873716524639422E-4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-190.72</v>
      </c>
      <c r="X235" s="8">
        <f>IFERROR(W235/W444, "NA")</f>
        <v>0.34159009904539306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-190.72</v>
      </c>
      <c r="AD235" s="8">
        <f>IFERROR(AC235/AC444, "NA")</f>
        <v>-3.7254212927594768E-3</v>
      </c>
    </row>
    <row r="236" spans="1:30" ht="16.5" customHeight="1" x14ac:dyDescent="0.45">
      <c r="A236" s="19" t="s">
        <v>215</v>
      </c>
      <c r="B236" s="14">
        <f>IFERROR(B229+B230+B231+B232+B233+B234+B235, "NA")</f>
        <v>4647.1000000000004</v>
      </c>
      <c r="C236" s="15">
        <f>IFERROR(B236/B444, "NA")</f>
        <v>2.3370027224716358E-2</v>
      </c>
      <c r="D236" s="2"/>
      <c r="E236" s="14">
        <f>IFERROR(E229+E230+E231+E232+E233+E234+E235, "NA")</f>
        <v>4970.5200000000004</v>
      </c>
      <c r="F236" s="15">
        <f>IFERROR(E236/E444, "NA")</f>
        <v>2.1999993891988853E-2</v>
      </c>
      <c r="G236" s="2"/>
      <c r="H236" s="14">
        <f t="shared" si="60"/>
        <v>323.42000000000007</v>
      </c>
      <c r="I236" s="15">
        <f>IFERROR(H236/H444, "NA")</f>
        <v>-1.1941336734102371E-2</v>
      </c>
      <c r="J236" s="2"/>
      <c r="K236" s="14">
        <f>IFERROR(K229+K230+K231+K232+K233+K234+K235, "NA")</f>
        <v>4376.95</v>
      </c>
      <c r="L236" s="15">
        <f>IFERROR(K236/K444, "NA")</f>
        <v>2.1285861639832492E-2</v>
      </c>
      <c r="M236" s="2"/>
      <c r="N236" s="14">
        <f t="shared" si="61"/>
        <v>-270.15000000000055</v>
      </c>
      <c r="O236" s="15">
        <f>IFERROR(N236/N444, "NA")</f>
        <v>3.9854655537163802E-2</v>
      </c>
      <c r="P236" s="2"/>
      <c r="Q236" s="14">
        <f>IFERROR(Q229+Q230+Q231+Q232+Q233+Q234+Q235, "NA")</f>
        <v>17823.96</v>
      </c>
      <c r="R236" s="15">
        <f>IFERROR(Q236/Q444, "NA")</f>
        <v>2.3246021832346479E-2</v>
      </c>
      <c r="S236" s="2"/>
      <c r="T236" s="14">
        <f>IFERROR(T229+T230+T231+T232+T233+T234+T235, "NA")</f>
        <v>16880.849999999999</v>
      </c>
      <c r="U236" s="15">
        <f>IFERROR(T236/T444, "NA")</f>
        <v>2.1999997237106297E-2</v>
      </c>
      <c r="V236" s="2"/>
      <c r="W236" s="14">
        <f t="shared" si="62"/>
        <v>-943.11000000000058</v>
      </c>
      <c r="X236" s="15">
        <f>IFERROR(W236/W444, "NA")</f>
        <v>1.6891623233572821</v>
      </c>
      <c r="Y236" s="2"/>
      <c r="Z236" s="14">
        <f>IFERROR(Z229+Z230+Z231+Z232+Z233+Z234+Z235, "NA")</f>
        <v>16201.58</v>
      </c>
      <c r="AA236" s="15">
        <f>IFERROR(Z236/Z444, "NA")</f>
        <v>2.264185316842951E-2</v>
      </c>
      <c r="AB236" s="2"/>
      <c r="AC236" s="14">
        <f t="shared" si="63"/>
        <v>-1622.3799999999992</v>
      </c>
      <c r="AD236" s="15">
        <f>IFERROR(AC236/AC444, "NA")</f>
        <v>-3.1690693146744532E-2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19204.29</v>
      </c>
      <c r="F240" s="8">
        <f>IFERROR(E240/E444, "NA")</f>
        <v>8.5000012614370846E-2</v>
      </c>
      <c r="G240" s="9"/>
      <c r="H240" s="10">
        <f t="shared" ref="H240:H263" si="64">IFERROR(-(B240-E240), "NA")</f>
        <v>19204.29</v>
      </c>
      <c r="I240" s="8">
        <f>IFERROR(H240/H444, "NA")</f>
        <v>-0.70906219043149699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65221.47</v>
      </c>
      <c r="U240" s="8">
        <f>IFERROR(T240/T444, "NA")</f>
        <v>8.499999465666784E-2</v>
      </c>
      <c r="V240" s="9"/>
      <c r="W240" s="10">
        <f t="shared" ref="W240:W263" si="66">IFERROR(-(Q240-T240), "NA")</f>
        <v>65221.47</v>
      </c>
      <c r="X240" s="8">
        <f>IFERROR(W240/W444, "NA")</f>
        <v>-116.81527053893736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2738.51</v>
      </c>
      <c r="C242" s="8">
        <f>IFERROR(B242/B444, "NA")</f>
        <v>1.3771826139992253E-2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-2738.51</v>
      </c>
      <c r="I242" s="8">
        <f>IFERROR(H242/H444, "NA")</f>
        <v>0.10111146515276322</v>
      </c>
      <c r="J242" s="9"/>
      <c r="K242" s="7">
        <v>2540.7199999999998</v>
      </c>
      <c r="L242" s="8">
        <f>IFERROR(K242/K444, "NA")</f>
        <v>1.235595891786637E-2</v>
      </c>
      <c r="M242" s="9"/>
      <c r="N242" s="10">
        <f t="shared" si="65"/>
        <v>-197.79000000000042</v>
      </c>
      <c r="O242" s="8">
        <f>IFERROR(N242/N444, "NA")</f>
        <v>2.9179538473794665E-2</v>
      </c>
      <c r="P242" s="9"/>
      <c r="Q242" s="7">
        <v>12123.47</v>
      </c>
      <c r="R242" s="8">
        <f>IFERROR(Q242/Q444, "NA")</f>
        <v>1.5811438552588628E-2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-12123.47</v>
      </c>
      <c r="X242" s="8">
        <f>IFERROR(W242/W444, "NA")</f>
        <v>21.713807246612056</v>
      </c>
      <c r="Y242" s="9"/>
      <c r="Z242" s="7">
        <v>10388.77</v>
      </c>
      <c r="AA242" s="8">
        <f>IFERROR(Z242/Z444, "NA")</f>
        <v>1.4518399127775529E-2</v>
      </c>
      <c r="AB242" s="9"/>
      <c r="AC242" s="10">
        <f t="shared" si="67"/>
        <v>-1734.6999999999989</v>
      </c>
      <c r="AD242" s="8">
        <f>IFERROR(AC242/AC444, "NA")</f>
        <v>-3.3884691257077708E-2</v>
      </c>
    </row>
    <row r="243" spans="1:30" ht="16.5" customHeight="1" x14ac:dyDescent="0.45">
      <c r="A243" s="12" t="s">
        <v>220</v>
      </c>
      <c r="B243" s="7">
        <v>8158.62</v>
      </c>
      <c r="C243" s="8">
        <f>IFERROR(B243/B444, "NA")</f>
        <v>4.102928095287714E-2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-8158.62</v>
      </c>
      <c r="I243" s="8">
        <f>IFERROR(H243/H444, "NA")</f>
        <v>0.3012331603041935</v>
      </c>
      <c r="J243" s="9"/>
      <c r="K243" s="7">
        <v>6438.38</v>
      </c>
      <c r="L243" s="8">
        <f>IFERROR(K243/K444, "NA")</f>
        <v>3.131095074530546E-2</v>
      </c>
      <c r="M243" s="9"/>
      <c r="N243" s="10">
        <f t="shared" si="65"/>
        <v>-1720.2399999999998</v>
      </c>
      <c r="O243" s="8">
        <f>IFERROR(N243/N444, "NA")</f>
        <v>0.25378335236442906</v>
      </c>
      <c r="P243" s="9"/>
      <c r="Q243" s="7">
        <v>30934.52</v>
      </c>
      <c r="R243" s="8">
        <f>IFERROR(Q243/Q444, "NA")</f>
        <v>4.0344823893969629E-2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-30934.52</v>
      </c>
      <c r="X243" s="8">
        <f>IFERROR(W243/W444, "NA")</f>
        <v>55.405441226518946</v>
      </c>
      <c r="Y243" s="9"/>
      <c r="Z243" s="7">
        <v>26615.35</v>
      </c>
      <c r="AA243" s="8">
        <f>IFERROR(Z243/Z444, "NA")</f>
        <v>3.7195190020131393E-2</v>
      </c>
      <c r="AB243" s="9"/>
      <c r="AC243" s="10">
        <f t="shared" si="67"/>
        <v>-4319.1700000000019</v>
      </c>
      <c r="AD243" s="8">
        <f>IFERROR(AC243/AC444, "NA")</f>
        <v>-8.4368329934186012E-2</v>
      </c>
    </row>
    <row r="244" spans="1:30" ht="16.5" customHeight="1" x14ac:dyDescent="0.45">
      <c r="A244" s="12" t="s">
        <v>221</v>
      </c>
      <c r="B244" s="7">
        <v>763.09</v>
      </c>
      <c r="C244" s="8">
        <f>IFERROR(B244/B444, "NA")</f>
        <v>3.8375404176602193E-3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-763.09</v>
      </c>
      <c r="I244" s="8">
        <f>IFERROR(H244/H444, "NA")</f>
        <v>2.8174864412918731E-2</v>
      </c>
      <c r="J244" s="9"/>
      <c r="K244" s="7">
        <v>590</v>
      </c>
      <c r="L244" s="8">
        <f>IFERROR(K244/K444, "NA")</f>
        <v>2.8692716086546957E-3</v>
      </c>
      <c r="M244" s="9"/>
      <c r="N244" s="10">
        <f t="shared" si="65"/>
        <v>-173.09000000000003</v>
      </c>
      <c r="O244" s="8">
        <f>IFERROR(N244/N444, "NA")</f>
        <v>2.5535599951610845E-2</v>
      </c>
      <c r="P244" s="9"/>
      <c r="Q244" s="7">
        <v>2489.79</v>
      </c>
      <c r="R244" s="8">
        <f>IFERROR(Q244/Q444, "NA")</f>
        <v>3.2471859619275373E-3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-2489.79</v>
      </c>
      <c r="X244" s="8">
        <f>IFERROR(W244/W444, "NA")</f>
        <v>4.4593519961316552</v>
      </c>
      <c r="Y244" s="9"/>
      <c r="Z244" s="7">
        <v>590</v>
      </c>
      <c r="AA244" s="8">
        <f>IFERROR(Z244/Z444, "NA")</f>
        <v>8.2453028466195348E-4</v>
      </c>
      <c r="AB244" s="9"/>
      <c r="AC244" s="10">
        <f t="shared" si="67"/>
        <v>-1899.79</v>
      </c>
      <c r="AD244" s="8">
        <f>IFERROR(AC244/AC444, "NA")</f>
        <v>-3.7109469996704732E-2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264.76</v>
      </c>
      <c r="C246" s="8">
        <f>IFERROR(B246/B444, "NA")</f>
        <v>1.3314644419134304E-3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-264.76</v>
      </c>
      <c r="I246" s="8">
        <f>IFERROR(H246/H444, "NA")</f>
        <v>9.7754879528815248E-3</v>
      </c>
      <c r="J246" s="9"/>
      <c r="K246" s="7">
        <v>840.68</v>
      </c>
      <c r="L246" s="8">
        <f>IFERROR(K246/K444, "NA")</f>
        <v>4.0883716202776768E-3</v>
      </c>
      <c r="M246" s="9"/>
      <c r="N246" s="10">
        <f t="shared" si="65"/>
        <v>575.91999999999996</v>
      </c>
      <c r="O246" s="8">
        <f>IFERROR(N246/N444, "NA")</f>
        <v>-8.4964253995792438E-2</v>
      </c>
      <c r="P246" s="9"/>
      <c r="Q246" s="7">
        <v>1107.58</v>
      </c>
      <c r="R246" s="8">
        <f>IFERROR(Q246/Q444, "NA")</f>
        <v>1.4445066562688827E-3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-1107.58</v>
      </c>
      <c r="X246" s="8">
        <f>IFERROR(W246/W444, "NA")</f>
        <v>1.9837372163417388</v>
      </c>
      <c r="Y246" s="9"/>
      <c r="Z246" s="7">
        <v>2727.94</v>
      </c>
      <c r="AA246" s="8">
        <f>IFERROR(Z246/Z444, "NA")</f>
        <v>3.8123205843063209E-3</v>
      </c>
      <c r="AB246" s="9"/>
      <c r="AC246" s="10">
        <f t="shared" si="67"/>
        <v>1620.3600000000001</v>
      </c>
      <c r="AD246" s="8">
        <f>IFERROR(AC246/AC444, "NA")</f>
        <v>3.1651235559646322E-2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201.55</v>
      </c>
      <c r="C248" s="8">
        <f>IFERROR(B248/B444, "NA")</f>
        <v>1.0135845983821269E-3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-201.55</v>
      </c>
      <c r="I248" s="8">
        <f>IFERROR(H248/H444, "NA")</f>
        <v>7.4416437411363931E-3</v>
      </c>
      <c r="J248" s="9"/>
      <c r="K248" s="7">
        <v>189.04</v>
      </c>
      <c r="L248" s="8">
        <f>IFERROR(K248/K444, "NA")</f>
        <v>9.193340761018367E-4</v>
      </c>
      <c r="M248" s="9"/>
      <c r="N248" s="10">
        <f t="shared" si="65"/>
        <v>-12.510000000000019</v>
      </c>
      <c r="O248" s="8">
        <f>IFERROR(N248/N444, "NA")</f>
        <v>1.8455737211546138E-3</v>
      </c>
      <c r="P248" s="9"/>
      <c r="Q248" s="7">
        <v>797.86</v>
      </c>
      <c r="R248" s="8">
        <f>IFERROR(Q248/Q444, "NA")</f>
        <v>1.0405696028916113E-3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-797.86</v>
      </c>
      <c r="X248" s="8">
        <f>IFERROR(W248/W444, "NA")</f>
        <v>1.4290115164867729</v>
      </c>
      <c r="Y248" s="9"/>
      <c r="Z248" s="7">
        <v>729.75</v>
      </c>
      <c r="AA248" s="8">
        <f>IFERROR(Z248/Z444, "NA")</f>
        <v>1.0198321614102721E-3</v>
      </c>
      <c r="AB248" s="9"/>
      <c r="AC248" s="10">
        <f t="shared" si="67"/>
        <v>-68.110000000000014</v>
      </c>
      <c r="AD248" s="8">
        <f>IFERROR(AC248/AC444, "NA")</f>
        <v>-1.3304238897328441E-3</v>
      </c>
    </row>
    <row r="249" spans="1:30" ht="16.5" customHeight="1" x14ac:dyDescent="0.45">
      <c r="A249" s="12" t="s">
        <v>226</v>
      </c>
      <c r="B249" s="7">
        <v>6204.8</v>
      </c>
      <c r="C249" s="8">
        <f>IFERROR(B249/B444, "NA")</f>
        <v>3.1203620521168051E-2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-6204.8</v>
      </c>
      <c r="I249" s="8">
        <f>IFERROR(H249/H444, "NA")</f>
        <v>0.22909407633343137</v>
      </c>
      <c r="J249" s="9"/>
      <c r="K249" s="7">
        <v>3192.05</v>
      </c>
      <c r="L249" s="8">
        <f>IFERROR(K249/K444, "NA")</f>
        <v>1.5523488878654613E-2</v>
      </c>
      <c r="M249" s="9"/>
      <c r="N249" s="10">
        <f t="shared" si="65"/>
        <v>-3012.75</v>
      </c>
      <c r="O249" s="8">
        <f>IFERROR(N249/N444, "NA")</f>
        <v>0.44446460658741438</v>
      </c>
      <c r="P249" s="9"/>
      <c r="Q249" s="7">
        <v>20759.12</v>
      </c>
      <c r="R249" s="8">
        <f>IFERROR(Q249/Q444, "NA")</f>
        <v>2.7074059678113084E-2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-20759.12</v>
      </c>
      <c r="X249" s="8">
        <f>IFERROR(W249/W444, "NA")</f>
        <v>37.180735407378357</v>
      </c>
      <c r="Y249" s="9"/>
      <c r="Z249" s="7">
        <v>15324.47</v>
      </c>
      <c r="AA249" s="8">
        <f>IFERROR(Z249/Z444, "NA")</f>
        <v>2.1416084087107736E-2</v>
      </c>
      <c r="AB249" s="9"/>
      <c r="AC249" s="10">
        <f t="shared" si="67"/>
        <v>-5434.65</v>
      </c>
      <c r="AD249" s="8">
        <f>IFERROR(AC249/AC444, "NA")</f>
        <v>-0.1061575127343503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2411.29</v>
      </c>
      <c r="C254" s="8">
        <f>IFERROR(B254/B444, "NA")</f>
        <v>1.212625356602748E-2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-2411.29</v>
      </c>
      <c r="I254" s="8">
        <f>IFERROR(H254/H444, "NA")</f>
        <v>8.9029824542618569E-2</v>
      </c>
      <c r="J254" s="9"/>
      <c r="K254" s="7">
        <v>5033.9799999999996</v>
      </c>
      <c r="L254" s="8">
        <f>IFERROR(K254/K444, "NA")</f>
        <v>2.4481111682263669E-2</v>
      </c>
      <c r="M254" s="9"/>
      <c r="N254" s="10">
        <f t="shared" si="65"/>
        <v>2622.6899999999996</v>
      </c>
      <c r="O254" s="8">
        <f>IFERROR(N254/N444, "NA")</f>
        <v>-0.38691988351198925</v>
      </c>
      <c r="P254" s="9"/>
      <c r="Q254" s="7">
        <v>10420.65</v>
      </c>
      <c r="R254" s="8">
        <f>IFERROR(Q254/Q444, "NA")</f>
        <v>1.3590619447487615E-2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-10420.65</v>
      </c>
      <c r="X254" s="8">
        <f>IFERROR(W254/W444, "NA")</f>
        <v>18.663962172909894</v>
      </c>
      <c r="Y254" s="9"/>
      <c r="Z254" s="7">
        <v>8408.98</v>
      </c>
      <c r="AA254" s="8">
        <f>IFERROR(Z254/Z444, "NA")</f>
        <v>1.1751624869689276E-2</v>
      </c>
      <c r="AB254" s="9"/>
      <c r="AC254" s="10">
        <f t="shared" si="67"/>
        <v>-2011.67</v>
      </c>
      <c r="AD254" s="8">
        <f>IFERROR(AC254/AC444, "NA")</f>
        <v>-3.9294873385095727E-2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328.82</v>
      </c>
      <c r="L257" s="8">
        <f>IFERROR(K257/K444, "NA")</f>
        <v>1.5991082887420968E-3</v>
      </c>
      <c r="M257" s="9"/>
      <c r="N257" s="10">
        <f t="shared" si="65"/>
        <v>328.82</v>
      </c>
      <c r="O257" s="8">
        <f>IFERROR(N257/N444, "NA")</f>
        <v>-4.8510115986415601E-2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328.82</v>
      </c>
      <c r="AA257" s="8">
        <f>IFERROR(Z257/Z444, "NA")</f>
        <v>4.5952889525854835E-4</v>
      </c>
      <c r="AB257" s="9"/>
      <c r="AC257" s="10">
        <f t="shared" si="67"/>
        <v>328.82</v>
      </c>
      <c r="AD257" s="8">
        <f>IFERROR(AC257/AC444, "NA")</f>
        <v>6.4229919750690605E-3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customHeight="1" x14ac:dyDescent="0.45">
      <c r="A260" s="12" t="s">
        <v>237</v>
      </c>
      <c r="B260" s="7">
        <v>456.8</v>
      </c>
      <c r="C260" s="8">
        <f>IFERROR(B260/B444, "NA")</f>
        <v>2.2972237387296232E-3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-456.8</v>
      </c>
      <c r="I260" s="8">
        <f>IFERROR(H260/H444, "NA")</f>
        <v>1.686600278318583E-2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-456.8</v>
      </c>
      <c r="O260" s="8">
        <f>IFERROR(N260/N444, "NA")</f>
        <v>6.7390733479090831E-2</v>
      </c>
      <c r="P260" s="9"/>
      <c r="Q260" s="7">
        <v>456.8</v>
      </c>
      <c r="R260" s="8">
        <f>IFERROR(Q260/Q444, "NA")</f>
        <v>5.9575889830407343E-4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-456.8</v>
      </c>
      <c r="X260" s="8">
        <f>IFERROR(W260/W444, "NA")</f>
        <v>0.81815413823372252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-456.8</v>
      </c>
      <c r="AD260" s="8">
        <f>IFERROR(AC260/AC444, "NA")</f>
        <v>-8.9228840527083107E-3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21199.420000000002</v>
      </c>
      <c r="C262" s="15">
        <f>IFERROR(B262/B444, "NA")</f>
        <v>0.10661079437675033</v>
      </c>
      <c r="D262" s="2"/>
      <c r="E262" s="14">
        <f>IFERROR(E240+E241+E242+E243+E244+E245+E246+E247+E248+E249+E250+E251+E252+E253+E254+E255+E256+E257+E258+E259+E260+E261, "NA")</f>
        <v>19204.29</v>
      </c>
      <c r="F262" s="15">
        <f>IFERROR(E262/E444, "NA")</f>
        <v>8.5000012614370846E-2</v>
      </c>
      <c r="G262" s="2"/>
      <c r="H262" s="14">
        <f t="shared" si="64"/>
        <v>-1995.130000000001</v>
      </c>
      <c r="I262" s="15">
        <f>IFERROR(H262/H444, "NA")</f>
        <v>7.3664334791632147E-2</v>
      </c>
      <c r="J262" s="2"/>
      <c r="K262" s="14">
        <f>IFERROR(K240+K241+K242+K243+K244+K245+K246+K247+K248+K249+K250+K251+K252+K253+K254+K255+K256+K257+K258+K259+K260+K261, "NA")</f>
        <v>19153.670000000002</v>
      </c>
      <c r="L262" s="15">
        <f>IFERROR(K262/K444, "NA")</f>
        <v>9.3147595817866427E-2</v>
      </c>
      <c r="M262" s="2"/>
      <c r="N262" s="14">
        <f t="shared" si="65"/>
        <v>-2045.75</v>
      </c>
      <c r="O262" s="15">
        <f>IFERROR(N262/N444, "NA")</f>
        <v>0.30180515108329697</v>
      </c>
      <c r="P262" s="2"/>
      <c r="Q262" s="14">
        <f>IFERROR(Q240+Q241+Q242+Q243+Q244+Q245+Q246+Q247+Q248+Q249+Q250+Q251+Q252+Q253+Q254+Q255+Q256+Q257+Q258+Q259+Q260+Q261, "NA")</f>
        <v>79089.789999999994</v>
      </c>
      <c r="R262" s="15">
        <f>IFERROR(Q262/Q444, "NA")</f>
        <v>0.10314896269155105</v>
      </c>
      <c r="S262" s="2"/>
      <c r="T262" s="14">
        <f>IFERROR(T240+T241+T242+T243+T244+T245+T246+T247+T248+T249+T250+T251+T252+T253+T254+T255+T256+T257+T258+T259+T260+T261, "NA")</f>
        <v>65221.47</v>
      </c>
      <c r="U262" s="15">
        <f>IFERROR(T262/T444, "NA")</f>
        <v>8.499999465666784E-2</v>
      </c>
      <c r="V262" s="2"/>
      <c r="W262" s="14">
        <f t="shared" si="66"/>
        <v>-13868.319999999992</v>
      </c>
      <c r="X262" s="15">
        <f>IFERROR(W262/W444, "NA")</f>
        <v>24.83893038167577</v>
      </c>
      <c r="Y262" s="2"/>
      <c r="Z262" s="14">
        <f>IFERROR(Z240+Z241+Z242+Z243+Z244+Z245+Z246+Z247+Z248+Z249+Z250+Z251+Z252+Z253+Z254+Z255+Z256+Z257+Z258+Z259+Z260+Z261, "NA")</f>
        <v>65114.079999999994</v>
      </c>
      <c r="AA262" s="15">
        <f>IFERROR(Z262/Z444, "NA")</f>
        <v>9.0997510030341025E-2</v>
      </c>
      <c r="AB262" s="2"/>
      <c r="AC262" s="14">
        <f t="shared" si="67"/>
        <v>-13975.71</v>
      </c>
      <c r="AD262" s="15">
        <f>IFERROR(AC262/AC444, "NA")</f>
        <v>-0.27299395771514023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21199.420000000002</v>
      </c>
      <c r="C263" s="15">
        <f>IFERROR(B263/B444, "NA")</f>
        <v>0.10661079437675033</v>
      </c>
      <c r="D263" s="2"/>
      <c r="E263" s="14">
        <f>IFERROR(E238+E240+E241+E242+E243+E244+E245+E246+E247+E248+E249+E250+E251+E252+E253+E254+E255+E256+E257+E258+E259+E260+E261, "NA")</f>
        <v>19204.29</v>
      </c>
      <c r="F263" s="15">
        <f>IFERROR(E263/E444, "NA")</f>
        <v>8.5000012614370846E-2</v>
      </c>
      <c r="G263" s="2"/>
      <c r="H263" s="14">
        <f t="shared" si="64"/>
        <v>-1995.130000000001</v>
      </c>
      <c r="I263" s="15">
        <f>IFERROR(H263/H444, "NA")</f>
        <v>7.3664334791632147E-2</v>
      </c>
      <c r="J263" s="2"/>
      <c r="K263" s="14">
        <f>IFERROR(K238+K240+K241+K242+K243+K244+K245+K246+K247+K248+K249+K250+K251+K252+K253+K254+K255+K256+K257+K258+K259+K260+K261, "NA")</f>
        <v>19153.670000000002</v>
      </c>
      <c r="L263" s="15">
        <f>IFERROR(K263/K444, "NA")</f>
        <v>9.3147595817866427E-2</v>
      </c>
      <c r="M263" s="2"/>
      <c r="N263" s="14">
        <f t="shared" si="65"/>
        <v>-2045.75</v>
      </c>
      <c r="O263" s="15">
        <f>IFERROR(N263/N444, "NA")</f>
        <v>0.30180515108329697</v>
      </c>
      <c r="P263" s="2"/>
      <c r="Q263" s="14">
        <f>IFERROR(Q238+Q240+Q241+Q242+Q243+Q244+Q245+Q246+Q247+Q248+Q249+Q250+Q251+Q252+Q253+Q254+Q255+Q256+Q257+Q258+Q259+Q260+Q261, "NA")</f>
        <v>79089.789999999994</v>
      </c>
      <c r="R263" s="15">
        <f>IFERROR(Q263/Q444, "NA")</f>
        <v>0.10314896269155105</v>
      </c>
      <c r="S263" s="2"/>
      <c r="T263" s="14">
        <f>IFERROR(T238+T240+T241+T242+T243+T244+T245+T246+T247+T248+T249+T250+T251+T252+T253+T254+T255+T256+T257+T258+T259+T260+T261, "NA")</f>
        <v>65221.47</v>
      </c>
      <c r="U263" s="15">
        <f>IFERROR(T263/T444, "NA")</f>
        <v>8.499999465666784E-2</v>
      </c>
      <c r="V263" s="2"/>
      <c r="W263" s="14">
        <f t="shared" si="66"/>
        <v>-13868.319999999992</v>
      </c>
      <c r="X263" s="15">
        <f>IFERROR(W263/W444, "NA")</f>
        <v>24.83893038167577</v>
      </c>
      <c r="Y263" s="2"/>
      <c r="Z263" s="14">
        <f>IFERROR(Z238+Z240+Z241+Z242+Z243+Z244+Z245+Z246+Z247+Z248+Z249+Z250+Z251+Z252+Z253+Z254+Z255+Z256+Z257+Z258+Z259+Z260+Z261, "NA")</f>
        <v>65114.079999999994</v>
      </c>
      <c r="AA263" s="15">
        <f>IFERROR(Z263/Z444, "NA")</f>
        <v>9.0997510030341025E-2</v>
      </c>
      <c r="AB263" s="2"/>
      <c r="AC263" s="14">
        <f t="shared" si="67"/>
        <v>-13975.71</v>
      </c>
      <c r="AD263" s="15">
        <f>IFERROR(AC263/AC444, "NA")</f>
        <v>-0.27299395771514023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5432.45</v>
      </c>
      <c r="C265" s="8">
        <f>IFERROR(B265/B444, "NA")</f>
        <v>2.7319512039101886E-2</v>
      </c>
      <c r="D265" s="9"/>
      <c r="E265" s="7">
        <v>5422.39</v>
      </c>
      <c r="F265" s="8">
        <f>IFERROR(E265/E444, "NA")</f>
        <v>2.4000013455328907E-2</v>
      </c>
      <c r="G265" s="9"/>
      <c r="H265" s="10">
        <f>IFERROR(-(B265-E265), "NA")</f>
        <v>-10.059999999999491</v>
      </c>
      <c r="I265" s="8">
        <f>IFERROR(H265/H444, "NA")</f>
        <v>3.714360507855536E-4</v>
      </c>
      <c r="J265" s="9"/>
      <c r="K265" s="7">
        <v>5418.12</v>
      </c>
      <c r="L265" s="8">
        <f>IFERROR(K265/K444, "NA")</f>
        <v>2.634925065810878E-2</v>
      </c>
      <c r="M265" s="9"/>
      <c r="N265" s="10">
        <f>IFERROR(-(B265-K265), "NA")</f>
        <v>-14.329999999999927</v>
      </c>
      <c r="O265" s="8">
        <f>IFERROR(N265/N444, "NA")</f>
        <v>2.1140744543681408E-3</v>
      </c>
      <c r="P265" s="9"/>
      <c r="Q265" s="7">
        <v>20381.400000000001</v>
      </c>
      <c r="R265" s="8">
        <f>IFERROR(Q265/Q444, "NA")</f>
        <v>2.6581436974375313E-2</v>
      </c>
      <c r="S265" s="9"/>
      <c r="T265" s="7">
        <v>18415.48</v>
      </c>
      <c r="U265" s="8">
        <f>IFERROR(T265/T444, "NA")</f>
        <v>2.400000646412866E-2</v>
      </c>
      <c r="V265" s="9"/>
      <c r="W265" s="10">
        <f>IFERROR(-(Q265-T265), "NA")</f>
        <v>-1965.9200000000019</v>
      </c>
      <c r="X265" s="8">
        <f>IFERROR(W265/W444, "NA")</f>
        <v>3.5210717675929102</v>
      </c>
      <c r="Y265" s="9"/>
      <c r="Z265" s="7">
        <v>16990.509999999998</v>
      </c>
      <c r="AA265" s="8">
        <f>IFERROR(Z265/Z444, "NA")</f>
        <v>2.3744389909918246E-2</v>
      </c>
      <c r="AB265" s="9"/>
      <c r="AC265" s="10">
        <f>IFERROR(-(Q265-Z265), "NA")</f>
        <v>-3390.8900000000031</v>
      </c>
      <c r="AD265" s="8">
        <f>IFERROR(AC265/AC444, "NA")</f>
        <v>-6.6235810651243676E-2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5432.45</v>
      </c>
      <c r="C267" s="15">
        <f>IFERROR(B267/B444, "NA")</f>
        <v>2.7319512039101886E-2</v>
      </c>
      <c r="D267" s="2"/>
      <c r="E267" s="14">
        <f>IFERROR(E265+E266, "NA")</f>
        <v>5422.39</v>
      </c>
      <c r="F267" s="15">
        <f>IFERROR(E267/E444, "NA")</f>
        <v>2.4000013455328907E-2</v>
      </c>
      <c r="G267" s="2"/>
      <c r="H267" s="14">
        <f>IFERROR(-(B267-E267), "NA")</f>
        <v>-10.059999999999491</v>
      </c>
      <c r="I267" s="15">
        <f>IFERROR(H267/H444, "NA")</f>
        <v>3.714360507855536E-4</v>
      </c>
      <c r="J267" s="2"/>
      <c r="K267" s="14">
        <f>IFERROR(K265+K266, "NA")</f>
        <v>5418.12</v>
      </c>
      <c r="L267" s="15">
        <f>IFERROR(K267/K444, "NA")</f>
        <v>2.634925065810878E-2</v>
      </c>
      <c r="M267" s="2"/>
      <c r="N267" s="14">
        <f>IFERROR(-(B267-K267), "NA")</f>
        <v>-14.329999999999927</v>
      </c>
      <c r="O267" s="15">
        <f>IFERROR(N267/N444, "NA")</f>
        <v>2.1140744543681408E-3</v>
      </c>
      <c r="P267" s="2"/>
      <c r="Q267" s="14">
        <f>IFERROR(Q265+Q266, "NA")</f>
        <v>20381.400000000001</v>
      </c>
      <c r="R267" s="15">
        <f>IFERROR(Q267/Q444, "NA")</f>
        <v>2.6581436974375313E-2</v>
      </c>
      <c r="S267" s="2"/>
      <c r="T267" s="14">
        <f>IFERROR(T265+T266, "NA")</f>
        <v>18415.48</v>
      </c>
      <c r="U267" s="15">
        <f>IFERROR(T267/T444, "NA")</f>
        <v>2.400000646412866E-2</v>
      </c>
      <c r="V267" s="2"/>
      <c r="W267" s="14">
        <f>IFERROR(-(Q267-T267), "NA")</f>
        <v>-1965.9200000000019</v>
      </c>
      <c r="X267" s="15">
        <f>IFERROR(W267/W444, "NA")</f>
        <v>3.5210717675929102</v>
      </c>
      <c r="Y267" s="2"/>
      <c r="Z267" s="14">
        <f>IFERROR(Z265+Z266, "NA")</f>
        <v>16990.509999999998</v>
      </c>
      <c r="AA267" s="15">
        <f>IFERROR(Z267/Z444, "NA")</f>
        <v>2.3744389909918246E-2</v>
      </c>
      <c r="AB267" s="2"/>
      <c r="AC267" s="14">
        <f>IFERROR(-(Q267-Z267), "NA")</f>
        <v>-3390.8900000000031</v>
      </c>
      <c r="AD267" s="15">
        <f>IFERROR(AC267/AC444, "NA")</f>
        <v>-6.6235810651243676E-2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241.5</v>
      </c>
      <c r="C270" s="8">
        <f>IFERROR(B270/B444, "NA")</f>
        <v>1.2144910965481699E-3</v>
      </c>
      <c r="D270" s="9"/>
      <c r="E270" s="7">
        <v>236.63</v>
      </c>
      <c r="F270" s="8">
        <f>IFERROR(E270/E444, "NA")</f>
        <v>1.0473468680663837E-3</v>
      </c>
      <c r="G270" s="9"/>
      <c r="H270" s="10">
        <f>IFERROR(-(B270-E270), "NA")</f>
        <v>-4.8700000000000045</v>
      </c>
      <c r="I270" s="8">
        <f>IFERROR(H270/H444, "NA")</f>
        <v>1.7981049376995421E-4</v>
      </c>
      <c r="J270" s="9"/>
      <c r="K270" s="7">
        <v>229.7</v>
      </c>
      <c r="L270" s="8">
        <f>IFERROR(K270/K444, "NA")</f>
        <v>1.1170706584881077E-3</v>
      </c>
      <c r="M270" s="9"/>
      <c r="N270" s="10">
        <f>IFERROR(-(B270-K270), "NA")</f>
        <v>-11.800000000000011</v>
      </c>
      <c r="O270" s="8">
        <f>IFERROR(N270/N444, "NA")</f>
        <v>1.7408289296262534E-3</v>
      </c>
      <c r="P270" s="9"/>
      <c r="Q270" s="7">
        <v>966</v>
      </c>
      <c r="R270" s="8">
        <f>IFERROR(Q270/Q444, "NA")</f>
        <v>1.2598579154153567E-3</v>
      </c>
      <c r="S270" s="9"/>
      <c r="T270" s="7">
        <v>946.52</v>
      </c>
      <c r="U270" s="8">
        <f>IFERROR(T270/T444, "NA")</f>
        <v>1.2335538426599285E-3</v>
      </c>
      <c r="V270" s="9"/>
      <c r="W270" s="10">
        <f>IFERROR(-(Q270-T270), "NA")</f>
        <v>-19.480000000000018</v>
      </c>
      <c r="X270" s="8">
        <f>IFERROR(W270/W444, "NA")</f>
        <v>3.4889760535886445E-2</v>
      </c>
      <c r="Y270" s="9"/>
      <c r="Z270" s="7">
        <v>918.8</v>
      </c>
      <c r="AA270" s="8">
        <f>IFERROR(Z270/Z444, "NA")</f>
        <v>1.2840312297413606E-3</v>
      </c>
      <c r="AB270" s="9"/>
      <c r="AC270" s="10">
        <f>IFERROR(-(Q270-Z270), "NA")</f>
        <v>-47.200000000000045</v>
      </c>
      <c r="AD270" s="8">
        <f>IFERROR(AC270/AC444, "NA")</f>
        <v>-9.21979262889301E-4</v>
      </c>
    </row>
    <row r="271" spans="1:30" ht="16.5" customHeight="1" x14ac:dyDescent="0.45">
      <c r="A271" s="6" t="s">
        <v>246</v>
      </c>
      <c r="B271" s="7">
        <v>1068.3</v>
      </c>
      <c r="C271" s="8">
        <f>IFERROR(B271/B444, "NA")</f>
        <v>5.3724258320596678E-3</v>
      </c>
      <c r="D271" s="9"/>
      <c r="E271" s="7">
        <v>1068.3</v>
      </c>
      <c r="F271" s="8">
        <f>IFERROR(E271/E444, "NA")</f>
        <v>4.7283973255940401E-3</v>
      </c>
      <c r="G271" s="9"/>
      <c r="H271" s="10">
        <f>IFERROR(-(B271-E271), "NA")</f>
        <v>0</v>
      </c>
      <c r="I271" s="8">
        <f>IFERROR(H271/H444, "NA")</f>
        <v>0</v>
      </c>
      <c r="J271" s="9"/>
      <c r="K271" s="7">
        <v>852.8</v>
      </c>
      <c r="L271" s="8">
        <f>IFERROR(K271/K444, "NA")</f>
        <v>4.1473132675605498E-3</v>
      </c>
      <c r="M271" s="9"/>
      <c r="N271" s="10">
        <f>IFERROR(-(B271-K271), "NA")</f>
        <v>-215.5</v>
      </c>
      <c r="O271" s="8">
        <f>IFERROR(N271/N444, "NA")</f>
        <v>3.1792257146987898E-2</v>
      </c>
      <c r="P271" s="9"/>
      <c r="Q271" s="7">
        <v>4273.2</v>
      </c>
      <c r="R271" s="8">
        <f>IFERROR(Q271/Q444, "NA")</f>
        <v>5.5731106047131494E-3</v>
      </c>
      <c r="S271" s="9"/>
      <c r="T271" s="7">
        <v>4273.2</v>
      </c>
      <c r="U271" s="8">
        <f>IFERROR(T271/T444, "NA")</f>
        <v>5.5690553611697658E-3</v>
      </c>
      <c r="V271" s="9"/>
      <c r="W271" s="10">
        <f>IFERROR(-(Q271-T271), "NA")</f>
        <v>0</v>
      </c>
      <c r="X271" s="8">
        <f>IFERROR(W271/W444, "NA")</f>
        <v>0</v>
      </c>
      <c r="Y271" s="9"/>
      <c r="Z271" s="7">
        <v>3411.2</v>
      </c>
      <c r="AA271" s="8">
        <f>IFERROR(Z271/Z444, "NA")</f>
        <v>4.7671825543031451E-3</v>
      </c>
      <c r="AB271" s="9"/>
      <c r="AC271" s="10">
        <f>IFERROR(-(Q271-Z271), "NA")</f>
        <v>-862</v>
      </c>
      <c r="AD271" s="8">
        <f>IFERROR(AC271/AC444, "NA")</f>
        <v>-1.6837841623105438E-2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1309.8</v>
      </c>
      <c r="C273" s="15">
        <f>IFERROR(B273/B444, "NA")</f>
        <v>6.5869169286078381E-3</v>
      </c>
      <c r="D273" s="2"/>
      <c r="E273" s="14">
        <f>IFERROR(E269+E270+E271+E272, "NA")</f>
        <v>1304.9299999999998</v>
      </c>
      <c r="F273" s="15">
        <f>IFERROR(E273/E444, "NA")</f>
        <v>5.7757441936604238E-3</v>
      </c>
      <c r="G273" s="2"/>
      <c r="H273" s="14">
        <f>IFERROR(-(B273-E273), "NA")</f>
        <v>-4.8700000000001182</v>
      </c>
      <c r="I273" s="15">
        <f>IFERROR(H273/H444, "NA")</f>
        <v>1.7981049376995838E-4</v>
      </c>
      <c r="J273" s="2"/>
      <c r="K273" s="14">
        <f>IFERROR(K269+K270+K271+K272, "NA")</f>
        <v>1082.5</v>
      </c>
      <c r="L273" s="15">
        <f>IFERROR(K273/K444, "NA")</f>
        <v>5.264383926048658E-3</v>
      </c>
      <c r="M273" s="2"/>
      <c r="N273" s="14">
        <f>IFERROR(-(B273-K273), "NA")</f>
        <v>-227.29999999999995</v>
      </c>
      <c r="O273" s="15">
        <f>IFERROR(N273/N444, "NA")</f>
        <v>3.3533086076614149E-2</v>
      </c>
      <c r="P273" s="2"/>
      <c r="Q273" s="14">
        <f>IFERROR(Q269+Q270+Q271+Q272, "NA")</f>
        <v>5239.2</v>
      </c>
      <c r="R273" s="15">
        <f>IFERROR(Q273/Q444, "NA")</f>
        <v>6.8329685201285054E-3</v>
      </c>
      <c r="S273" s="2"/>
      <c r="T273" s="14">
        <f>IFERROR(T269+T270+T271+T272, "NA")</f>
        <v>5219.7199999999993</v>
      </c>
      <c r="U273" s="15">
        <f>IFERROR(T273/T444, "NA")</f>
        <v>6.802609203829693E-3</v>
      </c>
      <c r="V273" s="2"/>
      <c r="W273" s="14">
        <f>IFERROR(-(Q273-T273), "NA")</f>
        <v>-19.480000000000473</v>
      </c>
      <c r="X273" s="15">
        <f>IFERROR(W273/W444, "NA")</f>
        <v>3.4889760535887264E-2</v>
      </c>
      <c r="Y273" s="2"/>
      <c r="Z273" s="14">
        <f>IFERROR(Z269+Z270+Z271+Z272, "NA")</f>
        <v>4330</v>
      </c>
      <c r="AA273" s="15">
        <f>IFERROR(Z273/Z444, "NA")</f>
        <v>6.0512137840445061E-3</v>
      </c>
      <c r="AB273" s="2"/>
      <c r="AC273" s="14">
        <f>IFERROR(-(Q273-Z273), "NA")</f>
        <v>-909.19999999999982</v>
      </c>
      <c r="AD273" s="15">
        <f>IFERROR(AC273/AC444, "NA")</f>
        <v>-1.7759820885994735E-2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hidden="1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0</v>
      </c>
      <c r="F287" s="8">
        <f>IFERROR(E287/E444, "NA")</f>
        <v>0</v>
      </c>
      <c r="G287" s="9"/>
      <c r="H287" s="10">
        <f t="shared" si="72"/>
        <v>0</v>
      </c>
      <c r="I287" s="8">
        <f>IFERROR(H287/H444, "NA")</f>
        <v>0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0</v>
      </c>
      <c r="U287" s="8">
        <f>IFERROR(T287/T444, "NA")</f>
        <v>0</v>
      </c>
      <c r="V287" s="9"/>
      <c r="W287" s="10">
        <f t="shared" si="74"/>
        <v>0</v>
      </c>
      <c r="X287" s="8">
        <f>IFERROR(W287/W444, "NA")</f>
        <v>0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145.75</v>
      </c>
      <c r="C288" s="8">
        <f>IFERROR(B288/B444, "NA")</f>
        <v>7.329692642728603E-4</v>
      </c>
      <c r="D288" s="9"/>
      <c r="E288" s="7">
        <v>146</v>
      </c>
      <c r="F288" s="8">
        <f>IFERROR(E288/E444, "NA")</f>
        <v>6.4620987506948412E-4</v>
      </c>
      <c r="G288" s="9"/>
      <c r="H288" s="10">
        <f t="shared" si="72"/>
        <v>0.25</v>
      </c>
      <c r="I288" s="8">
        <f>IFERROR(H288/H444, "NA")</f>
        <v>-9.2305181606752587E-6</v>
      </c>
      <c r="J288" s="9"/>
      <c r="K288" s="7">
        <v>146.85</v>
      </c>
      <c r="L288" s="8">
        <f>IFERROR(K288/K444, "NA")</f>
        <v>7.1415684022193573E-4</v>
      </c>
      <c r="M288" s="9"/>
      <c r="N288" s="10">
        <f t="shared" si="73"/>
        <v>1.0999999999999943</v>
      </c>
      <c r="O288" s="8">
        <f>IFERROR(N288/N444, "NA")</f>
        <v>-1.6228066293125991E-4</v>
      </c>
      <c r="P288" s="9"/>
      <c r="Q288" s="7">
        <v>583</v>
      </c>
      <c r="R288" s="8">
        <f>IFERROR(Q288/Q444, "NA")</f>
        <v>7.6034903176723913E-4</v>
      </c>
      <c r="S288" s="9"/>
      <c r="T288" s="7">
        <v>584</v>
      </c>
      <c r="U288" s="8">
        <f>IFERROR(T288/T444, "NA")</f>
        <v>7.6109901968621717E-4</v>
      </c>
      <c r="V288" s="9"/>
      <c r="W288" s="10">
        <f t="shared" si="74"/>
        <v>1</v>
      </c>
      <c r="X288" s="8">
        <f>IFERROR(W288/W444, "NA")</f>
        <v>-1.791055468988009E-3</v>
      </c>
      <c r="Y288" s="9"/>
      <c r="Z288" s="7">
        <v>580.79999999999995</v>
      </c>
      <c r="AA288" s="8">
        <f>IFERROR(Z288/Z444, "NA")</f>
        <v>8.1167320225705513E-4</v>
      </c>
      <c r="AB288" s="9"/>
      <c r="AC288" s="10">
        <f t="shared" si="75"/>
        <v>-2.2000000000000455</v>
      </c>
      <c r="AD288" s="8">
        <f>IFERROR(AC288/AC444, "NA")</f>
        <v>-4.2973609710942843E-5</v>
      </c>
    </row>
    <row r="289" spans="1:30" ht="16.5" customHeight="1" x14ac:dyDescent="0.45">
      <c r="A289" s="6" t="s">
        <v>262</v>
      </c>
      <c r="B289" s="7">
        <v>265.05</v>
      </c>
      <c r="C289" s="8">
        <f>IFERROR(B289/B444, "NA")</f>
        <v>1.3329228370190162E-3</v>
      </c>
      <c r="D289" s="9"/>
      <c r="E289" s="7">
        <v>247</v>
      </c>
      <c r="F289" s="8">
        <f>IFERROR(E289/E444, "NA")</f>
        <v>1.0932454735764561E-3</v>
      </c>
      <c r="G289" s="9"/>
      <c r="H289" s="10">
        <f t="shared" si="72"/>
        <v>-18.050000000000011</v>
      </c>
      <c r="I289" s="8">
        <f>IFERROR(H289/H444, "NA")</f>
        <v>6.6644341120075407E-4</v>
      </c>
      <c r="J289" s="9"/>
      <c r="K289" s="7">
        <v>218.07</v>
      </c>
      <c r="L289" s="8">
        <f>IFERROR(K289/K444, "NA")</f>
        <v>1.0605119655920838E-3</v>
      </c>
      <c r="M289" s="9"/>
      <c r="N289" s="10">
        <f t="shared" si="73"/>
        <v>-46.980000000000018</v>
      </c>
      <c r="O289" s="8">
        <f>IFERROR(N289/N444, "NA")</f>
        <v>6.9308595859187572E-3</v>
      </c>
      <c r="P289" s="9"/>
      <c r="Q289" s="7">
        <v>1036.6300000000001</v>
      </c>
      <c r="R289" s="8">
        <f>IFERROR(Q289/Q444, "NA")</f>
        <v>1.3519736137236247E-3</v>
      </c>
      <c r="S289" s="9"/>
      <c r="T289" s="7">
        <v>988</v>
      </c>
      <c r="U289" s="8">
        <f>IFERROR(T289/T444, "NA")</f>
        <v>1.2876127250855865E-3</v>
      </c>
      <c r="V289" s="9"/>
      <c r="W289" s="10">
        <f t="shared" si="74"/>
        <v>-48.630000000000109</v>
      </c>
      <c r="X289" s="8">
        <f>IFERROR(W289/W444, "NA")</f>
        <v>8.7099027456887079E-2</v>
      </c>
      <c r="Y289" s="9"/>
      <c r="Z289" s="7">
        <v>878.12</v>
      </c>
      <c r="AA289" s="8">
        <f>IFERROR(Z289/Z444, "NA")</f>
        <v>1.2271805653683975E-3</v>
      </c>
      <c r="AB289" s="9"/>
      <c r="AC289" s="10">
        <f t="shared" si="75"/>
        <v>-158.5100000000001</v>
      </c>
      <c r="AD289" s="8">
        <f>IFERROR(AC289/AC444, "NA")</f>
        <v>-3.0962485796733699E-3</v>
      </c>
    </row>
    <row r="290" spans="1:30" ht="16.5" customHeight="1" x14ac:dyDescent="0.45">
      <c r="A290" s="6" t="s">
        <v>263</v>
      </c>
      <c r="B290" s="7">
        <v>2073.46</v>
      </c>
      <c r="C290" s="8">
        <f>IFERROR(B290/B444, "NA")</f>
        <v>1.0427323846992829E-2</v>
      </c>
      <c r="D290" s="9"/>
      <c r="E290" s="7">
        <v>1355.6</v>
      </c>
      <c r="F290" s="8">
        <f>IFERROR(E290/E444, "NA")</f>
        <v>6.0000144290698124E-3</v>
      </c>
      <c r="G290" s="9"/>
      <c r="H290" s="10">
        <f t="shared" si="72"/>
        <v>-717.86000000000013</v>
      </c>
      <c r="I290" s="8">
        <f>IFERROR(H290/H444, "NA")</f>
        <v>2.6504879067289367E-2</v>
      </c>
      <c r="J290" s="9"/>
      <c r="K290" s="7">
        <v>393.31</v>
      </c>
      <c r="L290" s="8">
        <f>IFERROR(K290/K444, "NA")</f>
        <v>1.9127342650847091E-3</v>
      </c>
      <c r="M290" s="9"/>
      <c r="N290" s="10">
        <f t="shared" si="73"/>
        <v>-1680.15</v>
      </c>
      <c r="O290" s="8">
        <f>IFERROR(N290/N444, "NA")</f>
        <v>0.2478689598399616</v>
      </c>
      <c r="P290" s="9"/>
      <c r="Q290" s="7">
        <v>3526.5</v>
      </c>
      <c r="R290" s="8">
        <f>IFERROR(Q290/Q444, "NA")</f>
        <v>4.5992639117104096E-3</v>
      </c>
      <c r="S290" s="9"/>
      <c r="T290" s="7">
        <v>4361.3599999999997</v>
      </c>
      <c r="U290" s="8">
        <f>IFERROR(T290/T444, "NA")</f>
        <v>5.6839500351004791E-3</v>
      </c>
      <c r="V290" s="9"/>
      <c r="W290" s="10">
        <f t="shared" si="74"/>
        <v>834.85999999999967</v>
      </c>
      <c r="X290" s="8">
        <f>IFERROR(W290/W444, "NA")</f>
        <v>-1.4952805688393287</v>
      </c>
      <c r="Y290" s="9"/>
      <c r="Z290" s="7">
        <v>5566.49</v>
      </c>
      <c r="AA290" s="8">
        <f>IFERROR(Z290/Z444, "NA")</f>
        <v>7.7792196343524017E-3</v>
      </c>
      <c r="AB290" s="9"/>
      <c r="AC290" s="10">
        <f t="shared" si="75"/>
        <v>2039.9899999999998</v>
      </c>
      <c r="AD290" s="8">
        <f>IFERROR(AC290/AC444, "NA")</f>
        <v>3.9848060942829298E-2</v>
      </c>
    </row>
    <row r="291" spans="1:30" ht="16.5" customHeight="1" x14ac:dyDescent="0.45">
      <c r="A291" s="6" t="s">
        <v>264</v>
      </c>
      <c r="B291" s="7">
        <v>1260.8599999999999</v>
      </c>
      <c r="C291" s="8">
        <f>IFERROR(B291/B444, "NA")</f>
        <v>6.3408001821686349E-3</v>
      </c>
      <c r="D291" s="9"/>
      <c r="E291" s="7">
        <v>1129.6600000000001</v>
      </c>
      <c r="F291" s="8">
        <f>IFERROR(E291/E444, "NA")</f>
        <v>4.9999825169246134E-3</v>
      </c>
      <c r="G291" s="9"/>
      <c r="H291" s="10">
        <f t="shared" si="72"/>
        <v>-131.19999999999982</v>
      </c>
      <c r="I291" s="8">
        <f>IFERROR(H291/H444, "NA")</f>
        <v>4.844175930722369E-3</v>
      </c>
      <c r="J291" s="9"/>
      <c r="K291" s="7">
        <v>119.55</v>
      </c>
      <c r="L291" s="8">
        <f>IFERROR(K291/K444, "NA")</f>
        <v>5.8139223866893023E-4</v>
      </c>
      <c r="M291" s="9"/>
      <c r="N291" s="10">
        <f t="shared" si="73"/>
        <v>-1141.31</v>
      </c>
      <c r="O291" s="8">
        <f>IFERROR(N291/N444, "NA")</f>
        <v>0.16837503946370655</v>
      </c>
      <c r="P291" s="9"/>
      <c r="Q291" s="7">
        <v>5090.33</v>
      </c>
      <c r="R291" s="8">
        <f>IFERROR(Q291/Q444, "NA")</f>
        <v>6.6388121558760378E-3</v>
      </c>
      <c r="S291" s="9"/>
      <c r="T291" s="7">
        <v>3836.55</v>
      </c>
      <c r="U291" s="8">
        <f>IFERROR(T291/T444, "NA")</f>
        <v>4.9999904862622546E-3</v>
      </c>
      <c r="V291" s="9"/>
      <c r="W291" s="10">
        <f t="shared" si="74"/>
        <v>-1253.7799999999997</v>
      </c>
      <c r="X291" s="8">
        <f>IFERROR(W291/W444, "NA")</f>
        <v>2.2455895259077856</v>
      </c>
      <c r="Y291" s="9"/>
      <c r="Z291" s="7">
        <v>6332.75</v>
      </c>
      <c r="AA291" s="8">
        <f>IFERROR(Z291/Z444, "NA")</f>
        <v>8.8500748477847221E-3</v>
      </c>
      <c r="AB291" s="9"/>
      <c r="AC291" s="10">
        <f t="shared" si="75"/>
        <v>1242.42</v>
      </c>
      <c r="AD291" s="8">
        <f>IFERROR(AC291/AC444, "NA")</f>
        <v>2.4268760080485684E-2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225.93</v>
      </c>
      <c r="F292" s="8">
        <f>IFERROR(E292/E444, "NA")</f>
        <v>9.9998765119485317E-4</v>
      </c>
      <c r="G292" s="9"/>
      <c r="H292" s="10">
        <f t="shared" si="72"/>
        <v>225.93</v>
      </c>
      <c r="I292" s="8">
        <f>IFERROR(H292/H444, "NA")</f>
        <v>-8.3418038721654441E-3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804.07</v>
      </c>
      <c r="R292" s="8">
        <f>IFERROR(Q292/Q444, "NA")</f>
        <v>1.04866868949071E-3</v>
      </c>
      <c r="S292" s="9"/>
      <c r="T292" s="7">
        <v>767.31</v>
      </c>
      <c r="U292" s="8">
        <f>IFERROR(T292/T444, "NA")</f>
        <v>9.9999809725245066E-4</v>
      </c>
      <c r="V292" s="9"/>
      <c r="W292" s="10">
        <f t="shared" si="74"/>
        <v>-36.760000000000105</v>
      </c>
      <c r="X292" s="8">
        <f>IFERROR(W292/W444, "NA")</f>
        <v>6.5839199039999394E-2</v>
      </c>
      <c r="Y292" s="9"/>
      <c r="Z292" s="7">
        <v>681.63</v>
      </c>
      <c r="AA292" s="8">
        <f>IFERROR(Z292/Z444, "NA")</f>
        <v>9.5258403039682592E-4</v>
      </c>
      <c r="AB292" s="9"/>
      <c r="AC292" s="10">
        <f t="shared" si="75"/>
        <v>-122.44000000000005</v>
      </c>
      <c r="AD292" s="8">
        <f>IFERROR(AC292/AC444, "NA")</f>
        <v>-2.3916767150035157E-3</v>
      </c>
    </row>
    <row r="293" spans="1:30" ht="16.5" customHeight="1" x14ac:dyDescent="0.45">
      <c r="A293" s="6" t="s">
        <v>266</v>
      </c>
      <c r="B293" s="7">
        <v>209.96</v>
      </c>
      <c r="C293" s="8">
        <f>IFERROR(B293/B444, "NA")</f>
        <v>1.0558780564441149E-3</v>
      </c>
      <c r="D293" s="9"/>
      <c r="E293" s="7">
        <v>338.9</v>
      </c>
      <c r="F293" s="8">
        <f>IFERROR(E293/E444, "NA")</f>
        <v>1.5000036072674531E-3</v>
      </c>
      <c r="G293" s="9"/>
      <c r="H293" s="10">
        <f t="shared" si="72"/>
        <v>128.93999999999997</v>
      </c>
      <c r="I293" s="8">
        <f>IFERROR(H293/H444, "NA")</f>
        <v>-4.76073204654987E-3</v>
      </c>
      <c r="J293" s="9"/>
      <c r="K293" s="7">
        <v>450.21</v>
      </c>
      <c r="L293" s="8">
        <f>IFERROR(K293/K444, "NA")</f>
        <v>2.189448764292255E-3</v>
      </c>
      <c r="M293" s="9"/>
      <c r="N293" s="10">
        <f t="shared" si="73"/>
        <v>240.24999999999997</v>
      </c>
      <c r="O293" s="8">
        <f>IFERROR(N293/N444, "NA")</f>
        <v>-3.5443572062941263E-2</v>
      </c>
      <c r="P293" s="9"/>
      <c r="Q293" s="7">
        <v>209.96</v>
      </c>
      <c r="R293" s="8">
        <f>IFERROR(Q293/Q444, "NA")</f>
        <v>2.7382998749545375E-4</v>
      </c>
      <c r="S293" s="9"/>
      <c r="T293" s="7">
        <v>1150.96</v>
      </c>
      <c r="U293" s="8">
        <f>IFERROR(T293/T444, "NA")</f>
        <v>1.4999906296199461E-3</v>
      </c>
      <c r="V293" s="9"/>
      <c r="W293" s="10">
        <f t="shared" si="74"/>
        <v>941</v>
      </c>
      <c r="X293" s="8">
        <f>IFERROR(W293/W444, "NA")</f>
        <v>-1.6853831963177164</v>
      </c>
      <c r="Y293" s="9"/>
      <c r="Z293" s="7">
        <v>450.21</v>
      </c>
      <c r="AA293" s="8">
        <f>IFERROR(Z293/Z444, "NA")</f>
        <v>6.2917250755535256E-4</v>
      </c>
      <c r="AB293" s="9"/>
      <c r="AC293" s="10">
        <f t="shared" si="75"/>
        <v>240.24999999999997</v>
      </c>
      <c r="AD293" s="8">
        <f>IFERROR(AC293/AC444, "NA")</f>
        <v>4.6929135150244562E-3</v>
      </c>
    </row>
    <row r="294" spans="1:30" ht="16.5" customHeight="1" x14ac:dyDescent="0.45">
      <c r="A294" s="6" t="s">
        <v>267</v>
      </c>
      <c r="B294" s="7">
        <v>299.99</v>
      </c>
      <c r="C294" s="8">
        <f>IFERROR(B294/B444, "NA")</f>
        <v>1.5086343024989046E-3</v>
      </c>
      <c r="D294" s="9"/>
      <c r="E294" s="7">
        <v>311</v>
      </c>
      <c r="F294" s="8">
        <f>IFERROR(E294/E444, "NA")</f>
        <v>1.3765155557986957E-3</v>
      </c>
      <c r="G294" s="9"/>
      <c r="H294" s="10">
        <f t="shared" si="72"/>
        <v>11.009999999999991</v>
      </c>
      <c r="I294" s="8">
        <f>IFERROR(H294/H444, "NA")</f>
        <v>-4.0651201979613802E-4</v>
      </c>
      <c r="J294" s="9"/>
      <c r="K294" s="7">
        <v>324.99</v>
      </c>
      <c r="L294" s="8">
        <f>IFERROR(K294/K444, "NA")</f>
        <v>1.5804823391469315E-3</v>
      </c>
      <c r="M294" s="9"/>
      <c r="N294" s="10">
        <f t="shared" si="73"/>
        <v>25</v>
      </c>
      <c r="O294" s="8">
        <f>IFERROR(N294/N444, "NA")</f>
        <v>-3.6881968848013805E-3</v>
      </c>
      <c r="P294" s="9"/>
      <c r="Q294" s="7">
        <v>1199.97</v>
      </c>
      <c r="R294" s="8">
        <f>IFERROR(Q294/Q444, "NA")</f>
        <v>1.565001762692511E-3</v>
      </c>
      <c r="S294" s="9"/>
      <c r="T294" s="7">
        <v>1244</v>
      </c>
      <c r="U294" s="8">
        <f>IFERROR(T294/T444, "NA")</f>
        <v>1.6212451720713256E-3</v>
      </c>
      <c r="V294" s="9"/>
      <c r="W294" s="10">
        <f t="shared" si="74"/>
        <v>44.029999999999973</v>
      </c>
      <c r="X294" s="8">
        <f>IFERROR(W294/W444, "NA")</f>
        <v>-7.8860172299541981E-2</v>
      </c>
      <c r="Y294" s="9"/>
      <c r="Z294" s="7">
        <v>1513.98</v>
      </c>
      <c r="AA294" s="8">
        <f>IFERROR(Z294/Z444, "NA")</f>
        <v>2.1158006108008549E-3</v>
      </c>
      <c r="AB294" s="9"/>
      <c r="AC294" s="10">
        <f t="shared" si="75"/>
        <v>314.01</v>
      </c>
      <c r="AD294" s="8">
        <f>IFERROR(AC294/AC444, "NA")</f>
        <v>6.1337014478785824E-3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4255.07</v>
      </c>
      <c r="C295" s="15">
        <f>IFERROR(B295/B444, "NA")</f>
        <v>2.139852848939636E-2</v>
      </c>
      <c r="D295" s="2"/>
      <c r="E295" s="14">
        <f>IFERROR(E286+E287+E288+E289+E290+E291+E292+E293+E294, "NA")</f>
        <v>3754.09</v>
      </c>
      <c r="F295" s="15">
        <f>IFERROR(E295/E444, "NA")</f>
        <v>1.661595910890137E-2</v>
      </c>
      <c r="G295" s="2"/>
      <c r="H295" s="14">
        <f t="shared" si="72"/>
        <v>-500.97999999999956</v>
      </c>
      <c r="I295" s="15">
        <f>IFERROR(H295/H444, "NA")</f>
        <v>1.8497219952540347E-2</v>
      </c>
      <c r="J295" s="2"/>
      <c r="K295" s="14">
        <f>IFERROR(K286+K287+K288+K289+K290+K291+K292+K293+K294, "NA")</f>
        <v>1652.98</v>
      </c>
      <c r="L295" s="15">
        <f>IFERROR(K295/K444, "NA")</f>
        <v>8.0387264130068452E-3</v>
      </c>
      <c r="M295" s="2"/>
      <c r="N295" s="14">
        <f t="shared" si="73"/>
        <v>-2602.0899999999997</v>
      </c>
      <c r="O295" s="15">
        <f>IFERROR(N295/N444, "NA")</f>
        <v>0.38388080927891294</v>
      </c>
      <c r="P295" s="2"/>
      <c r="Q295" s="14">
        <f>IFERROR(Q286+Q287+Q288+Q289+Q290+Q291+Q292+Q293+Q294, "NA")</f>
        <v>12450.459999999997</v>
      </c>
      <c r="R295" s="15">
        <f>IFERROR(Q295/Q444, "NA")</f>
        <v>1.6237899152755982E-2</v>
      </c>
      <c r="S295" s="2"/>
      <c r="T295" s="14">
        <f>IFERROR(T286+T287+T288+T289+T290+T291+T292+T293+T294, "NA")</f>
        <v>12932.18</v>
      </c>
      <c r="U295" s="15">
        <f>IFERROR(T295/T444, "NA")</f>
        <v>1.6853886165078259E-2</v>
      </c>
      <c r="V295" s="2"/>
      <c r="W295" s="14">
        <f t="shared" si="74"/>
        <v>481.72000000000298</v>
      </c>
      <c r="X295" s="15">
        <f>IFERROR(W295/W444, "NA")</f>
        <v>-0.86278724052090905</v>
      </c>
      <c r="Y295" s="2"/>
      <c r="Z295" s="14">
        <f>IFERROR(Z286+Z287+Z288+Z289+Z290+Z291+Z292+Z293+Z294, "NA")</f>
        <v>16003.979999999998</v>
      </c>
      <c r="AA295" s="15">
        <f>IFERROR(Z295/Z444, "NA")</f>
        <v>2.2365705398515606E-2</v>
      </c>
      <c r="AB295" s="2"/>
      <c r="AC295" s="14">
        <f t="shared" si="75"/>
        <v>3553.5200000000004</v>
      </c>
      <c r="AD295" s="15">
        <f>IFERROR(AC295/AC444, "NA")</f>
        <v>6.9412537081830206E-2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525.26</v>
      </c>
      <c r="C299" s="8">
        <f>IFERROR(B299/B444, "NA")</f>
        <v>2.6415055626206694E-3</v>
      </c>
      <c r="D299" s="9"/>
      <c r="E299" s="7">
        <v>517</v>
      </c>
      <c r="F299" s="8">
        <f>IFERROR(E299/E444, "NA")</f>
        <v>2.2882911329515296E-3</v>
      </c>
      <c r="G299" s="9"/>
      <c r="H299" s="10">
        <f t="shared" si="76"/>
        <v>-8.2599999999999909</v>
      </c>
      <c r="I299" s="8">
        <f>IFERROR(H299/H444, "NA")</f>
        <v>3.0497632002871017E-4</v>
      </c>
      <c r="J299" s="9"/>
      <c r="K299" s="7">
        <v>1209.3900000000001</v>
      </c>
      <c r="L299" s="8">
        <f>IFERROR(K299/K444, "NA")</f>
        <v>5.8814718487981404E-3</v>
      </c>
      <c r="M299" s="9"/>
      <c r="N299" s="10">
        <f t="shared" si="77"/>
        <v>684.13000000000011</v>
      </c>
      <c r="O299" s="8">
        <f>IFERROR(N299/N444, "NA")</f>
        <v>-0.10092824539196676</v>
      </c>
      <c r="P299" s="9"/>
      <c r="Q299" s="7">
        <v>2101.9699999999998</v>
      </c>
      <c r="R299" s="8">
        <f>IFERROR(Q299/Q444, "NA")</f>
        <v>2.7413908307097486E-3</v>
      </c>
      <c r="S299" s="9"/>
      <c r="T299" s="7">
        <v>2068</v>
      </c>
      <c r="U299" s="8">
        <f>IFERROR(T299/T444, "NA")</f>
        <v>2.6951246108066732E-3</v>
      </c>
      <c r="V299" s="9"/>
      <c r="W299" s="10">
        <f t="shared" si="78"/>
        <v>-33.9699999999998</v>
      </c>
      <c r="X299" s="8">
        <f>IFERROR(W299/W444, "NA")</f>
        <v>6.0842154281522308E-2</v>
      </c>
      <c r="Y299" s="9"/>
      <c r="Z299" s="7">
        <v>3237.3</v>
      </c>
      <c r="AA299" s="8">
        <f>IFERROR(Z299/Z444, "NA")</f>
        <v>4.5241557466714271E-3</v>
      </c>
      <c r="AB299" s="9"/>
      <c r="AC299" s="10">
        <f t="shared" si="79"/>
        <v>1135.3300000000004</v>
      </c>
      <c r="AD299" s="8">
        <f>IFERROR(AC299/AC444, "NA")</f>
        <v>2.2176921960510791E-2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460</v>
      </c>
      <c r="R304" s="8">
        <f>IFERROR(Q304/Q444, "NA")</f>
        <v>5.9993234067397933E-4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-460</v>
      </c>
      <c r="X304" s="8">
        <f>IFERROR(W304/W444, "NA")</f>
        <v>0.8238855157344841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-460</v>
      </c>
      <c r="AD304" s="8">
        <f>IFERROR(AC304/AC444, "NA")</f>
        <v>-8.9853911213787722E-3</v>
      </c>
    </row>
    <row r="305" spans="1:30" ht="16.5" customHeight="1" x14ac:dyDescent="0.45">
      <c r="A305" s="6" t="s">
        <v>277</v>
      </c>
      <c r="B305" s="7">
        <v>40.479999999999997</v>
      </c>
      <c r="C305" s="8">
        <f>IFERROR(B305/B444, "NA")</f>
        <v>2.0357184094521702E-4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-40.479999999999997</v>
      </c>
      <c r="I305" s="8">
        <f>IFERROR(H305/H444, "NA")</f>
        <v>1.4946055005765377E-3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-40.479999999999997</v>
      </c>
      <c r="O305" s="8">
        <f>IFERROR(N305/N444, "NA")</f>
        <v>5.9719283958703951E-3</v>
      </c>
      <c r="P305" s="9"/>
      <c r="Q305" s="7">
        <v>40.479999999999997</v>
      </c>
      <c r="R305" s="8">
        <f>IFERROR(Q305/Q444, "NA")</f>
        <v>5.2794045979310179E-5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-40.479999999999997</v>
      </c>
      <c r="X305" s="8">
        <f>IFERROR(W305/W444, "NA")</f>
        <v>7.2501925384634597E-2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-40.479999999999997</v>
      </c>
      <c r="AD305" s="8">
        <f>IFERROR(AC305/AC444, "NA")</f>
        <v>-7.9071441868133188E-4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55</v>
      </c>
      <c r="F310" s="8">
        <f>IFERROR(E310/E444, "NA")</f>
        <v>2.4343522690973716E-4</v>
      </c>
      <c r="G310" s="9"/>
      <c r="H310" s="10">
        <f t="shared" si="76"/>
        <v>55</v>
      </c>
      <c r="I310" s="8">
        <f>IFERROR(H310/H444, "NA")</f>
        <v>-2.0307139953485566E-3</v>
      </c>
      <c r="J310" s="9"/>
      <c r="K310" s="7">
        <v>62.93</v>
      </c>
      <c r="L310" s="8">
        <f>IFERROR(K310/K444, "NA")</f>
        <v>3.0603942768244071E-4</v>
      </c>
      <c r="M310" s="9"/>
      <c r="N310" s="10">
        <f t="shared" si="77"/>
        <v>62.93</v>
      </c>
      <c r="O310" s="8">
        <f>IFERROR(N310/N444, "NA")</f>
        <v>-9.2839291984220355E-3</v>
      </c>
      <c r="P310" s="9"/>
      <c r="Q310" s="7">
        <v>619.74</v>
      </c>
      <c r="R310" s="8">
        <f>IFERROR(Q310/Q444, "NA")</f>
        <v>8.0826536697672176E-4</v>
      </c>
      <c r="S310" s="9"/>
      <c r="T310" s="7">
        <v>220</v>
      </c>
      <c r="U310" s="8">
        <f>IFERROR(T310/T444, "NA")</f>
        <v>2.8671538412836946E-4</v>
      </c>
      <c r="V310" s="9"/>
      <c r="W310" s="10">
        <f t="shared" si="78"/>
        <v>-399.74</v>
      </c>
      <c r="X310" s="8">
        <f>IFERROR(W310/W444, "NA")</f>
        <v>0.7159565131732667</v>
      </c>
      <c r="Y310" s="9"/>
      <c r="Z310" s="7">
        <v>221.83</v>
      </c>
      <c r="AA310" s="8">
        <f>IFERROR(Z310/Z444, "NA")</f>
        <v>3.1000941194332394E-4</v>
      </c>
      <c r="AB310" s="9"/>
      <c r="AC310" s="10">
        <f t="shared" si="79"/>
        <v>-397.90999999999997</v>
      </c>
      <c r="AD310" s="8">
        <f>IFERROR(AC310/AC444, "NA")</f>
        <v>-7.7725586545822319E-3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26.73</v>
      </c>
      <c r="AA311" s="8">
        <f>IFERROR(Z311/Z444, "NA")</f>
        <v>3.7355414422057656E-5</v>
      </c>
      <c r="AB311" s="9"/>
      <c r="AC311" s="10">
        <f t="shared" si="79"/>
        <v>26.73</v>
      </c>
      <c r="AD311" s="8">
        <f>IFERROR(AC311/AC444, "NA")</f>
        <v>5.2212935798794471E-4</v>
      </c>
    </row>
    <row r="312" spans="1:30" ht="16.5" customHeight="1" x14ac:dyDescent="0.45">
      <c r="A312" s="6" t="s">
        <v>284</v>
      </c>
      <c r="B312" s="7">
        <v>761.6</v>
      </c>
      <c r="C312" s="8">
        <f>IFERROR(B312/B444, "NA")</f>
        <v>3.8300472841866925E-3</v>
      </c>
      <c r="D312" s="9"/>
      <c r="E312" s="7">
        <v>35</v>
      </c>
      <c r="F312" s="8">
        <f>IFERROR(E312/E444, "NA")</f>
        <v>1.549133262152873E-4</v>
      </c>
      <c r="G312" s="9"/>
      <c r="H312" s="10">
        <f t="shared" si="76"/>
        <v>-726.6</v>
      </c>
      <c r="I312" s="8">
        <f>IFERROR(H312/H444, "NA")</f>
        <v>2.682757798218657E-2</v>
      </c>
      <c r="J312" s="9"/>
      <c r="K312" s="7">
        <v>104.18</v>
      </c>
      <c r="L312" s="8">
        <f>IFERROR(K312/K444, "NA")</f>
        <v>5.0664528167736645E-4</v>
      </c>
      <c r="M312" s="9"/>
      <c r="N312" s="10">
        <f t="shared" si="77"/>
        <v>-657.42000000000007</v>
      </c>
      <c r="O312" s="8">
        <f>IFERROR(N312/N444, "NA")</f>
        <v>9.6987775840244955E-2</v>
      </c>
      <c r="P312" s="9"/>
      <c r="Q312" s="7">
        <v>2821.97</v>
      </c>
      <c r="R312" s="8">
        <f>IFERROR(Q312/Q444, "NA")</f>
        <v>3.6804153639385857E-3</v>
      </c>
      <c r="S312" s="9"/>
      <c r="T312" s="7">
        <v>140</v>
      </c>
      <c r="U312" s="8">
        <f>IFERROR(T312/T444, "NA")</f>
        <v>1.8245524444532603E-4</v>
      </c>
      <c r="V312" s="9"/>
      <c r="W312" s="10">
        <f t="shared" si="78"/>
        <v>-2681.97</v>
      </c>
      <c r="X312" s="8">
        <f>IFERROR(W312/W444, "NA")</f>
        <v>4.8035570361617701</v>
      </c>
      <c r="Y312" s="9"/>
      <c r="Z312" s="7">
        <v>782.88</v>
      </c>
      <c r="AA312" s="8">
        <f>IFERROR(Z312/Z444, "NA")</f>
        <v>1.0940818122985596E-3</v>
      </c>
      <c r="AB312" s="9"/>
      <c r="AC312" s="10">
        <f t="shared" si="79"/>
        <v>-2039.0899999999997</v>
      </c>
      <c r="AD312" s="8">
        <f>IFERROR(AC312/AC444, "NA")</f>
        <v>-3.983048082976573E-2</v>
      </c>
    </row>
    <row r="313" spans="1:30" ht="16.5" customHeight="1" x14ac:dyDescent="0.45">
      <c r="A313" s="6" t="s">
        <v>285</v>
      </c>
      <c r="B313" s="7">
        <v>413</v>
      </c>
      <c r="C313" s="8">
        <f>IFERROR(B313/B444, "NA")</f>
        <v>2.0769557882997689E-3</v>
      </c>
      <c r="D313" s="9"/>
      <c r="E313" s="7">
        <v>250</v>
      </c>
      <c r="F313" s="8">
        <f>IFERROR(E313/E444, "NA")</f>
        <v>1.1065237586806234E-3</v>
      </c>
      <c r="G313" s="9"/>
      <c r="H313" s="10">
        <f t="shared" si="76"/>
        <v>-163</v>
      </c>
      <c r="I313" s="8">
        <f>IFERROR(H313/H444, "NA")</f>
        <v>6.0182978407602684E-3</v>
      </c>
      <c r="J313" s="9"/>
      <c r="K313" s="7">
        <v>279</v>
      </c>
      <c r="L313" s="8">
        <f>IFERROR(K313/K444, "NA")</f>
        <v>1.3568250488384069E-3</v>
      </c>
      <c r="M313" s="9"/>
      <c r="N313" s="10">
        <f t="shared" si="77"/>
        <v>-134</v>
      </c>
      <c r="O313" s="8">
        <f>IFERROR(N313/N444, "NA")</f>
        <v>1.9768735302535402E-2</v>
      </c>
      <c r="P313" s="9"/>
      <c r="Q313" s="7">
        <v>1431.95</v>
      </c>
      <c r="R313" s="8">
        <f>IFERROR(Q313/Q444, "NA")</f>
        <v>1.8675502504958801E-3</v>
      </c>
      <c r="S313" s="9"/>
      <c r="T313" s="7">
        <v>1000</v>
      </c>
      <c r="U313" s="8">
        <f>IFERROR(T313/T444, "NA")</f>
        <v>1.303251746038043E-3</v>
      </c>
      <c r="V313" s="9"/>
      <c r="W313" s="10">
        <f t="shared" si="78"/>
        <v>-431.95000000000005</v>
      </c>
      <c r="X313" s="8">
        <f>IFERROR(W313/W444, "NA")</f>
        <v>0.77364640982937061</v>
      </c>
      <c r="Y313" s="9"/>
      <c r="Z313" s="7">
        <v>975</v>
      </c>
      <c r="AA313" s="8">
        <f>IFERROR(Z313/Z444, "NA")</f>
        <v>1.3625712331278043E-3</v>
      </c>
      <c r="AB313" s="9"/>
      <c r="AC313" s="10">
        <f t="shared" si="79"/>
        <v>-456.95000000000005</v>
      </c>
      <c r="AD313" s="8">
        <f>IFERROR(AC313/AC444, "NA")</f>
        <v>-8.9258140715522388E-3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294</v>
      </c>
      <c r="R316" s="8">
        <f>IFERROR(Q316/Q444, "NA")</f>
        <v>3.8343501773510858E-4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-294</v>
      </c>
      <c r="X316" s="8">
        <f>IFERROR(W316/W444, "NA")</f>
        <v>0.52657030788247461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-294</v>
      </c>
      <c r="AD316" s="8">
        <f>IFERROR(AC316/AC444, "NA")</f>
        <v>-5.7428369340986061E-3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hidden="1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0</v>
      </c>
      <c r="F318" s="8">
        <f>IFERROR(E318/E444, "NA")</f>
        <v>0</v>
      </c>
      <c r="G318" s="9"/>
      <c r="H318" s="10">
        <f t="shared" si="76"/>
        <v>0</v>
      </c>
      <c r="I318" s="8">
        <f>IFERROR(H318/H444, "NA")</f>
        <v>0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0</v>
      </c>
      <c r="U318" s="8">
        <f>IFERROR(T318/T444, "NA")</f>
        <v>0</v>
      </c>
      <c r="V318" s="9"/>
      <c r="W318" s="10">
        <f t="shared" si="78"/>
        <v>0</v>
      </c>
      <c r="X318" s="8">
        <f>IFERROR(W318/W444, "NA")</f>
        <v>0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323.88</v>
      </c>
      <c r="C319" s="8">
        <f>IFERROR(B319/B444, "NA")</f>
        <v>1.6287758855073344E-3</v>
      </c>
      <c r="D319" s="9"/>
      <c r="E319" s="7">
        <v>314</v>
      </c>
      <c r="F319" s="8">
        <f>IFERROR(E319/E444, "NA")</f>
        <v>1.3897938409028632E-3</v>
      </c>
      <c r="G319" s="9"/>
      <c r="H319" s="10">
        <f t="shared" si="76"/>
        <v>-9.8799999999999955</v>
      </c>
      <c r="I319" s="8">
        <f>IFERROR(H319/H444, "NA")</f>
        <v>3.6479007770988603E-4</v>
      </c>
      <c r="J319" s="9"/>
      <c r="K319" s="7">
        <v>313.20999999999998</v>
      </c>
      <c r="L319" s="8">
        <f>IFERROR(K319/K444, "NA")</f>
        <v>1.5231941704181987E-3</v>
      </c>
      <c r="M319" s="9"/>
      <c r="N319" s="10">
        <f t="shared" si="77"/>
        <v>-10.670000000000016</v>
      </c>
      <c r="O319" s="8">
        <f>IFERROR(N319/N444, "NA")</f>
        <v>1.5741224304332317E-3</v>
      </c>
      <c r="P319" s="9"/>
      <c r="Q319" s="7">
        <v>1295.7</v>
      </c>
      <c r="R319" s="8">
        <f>IFERROR(Q319/Q444, "NA")</f>
        <v>1.6898528995897286E-3</v>
      </c>
      <c r="S319" s="9"/>
      <c r="T319" s="7">
        <v>1256</v>
      </c>
      <c r="U319" s="8">
        <f>IFERROR(T319/T444, "NA")</f>
        <v>1.6368841930237822E-3</v>
      </c>
      <c r="V319" s="9"/>
      <c r="W319" s="10">
        <f t="shared" si="78"/>
        <v>-39.700000000000045</v>
      </c>
      <c r="X319" s="8">
        <f>IFERROR(W319/W444, "NA")</f>
        <v>7.1104902118824045E-2</v>
      </c>
      <c r="Y319" s="9"/>
      <c r="Z319" s="7">
        <v>1260.6400000000001</v>
      </c>
      <c r="AA319" s="8">
        <f>IFERROR(Z319/Z444, "NA")</f>
        <v>1.7617556916207544E-3</v>
      </c>
      <c r="AB319" s="9"/>
      <c r="AC319" s="10">
        <f t="shared" si="79"/>
        <v>-35.059999999999945</v>
      </c>
      <c r="AD319" s="8">
        <f>IFERROR(AC319/AC444, "NA")</f>
        <v>-6.8484307112073753E-4</v>
      </c>
    </row>
    <row r="320" spans="1:30" ht="16.5" customHeight="1" x14ac:dyDescent="0.45">
      <c r="A320" s="6" t="s">
        <v>292</v>
      </c>
      <c r="B320" s="7">
        <v>972.35</v>
      </c>
      <c r="C320" s="8">
        <f>IFERROR(B320/B444, "NA")</f>
        <v>4.8898982100563683E-3</v>
      </c>
      <c r="D320" s="9"/>
      <c r="E320" s="7">
        <v>1101</v>
      </c>
      <c r="F320" s="8">
        <f>IFERROR(E320/E444, "NA")</f>
        <v>4.8731306332294661E-3</v>
      </c>
      <c r="G320" s="9"/>
      <c r="H320" s="10">
        <f t="shared" si="76"/>
        <v>128.64999999999998</v>
      </c>
      <c r="I320" s="8">
        <f>IFERROR(H320/H444, "NA")</f>
        <v>-4.7500246454834872E-3</v>
      </c>
      <c r="J320" s="9"/>
      <c r="K320" s="7">
        <v>1191.9100000000001</v>
      </c>
      <c r="L320" s="8">
        <f>IFERROR(K320/K444, "NA")</f>
        <v>5.7964635984264724E-3</v>
      </c>
      <c r="M320" s="9"/>
      <c r="N320" s="10">
        <f t="shared" si="77"/>
        <v>219.56000000000006</v>
      </c>
      <c r="O320" s="8">
        <f>IFERROR(N320/N444, "NA")</f>
        <v>-3.2391220321079654E-2</v>
      </c>
      <c r="P320" s="9"/>
      <c r="Q320" s="7">
        <v>4214.3999999999996</v>
      </c>
      <c r="R320" s="8">
        <f>IFERROR(Q320/Q444, "NA")</f>
        <v>5.4964236011661267E-3</v>
      </c>
      <c r="S320" s="9"/>
      <c r="T320" s="7">
        <v>4404</v>
      </c>
      <c r="U320" s="8">
        <f>IFERROR(T320/T444, "NA")</f>
        <v>5.7395206895515414E-3</v>
      </c>
      <c r="V320" s="9"/>
      <c r="W320" s="10">
        <f t="shared" si="78"/>
        <v>189.60000000000036</v>
      </c>
      <c r="X320" s="8">
        <f>IFERROR(W320/W444, "NA")</f>
        <v>-0.33958411692012713</v>
      </c>
      <c r="Y320" s="9"/>
      <c r="Z320" s="7">
        <v>4135.0600000000004</v>
      </c>
      <c r="AA320" s="8">
        <f>IFERROR(Z320/Z444, "NA")</f>
        <v>5.7787833879563684E-3</v>
      </c>
      <c r="AB320" s="9"/>
      <c r="AC320" s="10">
        <f t="shared" si="79"/>
        <v>-79.339999999999236</v>
      </c>
      <c r="AD320" s="8">
        <f>IFERROR(AC320/AC444, "NA")</f>
        <v>-1.549784633848228E-3</v>
      </c>
    </row>
    <row r="321" spans="1:30" ht="16.5" customHeight="1" x14ac:dyDescent="0.45">
      <c r="A321" s="6" t="s">
        <v>293</v>
      </c>
      <c r="B321" s="7">
        <v>1404.83</v>
      </c>
      <c r="C321" s="8">
        <f>IFERROR(B321/B444, "NA")</f>
        <v>7.0648179178623826E-3</v>
      </c>
      <c r="D321" s="9"/>
      <c r="E321" s="7">
        <v>2259.33</v>
      </c>
      <c r="F321" s="8">
        <f>IFERROR(E321/E444, "NA")</f>
        <v>1.0000009294799573E-2</v>
      </c>
      <c r="G321" s="9"/>
      <c r="H321" s="10">
        <f t="shared" si="76"/>
        <v>854.5</v>
      </c>
      <c r="I321" s="8">
        <f>IFERROR(H321/H444, "NA")</f>
        <v>-3.1549911073188032E-2</v>
      </c>
      <c r="J321" s="9"/>
      <c r="K321" s="7">
        <v>1733.42</v>
      </c>
      <c r="L321" s="8">
        <f>IFERROR(K321/K444, "NA")</f>
        <v>8.4299199862274965E-3</v>
      </c>
      <c r="M321" s="9"/>
      <c r="N321" s="10">
        <f t="shared" si="77"/>
        <v>328.59000000000015</v>
      </c>
      <c r="O321" s="8">
        <f>IFERROR(N321/N444, "NA")</f>
        <v>-4.8476184575075451E-2</v>
      </c>
      <c r="P321" s="9"/>
      <c r="Q321" s="7">
        <v>5682.39</v>
      </c>
      <c r="R321" s="8">
        <f>IFERROR(Q321/Q444, "NA")</f>
        <v>7.4109772463530734E-3</v>
      </c>
      <c r="S321" s="9"/>
      <c r="T321" s="7">
        <v>7530.94</v>
      </c>
      <c r="U321" s="8">
        <f>IFERROR(T321/T444, "NA")</f>
        <v>9.8147107043077397E-3</v>
      </c>
      <c r="V321" s="9"/>
      <c r="W321" s="10">
        <f t="shared" si="78"/>
        <v>1848.5499999999993</v>
      </c>
      <c r="X321" s="8">
        <f>IFERROR(W321/W444, "NA")</f>
        <v>-3.3108555871977829</v>
      </c>
      <c r="Y321" s="9"/>
      <c r="Z321" s="7">
        <v>10531.55</v>
      </c>
      <c r="AA321" s="8">
        <f>IFERROR(Z321/Z444, "NA")</f>
        <v>1.471793545666372E-2</v>
      </c>
      <c r="AB321" s="9"/>
      <c r="AC321" s="10">
        <f t="shared" si="79"/>
        <v>4849.1599999999989</v>
      </c>
      <c r="AD321" s="8">
        <f>IFERROR(AC321/AC444, "NA")</f>
        <v>9.4720867848141474E-2</v>
      </c>
    </row>
    <row r="322" spans="1:30" ht="16.5" customHeight="1" x14ac:dyDescent="0.45">
      <c r="A322" s="6" t="s">
        <v>294</v>
      </c>
      <c r="B322" s="7">
        <v>564.5</v>
      </c>
      <c r="C322" s="8">
        <f>IFERROR(B322/B444, "NA")</f>
        <v>2.8388415072523473E-3</v>
      </c>
      <c r="D322" s="9"/>
      <c r="E322" s="7">
        <v>191</v>
      </c>
      <c r="F322" s="8">
        <f>IFERROR(E322/E444, "NA")</f>
        <v>8.4538415163199637E-4</v>
      </c>
      <c r="G322" s="9"/>
      <c r="H322" s="10">
        <f t="shared" si="76"/>
        <v>-373.5</v>
      </c>
      <c r="I322" s="8">
        <f>IFERROR(H322/H444, "NA")</f>
        <v>1.3790394132048835E-2</v>
      </c>
      <c r="J322" s="9"/>
      <c r="K322" s="7">
        <v>174.48</v>
      </c>
      <c r="L322" s="8">
        <f>IFERROR(K322/K444, "NA")</f>
        <v>8.4852628860690048E-4</v>
      </c>
      <c r="M322" s="9"/>
      <c r="N322" s="10">
        <f t="shared" si="77"/>
        <v>-390.02</v>
      </c>
      <c r="O322" s="8">
        <f>IFERROR(N322/N444, "NA")</f>
        <v>5.7538821960409374E-2</v>
      </c>
      <c r="P322" s="9"/>
      <c r="Q322" s="7">
        <v>1443.82</v>
      </c>
      <c r="R322" s="8">
        <f>IFERROR(Q322/Q444, "NA")</f>
        <v>1.8830311132867496E-3</v>
      </c>
      <c r="S322" s="9"/>
      <c r="T322" s="7">
        <v>764</v>
      </c>
      <c r="U322" s="8">
        <f>IFERROR(T322/T444, "NA")</f>
        <v>9.9568433397306485E-4</v>
      </c>
      <c r="V322" s="9"/>
      <c r="W322" s="10">
        <f t="shared" si="78"/>
        <v>-679.81999999999994</v>
      </c>
      <c r="X322" s="8">
        <f>IFERROR(W322/W444, "NA")</f>
        <v>1.2175953289274282</v>
      </c>
      <c r="Y322" s="9"/>
      <c r="Z322" s="7">
        <v>733.51</v>
      </c>
      <c r="AA322" s="8">
        <f>IFERROR(Z322/Z444, "NA")</f>
        <v>1.0250867950887957E-3</v>
      </c>
      <c r="AB322" s="9"/>
      <c r="AC322" s="10">
        <f t="shared" si="79"/>
        <v>-710.31</v>
      </c>
      <c r="AD322" s="8">
        <f>IFERROR(AC322/AC444, "NA")</f>
        <v>-1.3874811233535988E-2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3</v>
      </c>
      <c r="R323" s="8">
        <f>IFERROR(Q323/Q444, "NA")</f>
        <v>3.9126022217868224E-6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-3</v>
      </c>
      <c r="X323" s="8">
        <f>IFERROR(W323/W444, "NA")</f>
        <v>5.3731664069640271E-3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-3</v>
      </c>
      <c r="AD323" s="8">
        <f>IFERROR(AC323/AC444, "NA")</f>
        <v>-5.8600376878557206E-5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5005.8999999999996</v>
      </c>
      <c r="C324" s="15">
        <f>IFERROR(B324/B444, "NA")</f>
        <v>2.5174413996730777E-2</v>
      </c>
      <c r="D324" s="2"/>
      <c r="E324" s="14">
        <f>IFERROR(E297+E298+E299+E300+E301+E302+E303+E304+E305+E306+E307+E308+E309+E310+E311+E312+E313+E314+E315+E316+E317+E318+E319+E320+E321+E322+E323, "NA")</f>
        <v>4722.33</v>
      </c>
      <c r="F324" s="15">
        <f>IFERROR(E324/E444, "NA")</f>
        <v>2.0901481365321075E-2</v>
      </c>
      <c r="G324" s="2"/>
      <c r="H324" s="14">
        <f t="shared" si="76"/>
        <v>-283.56999999999971</v>
      </c>
      <c r="I324" s="15">
        <f>IFERROR(H324/H444, "NA")</f>
        <v>1.046999213929072E-2</v>
      </c>
      <c r="J324" s="2"/>
      <c r="K324" s="14">
        <f>IFERROR(K297+K298+K299+K300+K301+K302+K303+K304+K305+K306+K307+K308+K309+K310+K311+K312+K313+K314+K315+K316+K317+K318+K319+K320+K321+K322+K323, "NA")</f>
        <v>5068.5200000000004</v>
      </c>
      <c r="L324" s="15">
        <f>IFERROR(K324/K444, "NA")</f>
        <v>2.4649085650675424E-2</v>
      </c>
      <c r="M324" s="2"/>
      <c r="N324" s="14">
        <f t="shared" si="77"/>
        <v>62.6200000000008</v>
      </c>
      <c r="O324" s="15">
        <f>IFERROR(N324/N444, "NA")</f>
        <v>-9.2381955570506168E-3</v>
      </c>
      <c r="P324" s="2"/>
      <c r="Q324" s="14">
        <f>IFERROR(Q297+Q298+Q299+Q300+Q301+Q302+Q303+Q304+Q305+Q306+Q307+Q308+Q309+Q310+Q311+Q312+Q313+Q314+Q315+Q316+Q317+Q318+Q319+Q320+Q321+Q322+Q323, "NA")</f>
        <v>20409.419999999998</v>
      </c>
      <c r="R324" s="15">
        <f>IFERROR(Q324/Q444, "NA")</f>
        <v>2.6617980679126799E-2</v>
      </c>
      <c r="S324" s="2"/>
      <c r="T324" s="14">
        <f>IFERROR(T297+T298+T299+T300+T301+T302+T303+T304+T305+T306+T307+T308+T309+T310+T311+T312+T313+T314+T315+T316+T317+T318+T319+T320+T321+T322+T323, "NA")</f>
        <v>17382.939999999999</v>
      </c>
      <c r="U324" s="15">
        <f>IFERROR(T324/T444, "NA")</f>
        <v>2.265434690627454E-2</v>
      </c>
      <c r="V324" s="2"/>
      <c r="W324" s="14">
        <f t="shared" si="78"/>
        <v>-3026.4799999999996</v>
      </c>
      <c r="X324" s="15">
        <f>IFERROR(W324/W444, "NA")</f>
        <v>5.4205935557828289</v>
      </c>
      <c r="Y324" s="2"/>
      <c r="Z324" s="14">
        <f>IFERROR(Z297+Z298+Z299+Z300+Z301+Z302+Z303+Z304+Z305+Z306+Z307+Z308+Z309+Z310+Z311+Z312+Z313+Z314+Z315+Z316+Z317+Z318+Z319+Z320+Z321+Z322+Z323, "NA")</f>
        <v>21904.499999999996</v>
      </c>
      <c r="AA324" s="15">
        <f>IFERROR(Z324/Z444, "NA")</f>
        <v>3.0611734949792808E-2</v>
      </c>
      <c r="AB324" s="2"/>
      <c r="AC324" s="14">
        <f t="shared" si="79"/>
        <v>1495.0799999999981</v>
      </c>
      <c r="AD324" s="15">
        <f>IFERROR(AC324/AC444, "NA")</f>
        <v>2.9204083821197734E-2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55381.62</v>
      </c>
      <c r="C325" s="15">
        <f>IFERROR(B325/B444, "NA")</f>
        <v>0.27851132257728389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53008.590000000011</v>
      </c>
      <c r="F325" s="15">
        <f>IFERROR(E325/E444, "NA")</f>
        <v>0.23462105699664051</v>
      </c>
      <c r="G325" s="2"/>
      <c r="H325" s="14">
        <f t="shared" si="76"/>
        <v>-2373.0299999999916</v>
      </c>
      <c r="I325" s="15">
        <f>IFERROR(H325/H444, "NA")</f>
        <v>8.7617186043308523E-2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49184.12</v>
      </c>
      <c r="L325" s="15">
        <f>IFERROR(K325/K444, "NA")</f>
        <v>0.23919084595367052</v>
      </c>
      <c r="M325" s="2"/>
      <c r="N325" s="14">
        <f t="shared" si="77"/>
        <v>-6197.5</v>
      </c>
      <c r="O325" s="15">
        <f>IFERROR(N325/N444, "NA")</f>
        <v>0.91430400774226228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214715.15000000002</v>
      </c>
      <c r="R325" s="15">
        <f>IFERROR(Q325/Q444, "NA")</f>
        <v>0.28003165764709698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182524.03999999998</v>
      </c>
      <c r="U325" s="15">
        <f>IFERROR(T325/T444, "NA")</f>
        <v>0.23787477382391758</v>
      </c>
      <c r="V325" s="2"/>
      <c r="W325" s="14">
        <f t="shared" si="78"/>
        <v>-32191.110000000044</v>
      </c>
      <c r="X325" s="15">
        <f>IFERROR(W325/W444, "NA")</f>
        <v>57.656063618294667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198952.99000000002</v>
      </c>
      <c r="AA325" s="15">
        <f>IFERROR(Z325/Z444, "NA")</f>
        <v>0.27803858555770644</v>
      </c>
      <c r="AB325" s="2"/>
      <c r="AC325" s="14">
        <f t="shared" si="79"/>
        <v>-15762.160000000003</v>
      </c>
      <c r="AD325" s="15">
        <f>IFERROR(AC325/AC444, "NA")</f>
        <v>-0.30788950547337318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10440.49</v>
      </c>
      <c r="C329" s="8">
        <f>IFERROR(B329/B444, "NA")</f>
        <v>5.2504687985922158E-2</v>
      </c>
      <c r="D329" s="9"/>
      <c r="E329" s="7">
        <v>10440.49</v>
      </c>
      <c r="F329" s="8">
        <f>IFERROR(E329/E444, "NA")</f>
        <v>4.6210600949069848E-2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10136.4</v>
      </c>
      <c r="L329" s="8">
        <f>IFERROR(K329/K444, "NA")</f>
        <v>4.9295058871131281E-2</v>
      </c>
      <c r="M329" s="9"/>
      <c r="N329" s="10">
        <f t="shared" si="81"/>
        <v>-304.09000000000015</v>
      </c>
      <c r="O329" s="8">
        <f>IFERROR(N329/N444, "NA")</f>
        <v>4.4861751627970098E-2</v>
      </c>
      <c r="P329" s="9"/>
      <c r="Q329" s="7">
        <v>41761.96</v>
      </c>
      <c r="R329" s="8">
        <f>IFERROR(Q329/Q444, "NA")</f>
        <v>5.4465979160724126E-2</v>
      </c>
      <c r="S329" s="9"/>
      <c r="T329" s="7">
        <v>41761.96</v>
      </c>
      <c r="U329" s="8">
        <f>IFERROR(T329/T444, "NA")</f>
        <v>5.4426347287970911E-2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40545.599999999999</v>
      </c>
      <c r="AA329" s="8">
        <f>IFERROR(Z329/Z444, "NA")</f>
        <v>5.6662839169135081E-2</v>
      </c>
      <c r="AB329" s="9"/>
      <c r="AC329" s="10">
        <f t="shared" si="83"/>
        <v>-1216.3600000000006</v>
      </c>
      <c r="AD329" s="8">
        <f>IFERROR(AC329/AC444, "NA")</f>
        <v>-2.3759718140000625E-2</v>
      </c>
    </row>
    <row r="330" spans="1:30" ht="16.5" customHeight="1" x14ac:dyDescent="0.45">
      <c r="A330" s="6" t="s">
        <v>301</v>
      </c>
      <c r="B330" s="7">
        <v>728.65</v>
      </c>
      <c r="C330" s="8">
        <f>IFERROR(B330/B444, "NA")</f>
        <v>3.664343426500306E-3</v>
      </c>
      <c r="D330" s="9"/>
      <c r="E330" s="7">
        <v>728.65</v>
      </c>
      <c r="F330" s="8">
        <f>IFERROR(E330/E444, "NA")</f>
        <v>3.225074147050545E-3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728.65</v>
      </c>
      <c r="L330" s="8">
        <f>IFERROR(K330/K444, "NA")</f>
        <v>3.5435504366885489E-3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2605.17</v>
      </c>
      <c r="R330" s="8">
        <f>IFERROR(Q330/Q444, "NA")</f>
        <v>3.3976646433774584E-3</v>
      </c>
      <c r="S330" s="9"/>
      <c r="T330" s="7">
        <v>2914.6</v>
      </c>
      <c r="U330" s="8">
        <f>IFERROR(T330/T444, "NA")</f>
        <v>3.7984575390024801E-3</v>
      </c>
      <c r="V330" s="9"/>
      <c r="W330" s="10">
        <f t="shared" si="82"/>
        <v>309.42999999999984</v>
      </c>
      <c r="X330" s="8">
        <f>IFERROR(W330/W444, "NA")</f>
        <v>-0.55420629376895936</v>
      </c>
      <c r="Y330" s="9"/>
      <c r="Z330" s="7">
        <v>2914.6</v>
      </c>
      <c r="AA330" s="8">
        <f>IFERROR(Z330/Z444, "NA")</f>
        <v>4.0731796062300502E-3</v>
      </c>
      <c r="AB330" s="9"/>
      <c r="AC330" s="10">
        <f t="shared" si="83"/>
        <v>309.42999999999984</v>
      </c>
      <c r="AD330" s="8">
        <f>IFERROR(AC330/AC444, "NA")</f>
        <v>6.044238205843982E-3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15.16</v>
      </c>
      <c r="C332" s="8">
        <f>IFERROR(B332/B444, "NA")</f>
        <v>7.6238861381657379E-5</v>
      </c>
      <c r="D332" s="9"/>
      <c r="E332" s="7">
        <v>133</v>
      </c>
      <c r="F332" s="8">
        <f>IFERROR(E332/E444, "NA")</f>
        <v>5.8867063961809169E-4</v>
      </c>
      <c r="G332" s="9"/>
      <c r="H332" s="10">
        <f t="shared" si="80"/>
        <v>117.84</v>
      </c>
      <c r="I332" s="8">
        <f>IFERROR(H332/H444, "NA")</f>
        <v>-4.3508970402158899E-3</v>
      </c>
      <c r="J332" s="9"/>
      <c r="K332" s="7">
        <v>15.16</v>
      </c>
      <c r="L332" s="8">
        <f>IFERROR(K332/K444, "NA")</f>
        <v>7.3725690825771509E-5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1410.26</v>
      </c>
      <c r="R332" s="8">
        <f>IFERROR(Q332/Q444, "NA")</f>
        <v>1.8392621364323612E-3</v>
      </c>
      <c r="S332" s="9"/>
      <c r="T332" s="7">
        <v>532</v>
      </c>
      <c r="U332" s="8">
        <f>IFERROR(T332/T444, "NA")</f>
        <v>6.9332992889223897E-4</v>
      </c>
      <c r="V332" s="9"/>
      <c r="W332" s="10">
        <f t="shared" si="82"/>
        <v>-878.26</v>
      </c>
      <c r="X332" s="8">
        <f>IFERROR(W332/W444, "NA")</f>
        <v>1.5730123761934087</v>
      </c>
      <c r="Y332" s="9"/>
      <c r="Z332" s="7">
        <v>60.64</v>
      </c>
      <c r="AA332" s="8">
        <f>IFERROR(Z332/Z444, "NA")</f>
        <v>8.4744943155764168E-5</v>
      </c>
      <c r="AB332" s="9"/>
      <c r="AC332" s="10">
        <f t="shared" si="83"/>
        <v>-1349.62</v>
      </c>
      <c r="AD332" s="8">
        <f>IFERROR(AC332/AC444, "NA")</f>
        <v>-2.6362746880946124E-2</v>
      </c>
    </row>
    <row r="333" spans="1:30" ht="16.5" customHeight="1" x14ac:dyDescent="0.45">
      <c r="A333" s="6" t="s">
        <v>304</v>
      </c>
      <c r="B333" s="7">
        <v>964.14</v>
      </c>
      <c r="C333" s="8">
        <f>IFERROR(B333/B444, "NA")</f>
        <v>4.8486105417223707E-3</v>
      </c>
      <c r="D333" s="9"/>
      <c r="E333" s="7">
        <v>964</v>
      </c>
      <c r="F333" s="8">
        <f>IFERROR(E333/E444, "NA")</f>
        <v>4.2667556134724843E-3</v>
      </c>
      <c r="G333" s="9"/>
      <c r="H333" s="10">
        <f t="shared" si="80"/>
        <v>-0.13999999999998636</v>
      </c>
      <c r="I333" s="8">
        <f>IFERROR(H333/H444, "NA")</f>
        <v>5.1690901699776408E-6</v>
      </c>
      <c r="J333" s="9"/>
      <c r="K333" s="7">
        <v>964.14</v>
      </c>
      <c r="L333" s="8">
        <f>IFERROR(K333/K444, "NA")</f>
        <v>4.6887788623192171E-3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3856.56</v>
      </c>
      <c r="R333" s="8">
        <f>IFERROR(Q333/Q444, "NA")</f>
        <v>5.0297284081513953E-3</v>
      </c>
      <c r="S333" s="9"/>
      <c r="T333" s="7">
        <v>3856</v>
      </c>
      <c r="U333" s="8">
        <f>IFERROR(T333/T444, "NA")</f>
        <v>5.025338732722694E-3</v>
      </c>
      <c r="V333" s="9"/>
      <c r="W333" s="10">
        <f t="shared" si="82"/>
        <v>-0.55999999999994543</v>
      </c>
      <c r="X333" s="8">
        <f>IFERROR(W333/W444, "NA")</f>
        <v>1.0029910626331872E-3</v>
      </c>
      <c r="Y333" s="9"/>
      <c r="Z333" s="7">
        <v>3856.56</v>
      </c>
      <c r="AA333" s="8">
        <f>IFERROR(Z333/Z444, "NA")</f>
        <v>5.389577143416785E-3</v>
      </c>
      <c r="AB333" s="9"/>
      <c r="AC333" s="10">
        <f t="shared" si="83"/>
        <v>0</v>
      </c>
      <c r="AD333" s="8">
        <f>IFERROR(AC333/AC444, "NA")</f>
        <v>0</v>
      </c>
    </row>
    <row r="334" spans="1:30" ht="16.5" customHeight="1" x14ac:dyDescent="0.45">
      <c r="A334" s="6" t="s">
        <v>305</v>
      </c>
      <c r="B334" s="7">
        <v>-803.92</v>
      </c>
      <c r="C334" s="8">
        <f>IFERROR(B334/B444, "NA")</f>
        <v>-4.0428723906294189E-3</v>
      </c>
      <c r="D334" s="9"/>
      <c r="E334" s="7">
        <v>-803.92</v>
      </c>
      <c r="F334" s="8">
        <f>IFERROR(E334/E444, "NA")</f>
        <v>-3.5582263203141071E-3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-780.5</v>
      </c>
      <c r="L334" s="8">
        <f>IFERROR(K334/K444, "NA")</f>
        <v>-3.7957059161948985E-3</v>
      </c>
      <c r="M334" s="9"/>
      <c r="N334" s="10">
        <f t="shared" si="81"/>
        <v>23.419999999999959</v>
      </c>
      <c r="O334" s="8">
        <f>IFERROR(N334/N444, "NA")</f>
        <v>-3.4551028416819275E-3</v>
      </c>
      <c r="P334" s="9"/>
      <c r="Q334" s="7">
        <v>-803.92</v>
      </c>
      <c r="R334" s="8">
        <f>IFERROR(Q334/Q444, "NA")</f>
        <v>-1.0484730593796206E-3</v>
      </c>
      <c r="S334" s="9"/>
      <c r="T334" s="7">
        <v>-803.92</v>
      </c>
      <c r="U334" s="8">
        <f>IFERROR(T334/T444, "NA")</f>
        <v>-1.0477101436749034E-3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-780.5</v>
      </c>
      <c r="AA334" s="8">
        <f>IFERROR(Z334/Z444, "NA")</f>
        <v>-1.0907557409807706E-3</v>
      </c>
      <c r="AB334" s="9"/>
      <c r="AC334" s="10">
        <f t="shared" si="83"/>
        <v>23.419999999999959</v>
      </c>
      <c r="AD334" s="8">
        <f>IFERROR(AC334/AC444, "NA")</f>
        <v>4.5747360883193578E-4</v>
      </c>
    </row>
    <row r="335" spans="1:30" ht="16.5" customHeight="1" x14ac:dyDescent="0.45">
      <c r="A335" s="6" t="s">
        <v>306</v>
      </c>
      <c r="B335" s="7">
        <v>3510.01</v>
      </c>
      <c r="C335" s="8">
        <f>IFERROR(B335/B444, "NA")</f>
        <v>1.7651660015714461E-2</v>
      </c>
      <c r="D335" s="9"/>
      <c r="E335" s="7">
        <v>338.9</v>
      </c>
      <c r="F335" s="8">
        <f>IFERROR(E335/E444, "NA")</f>
        <v>1.5000036072674531E-3</v>
      </c>
      <c r="G335" s="9"/>
      <c r="H335" s="10">
        <f t="shared" si="80"/>
        <v>-3171.11</v>
      </c>
      <c r="I335" s="8">
        <f>IFERROR(H335/H444, "NA")</f>
        <v>0.11708395377799567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-3510.01</v>
      </c>
      <c r="O335" s="8">
        <f>IFERROR(N335/N444, "NA")</f>
        <v>0.51782431790486783</v>
      </c>
      <c r="P335" s="9"/>
      <c r="Q335" s="7">
        <v>3510.01</v>
      </c>
      <c r="R335" s="8">
        <f>IFERROR(Q335/Q444, "NA")</f>
        <v>4.5777576414979884E-3</v>
      </c>
      <c r="S335" s="9"/>
      <c r="T335" s="7">
        <v>1150.96</v>
      </c>
      <c r="U335" s="8">
        <f>IFERROR(T335/T444, "NA")</f>
        <v>1.4999906296199461E-3</v>
      </c>
      <c r="V335" s="9"/>
      <c r="W335" s="10">
        <f t="shared" si="82"/>
        <v>-2359.0500000000002</v>
      </c>
      <c r="X335" s="8">
        <f>IFERROR(W335/W444, "NA")</f>
        <v>4.2251894041161631</v>
      </c>
      <c r="Y335" s="9"/>
      <c r="Z335" s="7">
        <v>3309.62</v>
      </c>
      <c r="AA335" s="8">
        <f>IFERROR(Z335/Z444, "NA")</f>
        <v>4.6252235944455834E-3</v>
      </c>
      <c r="AB335" s="9"/>
      <c r="AC335" s="10">
        <f t="shared" si="83"/>
        <v>-200.39000000000033</v>
      </c>
      <c r="AD335" s="8">
        <f>IFERROR(AC335/AC444, "NA")</f>
        <v>-3.914309840898033E-3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3055.56</v>
      </c>
      <c r="C338" s="8">
        <f>IFERROR(B338/B444, "NA")</f>
        <v>1.5366254306288719E-2</v>
      </c>
      <c r="D338" s="9"/>
      <c r="E338" s="7">
        <v>4518.66</v>
      </c>
      <c r="F338" s="8">
        <f>IFERROR(E338/E444, "NA")</f>
        <v>2.0000018589599145E-2</v>
      </c>
      <c r="G338" s="9"/>
      <c r="H338" s="10">
        <f t="shared" si="84"/>
        <v>1463.1</v>
      </c>
      <c r="I338" s="8">
        <f>IFERROR(H338/H444, "NA")</f>
        <v>-5.4020684483535877E-2</v>
      </c>
      <c r="J338" s="9"/>
      <c r="K338" s="7">
        <v>3042.04</v>
      </c>
      <c r="L338" s="8">
        <f>IFERROR(K338/K444, "NA")</f>
        <v>1.4793964414223612E-2</v>
      </c>
      <c r="M338" s="9"/>
      <c r="N338" s="10">
        <f t="shared" si="85"/>
        <v>-13.519999999999982</v>
      </c>
      <c r="O338" s="8">
        <f>IFERROR(N338/N444, "NA")</f>
        <v>1.9945768753005838E-3</v>
      </c>
      <c r="P338" s="9"/>
      <c r="Q338" s="7">
        <v>14586.89</v>
      </c>
      <c r="R338" s="8">
        <f>IFERROR(Q338/Q444, "NA")</f>
        <v>1.9024232740986659E-2</v>
      </c>
      <c r="S338" s="9"/>
      <c r="T338" s="7">
        <v>15346.23</v>
      </c>
      <c r="U338" s="8">
        <f>IFERROR(T338/T444, "NA")</f>
        <v>2.0000001042601398E-2</v>
      </c>
      <c r="V338" s="9"/>
      <c r="W338" s="10">
        <f t="shared" si="86"/>
        <v>759.34000000000015</v>
      </c>
      <c r="X338" s="8">
        <f>IFERROR(W338/W444, "NA")</f>
        <v>-1.360020059821355</v>
      </c>
      <c r="Y338" s="9"/>
      <c r="Z338" s="7">
        <v>16733.93</v>
      </c>
      <c r="AA338" s="8">
        <f>IFERROR(Z338/Z444, "NA")</f>
        <v>2.3385817061717294E-2</v>
      </c>
      <c r="AB338" s="9"/>
      <c r="AC338" s="10">
        <f t="shared" si="87"/>
        <v>2147.0400000000009</v>
      </c>
      <c r="AD338" s="8">
        <f>IFERROR(AC338/AC444, "NA")</f>
        <v>4.1939117724445842E-2</v>
      </c>
    </row>
    <row r="339" spans="1:30" ht="16.5" customHeight="1" x14ac:dyDescent="0.45">
      <c r="A339" s="12" t="s">
        <v>309</v>
      </c>
      <c r="B339" s="7">
        <v>472.64</v>
      </c>
      <c r="C339" s="8">
        <f>IFERROR(B339/B444, "NA")</f>
        <v>2.3768822851864472E-3</v>
      </c>
      <c r="D339" s="9"/>
      <c r="E339" s="7">
        <v>451.87</v>
      </c>
      <c r="F339" s="8">
        <f>IFERROR(E339/E444, "NA")</f>
        <v>2.0000195633400534E-3</v>
      </c>
      <c r="G339" s="9"/>
      <c r="H339" s="10">
        <f t="shared" si="84"/>
        <v>-20.769999999999982</v>
      </c>
      <c r="I339" s="8">
        <f>IFERROR(H339/H444, "NA")</f>
        <v>7.6687144878889973E-4</v>
      </c>
      <c r="J339" s="9"/>
      <c r="K339" s="7">
        <v>345.88</v>
      </c>
      <c r="L339" s="8">
        <f>IFERROR(K339/K444, "NA")</f>
        <v>1.6820740067821798E-3</v>
      </c>
      <c r="M339" s="9"/>
      <c r="N339" s="10">
        <f t="shared" si="85"/>
        <v>-126.75999999999999</v>
      </c>
      <c r="O339" s="8">
        <f>IFERROR(N339/N444, "NA")</f>
        <v>1.8700633484696919E-2</v>
      </c>
      <c r="P339" s="9"/>
      <c r="Q339" s="7">
        <v>1610.75</v>
      </c>
      <c r="R339" s="8">
        <f>IFERROR(Q339/Q444, "NA")</f>
        <v>2.1007413429143746E-3</v>
      </c>
      <c r="S339" s="9"/>
      <c r="T339" s="7">
        <v>1534.63</v>
      </c>
      <c r="U339" s="8">
        <f>IFERROR(T339/T444, "NA")</f>
        <v>2.0000092270223624E-3</v>
      </c>
      <c r="V339" s="9"/>
      <c r="W339" s="10">
        <f t="shared" si="86"/>
        <v>-76.119999999999891</v>
      </c>
      <c r="X339" s="8">
        <f>IFERROR(W339/W444, "NA")</f>
        <v>0.13633514229936705</v>
      </c>
      <c r="Y339" s="9"/>
      <c r="Z339" s="7">
        <v>1295.6500000000001</v>
      </c>
      <c r="AA339" s="8">
        <f>IFERROR(Z339/Z444, "NA")</f>
        <v>1.8106824802072204E-3</v>
      </c>
      <c r="AB339" s="9"/>
      <c r="AC339" s="10">
        <f t="shared" si="87"/>
        <v>-315.09999999999991</v>
      </c>
      <c r="AD339" s="8">
        <f>IFERROR(AC339/AC444, "NA")</f>
        <v>-6.1549929181444569E-3</v>
      </c>
    </row>
    <row r="340" spans="1:30" ht="16.5" customHeight="1" x14ac:dyDescent="0.45">
      <c r="A340" s="12" t="s">
        <v>310</v>
      </c>
      <c r="B340" s="7">
        <v>848.03</v>
      </c>
      <c r="C340" s="8">
        <f>IFERROR(B340/B444, "NA")</f>
        <v>4.2646993151376584E-3</v>
      </c>
      <c r="D340" s="9"/>
      <c r="E340" s="7">
        <v>903.73</v>
      </c>
      <c r="F340" s="8">
        <f>IFERROR(E340/E444, "NA")</f>
        <v>3.9999948657297594E-3</v>
      </c>
      <c r="G340" s="9"/>
      <c r="H340" s="10">
        <f t="shared" si="84"/>
        <v>55.700000000000045</v>
      </c>
      <c r="I340" s="8">
        <f>IFERROR(H340/H444, "NA")</f>
        <v>-2.0565594461984492E-3</v>
      </c>
      <c r="J340" s="9"/>
      <c r="K340" s="7">
        <v>587.38</v>
      </c>
      <c r="L340" s="8">
        <f>IFERROR(K340/K444, "NA")</f>
        <v>2.8565300974433818E-3</v>
      </c>
      <c r="M340" s="9"/>
      <c r="N340" s="10">
        <f t="shared" si="85"/>
        <v>-260.64999999999998</v>
      </c>
      <c r="O340" s="8">
        <f>IFERROR(N340/N444, "NA")</f>
        <v>3.8453140720939194E-2</v>
      </c>
      <c r="P340" s="9"/>
      <c r="Q340" s="7">
        <v>2083.35</v>
      </c>
      <c r="R340" s="8">
        <f>IFERROR(Q340/Q444, "NA")</f>
        <v>2.7171066129198585E-3</v>
      </c>
      <c r="S340" s="9"/>
      <c r="T340" s="7">
        <v>3069.25</v>
      </c>
      <c r="U340" s="8">
        <f>IFERROR(T340/T444, "NA")</f>
        <v>4.0000054215272637E-3</v>
      </c>
      <c r="V340" s="9"/>
      <c r="W340" s="10">
        <f t="shared" si="86"/>
        <v>985.90000000000009</v>
      </c>
      <c r="X340" s="8">
        <f>IFERROR(W340/W444, "NA")</f>
        <v>-1.7658015868752783</v>
      </c>
      <c r="Y340" s="9"/>
      <c r="Z340" s="7">
        <v>2185.35</v>
      </c>
      <c r="AA340" s="8">
        <f>IFERROR(Z340/Z444, "NA")</f>
        <v>3.0540461992983048E-3</v>
      </c>
      <c r="AB340" s="9"/>
      <c r="AC340" s="10">
        <f t="shared" si="87"/>
        <v>102</v>
      </c>
      <c r="AD340" s="8">
        <f>IFERROR(AC340/AC444, "NA")</f>
        <v>1.9924128138709449E-3</v>
      </c>
    </row>
    <row r="341" spans="1:30" ht="16.5" customHeight="1" x14ac:dyDescent="0.45">
      <c r="A341" s="12" t="s">
        <v>311</v>
      </c>
      <c r="B341" s="7">
        <v>395.63</v>
      </c>
      <c r="C341" s="8">
        <f>IFERROR(B341/B444, "NA")</f>
        <v>1.9896029504238195E-3</v>
      </c>
      <c r="D341" s="9"/>
      <c r="E341" s="7">
        <v>451.87</v>
      </c>
      <c r="F341" s="8">
        <f>IFERROR(E341/E444, "NA")</f>
        <v>2.0000195633400534E-3</v>
      </c>
      <c r="G341" s="9"/>
      <c r="H341" s="10">
        <f t="shared" si="84"/>
        <v>56.240000000000009</v>
      </c>
      <c r="I341" s="8">
        <f>IFERROR(H341/H444, "NA")</f>
        <v>-2.0764973654255063E-3</v>
      </c>
      <c r="J341" s="9"/>
      <c r="K341" s="7">
        <v>380.17</v>
      </c>
      <c r="L341" s="8">
        <f>IFERROR(K341/K444, "NA")</f>
        <v>1.8488321821394165E-3</v>
      </c>
      <c r="M341" s="9"/>
      <c r="N341" s="10">
        <f t="shared" si="85"/>
        <v>-15.45999999999998</v>
      </c>
      <c r="O341" s="8">
        <f>IFERROR(N341/N444, "NA")</f>
        <v>2.2807809535611706E-3</v>
      </c>
      <c r="P341" s="9"/>
      <c r="Q341" s="7">
        <v>1551.6</v>
      </c>
      <c r="R341" s="8">
        <f>IFERROR(Q341/Q444, "NA")</f>
        <v>2.0235978691081442E-3</v>
      </c>
      <c r="S341" s="9"/>
      <c r="T341" s="7">
        <v>1534.63</v>
      </c>
      <c r="U341" s="8">
        <f>IFERROR(T341/T444, "NA")</f>
        <v>2.0000092270223624E-3</v>
      </c>
      <c r="V341" s="9"/>
      <c r="W341" s="10">
        <f t="shared" si="86"/>
        <v>-16.9699999999998</v>
      </c>
      <c r="X341" s="8">
        <f>IFERROR(W341/W444, "NA")</f>
        <v>3.0394211308726153E-2</v>
      </c>
      <c r="Y341" s="9"/>
      <c r="Z341" s="7">
        <v>1520.68</v>
      </c>
      <c r="AA341" s="8">
        <f>IFERROR(Z341/Z444, "NA")</f>
        <v>2.1251639208131178E-3</v>
      </c>
      <c r="AB341" s="9"/>
      <c r="AC341" s="10">
        <f t="shared" si="87"/>
        <v>-30.919999999999845</v>
      </c>
      <c r="AD341" s="8">
        <f>IFERROR(AC341/AC444, "NA")</f>
        <v>-6.0397455102832655E-4</v>
      </c>
    </row>
    <row r="342" spans="1:30" ht="16.5" customHeight="1" x14ac:dyDescent="0.45">
      <c r="A342" s="13" t="s">
        <v>312</v>
      </c>
      <c r="B342" s="14">
        <f>IFERROR(B337+B338+B339+B340+B341, "NA")</f>
        <v>4771.8599999999997</v>
      </c>
      <c r="C342" s="15">
        <f>IFERROR(B342/B444, "NA")</f>
        <v>2.3997438857036642E-2</v>
      </c>
      <c r="D342" s="2"/>
      <c r="E342" s="14">
        <f>IFERROR(E337+E338+E339+E340+E341, "NA")</f>
        <v>6326.13</v>
      </c>
      <c r="F342" s="15">
        <f>IFERROR(E342/E444, "NA")</f>
        <v>2.8000052582009011E-2</v>
      </c>
      <c r="G342" s="2"/>
      <c r="H342" s="14">
        <f t="shared" si="84"/>
        <v>1554.2700000000004</v>
      </c>
      <c r="I342" s="15">
        <f>IFERROR(H342/H444, "NA")</f>
        <v>-5.7386869846370953E-2</v>
      </c>
      <c r="J342" s="2"/>
      <c r="K342" s="14">
        <f>IFERROR(K337+K338+K339+K340+K341, "NA")</f>
        <v>4355.47</v>
      </c>
      <c r="L342" s="15">
        <f>IFERROR(K342/K444, "NA")</f>
        <v>2.118140070058859E-2</v>
      </c>
      <c r="M342" s="2"/>
      <c r="N342" s="14">
        <f t="shared" si="85"/>
        <v>-416.38999999999942</v>
      </c>
      <c r="O342" s="15">
        <f>IFERROR(N342/N444, "NA")</f>
        <v>6.1429132034497791E-2</v>
      </c>
      <c r="P342" s="2"/>
      <c r="Q342" s="14">
        <f>IFERROR(Q337+Q338+Q339+Q340+Q341, "NA")</f>
        <v>19832.589999999997</v>
      </c>
      <c r="R342" s="15">
        <f>IFERROR(Q342/Q444, "NA")</f>
        <v>2.5865678565929032E-2</v>
      </c>
      <c r="S342" s="2"/>
      <c r="T342" s="14">
        <f>IFERROR(T337+T338+T339+T340+T341, "NA")</f>
        <v>21484.74</v>
      </c>
      <c r="U342" s="15">
        <f>IFERROR(T342/T444, "NA")</f>
        <v>2.8000024918173386E-2</v>
      </c>
      <c r="V342" s="2"/>
      <c r="W342" s="14">
        <f t="shared" si="86"/>
        <v>1652.1500000000051</v>
      </c>
      <c r="X342" s="15">
        <f>IFERROR(W342/W444, "NA")</f>
        <v>-2.9590922930885482</v>
      </c>
      <c r="Y342" s="2"/>
      <c r="Z342" s="14">
        <f>IFERROR(Z337+Z338+Z339+Z340+Z341, "NA")</f>
        <v>21735.61</v>
      </c>
      <c r="AA342" s="15">
        <f>IFERROR(Z342/Z444, "NA")</f>
        <v>3.0375709662035937E-2</v>
      </c>
      <c r="AB342" s="2"/>
      <c r="AC342" s="14">
        <f t="shared" si="87"/>
        <v>1903.0200000000041</v>
      </c>
      <c r="AD342" s="15">
        <f>IFERROR(AC342/AC444, "NA")</f>
        <v>3.7172563069144057E-2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19626.39</v>
      </c>
      <c r="C343" s="15">
        <f>IFERROR(B343/B444, "NA")</f>
        <v>9.8700107297648179E-2</v>
      </c>
      <c r="D343" s="2"/>
      <c r="E343" s="14">
        <f>IFERROR(E328+E329+E330+E331+E332+E333+E334+E335+E337+E338+E339+E340+E341, "NA")</f>
        <v>18127.249999999996</v>
      </c>
      <c r="F343" s="15">
        <f>IFERROR(E343/E444, "NA")</f>
        <v>8.023293121817332E-2</v>
      </c>
      <c r="G343" s="2"/>
      <c r="H343" s="14">
        <f t="shared" si="84"/>
        <v>-1499.1400000000031</v>
      </c>
      <c r="I343" s="15">
        <f>IFERROR(H343/H444, "NA")</f>
        <v>5.5351355981578941E-2</v>
      </c>
      <c r="J343" s="2"/>
      <c r="K343" s="14">
        <f>IFERROR(K328+K329+K330+K331+K332+K333+K334+K335+K337+K338+K339+K340+K341, "NA")</f>
        <v>15419.319999999998</v>
      </c>
      <c r="L343" s="15">
        <f>IFERROR(K343/K444, "NA")</f>
        <v>7.4986808645358505E-2</v>
      </c>
      <c r="M343" s="2"/>
      <c r="N343" s="14">
        <f t="shared" si="85"/>
        <v>-4207.0700000000015</v>
      </c>
      <c r="O343" s="15">
        <f>IFERROR(N343/N444, "NA")</f>
        <v>0.62066009872565397</v>
      </c>
      <c r="P343" s="2"/>
      <c r="Q343" s="14">
        <f>IFERROR(Q328+Q329+Q330+Q331+Q332+Q333+Q334+Q335+Q337+Q338+Q339+Q340+Q341, "NA")</f>
        <v>72172.63</v>
      </c>
      <c r="R343" s="15">
        <f>IFERROR(Q343/Q444, "NA")</f>
        <v>9.4127597496732759E-2</v>
      </c>
      <c r="S343" s="2"/>
      <c r="T343" s="14">
        <f>IFERROR(T328+T329+T330+T331+T332+T333+T334+T335+T337+T338+T339+T340+T341, "NA")</f>
        <v>70896.340000000011</v>
      </c>
      <c r="U343" s="15">
        <f>IFERROR(T343/T444, "NA")</f>
        <v>9.2395778892706767E-2</v>
      </c>
      <c r="V343" s="2"/>
      <c r="W343" s="14">
        <f t="shared" si="86"/>
        <v>-1276.2899999999936</v>
      </c>
      <c r="X343" s="15">
        <f>IFERROR(W343/W444, "NA")</f>
        <v>2.2859061845146944</v>
      </c>
      <c r="Y343" s="2"/>
      <c r="Z343" s="14">
        <f>IFERROR(Z328+Z329+Z330+Z331+Z332+Z333+Z334+Z335+Z337+Z338+Z339+Z340+Z341, "NA")</f>
        <v>71642.12999999999</v>
      </c>
      <c r="AA343" s="15">
        <f>IFERROR(Z343/Z444, "NA")</f>
        <v>0.10012051837743842</v>
      </c>
      <c r="AB343" s="2"/>
      <c r="AC343" s="14">
        <f t="shared" si="87"/>
        <v>-530.50000000001455</v>
      </c>
      <c r="AD343" s="15">
        <f>IFERROR(AC343/AC444, "NA")</f>
        <v>-1.0362499978025151E-2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19626.39</v>
      </c>
      <c r="C344" s="15">
        <f>IFERROR(B344/B444, "NA")</f>
        <v>9.8700107297648179E-2</v>
      </c>
      <c r="D344" s="2"/>
      <c r="E344" s="14">
        <f>IFERROR(E328+E329+E330+E331+E332+E333+E334+E335+E337+E338+E339+E340+E341, "NA")</f>
        <v>18127.249999999996</v>
      </c>
      <c r="F344" s="15">
        <f>IFERROR(E344/E444, "NA")</f>
        <v>8.023293121817332E-2</v>
      </c>
      <c r="G344" s="2"/>
      <c r="H344" s="14">
        <f t="shared" si="84"/>
        <v>-1499.1400000000031</v>
      </c>
      <c r="I344" s="15">
        <f>IFERROR(H344/H444, "NA")</f>
        <v>5.5351355981578941E-2</v>
      </c>
      <c r="J344" s="2"/>
      <c r="K344" s="14">
        <f>IFERROR(K328+K329+K330+K331+K332+K333+K334+K335+K337+K338+K339+K340+K341, "NA")</f>
        <v>15419.319999999998</v>
      </c>
      <c r="L344" s="15">
        <f>IFERROR(K344/K444, "NA")</f>
        <v>7.4986808645358505E-2</v>
      </c>
      <c r="M344" s="2"/>
      <c r="N344" s="14">
        <f t="shared" si="85"/>
        <v>-4207.0700000000015</v>
      </c>
      <c r="O344" s="15">
        <f>IFERROR(N344/N444, "NA")</f>
        <v>0.62066009872565397</v>
      </c>
      <c r="P344" s="2"/>
      <c r="Q344" s="14">
        <f>IFERROR(Q328+Q329+Q330+Q331+Q332+Q333+Q334+Q335+Q337+Q338+Q339+Q340+Q341, "NA")</f>
        <v>72172.63</v>
      </c>
      <c r="R344" s="15">
        <f>IFERROR(Q344/Q444, "NA")</f>
        <v>9.4127597496732759E-2</v>
      </c>
      <c r="S344" s="2"/>
      <c r="T344" s="14">
        <f>IFERROR(T328+T329+T330+T331+T332+T333+T334+T335+T337+T338+T339+T340+T341, "NA")</f>
        <v>70896.340000000011</v>
      </c>
      <c r="U344" s="15">
        <f>IFERROR(T344/T444, "NA")</f>
        <v>9.2395778892706767E-2</v>
      </c>
      <c r="V344" s="2"/>
      <c r="W344" s="14">
        <f t="shared" si="86"/>
        <v>-1276.2899999999936</v>
      </c>
      <c r="X344" s="15">
        <f>IFERROR(W344/W444, "NA")</f>
        <v>2.2859061845146944</v>
      </c>
      <c r="Y344" s="2"/>
      <c r="Z344" s="14">
        <f>IFERROR(Z328+Z329+Z330+Z331+Z332+Z333+Z334+Z335+Z337+Z338+Z339+Z340+Z341, "NA")</f>
        <v>71642.12999999999</v>
      </c>
      <c r="AA344" s="15">
        <f>IFERROR(Z344/Z444, "NA")</f>
        <v>0.10012051837743842</v>
      </c>
      <c r="AB344" s="2"/>
      <c r="AC344" s="14">
        <f t="shared" si="87"/>
        <v>-530.50000000001455</v>
      </c>
      <c r="AD344" s="15">
        <f>IFERROR(AC344/AC444, "NA")</f>
        <v>-1.0362499978025151E-2</v>
      </c>
    </row>
    <row r="345" spans="1:30" ht="16.5" customHeight="1" x14ac:dyDescent="0.45">
      <c r="A345" s="22" t="s">
        <v>315</v>
      </c>
      <c r="B345" s="23">
        <f>IFERROR(B198-B325-B344, "NA")</f>
        <v>28403.589999999946</v>
      </c>
      <c r="C345" s="24">
        <f>IFERROR(B345/B444, "NA")</f>
        <v>0.14284019530022596</v>
      </c>
      <c r="D345" s="25"/>
      <c r="E345" s="23">
        <f>IFERROR(E198-E325-E344, "NA")</f>
        <v>46895.679999999978</v>
      </c>
      <c r="F345" s="24">
        <f>IFERROR(E345/E444, "NA")</f>
        <v>0.20756473639793488</v>
      </c>
      <c r="G345" s="25"/>
      <c r="H345" s="23">
        <f>IFERROR(B345-E345, "NA")</f>
        <v>-18492.090000000033</v>
      </c>
      <c r="I345" s="24">
        <f>IFERROR(H345/H444, "NA")</f>
        <v>0.68276629029536651</v>
      </c>
      <c r="J345" s="25"/>
      <c r="K345" s="23">
        <f>IFERROR(K198-K325-K344, "NA")</f>
        <v>37521.320000000036</v>
      </c>
      <c r="L345" s="24">
        <f>IFERROR(K345/K444, "NA")</f>
        <v>0.18247264100889443</v>
      </c>
      <c r="M345" s="25"/>
      <c r="N345" s="23">
        <f>IFERROR(B345-K345, "NA")</f>
        <v>-9117.7300000000905</v>
      </c>
      <c r="O345" s="24">
        <f>IFERROR(N345/N444, "NA")</f>
        <v>1.345119335298417</v>
      </c>
      <c r="P345" s="25"/>
      <c r="Q345" s="23">
        <f>IFERROR(Q198-Q325-Q344, "NA")</f>
        <v>100295.08000000019</v>
      </c>
      <c r="R345" s="24">
        <f>IFERROR(Q345/Q444, "NA")</f>
        <v>0.13080491761409593</v>
      </c>
      <c r="S345" s="25"/>
      <c r="T345" s="23">
        <f>IFERROR(T198-T325-T344, "NA")</f>
        <v>130772.19000000002</v>
      </c>
      <c r="U345" s="24">
        <f>IFERROR(T345/T444, "NA")</f>
        <v>0.17042908495071873</v>
      </c>
      <c r="V345" s="25"/>
      <c r="W345" s="23">
        <f>IFERROR(Q345-T345, "NA")</f>
        <v>-30477.109999999826</v>
      </c>
      <c r="X345" s="24">
        <f>IFERROR(W345/W444, "NA")</f>
        <v>54.58619454444883</v>
      </c>
      <c r="Y345" s="25"/>
      <c r="Z345" s="23">
        <f>IFERROR(Z198-Z325-Z344, "NA")</f>
        <v>75938.910000000018</v>
      </c>
      <c r="AA345" s="24">
        <f>IFERROR(Z345/Z444, "NA")</f>
        <v>0.10612530691392963</v>
      </c>
      <c r="AB345" s="25"/>
      <c r="AC345" s="23">
        <f>IFERROR(Q345-Z345, "NA")</f>
        <v>24356.170000000173</v>
      </c>
      <c r="AD345" s="24">
        <f>IFERROR(AC345/AC444, "NA")</f>
        <v>0.47576024710607295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28403.589999999946</v>
      </c>
      <c r="C404" s="24">
        <f>IFERROR(B404/B444, "NA")</f>
        <v>0.14284019530022596</v>
      </c>
      <c r="D404" s="25"/>
      <c r="E404" s="23">
        <f>IFERROR(E345-E403, "NA")</f>
        <v>46895.679999999978</v>
      </c>
      <c r="F404" s="24">
        <f>IFERROR(E404/E444, "NA")</f>
        <v>0.20756473639793488</v>
      </c>
      <c r="G404" s="25"/>
      <c r="H404" s="23">
        <f>IFERROR(B404-E404, "NA")</f>
        <v>-18492.090000000033</v>
      </c>
      <c r="I404" s="24">
        <f>IFERROR(H404/H444, "NA")</f>
        <v>0.68276629029536651</v>
      </c>
      <c r="J404" s="25"/>
      <c r="K404" s="23">
        <f>IFERROR(K345-K403, "NA")</f>
        <v>37521.320000000036</v>
      </c>
      <c r="L404" s="24">
        <f>IFERROR(K404/K444, "NA")</f>
        <v>0.18247264100889443</v>
      </c>
      <c r="M404" s="25"/>
      <c r="N404" s="23">
        <f>IFERROR(B404-K404, "NA")</f>
        <v>-9117.7300000000905</v>
      </c>
      <c r="O404" s="24">
        <f>IFERROR(N404/N444, "NA")</f>
        <v>1.345119335298417</v>
      </c>
      <c r="P404" s="25"/>
      <c r="Q404" s="23">
        <f>IFERROR(Q345-Q403, "NA")</f>
        <v>100295.08000000019</v>
      </c>
      <c r="R404" s="24">
        <f>IFERROR(Q404/Q444, "NA")</f>
        <v>0.13080491761409593</v>
      </c>
      <c r="S404" s="25"/>
      <c r="T404" s="23">
        <f>IFERROR(T345-T403, "NA")</f>
        <v>130772.19000000002</v>
      </c>
      <c r="U404" s="24">
        <f>IFERROR(T404/T444, "NA")</f>
        <v>0.17042908495071873</v>
      </c>
      <c r="V404" s="25"/>
      <c r="W404" s="23">
        <f>IFERROR(Q404-T404, "NA")</f>
        <v>-30477.109999999826</v>
      </c>
      <c r="X404" s="24">
        <f>IFERROR(W404/W444, "NA")</f>
        <v>54.58619454444883</v>
      </c>
      <c r="Y404" s="25"/>
      <c r="Z404" s="23">
        <f>IFERROR(Z345-Z403, "NA")</f>
        <v>75938.910000000018</v>
      </c>
      <c r="AA404" s="24">
        <f>IFERROR(Z404/Z444, "NA")</f>
        <v>0.10612530691392963</v>
      </c>
      <c r="AB404" s="25"/>
      <c r="AC404" s="23">
        <f>IFERROR(Q404-Z404, "NA")</f>
        <v>24356.170000000173</v>
      </c>
      <c r="AD404" s="24">
        <f>IFERROR(AC404/AC444, "NA")</f>
        <v>0.47576024710607295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3592.95</v>
      </c>
      <c r="F407" s="8">
        <f>IFERROR(E407/E444, "NA")</f>
        <v>1.5902738155006185E-2</v>
      </c>
      <c r="G407" s="9"/>
      <c r="H407" s="10">
        <f t="shared" ref="H407:H429" si="100">IFERROR(-(B407-E407), "NA")</f>
        <v>3592.95</v>
      </c>
      <c r="I407" s="8">
        <f>IFERROR(H407/H444, "NA")</f>
        <v>-0.13265916090159266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13450.49</v>
      </c>
      <c r="U407" s="8">
        <f>IFERROR(T407/T444, "NA")</f>
        <v>1.7529374577567237E-2</v>
      </c>
      <c r="V407" s="9"/>
      <c r="W407" s="10">
        <f t="shared" ref="W407:W429" si="102">IFERROR(-(Q407-T407), "NA")</f>
        <v>13450.49</v>
      </c>
      <c r="X407" s="8">
        <f>IFERROR(W407/W444, "NA")</f>
        <v>-24.090573675068526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4203.6099999999997</v>
      </c>
      <c r="C410" s="8">
        <f>IFERROR(B410/B444, "NA")</f>
        <v>2.1139738792384479E-2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-4203.6099999999997</v>
      </c>
      <c r="I410" s="8">
        <f>IFERROR(H410/H444, "NA")</f>
        <v>0.15520599378158448</v>
      </c>
      <c r="J410" s="9"/>
      <c r="K410" s="7">
        <v>3345.17</v>
      </c>
      <c r="L410" s="8">
        <f>IFERROR(K410/K444, "NA")</f>
        <v>1.6268137808683778E-2</v>
      </c>
      <c r="M410" s="9"/>
      <c r="N410" s="10">
        <f t="shared" si="101"/>
        <v>-858.4399999999996</v>
      </c>
      <c r="O410" s="8">
        <f>IFERROR(N410/N444, "NA")</f>
        <v>0.12664382935155583</v>
      </c>
      <c r="P410" s="9"/>
      <c r="Q410" s="7">
        <v>16618.919999999998</v>
      </c>
      <c r="R410" s="8">
        <f>IFERROR(Q410/Q444, "NA")</f>
        <v>2.1674407771899148E-2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-16618.919999999998</v>
      </c>
      <c r="X410" s="8">
        <f>IFERROR(W410/W444, "NA")</f>
        <v>29.765407554674198</v>
      </c>
      <c r="Y410" s="9"/>
      <c r="Z410" s="7">
        <v>12824.27</v>
      </c>
      <c r="AA410" s="8">
        <f>IFERROR(Z410/Z444, "NA")</f>
        <v>1.7922032192680931E-2</v>
      </c>
      <c r="AB410" s="9"/>
      <c r="AC410" s="10">
        <f t="shared" si="103"/>
        <v>-3794.6499999999978</v>
      </c>
      <c r="AD410" s="8">
        <f>IFERROR(AC410/AC444, "NA")</f>
        <v>-7.4122640040738999E-2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-16.22</v>
      </c>
      <c r="C417" s="8">
        <f>IFERROR(B417/B444, "NA")</f>
        <v>-8.1569546940005443E-5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16.22</v>
      </c>
      <c r="I417" s="8">
        <f>IFERROR(H417/H444, "NA")</f>
        <v>-5.9887601826461067E-4</v>
      </c>
      <c r="J417" s="9"/>
      <c r="K417" s="7">
        <v>-45.14</v>
      </c>
      <c r="L417" s="8">
        <f>IFERROR(K417/K444, "NA")</f>
        <v>-2.1952359392317451E-4</v>
      </c>
      <c r="M417" s="9"/>
      <c r="N417" s="10">
        <f t="shared" si="101"/>
        <v>-28.92</v>
      </c>
      <c r="O417" s="8">
        <f>IFERROR(N417/N444, "NA")</f>
        <v>4.2665061563382373E-3</v>
      </c>
      <c r="P417" s="9"/>
      <c r="Q417" s="7">
        <v>-91.57</v>
      </c>
      <c r="R417" s="8">
        <f>IFERROR(Q417/Q444, "NA")</f>
        <v>-1.1942566181633976E-4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91.57</v>
      </c>
      <c r="X417" s="8">
        <f>IFERROR(W417/W444, "NA")</f>
        <v>-0.16400694929523196</v>
      </c>
      <c r="Y417" s="9"/>
      <c r="Z417" s="7">
        <v>-184.47</v>
      </c>
      <c r="AA417" s="8">
        <f>IFERROR(Z417/Z444, "NA")</f>
        <v>-2.5779847730778059E-4</v>
      </c>
      <c r="AB417" s="9"/>
      <c r="AC417" s="10">
        <f t="shared" si="103"/>
        <v>-92.9</v>
      </c>
      <c r="AD417" s="8">
        <f>IFERROR(AC417/AC444, "NA")</f>
        <v>-1.8146583373393217E-3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-30</v>
      </c>
      <c r="L421" s="8">
        <f>IFERROR(K421/K444, "NA")</f>
        <v>-1.4589516654176418E-4</v>
      </c>
      <c r="M421" s="9"/>
      <c r="N421" s="10">
        <f t="shared" si="101"/>
        <v>-30</v>
      </c>
      <c r="O421" s="8">
        <f>IFERROR(N421/N444, "NA")</f>
        <v>4.4258362617616565E-3</v>
      </c>
      <c r="P421" s="9"/>
      <c r="Q421" s="7">
        <v>76</v>
      </c>
      <c r="R421" s="8">
        <f>IFERROR(Q421/Q444, "NA")</f>
        <v>9.9119256285266159E-5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-76</v>
      </c>
      <c r="X421" s="8">
        <f>IFERROR(W421/W444, "NA")</f>
        <v>0.13612021564308868</v>
      </c>
      <c r="Y421" s="9"/>
      <c r="Z421" s="7">
        <v>-50</v>
      </c>
      <c r="AA421" s="8">
        <f>IFERROR(Z421/Z444, "NA")</f>
        <v>-6.9875447852707913E-5</v>
      </c>
      <c r="AB421" s="9"/>
      <c r="AC421" s="10">
        <f t="shared" si="103"/>
        <v>-126</v>
      </c>
      <c r="AD421" s="8">
        <f>IFERROR(AC421/AC444, "NA")</f>
        <v>-2.4612158288994028E-3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4187.3899999999994</v>
      </c>
      <c r="C428" s="15">
        <f>IFERROR(B428/B444, "NA")</f>
        <v>2.1058169245444472E-2</v>
      </c>
      <c r="D428" s="2"/>
      <c r="E428" s="14">
        <f>IFERROR(E407+E408+E409+E410+E411+E412+E413+E414+E415+E416+E417+E418+E419+E420+E421+E422+E423+E424+E425+E426+E427, "NA")</f>
        <v>3592.95</v>
      </c>
      <c r="F428" s="15">
        <f>IFERROR(E428/E444, "NA")</f>
        <v>1.5902738155006185E-2</v>
      </c>
      <c r="G428" s="2"/>
      <c r="H428" s="14">
        <f t="shared" si="100"/>
        <v>-594.4399999999996</v>
      </c>
      <c r="I428" s="15">
        <f>IFERROR(H428/H444, "NA")</f>
        <v>2.1947956861727187E-2</v>
      </c>
      <c r="J428" s="2"/>
      <c r="K428" s="14">
        <f>IFERROR(K407+K408+K409+K410+K411+K412+K413+K414+K415+K416+K417+K418+K419+K420+K421+K422+K423+K424+K425+K426+K427, "NA")</f>
        <v>3270.03</v>
      </c>
      <c r="L428" s="15">
        <f>IFERROR(K428/K444, "NA")</f>
        <v>1.5902719048218838E-2</v>
      </c>
      <c r="M428" s="2"/>
      <c r="N428" s="14">
        <f t="shared" si="101"/>
        <v>-917.35999999999922</v>
      </c>
      <c r="O428" s="15">
        <f>IFERROR(N428/N444, "NA")</f>
        <v>0.13533617176965568</v>
      </c>
      <c r="P428" s="2"/>
      <c r="Q428" s="14">
        <f>IFERROR(Q407+Q408+Q409+Q410+Q411+Q412+Q413+Q414+Q415+Q416+Q417+Q418+Q419+Q420+Q421+Q422+Q423+Q424+Q425+Q426+Q427, "NA")</f>
        <v>16603.349999999999</v>
      </c>
      <c r="R428" s="15">
        <f>IFERROR(Q428/Q444, "NA")</f>
        <v>2.1654101366368077E-2</v>
      </c>
      <c r="S428" s="2"/>
      <c r="T428" s="14">
        <f>IFERROR(T407+T408+T409+T410+T411+T412+T413+T414+T415+T416+T417+T418+T419+T420+T421+T422+T423+T424+T425+T426+T427, "NA")</f>
        <v>13450.49</v>
      </c>
      <c r="U428" s="15">
        <f>IFERROR(T428/T444, "NA")</f>
        <v>1.7529374577567237E-2</v>
      </c>
      <c r="V428" s="2"/>
      <c r="W428" s="14">
        <f t="shared" si="102"/>
        <v>-3152.8599999999988</v>
      </c>
      <c r="X428" s="15">
        <f>IFERROR(W428/W444, "NA")</f>
        <v>5.6469471459535319</v>
      </c>
      <c r="Y428" s="2"/>
      <c r="Z428" s="14">
        <f>IFERROR(Z407+Z408+Z409+Z410+Z411+Z412+Z413+Z414+Z415+Z416+Z417+Z418+Z419+Z420+Z421+Z422+Z423+Z424+Z425+Z426+Z427, "NA")</f>
        <v>12589.800000000001</v>
      </c>
      <c r="AA428" s="15">
        <f>IFERROR(Z428/Z444, "NA")</f>
        <v>1.7594358267520444E-2</v>
      </c>
      <c r="AB428" s="2"/>
      <c r="AC428" s="14">
        <f t="shared" si="103"/>
        <v>-4013.5499999999975</v>
      </c>
      <c r="AD428" s="15">
        <f>IFERROR(AC428/AC444, "NA")</f>
        <v>-7.8398514206977715E-2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4187.3899999999994</v>
      </c>
      <c r="C429" s="15">
        <f>IFERROR(B429/B444, "NA")</f>
        <v>2.1058169245444472E-2</v>
      </c>
      <c r="D429" s="2"/>
      <c r="E429" s="14">
        <f>IFERROR(E407+E408+E409+E410+E411+E412+E413+E414+E415+E416+E417+E418+E419+E420+E421+E422+E423+E424+E425+E426+E427, "NA")</f>
        <v>3592.95</v>
      </c>
      <c r="F429" s="15">
        <f>IFERROR(E429/E444, "NA")</f>
        <v>1.5902738155006185E-2</v>
      </c>
      <c r="G429" s="2"/>
      <c r="H429" s="14">
        <f t="shared" si="100"/>
        <v>-594.4399999999996</v>
      </c>
      <c r="I429" s="15">
        <f>IFERROR(H429/H444, "NA")</f>
        <v>2.1947956861727187E-2</v>
      </c>
      <c r="J429" s="2"/>
      <c r="K429" s="14">
        <f>IFERROR(K407+K408+K409+K410+K411+K412+K413+K414+K415+K416+K417+K418+K419+K420+K421+K422+K423+K424+K425+K426+K427, "NA")</f>
        <v>3270.03</v>
      </c>
      <c r="L429" s="15">
        <f>IFERROR(K429/K444, "NA")</f>
        <v>1.5902719048218838E-2</v>
      </c>
      <c r="M429" s="2"/>
      <c r="N429" s="14">
        <f t="shared" si="101"/>
        <v>-917.35999999999922</v>
      </c>
      <c r="O429" s="15">
        <f>IFERROR(N429/N444, "NA")</f>
        <v>0.13533617176965568</v>
      </c>
      <c r="P429" s="2"/>
      <c r="Q429" s="14">
        <f>IFERROR(Q407+Q408+Q409+Q410+Q411+Q412+Q413+Q414+Q415+Q416+Q417+Q418+Q419+Q420+Q421+Q422+Q423+Q424+Q425+Q426+Q427, "NA")</f>
        <v>16603.349999999999</v>
      </c>
      <c r="R429" s="15">
        <f>IFERROR(Q429/Q444, "NA")</f>
        <v>2.1654101366368077E-2</v>
      </c>
      <c r="S429" s="2"/>
      <c r="T429" s="14">
        <f>IFERROR(T407+T408+T409+T410+T411+T412+T413+T414+T415+T416+T417+T418+T419+T420+T421+T422+T423+T424+T425+T426+T427, "NA")</f>
        <v>13450.49</v>
      </c>
      <c r="U429" s="15">
        <f>IFERROR(T429/T444, "NA")</f>
        <v>1.7529374577567237E-2</v>
      </c>
      <c r="V429" s="2"/>
      <c r="W429" s="14">
        <f t="shared" si="102"/>
        <v>-3152.8599999999988</v>
      </c>
      <c r="X429" s="15">
        <f>IFERROR(W429/W444, "NA")</f>
        <v>5.6469471459535319</v>
      </c>
      <c r="Y429" s="2"/>
      <c r="Z429" s="14">
        <f>IFERROR(Z407+Z408+Z409+Z410+Z411+Z412+Z413+Z414+Z415+Z416+Z417+Z418+Z419+Z420+Z421+Z422+Z423+Z424+Z425+Z426+Z427, "NA")</f>
        <v>12589.800000000001</v>
      </c>
      <c r="AA429" s="15">
        <f>IFERROR(Z429/Z444, "NA")</f>
        <v>1.7594358267520444E-2</v>
      </c>
      <c r="AB429" s="2"/>
      <c r="AC429" s="14">
        <f t="shared" si="103"/>
        <v>-4013.5499999999975</v>
      </c>
      <c r="AD429" s="15">
        <f>IFERROR(AC429/AC444, "NA")</f>
        <v>-7.8398514206977715E-2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24216.199999999946</v>
      </c>
      <c r="C443" s="24">
        <f>IFERROR(B443/B444, "NA")</f>
        <v>0.12178202605478147</v>
      </c>
      <c r="D443" s="25"/>
      <c r="E443" s="23">
        <f>IFERROR(E404-E429-E442, "NA")</f>
        <v>43302.729999999981</v>
      </c>
      <c r="F443" s="24">
        <f>IFERROR(E443/E444, "NA")</f>
        <v>0.19166199824292871</v>
      </c>
      <c r="G443" s="25"/>
      <c r="H443" s="23">
        <f>IFERROR(B443-E443, "NA")</f>
        <v>-19086.530000000035</v>
      </c>
      <c r="I443" s="24">
        <f>IFERROR(H443/H444, "NA")</f>
        <v>0.70471424715709385</v>
      </c>
      <c r="J443" s="25"/>
      <c r="K443" s="23">
        <f>IFERROR(K404-K429-K442, "NA")</f>
        <v>34251.290000000037</v>
      </c>
      <c r="L443" s="24">
        <f>IFERROR(K443/K444, "NA")</f>
        <v>0.1665699219606756</v>
      </c>
      <c r="M443" s="25"/>
      <c r="N443" s="23">
        <f>IFERROR(B443-K443, "NA")</f>
        <v>-10035.090000000091</v>
      </c>
      <c r="O443" s="24">
        <f>IFERROR(N443/N444, "NA")</f>
        <v>1.4804555070680729</v>
      </c>
      <c r="P443" s="25"/>
      <c r="Q443" s="23">
        <f>IFERROR(Q404-Q429-Q442, "NA")</f>
        <v>83691.730000000185</v>
      </c>
      <c r="R443" s="24">
        <f>IFERROR(Q443/Q444, "NA")</f>
        <v>0.10915081624772785</v>
      </c>
      <c r="S443" s="25"/>
      <c r="T443" s="23">
        <f>IFERROR(T404-T429-T442, "NA")</f>
        <v>117321.70000000001</v>
      </c>
      <c r="U443" s="24">
        <f>IFERROR(T443/T444, "NA")</f>
        <v>0.1528997103731515</v>
      </c>
      <c r="V443" s="25"/>
      <c r="W443" s="23">
        <f>IFERROR(Q443-T443, "NA")</f>
        <v>-33629.969999999827</v>
      </c>
      <c r="X443" s="24">
        <f>IFERROR(W443/W444, "NA")</f>
        <v>60.233141690402363</v>
      </c>
      <c r="Y443" s="25"/>
      <c r="Z443" s="23">
        <f>IFERROR(Z404-Z429-Z442, "NA")</f>
        <v>63349.110000000015</v>
      </c>
      <c r="AA443" s="24">
        <f>IFERROR(Z443/Z444, "NA")</f>
        <v>8.8530948646409174E-2</v>
      </c>
      <c r="AB443" s="25"/>
      <c r="AC443" s="23">
        <f>IFERROR(Q443-Z443, "NA")</f>
        <v>20342.62000000017</v>
      </c>
      <c r="AD443" s="24">
        <f>IFERROR(AC443/AC444, "NA")</f>
        <v>0.39736173289909515</v>
      </c>
    </row>
    <row r="444" spans="1:30" ht="15.75" hidden="1" x14ac:dyDescent="0.45">
      <c r="A444" s="26" t="s">
        <v>117</v>
      </c>
      <c r="B444" s="7">
        <v>198848.72</v>
      </c>
      <c r="C444" s="27"/>
      <c r="D444" s="9"/>
      <c r="E444" s="7">
        <v>225932.79</v>
      </c>
      <c r="F444" s="27"/>
      <c r="G444" s="9"/>
      <c r="H444" s="10">
        <f>IFERROR(B444-E444, "NA")</f>
        <v>-27084.070000000007</v>
      </c>
      <c r="I444" s="27"/>
      <c r="J444" s="9"/>
      <c r="K444" s="7">
        <v>205627.1</v>
      </c>
      <c r="L444" s="27"/>
      <c r="M444" s="9"/>
      <c r="N444" s="10">
        <f>IFERROR(B444-K444, "NA")</f>
        <v>-6778.3800000000047</v>
      </c>
      <c r="O444" s="27"/>
      <c r="P444" s="9"/>
      <c r="Q444" s="7">
        <v>766753.13</v>
      </c>
      <c r="R444" s="27"/>
      <c r="S444" s="9"/>
      <c r="T444" s="7">
        <v>767311.46</v>
      </c>
      <c r="U444" s="27"/>
      <c r="V444" s="9"/>
      <c r="W444" s="10">
        <f>IFERROR(Q444-T444, "NA")</f>
        <v>-558.32999999995809</v>
      </c>
      <c r="X444" s="27"/>
      <c r="Y444" s="9"/>
      <c r="Z444" s="7">
        <v>715558.92</v>
      </c>
      <c r="AA444" s="27"/>
      <c r="AB444" s="9"/>
      <c r="AC444" s="10">
        <f>IFERROR(Q444-Z444, "NA")</f>
        <v>51194.209999999963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43869.440000000002</v>
      </c>
      <c r="F10" s="8">
        <f>IFERROR(E10/E444, "NA")</f>
        <v>0.42600002524764546</v>
      </c>
      <c r="G10" s="9"/>
      <c r="H10" s="10">
        <f t="shared" ref="H10:H19" si="0">IFERROR(B10-E10, "NA")</f>
        <v>-43869.440000000002</v>
      </c>
      <c r="I10" s="8">
        <f>IFERROR(H10/H444, "NA")</f>
        <v>-6.9046913782330179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163701.85</v>
      </c>
      <c r="U10" s="8">
        <f>IFERROR(T10/T444, "NA")</f>
        <v>0.42599999245335357</v>
      </c>
      <c r="V10" s="9"/>
      <c r="W10" s="10">
        <f t="shared" ref="W10:W19" si="2">IFERROR(Q10-T10, "NA")</f>
        <v>-163701.85</v>
      </c>
      <c r="X10" s="8">
        <f>IFERROR(W10/W444, "NA")</f>
        <v>-10.165701546572622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44533.26</v>
      </c>
      <c r="C11" s="8">
        <f>IFERROR(B11/B444, "NA")</f>
        <v>0.40731589329415779</v>
      </c>
      <c r="D11" s="9"/>
      <c r="E11" s="7">
        <v>0</v>
      </c>
      <c r="F11" s="8">
        <f>IFERROR(E11/E444, "NA")</f>
        <v>0</v>
      </c>
      <c r="G11" s="9"/>
      <c r="H11" s="10">
        <f t="shared" si="0"/>
        <v>44533.26</v>
      </c>
      <c r="I11" s="8">
        <f>IFERROR(H11/H444, "NA")</f>
        <v>7.0091712218484963</v>
      </c>
      <c r="J11" s="9"/>
      <c r="K11" s="7">
        <v>42873.9</v>
      </c>
      <c r="L11" s="8">
        <f>IFERROR(K11/K444, "NA")</f>
        <v>0.45796592752897142</v>
      </c>
      <c r="M11" s="9"/>
      <c r="N11" s="10">
        <f t="shared" si="1"/>
        <v>1659.3600000000006</v>
      </c>
      <c r="O11" s="8">
        <f>IFERROR(N11/N444, "NA")</f>
        <v>0.10558835076743348</v>
      </c>
      <c r="P11" s="9"/>
      <c r="Q11" s="7">
        <v>151885.59</v>
      </c>
      <c r="R11" s="8">
        <f>IFERROR(Q11/Q444, "NA")</f>
        <v>0.37935358909036415</v>
      </c>
      <c r="S11" s="9"/>
      <c r="T11" s="7">
        <v>0</v>
      </c>
      <c r="U11" s="8">
        <f>IFERROR(T11/T444, "NA")</f>
        <v>0</v>
      </c>
      <c r="V11" s="9"/>
      <c r="W11" s="10">
        <f t="shared" si="2"/>
        <v>151885.59</v>
      </c>
      <c r="X11" s="8">
        <f>IFERROR(W11/W444, "NA")</f>
        <v>9.4319250342320213</v>
      </c>
      <c r="Y11" s="9"/>
      <c r="Z11" s="7">
        <v>156094.59</v>
      </c>
      <c r="AA11" s="8">
        <f>IFERROR(Z11/Z444, "NA")</f>
        <v>0.43346774075975669</v>
      </c>
      <c r="AB11" s="9"/>
      <c r="AC11" s="10">
        <f t="shared" si="3"/>
        <v>-4209</v>
      </c>
      <c r="AD11" s="8">
        <f>IFERROR(AC11/AC444, "NA")</f>
        <v>-0.10451064362317476</v>
      </c>
    </row>
    <row r="12" spans="1:30" ht="16.5" customHeight="1" x14ac:dyDescent="0.45">
      <c r="A12" s="12" t="s">
        <v>14</v>
      </c>
      <c r="B12" s="7">
        <v>4440.25</v>
      </c>
      <c r="C12" s="8">
        <f>IFERROR(B12/B444, "NA")</f>
        <v>4.0611991917936935E-2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4440.25</v>
      </c>
      <c r="I12" s="8">
        <f>IFERROR(H12/H444, "NA")</f>
        <v>0.69885906663497765</v>
      </c>
      <c r="J12" s="9"/>
      <c r="K12" s="7">
        <v>4659.45</v>
      </c>
      <c r="L12" s="8">
        <f>IFERROR(K12/K444, "NA")</f>
        <v>4.9770824231638963E-2</v>
      </c>
      <c r="M12" s="9"/>
      <c r="N12" s="10">
        <f t="shared" si="1"/>
        <v>-219.19999999999982</v>
      </c>
      <c r="O12" s="8">
        <f>IFERROR(N12/N444, "NA")</f>
        <v>-1.3948128488225214E-2</v>
      </c>
      <c r="P12" s="9"/>
      <c r="Q12" s="7">
        <v>14071.85</v>
      </c>
      <c r="R12" s="8">
        <f>IFERROR(Q12/Q444, "NA")</f>
        <v>3.514623607572806E-2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14071.85</v>
      </c>
      <c r="X12" s="8">
        <f>IFERROR(W12/W444, "NA")</f>
        <v>0.8738461251851336</v>
      </c>
      <c r="Y12" s="9"/>
      <c r="Z12" s="7">
        <v>15203.7</v>
      </c>
      <c r="AA12" s="8">
        <f>IFERROR(Z12/Z444, "NA")</f>
        <v>4.2219999361855609E-2</v>
      </c>
      <c r="AB12" s="9"/>
      <c r="AC12" s="10">
        <f t="shared" si="3"/>
        <v>-1131.8500000000004</v>
      </c>
      <c r="AD12" s="8">
        <f>IFERROR(AC12/AC444, "NA")</f>
        <v>-2.8104151101185647E-2</v>
      </c>
    </row>
    <row r="13" spans="1:30" ht="16.5" customHeight="1" x14ac:dyDescent="0.45">
      <c r="A13" s="12" t="s">
        <v>15</v>
      </c>
      <c r="B13" s="7">
        <v>211</v>
      </c>
      <c r="C13" s="8">
        <f>IFERROR(B13/B444, "NA")</f>
        <v>1.9298756364359423E-3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211</v>
      </c>
      <c r="I13" s="8">
        <f>IFERROR(H13/H444, "NA")</f>
        <v>3.3209675820050737E-2</v>
      </c>
      <c r="J13" s="9"/>
      <c r="K13" s="7">
        <v>208</v>
      </c>
      <c r="L13" s="8">
        <f>IFERROR(K13/K444, "NA")</f>
        <v>2.2217925807082174E-3</v>
      </c>
      <c r="M13" s="9"/>
      <c r="N13" s="10">
        <f t="shared" si="1"/>
        <v>3</v>
      </c>
      <c r="O13" s="8">
        <f>IFERROR(N13/N444, "NA")</f>
        <v>1.9089591909067372E-4</v>
      </c>
      <c r="P13" s="9"/>
      <c r="Q13" s="7">
        <v>469</v>
      </c>
      <c r="R13" s="8">
        <f>IFERROR(Q13/Q444, "NA")</f>
        <v>1.1713871821769318E-3</v>
      </c>
      <c r="S13" s="9"/>
      <c r="T13" s="7">
        <v>0</v>
      </c>
      <c r="U13" s="8">
        <f>IFERROR(T13/T444, "NA")</f>
        <v>0</v>
      </c>
      <c r="V13" s="9"/>
      <c r="W13" s="10">
        <f t="shared" si="2"/>
        <v>469</v>
      </c>
      <c r="X13" s="8">
        <f>IFERROR(W13/W444, "NA")</f>
        <v>2.9124374741901573E-2</v>
      </c>
      <c r="Y13" s="9"/>
      <c r="Z13" s="7">
        <v>516.5</v>
      </c>
      <c r="AA13" s="8">
        <f>IFERROR(Z13/Z444, "NA")</f>
        <v>1.4342975506224419E-3</v>
      </c>
      <c r="AB13" s="9"/>
      <c r="AC13" s="10">
        <f t="shared" si="3"/>
        <v>-47.5</v>
      </c>
      <c r="AD13" s="8">
        <f>IFERROR(AC13/AC444, "NA")</f>
        <v>-1.1794382447376578E-3</v>
      </c>
    </row>
    <row r="14" spans="1:30" ht="16.5" customHeight="1" x14ac:dyDescent="0.45">
      <c r="A14" s="12" t="s">
        <v>16</v>
      </c>
      <c r="B14" s="7">
        <v>15</v>
      </c>
      <c r="C14" s="8">
        <f>IFERROR(B14/B444, "NA")</f>
        <v>1.3719495045753143E-4</v>
      </c>
      <c r="D14" s="9"/>
      <c r="E14" s="7">
        <v>0</v>
      </c>
      <c r="F14" s="8">
        <f>IFERROR(E14/E444, "NA")</f>
        <v>0</v>
      </c>
      <c r="G14" s="9"/>
      <c r="H14" s="10">
        <f t="shared" si="0"/>
        <v>15</v>
      </c>
      <c r="I14" s="8">
        <f>IFERROR(H14/H444, "NA")</f>
        <v>2.3608774279656923E-3</v>
      </c>
      <c r="J14" s="9"/>
      <c r="K14" s="7">
        <v>260</v>
      </c>
      <c r="L14" s="8">
        <f>IFERROR(K14/K444, "NA")</f>
        <v>2.7772407258852719E-3</v>
      </c>
      <c r="M14" s="9"/>
      <c r="N14" s="10">
        <f t="shared" si="1"/>
        <v>-245</v>
      </c>
      <c r="O14" s="8">
        <f>IFERROR(N14/N444, "NA")</f>
        <v>-1.5589833392405019E-2</v>
      </c>
      <c r="P14" s="9"/>
      <c r="Q14" s="7">
        <v>135</v>
      </c>
      <c r="R14" s="8">
        <f>IFERROR(Q14/Q444, "NA")</f>
        <v>3.371796793046606E-4</v>
      </c>
      <c r="S14" s="9"/>
      <c r="T14" s="7">
        <v>0</v>
      </c>
      <c r="U14" s="8">
        <f>IFERROR(T14/T444, "NA")</f>
        <v>0</v>
      </c>
      <c r="V14" s="9"/>
      <c r="W14" s="10">
        <f t="shared" si="2"/>
        <v>135</v>
      </c>
      <c r="X14" s="8">
        <f>IFERROR(W14/W444, "NA")</f>
        <v>8.3833488063042912E-3</v>
      </c>
      <c r="Y14" s="9"/>
      <c r="Z14" s="7">
        <v>1145</v>
      </c>
      <c r="AA14" s="8">
        <f>IFERROR(Z14/Z444, "NA")</f>
        <v>3.179614124806769E-3</v>
      </c>
      <c r="AB14" s="9"/>
      <c r="AC14" s="10">
        <f t="shared" si="3"/>
        <v>-1010</v>
      </c>
      <c r="AD14" s="8">
        <f>IFERROR(AC14/AC444, "NA")</f>
        <v>-2.5078581624948089E-2</v>
      </c>
    </row>
    <row r="15" spans="1:30" ht="16.5" customHeight="1" x14ac:dyDescent="0.45">
      <c r="A15" s="12" t="s">
        <v>17</v>
      </c>
      <c r="B15" s="7">
        <v>8</v>
      </c>
      <c r="C15" s="8">
        <f>IFERROR(B15/B444, "NA")</f>
        <v>7.3170640244016772E-5</v>
      </c>
      <c r="D15" s="9"/>
      <c r="E15" s="7">
        <v>0</v>
      </c>
      <c r="F15" s="8">
        <f>IFERROR(E15/E444, "NA")</f>
        <v>0</v>
      </c>
      <c r="G15" s="9"/>
      <c r="H15" s="10">
        <f t="shared" si="0"/>
        <v>8</v>
      </c>
      <c r="I15" s="8">
        <f>IFERROR(H15/H444, "NA")</f>
        <v>1.2591346282483692E-3</v>
      </c>
      <c r="J15" s="9"/>
      <c r="K15" s="7">
        <v>56</v>
      </c>
      <c r="L15" s="8">
        <f>IFERROR(K15/K444, "NA")</f>
        <v>5.9817492557528941E-4</v>
      </c>
      <c r="M15" s="9"/>
      <c r="N15" s="10">
        <f t="shared" si="1"/>
        <v>-48</v>
      </c>
      <c r="O15" s="8">
        <f>IFERROR(N15/N444, "NA")</f>
        <v>-3.0543347054507795E-3</v>
      </c>
      <c r="P15" s="9"/>
      <c r="Q15" s="7">
        <v>172</v>
      </c>
      <c r="R15" s="8">
        <f>IFERROR(Q15/Q444, "NA")</f>
        <v>4.2959188770667867E-4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172</v>
      </c>
      <c r="X15" s="8">
        <f>IFERROR(W15/W444, "NA")</f>
        <v>1.0681007368032134E-2</v>
      </c>
      <c r="Y15" s="9"/>
      <c r="Z15" s="7">
        <v>107</v>
      </c>
      <c r="AA15" s="8">
        <f>IFERROR(Z15/Z444, "NA")</f>
        <v>2.9713424572430067E-4</v>
      </c>
      <c r="AB15" s="9"/>
      <c r="AC15" s="10">
        <f t="shared" si="3"/>
        <v>65</v>
      </c>
      <c r="AD15" s="8">
        <f>IFERROR(AC15/AC444, "NA")</f>
        <v>1.6139681243778473E-3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1.1000000000000001</v>
      </c>
      <c r="AA16" s="8">
        <f>IFERROR(Z16/Z444, "NA")</f>
        <v>3.0546511242685119E-6</v>
      </c>
      <c r="AB16" s="9"/>
      <c r="AC16" s="10">
        <f t="shared" si="3"/>
        <v>-1.1000000000000001</v>
      </c>
      <c r="AD16" s="8">
        <f>IFERROR(AC16/AC444, "NA")</f>
        <v>-2.7313306720240495E-5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49207.51</v>
      </c>
      <c r="C18" s="15">
        <f>IFERROR(B18/B444, "NA")</f>
        <v>0.45006812643923222</v>
      </c>
      <c r="D18" s="2"/>
      <c r="E18" s="14">
        <f>IFERROR(E10+E11+E12+E13+E14+E15+E16+E17, "NA")</f>
        <v>43869.440000000002</v>
      </c>
      <c r="F18" s="15">
        <f>IFERROR(E18/E444, "NA")</f>
        <v>0.42600002524764546</v>
      </c>
      <c r="G18" s="2"/>
      <c r="H18" s="14">
        <f t="shared" si="0"/>
        <v>5338.07</v>
      </c>
      <c r="I18" s="15">
        <f>IFERROR(H18/H444, "NA")</f>
        <v>0.84016859812672151</v>
      </c>
      <c r="J18" s="2"/>
      <c r="K18" s="14">
        <f>IFERROR(K10+K11+K12+K13+K14+K15+K16+K17, "NA")</f>
        <v>48057.35</v>
      </c>
      <c r="L18" s="15">
        <f>IFERROR(K18/K444, "NA")</f>
        <v>0.51333395999277909</v>
      </c>
      <c r="M18" s="2"/>
      <c r="N18" s="14">
        <f t="shared" si="1"/>
        <v>1150.1600000000035</v>
      </c>
      <c r="O18" s="15">
        <f>IFERROR(N18/N444, "NA")</f>
        <v>7.3186950100443307E-2</v>
      </c>
      <c r="P18" s="2"/>
      <c r="Q18" s="14">
        <f>IFERROR(Q10+Q11+Q12+Q13+Q14+Q15+Q16+Q17, "NA")</f>
        <v>166733.44</v>
      </c>
      <c r="R18" s="15">
        <f>IFERROR(Q18/Q444, "NA")</f>
        <v>0.41643798391528047</v>
      </c>
      <c r="S18" s="2"/>
      <c r="T18" s="14">
        <f>IFERROR(T10+T11+T12+T13+T14+T15+T16+T17, "NA")</f>
        <v>163701.85</v>
      </c>
      <c r="U18" s="15">
        <f>IFERROR(T18/T444, "NA")</f>
        <v>0.42599999245335357</v>
      </c>
      <c r="V18" s="2"/>
      <c r="W18" s="14">
        <f t="shared" si="2"/>
        <v>3031.5899999999965</v>
      </c>
      <c r="X18" s="15">
        <f>IFERROR(W18/W444, "NA")</f>
        <v>0.18825834376077033</v>
      </c>
      <c r="Y18" s="2"/>
      <c r="Z18" s="14">
        <f>IFERROR(Z10+Z11+Z12+Z13+Z14+Z15+Z16+Z17, "NA")</f>
        <v>173067.89</v>
      </c>
      <c r="AA18" s="15">
        <f>IFERROR(Z18/Z444, "NA")</f>
        <v>0.48060184069389011</v>
      </c>
      <c r="AB18" s="2"/>
      <c r="AC18" s="14">
        <f t="shared" si="3"/>
        <v>-6334.4500000000116</v>
      </c>
      <c r="AD18" s="15">
        <f>IFERROR(AC18/AC444, "NA")</f>
        <v>-0.15728615977638882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9474.15</v>
      </c>
      <c r="F21" s="8">
        <f>IFERROR(E21/E444, "NA")</f>
        <v>9.1999992231493716E-2</v>
      </c>
      <c r="G21" s="9"/>
      <c r="H21" s="10">
        <f t="shared" ref="H21:H29" si="4">IFERROR(B21-E21, "NA")</f>
        <v>-9474.15</v>
      </c>
      <c r="I21" s="8">
        <f>IFERROR(H21/H444, "NA")</f>
        <v>-1.4911537922774107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35353.449999999997</v>
      </c>
      <c r="U21" s="8">
        <f>IFERROR(T21/T444, "NA")</f>
        <v>9.1999995315874633E-2</v>
      </c>
      <c r="V21" s="9"/>
      <c r="W21" s="10">
        <f t="shared" ref="W21:W29" si="6">IFERROR(Q21-T21, "NA")</f>
        <v>-35353.449999999997</v>
      </c>
      <c r="X21" s="8">
        <f>IFERROR(W21/W444, "NA")</f>
        <v>-2.1954096507869512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IFERROR(B22/B444, "NA")</f>
        <v>0</v>
      </c>
      <c r="D22" s="9"/>
      <c r="E22" s="7">
        <v>0</v>
      </c>
      <c r="F22" s="8">
        <f>IFERROR(E22/E444, "NA")</f>
        <v>0</v>
      </c>
      <c r="G22" s="9"/>
      <c r="H22" s="10">
        <f t="shared" si="4"/>
        <v>0</v>
      </c>
      <c r="I22" s="8">
        <f>IFERROR(H22/H444, "NA")</f>
        <v>0</v>
      </c>
      <c r="J22" s="9"/>
      <c r="K22" s="7">
        <v>6107.1</v>
      </c>
      <c r="L22" s="8">
        <f>IFERROR(K22/K444, "NA")</f>
        <v>6.5234180142515169E-2</v>
      </c>
      <c r="M22" s="9"/>
      <c r="N22" s="10">
        <f t="shared" si="5"/>
        <v>-6107.1</v>
      </c>
      <c r="O22" s="8">
        <f>IFERROR(N22/N444, "NA")</f>
        <v>-0.38860682249288447</v>
      </c>
      <c r="P22" s="9"/>
      <c r="Q22" s="7">
        <v>2374.6799999999998</v>
      </c>
      <c r="R22" s="8">
        <f>IFERROR(Q22/Q444, "NA")</f>
        <v>5.931065487786602E-3</v>
      </c>
      <c r="S22" s="9"/>
      <c r="T22" s="7">
        <v>0</v>
      </c>
      <c r="U22" s="8">
        <f>IFERROR(T22/T444, "NA")</f>
        <v>0</v>
      </c>
      <c r="V22" s="9"/>
      <c r="W22" s="10">
        <f t="shared" si="6"/>
        <v>2374.6799999999998</v>
      </c>
      <c r="X22" s="8">
        <f>IFERROR(W22/W444, "NA")</f>
        <v>0.14746496846929386</v>
      </c>
      <c r="Y22" s="9"/>
      <c r="Z22" s="7">
        <v>22789</v>
      </c>
      <c r="AA22" s="8">
        <f>IFERROR(Z22/Z444, "NA")</f>
        <v>6.3284040428141008E-2</v>
      </c>
      <c r="AB22" s="9"/>
      <c r="AC22" s="10">
        <f t="shared" si="7"/>
        <v>-20414.32</v>
      </c>
      <c r="AD22" s="8">
        <f>IFERROR(AC22/AC444, "NA")</f>
        <v>-0.50689325785921813</v>
      </c>
    </row>
    <row r="23" spans="1:30" ht="16.5" customHeight="1" x14ac:dyDescent="0.45">
      <c r="A23" s="12" t="s">
        <v>24</v>
      </c>
      <c r="B23" s="7">
        <v>5423.4</v>
      </c>
      <c r="C23" s="8">
        <f>IFERROR(B23/B444, "NA")</f>
        <v>4.9604206287425061E-2</v>
      </c>
      <c r="D23" s="9"/>
      <c r="E23" s="7">
        <v>0</v>
      </c>
      <c r="F23" s="8">
        <f>IFERROR(E23/E444, "NA")</f>
        <v>0</v>
      </c>
      <c r="G23" s="9"/>
      <c r="H23" s="10">
        <f t="shared" si="4"/>
        <v>5423.4</v>
      </c>
      <c r="I23" s="8">
        <f>IFERROR(H23/H444, "NA")</f>
        <v>0.85359884285527565</v>
      </c>
      <c r="J23" s="9"/>
      <c r="K23" s="7">
        <v>0</v>
      </c>
      <c r="L23" s="8">
        <f>IFERROR(K23/K444, "NA")</f>
        <v>0</v>
      </c>
      <c r="M23" s="9"/>
      <c r="N23" s="10">
        <f t="shared" si="5"/>
        <v>5423.4</v>
      </c>
      <c r="O23" s="8">
        <f>IFERROR(N23/N444, "NA")</f>
        <v>0.34510164253211989</v>
      </c>
      <c r="P23" s="9"/>
      <c r="Q23" s="7">
        <v>17702.45</v>
      </c>
      <c r="R23" s="8">
        <f>IFERROR(Q23/Q444, "NA")</f>
        <v>4.4214121584494732E-2</v>
      </c>
      <c r="S23" s="9"/>
      <c r="T23" s="7">
        <v>0</v>
      </c>
      <c r="U23" s="8">
        <f>IFERROR(T23/T444, "NA")</f>
        <v>0</v>
      </c>
      <c r="V23" s="9"/>
      <c r="W23" s="10">
        <f t="shared" si="6"/>
        <v>17702.45</v>
      </c>
      <c r="X23" s="8">
        <f>IFERROR(W23/W444, "NA")</f>
        <v>1.0993023190826769</v>
      </c>
      <c r="Y23" s="9"/>
      <c r="Z23" s="7">
        <v>0</v>
      </c>
      <c r="AA23" s="8">
        <f>IFERROR(Z23/Z444, "NA")</f>
        <v>0</v>
      </c>
      <c r="AB23" s="9"/>
      <c r="AC23" s="10">
        <f t="shared" si="7"/>
        <v>17702.45</v>
      </c>
      <c r="AD23" s="8">
        <f>IFERROR(AC23/AC444, "NA")</f>
        <v>0.43955676959065576</v>
      </c>
    </row>
    <row r="24" spans="1:30" ht="16.5" customHeight="1" x14ac:dyDescent="0.45">
      <c r="A24" s="12" t="s">
        <v>25</v>
      </c>
      <c r="B24" s="7">
        <v>1274.1099999999999</v>
      </c>
      <c r="C24" s="8">
        <f>IFERROR(B24/B444, "NA")</f>
        <v>1.1653430555163024E-2</v>
      </c>
      <c r="D24" s="9"/>
      <c r="E24" s="7">
        <v>0</v>
      </c>
      <c r="F24" s="8">
        <f>IFERROR(E24/E444, "NA")</f>
        <v>0</v>
      </c>
      <c r="G24" s="9"/>
      <c r="H24" s="10">
        <f t="shared" si="4"/>
        <v>1274.1099999999999</v>
      </c>
      <c r="I24" s="8">
        <f>IFERROR(H24/H444, "NA")</f>
        <v>0.20053450264969119</v>
      </c>
      <c r="J24" s="9"/>
      <c r="K24" s="7">
        <v>1300.43</v>
      </c>
      <c r="L24" s="8">
        <f>IFERROR(K24/K444, "NA")</f>
        <v>1.3890796758319172E-2</v>
      </c>
      <c r="M24" s="9"/>
      <c r="N24" s="10">
        <f t="shared" si="5"/>
        <v>-26.320000000000164</v>
      </c>
      <c r="O24" s="8">
        <f>IFERROR(N24/N444, "NA")</f>
        <v>-1.674793530155521E-3</v>
      </c>
      <c r="P24" s="9"/>
      <c r="Q24" s="7">
        <v>4283.51</v>
      </c>
      <c r="R24" s="8">
        <f>IFERROR(Q24/Q444, "NA")</f>
        <v>1.0698611319246716E-2</v>
      </c>
      <c r="S24" s="9"/>
      <c r="T24" s="7">
        <v>0</v>
      </c>
      <c r="U24" s="8">
        <f>IFERROR(T24/T444, "NA")</f>
        <v>0</v>
      </c>
      <c r="V24" s="9"/>
      <c r="W24" s="10">
        <f t="shared" si="6"/>
        <v>4283.51</v>
      </c>
      <c r="X24" s="8">
        <f>IFERROR(W24/W444, "NA")</f>
        <v>0.2660011736688333</v>
      </c>
      <c r="Y24" s="9"/>
      <c r="Z24" s="7">
        <v>4711.47</v>
      </c>
      <c r="AA24" s="8">
        <f>IFERROR(Z24/Z444, "NA")</f>
        <v>1.3083542847688513E-2</v>
      </c>
      <c r="AB24" s="9"/>
      <c r="AC24" s="10">
        <f t="shared" si="7"/>
        <v>-427.96000000000004</v>
      </c>
      <c r="AD24" s="8">
        <f>IFERROR(AC24/AC444, "NA")</f>
        <v>-1.0626366130903748E-2</v>
      </c>
    </row>
    <row r="25" spans="1:30" ht="16.5" customHeight="1" x14ac:dyDescent="0.45">
      <c r="A25" s="12" t="s">
        <v>26</v>
      </c>
      <c r="B25" s="7">
        <v>104.02</v>
      </c>
      <c r="C25" s="8">
        <f>IFERROR(B25/B444, "NA")</f>
        <v>9.5140124977282801E-4</v>
      </c>
      <c r="D25" s="9"/>
      <c r="E25" s="7">
        <v>0</v>
      </c>
      <c r="F25" s="8">
        <f>IFERROR(E25/E444, "NA")</f>
        <v>0</v>
      </c>
      <c r="G25" s="9"/>
      <c r="H25" s="10">
        <f t="shared" si="4"/>
        <v>104.02</v>
      </c>
      <c r="I25" s="8">
        <f>IFERROR(H25/H444, "NA")</f>
        <v>1.6371898003799418E-2</v>
      </c>
      <c r="J25" s="9"/>
      <c r="K25" s="7">
        <v>0</v>
      </c>
      <c r="L25" s="8">
        <f>IFERROR(K25/K444, "NA")</f>
        <v>0</v>
      </c>
      <c r="M25" s="9"/>
      <c r="N25" s="10">
        <f t="shared" si="5"/>
        <v>104.02</v>
      </c>
      <c r="O25" s="8">
        <f>IFERROR(N25/N444, "NA")</f>
        <v>6.6189978346039595E-3</v>
      </c>
      <c r="P25" s="9"/>
      <c r="Q25" s="7">
        <v>337.63</v>
      </c>
      <c r="R25" s="8">
        <f>IFERROR(Q25/Q444, "NA")</f>
        <v>8.4327388980468551E-4</v>
      </c>
      <c r="S25" s="9"/>
      <c r="T25" s="7">
        <v>0</v>
      </c>
      <c r="U25" s="8">
        <f>IFERROR(T25/T444, "NA")</f>
        <v>0</v>
      </c>
      <c r="V25" s="9"/>
      <c r="W25" s="10">
        <f t="shared" si="6"/>
        <v>337.63</v>
      </c>
      <c r="X25" s="8">
        <f>IFERROR(W25/W444, "NA")</f>
        <v>2.0966444870166797E-2</v>
      </c>
      <c r="Y25" s="9"/>
      <c r="Z25" s="7">
        <v>0</v>
      </c>
      <c r="AA25" s="8">
        <f>IFERROR(Z25/Z444, "NA")</f>
        <v>0</v>
      </c>
      <c r="AB25" s="9"/>
      <c r="AC25" s="10">
        <f t="shared" si="7"/>
        <v>337.63</v>
      </c>
      <c r="AD25" s="8">
        <f>IFERROR(AC25/AC444, "NA")</f>
        <v>8.3834470435952702E-3</v>
      </c>
    </row>
    <row r="26" spans="1:30" ht="16.5" customHeight="1" x14ac:dyDescent="0.45">
      <c r="A26" s="12" t="s">
        <v>27</v>
      </c>
      <c r="B26" s="7">
        <v>2072.39</v>
      </c>
      <c r="C26" s="8">
        <f>IFERROR(B26/B444, "NA")</f>
        <v>1.8954762891912239E-2</v>
      </c>
      <c r="D26" s="9"/>
      <c r="E26" s="7">
        <v>0</v>
      </c>
      <c r="F26" s="8">
        <f>IFERROR(E26/E444, "NA")</f>
        <v>0</v>
      </c>
      <c r="G26" s="9"/>
      <c r="H26" s="10">
        <f t="shared" si="4"/>
        <v>2072.39</v>
      </c>
      <c r="I26" s="8">
        <f>IFERROR(H26/H444, "NA")</f>
        <v>0.3261772515294547</v>
      </c>
      <c r="J26" s="9"/>
      <c r="K26" s="7">
        <v>0</v>
      </c>
      <c r="L26" s="8">
        <f>IFERROR(K26/K444, "NA")</f>
        <v>0</v>
      </c>
      <c r="M26" s="9"/>
      <c r="N26" s="10">
        <f t="shared" si="5"/>
        <v>2072.39</v>
      </c>
      <c r="O26" s="8">
        <f>IFERROR(N26/N444, "NA")</f>
        <v>0.13187026458810708</v>
      </c>
      <c r="P26" s="9"/>
      <c r="Q26" s="7">
        <v>7890.38</v>
      </c>
      <c r="R26" s="8">
        <f>IFERROR(Q26/Q444, "NA")</f>
        <v>1.9707228133273389E-2</v>
      </c>
      <c r="S26" s="9"/>
      <c r="T26" s="7">
        <v>0</v>
      </c>
      <c r="U26" s="8">
        <f>IFERROR(T26/T444, "NA")</f>
        <v>0</v>
      </c>
      <c r="V26" s="9"/>
      <c r="W26" s="10">
        <f t="shared" si="6"/>
        <v>7890.38</v>
      </c>
      <c r="X26" s="8">
        <f>IFERROR(W26/W444, "NA")</f>
        <v>0.48998376114286851</v>
      </c>
      <c r="Y26" s="9"/>
      <c r="Z26" s="7">
        <v>0</v>
      </c>
      <c r="AA26" s="8">
        <f>IFERROR(Z26/Z444, "NA")</f>
        <v>0</v>
      </c>
      <c r="AB26" s="9"/>
      <c r="AC26" s="10">
        <f t="shared" si="7"/>
        <v>7890.38</v>
      </c>
      <c r="AD26" s="8">
        <f>IFERROR(AC26/AC444, "NA")</f>
        <v>0.19592033552659199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844.59</v>
      </c>
      <c r="C28" s="8">
        <f>IFERROR(B28/B444, "NA")</f>
        <v>7.7248988804617651E-3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844.59</v>
      </c>
      <c r="I28" s="8">
        <f>IFERROR(H28/H444, "NA")</f>
        <v>0.13293156445903628</v>
      </c>
      <c r="J28" s="9"/>
      <c r="K28" s="7">
        <v>880.53</v>
      </c>
      <c r="L28" s="8">
        <f>IFERROR(K28/K444, "NA")</f>
        <v>9.4055529860144552E-3</v>
      </c>
      <c r="M28" s="9"/>
      <c r="N28" s="10">
        <f t="shared" si="5"/>
        <v>-35.939999999999941</v>
      </c>
      <c r="O28" s="8">
        <f>IFERROR(N28/N444, "NA")</f>
        <v>-2.2869331107062672E-3</v>
      </c>
      <c r="P28" s="9"/>
      <c r="Q28" s="7">
        <v>3168.71</v>
      </c>
      <c r="R28" s="8">
        <f>IFERROR(Q28/Q444, "NA")</f>
        <v>7.9142564563664513E-3</v>
      </c>
      <c r="S28" s="9"/>
      <c r="T28" s="7">
        <v>0</v>
      </c>
      <c r="U28" s="8">
        <f>IFERROR(T28/T444, "NA")</f>
        <v>0</v>
      </c>
      <c r="V28" s="9"/>
      <c r="W28" s="10">
        <f t="shared" si="6"/>
        <v>3168.71</v>
      </c>
      <c r="X28" s="8">
        <f>IFERROR(W28/W444, "NA")</f>
        <v>0.19677334219277384</v>
      </c>
      <c r="Y28" s="9"/>
      <c r="Z28" s="7">
        <v>3418.97</v>
      </c>
      <c r="AA28" s="8">
        <f>IFERROR(Z28/Z444, "NA")</f>
        <v>9.4943277766730109E-3</v>
      </c>
      <c r="AB28" s="9"/>
      <c r="AC28" s="10">
        <f t="shared" si="7"/>
        <v>-250.25999999999976</v>
      </c>
      <c r="AD28" s="8">
        <f>IFERROR(AC28/AC444, "NA")</f>
        <v>-6.214025581643072E-3</v>
      </c>
    </row>
    <row r="29" spans="1:30" ht="16.5" customHeight="1" x14ac:dyDescent="0.45">
      <c r="A29" s="13" t="s">
        <v>30</v>
      </c>
      <c r="B29" s="14">
        <f>IFERROR(B21+B22+B23+B24+B25+B26+B27+B28, "NA")</f>
        <v>9718.51</v>
      </c>
      <c r="C29" s="15">
        <f>IFERROR(B29/B444, "NA")</f>
        <v>8.8888699864734924E-2</v>
      </c>
      <c r="D29" s="2"/>
      <c r="E29" s="14">
        <f>IFERROR(E21+E22+E23+E24+E25+E26+E27+E28, "NA")</f>
        <v>9474.15</v>
      </c>
      <c r="F29" s="15">
        <f>IFERROR(E29/E444, "NA")</f>
        <v>9.1999992231493716E-2</v>
      </c>
      <c r="G29" s="2"/>
      <c r="H29" s="14">
        <f t="shared" si="4"/>
        <v>244.36000000000058</v>
      </c>
      <c r="I29" s="15">
        <f>IFERROR(H29/H444, "NA")</f>
        <v>3.8460267219846529E-2</v>
      </c>
      <c r="J29" s="2"/>
      <c r="K29" s="14">
        <f>IFERROR(K21+K22+K23+K24+K25+K26+K27+K28, "NA")</f>
        <v>8288.0600000000013</v>
      </c>
      <c r="L29" s="15">
        <f>IFERROR(K29/K444, "NA")</f>
        <v>8.8530529886848813E-2</v>
      </c>
      <c r="M29" s="2"/>
      <c r="N29" s="14">
        <f t="shared" si="5"/>
        <v>1430.4499999999989</v>
      </c>
      <c r="O29" s="15">
        <f>IFERROR(N29/N444, "NA")</f>
        <v>9.1022355821084672E-2</v>
      </c>
      <c r="P29" s="2"/>
      <c r="Q29" s="14">
        <f>IFERROR(Q21+Q22+Q23+Q24+Q25+Q26+Q27+Q28, "NA")</f>
        <v>35757.360000000001</v>
      </c>
      <c r="R29" s="15">
        <f>IFERROR(Q29/Q444, "NA")</f>
        <v>8.9308556870972583E-2</v>
      </c>
      <c r="S29" s="2"/>
      <c r="T29" s="14">
        <f>IFERROR(T21+T22+T23+T24+T25+T26+T27+T28, "NA")</f>
        <v>35353.449999999997</v>
      </c>
      <c r="U29" s="15">
        <f>IFERROR(T29/T444, "NA")</f>
        <v>9.1999995315874633E-2</v>
      </c>
      <c r="V29" s="2"/>
      <c r="W29" s="14">
        <f t="shared" si="6"/>
        <v>403.91000000000349</v>
      </c>
      <c r="X29" s="15">
        <f>IFERROR(W29/W444, "NA")</f>
        <v>2.5082358639662187E-2</v>
      </c>
      <c r="Y29" s="2"/>
      <c r="Z29" s="14">
        <f>IFERROR(Z21+Z22+Z23+Z24+Z25+Z26+Z27+Z28, "NA")</f>
        <v>30919.440000000002</v>
      </c>
      <c r="AA29" s="15">
        <f>IFERROR(Z29/Z444, "NA")</f>
        <v>8.5861911052502543E-2</v>
      </c>
      <c r="AB29" s="2"/>
      <c r="AC29" s="14">
        <f t="shared" si="7"/>
        <v>4837.9199999999983</v>
      </c>
      <c r="AD29" s="15">
        <f>IFERROR(AC29/AC444, "NA")</f>
        <v>0.12012690258907804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24921.14</v>
      </c>
      <c r="F31" s="8">
        <f>IFERROR(E31/E444, "NA")</f>
        <v>0.24200004078465798</v>
      </c>
      <c r="G31" s="9"/>
      <c r="H31" s="10">
        <f t="shared" ref="H31:H40" si="8">IFERROR(B31-E31, "NA")</f>
        <v>-24921.14</v>
      </c>
      <c r="I31" s="8">
        <f>IFERROR(H31/H444, "NA")</f>
        <v>-3.9223837936781956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92994.96</v>
      </c>
      <c r="U31" s="8">
        <f>IFERROR(T31/T444, "NA")</f>
        <v>0.24200002784452296</v>
      </c>
      <c r="V31" s="9"/>
      <c r="W31" s="10">
        <f t="shared" ref="W31:W40" si="10">IFERROR(Q31-T31, "NA")</f>
        <v>-92994.96</v>
      </c>
      <c r="X31" s="8">
        <f>IFERROR(W31/W444, "NA")</f>
        <v>-5.7748828659875207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12317.94</v>
      </c>
      <c r="C33" s="8">
        <f>IFERROR(B33/B444, "NA")</f>
        <v>0.11266394453592299</v>
      </c>
      <c r="D33" s="9"/>
      <c r="E33" s="7">
        <v>0</v>
      </c>
      <c r="F33" s="8">
        <f>IFERROR(E33/E444, "NA")</f>
        <v>0</v>
      </c>
      <c r="G33" s="9"/>
      <c r="H33" s="10">
        <f t="shared" si="8"/>
        <v>12317.94</v>
      </c>
      <c r="I33" s="8">
        <f>IFERROR(H33/H444, "NA")</f>
        <v>1.9387431003357147</v>
      </c>
      <c r="J33" s="9"/>
      <c r="K33" s="7">
        <v>10730.16</v>
      </c>
      <c r="L33" s="8">
        <f>IFERROR(K33/K444, "NA")</f>
        <v>0.1146162974894812</v>
      </c>
      <c r="M33" s="9"/>
      <c r="N33" s="10">
        <f t="shared" si="9"/>
        <v>1587.7800000000007</v>
      </c>
      <c r="O33" s="8">
        <f>IFERROR(N33/N444, "NA")</f>
        <v>0.10103357413793002</v>
      </c>
      <c r="P33" s="9"/>
      <c r="Q33" s="7">
        <v>49238.05</v>
      </c>
      <c r="R33" s="8">
        <f>IFERROR(Q33/Q444, "NA")</f>
        <v>0.12297829561916181</v>
      </c>
      <c r="S33" s="9"/>
      <c r="T33" s="7">
        <v>0</v>
      </c>
      <c r="U33" s="8">
        <f>IFERROR(T33/T444, "NA")</f>
        <v>0</v>
      </c>
      <c r="V33" s="9"/>
      <c r="W33" s="10">
        <f t="shared" si="10"/>
        <v>49238.05</v>
      </c>
      <c r="X33" s="8">
        <f>IFERROR(W33/W444, "NA")</f>
        <v>3.0576277606833409</v>
      </c>
      <c r="Y33" s="9"/>
      <c r="Z33" s="7">
        <v>43874.38</v>
      </c>
      <c r="AA33" s="8">
        <f>IFERROR(Z33/Z444, "NA")</f>
        <v>0.12183720381234898</v>
      </c>
      <c r="AB33" s="9"/>
      <c r="AC33" s="10">
        <f t="shared" si="11"/>
        <v>5363.6700000000055</v>
      </c>
      <c r="AD33" s="8">
        <f>IFERROR(AC33/AC444, "NA")</f>
        <v>0.13318142168741134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1072.26</v>
      </c>
      <c r="C35" s="8">
        <f>IFERROR(B35/B444, "NA")</f>
        <v>9.8072438385061779E-3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1072.26</v>
      </c>
      <c r="I35" s="8">
        <f>IFERROR(H35/H444, "NA")</f>
        <v>0.16876496206069955</v>
      </c>
      <c r="J35" s="9"/>
      <c r="K35" s="7">
        <v>1413.02</v>
      </c>
      <c r="L35" s="8">
        <f>IFERROR(K35/K444, "NA")</f>
        <v>1.5093448809578488E-2</v>
      </c>
      <c r="M35" s="9"/>
      <c r="N35" s="10">
        <f t="shared" si="9"/>
        <v>-340.76</v>
      </c>
      <c r="O35" s="8">
        <f>IFERROR(N35/N444, "NA")</f>
        <v>-2.1683231129779323E-2</v>
      </c>
      <c r="P35" s="9"/>
      <c r="Q35" s="7">
        <v>3718.8</v>
      </c>
      <c r="R35" s="8">
        <f>IFERROR(Q35/Q444, "NA")</f>
        <v>9.2881762325790502E-3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3718.8</v>
      </c>
      <c r="X35" s="8">
        <f>IFERROR(W35/W444, "NA")</f>
        <v>0.23093331511766219</v>
      </c>
      <c r="Y35" s="9"/>
      <c r="Z35" s="7">
        <v>5671.55</v>
      </c>
      <c r="AA35" s="8">
        <f>IFERROR(Z35/Z444, "NA")</f>
        <v>1.5749642348950071E-2</v>
      </c>
      <c r="AB35" s="9"/>
      <c r="AC35" s="10">
        <f t="shared" si="11"/>
        <v>-1952.75</v>
      </c>
      <c r="AD35" s="8">
        <f>IFERROR(AC35/AC444, "NA")</f>
        <v>-4.8487326998136022E-2</v>
      </c>
    </row>
    <row r="36" spans="1:30" ht="16.5" customHeight="1" x14ac:dyDescent="0.45">
      <c r="A36" s="12" t="s">
        <v>36</v>
      </c>
      <c r="B36" s="7">
        <v>13436.72</v>
      </c>
      <c r="C36" s="8">
        <f>IFERROR(B36/B444, "NA")</f>
        <v>0.12289667564744812</v>
      </c>
      <c r="D36" s="9"/>
      <c r="E36" s="7">
        <v>0</v>
      </c>
      <c r="F36" s="8">
        <f>IFERROR(E36/E444, "NA")</f>
        <v>0</v>
      </c>
      <c r="G36" s="9"/>
      <c r="H36" s="10">
        <f t="shared" si="8"/>
        <v>13436.72</v>
      </c>
      <c r="I36" s="8">
        <f>IFERROR(H36/H444, "NA")</f>
        <v>2.1148299302596785</v>
      </c>
      <c r="J36" s="9"/>
      <c r="K36" s="7">
        <v>12278.19</v>
      </c>
      <c r="L36" s="8">
        <f>IFERROR(K36/K444, "NA")</f>
        <v>0.1311518819544511</v>
      </c>
      <c r="M36" s="9"/>
      <c r="N36" s="10">
        <f t="shared" si="9"/>
        <v>1158.5299999999988</v>
      </c>
      <c r="O36" s="8">
        <f>IFERROR(N36/N444, "NA")</f>
        <v>7.3719549714705998E-2</v>
      </c>
      <c r="P36" s="9"/>
      <c r="Q36" s="7">
        <v>53454.89</v>
      </c>
      <c r="R36" s="8">
        <f>IFERROR(Q36/Q444, "NA")</f>
        <v>0.1335103901293771</v>
      </c>
      <c r="S36" s="9"/>
      <c r="T36" s="7">
        <v>0</v>
      </c>
      <c r="U36" s="8">
        <f>IFERROR(T36/T444, "NA")</f>
        <v>0</v>
      </c>
      <c r="V36" s="9"/>
      <c r="W36" s="10">
        <f t="shared" si="10"/>
        <v>53454.89</v>
      </c>
      <c r="X36" s="8">
        <f>IFERROR(W36/W444, "NA")</f>
        <v>3.3194888020194604</v>
      </c>
      <c r="Y36" s="9"/>
      <c r="Z36" s="7">
        <v>66471.22</v>
      </c>
      <c r="AA36" s="8">
        <f>IFERROR(Z36/Z444, "NA")</f>
        <v>0.18458762445863597</v>
      </c>
      <c r="AB36" s="9"/>
      <c r="AC36" s="10">
        <f t="shared" si="11"/>
        <v>-13016.330000000002</v>
      </c>
      <c r="AD36" s="8">
        <f>IFERROR(AC36/AC444, "NA")</f>
        <v>-0.32319910332897089</v>
      </c>
    </row>
    <row r="37" spans="1:30" ht="16.5" customHeight="1" x14ac:dyDescent="0.45">
      <c r="A37" s="12" t="s">
        <v>37</v>
      </c>
      <c r="B37" s="7">
        <v>334.04</v>
      </c>
      <c r="C37" s="8">
        <f>IFERROR(B37/B444, "NA")</f>
        <v>3.0552400833889202E-3</v>
      </c>
      <c r="D37" s="9"/>
      <c r="E37" s="7">
        <v>0</v>
      </c>
      <c r="F37" s="8">
        <f>IFERROR(E37/E444, "NA")</f>
        <v>0</v>
      </c>
      <c r="G37" s="9"/>
      <c r="H37" s="10">
        <f t="shared" si="8"/>
        <v>334.04</v>
      </c>
      <c r="I37" s="8">
        <f>IFERROR(H37/H444, "NA")</f>
        <v>5.2575166402510663E-2</v>
      </c>
      <c r="J37" s="9"/>
      <c r="K37" s="7">
        <v>0</v>
      </c>
      <c r="L37" s="8">
        <f>IFERROR(K37/K444, "NA")</f>
        <v>0</v>
      </c>
      <c r="M37" s="9"/>
      <c r="N37" s="10">
        <f t="shared" si="9"/>
        <v>334.04</v>
      </c>
      <c r="O37" s="8">
        <f>IFERROR(N37/N444, "NA")</f>
        <v>2.1255624271016217E-2</v>
      </c>
      <c r="P37" s="9"/>
      <c r="Q37" s="7">
        <v>2462.17</v>
      </c>
      <c r="R37" s="8">
        <f>IFERROR(Q37/Q444, "NA")</f>
        <v>6.1495828962485639E-3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2462.17</v>
      </c>
      <c r="X37" s="8">
        <f>IFERROR(W37/W444, "NA")</f>
        <v>0.15289799948457952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2462.17</v>
      </c>
      <c r="AD37" s="8">
        <f>IFERROR(AC37/AC444, "NA")</f>
        <v>6.1136367643067763E-2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1405.1</v>
      </c>
      <c r="L39" s="8">
        <f>IFERROR(K39/K444, "NA")</f>
        <v>1.5008849784389983E-2</v>
      </c>
      <c r="M39" s="9"/>
      <c r="N39" s="10">
        <f t="shared" si="9"/>
        <v>-1405.1</v>
      </c>
      <c r="O39" s="8">
        <f>IFERROR(N39/N444, "NA")</f>
        <v>-8.9409285304768535E-2</v>
      </c>
      <c r="P39" s="9"/>
      <c r="Q39" s="7">
        <v>137.65</v>
      </c>
      <c r="R39" s="8">
        <f>IFERROR(Q39/Q444, "NA")</f>
        <v>3.4379839152804835E-4</v>
      </c>
      <c r="S39" s="9"/>
      <c r="T39" s="7">
        <v>0</v>
      </c>
      <c r="U39" s="8">
        <f>IFERROR(T39/T444, "NA")</f>
        <v>0</v>
      </c>
      <c r="V39" s="9"/>
      <c r="W39" s="10">
        <f t="shared" si="10"/>
        <v>137.65</v>
      </c>
      <c r="X39" s="8">
        <f>IFERROR(W39/W444, "NA")</f>
        <v>8.5479108384280411E-3</v>
      </c>
      <c r="Y39" s="9"/>
      <c r="Z39" s="7">
        <v>3694.68</v>
      </c>
      <c r="AA39" s="8">
        <f>IFERROR(Z39/Z444, "NA")</f>
        <v>1.0259962196193077E-2</v>
      </c>
      <c r="AB39" s="9"/>
      <c r="AC39" s="10">
        <f t="shared" si="11"/>
        <v>-3557.0299999999997</v>
      </c>
      <c r="AD39" s="8">
        <f>IFERROR(AC39/AC444, "NA")</f>
        <v>-8.8322046730088213E-2</v>
      </c>
    </row>
    <row r="40" spans="1:30" ht="16.5" customHeight="1" x14ac:dyDescent="0.45">
      <c r="A40" s="13" t="s">
        <v>40</v>
      </c>
      <c r="B40" s="14">
        <f>IFERROR(B31+B32+B33+B34+B35+B36+B37+B38+B39, "NA")</f>
        <v>27160.959999999999</v>
      </c>
      <c r="C40" s="15">
        <f>IFERROR(B40/B444, "NA")</f>
        <v>0.24842310410526619</v>
      </c>
      <c r="D40" s="2"/>
      <c r="E40" s="14">
        <f>IFERROR(E31+E32+E33+E34+E35+E36+E37+E38+E39, "NA")</f>
        <v>24921.14</v>
      </c>
      <c r="F40" s="15">
        <f>IFERROR(E40/E444, "NA")</f>
        <v>0.24200004078465798</v>
      </c>
      <c r="G40" s="2"/>
      <c r="H40" s="14">
        <f t="shared" si="8"/>
        <v>2239.8199999999997</v>
      </c>
      <c r="I40" s="15">
        <f>IFERROR(H40/H444, "NA")</f>
        <v>0.35252936538040774</v>
      </c>
      <c r="J40" s="2"/>
      <c r="K40" s="14">
        <f>IFERROR(K31+K32+K33+K34+K35+K36+K37+K38+K39, "NA")</f>
        <v>25826.47</v>
      </c>
      <c r="L40" s="15">
        <f>IFERROR(K40/K444, "NA")</f>
        <v>0.27587047803790077</v>
      </c>
      <c r="M40" s="2"/>
      <c r="N40" s="14">
        <f t="shared" si="9"/>
        <v>1334.489999999998</v>
      </c>
      <c r="O40" s="15">
        <f>IFERROR(N40/N444, "NA")</f>
        <v>8.4916231689104255E-2</v>
      </c>
      <c r="P40" s="2"/>
      <c r="Q40" s="14">
        <f>IFERROR(Q31+Q32+Q33+Q34+Q35+Q36+Q37+Q38+Q39, "NA")</f>
        <v>109011.56</v>
      </c>
      <c r="R40" s="15">
        <f>IFERROR(Q40/Q444, "NA")</f>
        <v>0.27227024326889454</v>
      </c>
      <c r="S40" s="2"/>
      <c r="T40" s="14">
        <f>IFERROR(T31+T32+T33+T34+T35+T36+T37+T38+T39, "NA")</f>
        <v>92994.96</v>
      </c>
      <c r="U40" s="15">
        <f>IFERROR(T40/T444, "NA")</f>
        <v>0.24200002784452296</v>
      </c>
      <c r="V40" s="2"/>
      <c r="W40" s="14">
        <f t="shared" si="10"/>
        <v>16016.599999999991</v>
      </c>
      <c r="X40" s="15">
        <f>IFERROR(W40/W444, "NA")</f>
        <v>0.99461292215594976</v>
      </c>
      <c r="Y40" s="2"/>
      <c r="Z40" s="14">
        <f>IFERROR(Z31+Z32+Z33+Z34+Z35+Z36+Z37+Z38+Z39, "NA")</f>
        <v>119711.82999999999</v>
      </c>
      <c r="AA40" s="15">
        <f>IFERROR(Z40/Z444, "NA")</f>
        <v>0.33243443281612806</v>
      </c>
      <c r="AB40" s="2"/>
      <c r="AC40" s="14">
        <f t="shared" si="11"/>
        <v>-10700.26999999999</v>
      </c>
      <c r="AD40" s="15">
        <f>IFERROR(AC40/AC444, "NA")</f>
        <v>-0.26569068772671589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20287.04</v>
      </c>
      <c r="F42" s="8">
        <f>IFERROR(E42/E444, "NA")</f>
        <v>0.19699999708681015</v>
      </c>
      <c r="G42" s="9"/>
      <c r="H42" s="10">
        <f>IFERROR(B42-E42, "NA")</f>
        <v>-20287.04</v>
      </c>
      <c r="I42" s="8">
        <f>IFERROR(H42/H444, "NA")</f>
        <v>-3.1930143210824746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75702.5</v>
      </c>
      <c r="U42" s="8">
        <f>IFERROR(T42/T444, "NA")</f>
        <v>0.19699999986988539</v>
      </c>
      <c r="V42" s="9"/>
      <c r="W42" s="10">
        <f>IFERROR(Q42-T42, "NA")</f>
        <v>-75702.5</v>
      </c>
      <c r="X42" s="8">
        <f>IFERROR(W42/W444, "NA")</f>
        <v>-4.701040466735189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2253.8200000000002</v>
      </c>
      <c r="C43" s="8">
        <f>IFERROR(B43/B444, "NA")</f>
        <v>2.0614181549346234E-2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2253.8200000000002</v>
      </c>
      <c r="I43" s="8">
        <f>IFERROR(H43/H444, "NA")</f>
        <v>0.35473285097984247</v>
      </c>
      <c r="J43" s="9"/>
      <c r="K43" s="7">
        <v>2677.53</v>
      </c>
      <c r="L43" s="8">
        <f>IFERROR(K43/K444, "NA")</f>
        <v>2.8600559079921511E-2</v>
      </c>
      <c r="M43" s="9"/>
      <c r="N43" s="10">
        <f>IFERROR(B43-K43, "NA")</f>
        <v>-423.71000000000004</v>
      </c>
      <c r="O43" s="8">
        <f>IFERROR(N43/N444, "NA")</f>
        <v>-2.6961503292636455E-2</v>
      </c>
      <c r="P43" s="9"/>
      <c r="Q43" s="7">
        <v>12296.27</v>
      </c>
      <c r="R43" s="8">
        <f>IFERROR(Q43/Q444, "NA")</f>
        <v>3.0711499075877918E-2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12296.27</v>
      </c>
      <c r="X43" s="8">
        <f>IFERROR(W43/W444, "NA")</f>
        <v>0.7635845957518167</v>
      </c>
      <c r="Y43" s="9"/>
      <c r="Z43" s="7">
        <v>14822.42</v>
      </c>
      <c r="AA43" s="8">
        <f>IFERROR(Z43/Z444, "NA")</f>
        <v>4.1161201743072792E-2</v>
      </c>
      <c r="AB43" s="9"/>
      <c r="AC43" s="10">
        <f>IFERROR(Q43-Z43, "NA")</f>
        <v>-2526.1499999999996</v>
      </c>
      <c r="AD43" s="8">
        <f>IFERROR(AC43/AC444, "NA")</f>
        <v>-6.2725008883032285E-2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14277</v>
      </c>
      <c r="C48" s="8">
        <f>IFERROR(B48/B444, "NA")</f>
        <v>0.13058215384547842</v>
      </c>
      <c r="D48" s="9"/>
      <c r="E48" s="7">
        <v>0</v>
      </c>
      <c r="F48" s="8">
        <f>IFERROR(E48/E444, "NA")</f>
        <v>0</v>
      </c>
      <c r="G48" s="9"/>
      <c r="H48" s="10">
        <f t="shared" si="12"/>
        <v>14277</v>
      </c>
      <c r="I48" s="8">
        <f>IFERROR(H48/H444, "NA")</f>
        <v>2.2470831359377459</v>
      </c>
      <c r="J48" s="9"/>
      <c r="K48" s="7">
        <v>9755.99</v>
      </c>
      <c r="L48" s="8">
        <f>IFERROR(K48/K444, "NA")</f>
        <v>0.10421051057434405</v>
      </c>
      <c r="M48" s="9"/>
      <c r="N48" s="10">
        <f t="shared" si="13"/>
        <v>4521.01</v>
      </c>
      <c r="O48" s="8">
        <f>IFERROR(N48/N444, "NA")</f>
        <v>0.28768078638937561</v>
      </c>
      <c r="P48" s="9"/>
      <c r="Q48" s="7">
        <v>54400.21</v>
      </c>
      <c r="R48" s="8">
        <f>IFERROR(Q48/Q444, "NA")</f>
        <v>0.13587144712523103</v>
      </c>
      <c r="S48" s="9"/>
      <c r="T48" s="7">
        <v>0</v>
      </c>
      <c r="U48" s="8">
        <f>IFERROR(T48/T444, "NA")</f>
        <v>0</v>
      </c>
      <c r="V48" s="9"/>
      <c r="W48" s="10">
        <f t="shared" si="14"/>
        <v>54400.21</v>
      </c>
      <c r="X48" s="8">
        <f>IFERROR(W48/W444, "NA")</f>
        <v>3.3781921153052052</v>
      </c>
      <c r="Y48" s="9"/>
      <c r="Z48" s="7">
        <v>26992.39</v>
      </c>
      <c r="AA48" s="8">
        <f>IFERROR(Z48/Z444, "NA")</f>
        <v>7.4956667691085568E-2</v>
      </c>
      <c r="AB48" s="9"/>
      <c r="AC48" s="10">
        <f t="shared" si="15"/>
        <v>27407.82</v>
      </c>
      <c r="AD48" s="8">
        <f>IFERROR(AC48/AC444, "NA")</f>
        <v>0.68054381290285615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5</v>
      </c>
      <c r="L49" s="8">
        <f>IFERROR(K49/K444, "NA")</f>
        <v>5.3408475497793694E-5</v>
      </c>
      <c r="M49" s="9"/>
      <c r="N49" s="10">
        <f t="shared" si="13"/>
        <v>-5</v>
      </c>
      <c r="O49" s="8">
        <f>IFERROR(N49/N444, "NA")</f>
        <v>-3.1815986515112288E-4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5</v>
      </c>
      <c r="AA49" s="8">
        <f>IFERROR(Z49/Z444, "NA")</f>
        <v>1.3884777837584144E-5</v>
      </c>
      <c r="AB49" s="9"/>
      <c r="AC49" s="10">
        <f t="shared" si="15"/>
        <v>-5</v>
      </c>
      <c r="AD49" s="8">
        <f>IFERROR(AC49/AC444, "NA")</f>
        <v>-1.2415139418291133E-4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7900</v>
      </c>
      <c r="R52" s="8">
        <f>IFERROR(Q52/Q444, "NA")</f>
        <v>1.9731255307457916E-2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7900</v>
      </c>
      <c r="X52" s="8">
        <f>IFERROR(W52/W444, "NA")</f>
        <v>0.49058115236891775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7900</v>
      </c>
      <c r="AD52" s="8">
        <f>IFERROR(AC52/AC444, "NA")</f>
        <v>0.1961592028089999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15.85</v>
      </c>
      <c r="L54" s="8">
        <f>IFERROR(K54/K444, "NA")</f>
        <v>1.69304867328006E-4</v>
      </c>
      <c r="M54" s="9"/>
      <c r="N54" s="10">
        <f t="shared" si="13"/>
        <v>-15.85</v>
      </c>
      <c r="O54" s="8">
        <f>IFERROR(N54/N444, "NA")</f>
        <v>-1.0085667725290594E-3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15.85</v>
      </c>
      <c r="AA54" s="8">
        <f>IFERROR(Z54/Z444, "NA")</f>
        <v>4.4014745745141735E-5</v>
      </c>
      <c r="AB54" s="9"/>
      <c r="AC54" s="10">
        <f t="shared" si="15"/>
        <v>-15.85</v>
      </c>
      <c r="AD54" s="8">
        <f>IFERROR(AC54/AC444, "NA")</f>
        <v>-3.9355991955982892E-4</v>
      </c>
    </row>
    <row r="55" spans="1:30" ht="16.5" customHeight="1" x14ac:dyDescent="0.45">
      <c r="A55" s="17" t="s">
        <v>53</v>
      </c>
      <c r="B55" s="7">
        <v>129.07</v>
      </c>
      <c r="C55" s="8">
        <f>IFERROR(B55/B444, "NA")</f>
        <v>1.1805168170369055E-3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129.07</v>
      </c>
      <c r="I55" s="8">
        <f>IFERROR(H55/H444, "NA")</f>
        <v>2.0314563308502127E-2</v>
      </c>
      <c r="J55" s="9"/>
      <c r="K55" s="7">
        <v>678.61</v>
      </c>
      <c r="L55" s="8">
        <f>IFERROR(K55/K444, "NA")</f>
        <v>7.2487051115115555E-3</v>
      </c>
      <c r="M55" s="9"/>
      <c r="N55" s="10">
        <f t="shared" si="13"/>
        <v>-549.54</v>
      </c>
      <c r="O55" s="8">
        <f>IFERROR(N55/N444, "NA")</f>
        <v>-3.4968314459029606E-2</v>
      </c>
      <c r="P55" s="9"/>
      <c r="Q55" s="7">
        <v>775.78</v>
      </c>
      <c r="R55" s="8">
        <f>IFERROR(Q55/Q444, "NA")</f>
        <v>1.9376092711923672E-3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775.78</v>
      </c>
      <c r="X55" s="8">
        <f>IFERROR(W55/W444, "NA")</f>
        <v>4.8175069162627718E-2</v>
      </c>
      <c r="Y55" s="9"/>
      <c r="Z55" s="7">
        <v>1337.49</v>
      </c>
      <c r="AA55" s="8">
        <f>IFERROR(Z55/Z444, "NA")</f>
        <v>3.7141503019980831E-3</v>
      </c>
      <c r="AB55" s="9"/>
      <c r="AC55" s="10">
        <f t="shared" si="15"/>
        <v>-561.71</v>
      </c>
      <c r="AD55" s="8">
        <f>IFERROR(AC55/AC444, "NA")</f>
        <v>-1.3947415925296625E-2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customHeight="1" x14ac:dyDescent="0.45">
      <c r="A60" s="17" t="s">
        <v>58</v>
      </c>
      <c r="B60" s="7">
        <v>668.42</v>
      </c>
      <c r="C60" s="8">
        <f>IFERROR(B60/B444, "NA")</f>
        <v>6.1135899189882102E-3</v>
      </c>
      <c r="D60" s="9"/>
      <c r="E60" s="7">
        <v>0</v>
      </c>
      <c r="F60" s="8">
        <f>IFERROR(E60/E444, "NA")</f>
        <v>0</v>
      </c>
      <c r="G60" s="9"/>
      <c r="H60" s="10">
        <f t="shared" si="12"/>
        <v>668.42</v>
      </c>
      <c r="I60" s="8">
        <f>IFERROR(H60/H444, "NA")</f>
        <v>0.10520384602672186</v>
      </c>
      <c r="J60" s="9"/>
      <c r="K60" s="7">
        <v>0</v>
      </c>
      <c r="L60" s="8">
        <f>IFERROR(K60/K444, "NA")</f>
        <v>0</v>
      </c>
      <c r="M60" s="9"/>
      <c r="N60" s="10">
        <f t="shared" si="13"/>
        <v>668.42</v>
      </c>
      <c r="O60" s="8">
        <f>IFERROR(N60/N444, "NA")</f>
        <v>4.2532883412862703E-2</v>
      </c>
      <c r="P60" s="9"/>
      <c r="Q60" s="7">
        <v>1329.49</v>
      </c>
      <c r="R60" s="8">
        <f>IFERROR(Q60/Q444, "NA")</f>
        <v>3.3205704580648383E-3</v>
      </c>
      <c r="S60" s="9"/>
      <c r="T60" s="7">
        <v>0</v>
      </c>
      <c r="U60" s="8">
        <f>IFERROR(T60/T444, "NA")</f>
        <v>0</v>
      </c>
      <c r="V60" s="9"/>
      <c r="W60" s="10">
        <f t="shared" si="14"/>
        <v>1329.49</v>
      </c>
      <c r="X60" s="8">
        <f>IFERROR(W60/W444, "NA")</f>
        <v>8.255984003328512E-2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1329.49</v>
      </c>
      <c r="AD60" s="8">
        <f>IFERROR(AC60/AC444, "NA")</f>
        <v>3.3011607410447757E-2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15074.49</v>
      </c>
      <c r="C61" s="15">
        <f>IFERROR(B61/B444, "NA")</f>
        <v>0.13787626058150354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15074.49</v>
      </c>
      <c r="I61" s="15">
        <f>IFERROR(H61/H444, "NA")</f>
        <v>2.3726015452729698</v>
      </c>
      <c r="J61" s="2"/>
      <c r="K61" s="14">
        <f>IFERROR(K46+K47+K48+K49+K50+K51+K52+K53+K54+K55+K56+K57+K58+K59+K60, "NA")</f>
        <v>10455.450000000001</v>
      </c>
      <c r="L61" s="15">
        <f>IFERROR(K61/K444, "NA")</f>
        <v>0.11168192902868142</v>
      </c>
      <c r="M61" s="2"/>
      <c r="N61" s="14">
        <f t="shared" si="13"/>
        <v>4619.0399999999991</v>
      </c>
      <c r="O61" s="15">
        <f>IFERROR(N61/N444, "NA")</f>
        <v>0.29391862870552843</v>
      </c>
      <c r="P61" s="2"/>
      <c r="Q61" s="14">
        <f>IFERROR(Q46+Q47+Q48+Q49+Q50+Q51+Q52+Q53+Q54+Q55+Q56+Q57+Q58+Q59+Q60, "NA")</f>
        <v>64405.479999999996</v>
      </c>
      <c r="R61" s="15">
        <f>IFERROR(Q61/Q444, "NA")</f>
        <v>0.16086088216194613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64405.479999999996</v>
      </c>
      <c r="X61" s="15">
        <f>IFERROR(W61/W444, "NA")</f>
        <v>3.9995081768700356</v>
      </c>
      <c r="Y61" s="2"/>
      <c r="Z61" s="14">
        <f>IFERROR(Z46+Z47+Z48+Z49+Z50+Z51+Z52+Z53+Z54+Z55+Z56+Z57+Z58+Z59+Z60, "NA")</f>
        <v>28350.73</v>
      </c>
      <c r="AA61" s="15">
        <f>IFERROR(Z61/Z444, "NA")</f>
        <v>7.872871751666638E-2</v>
      </c>
      <c r="AB61" s="2"/>
      <c r="AC61" s="14">
        <f t="shared" si="15"/>
        <v>36054.75</v>
      </c>
      <c r="AD61" s="15">
        <f>IFERROR(AC61/AC444, "NA")</f>
        <v>0.89524949588326452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17328.309999999998</v>
      </c>
      <c r="C62" s="15">
        <f>IFERROR(B62/B444, "NA")</f>
        <v>0.15849044213084976</v>
      </c>
      <c r="D62" s="2"/>
      <c r="E62" s="14">
        <f>IFERROR(E42+E43+E44+E46+E47+E48+E49+E50+E51+E52+E53+E54+E55+E56+E57+E58+E59+E60, "NA")</f>
        <v>20287.04</v>
      </c>
      <c r="F62" s="15">
        <f>IFERROR(E62/E444, "NA")</f>
        <v>0.19699999708681015</v>
      </c>
      <c r="G62" s="2"/>
      <c r="H62" s="14">
        <f t="shared" si="12"/>
        <v>-2958.7300000000032</v>
      </c>
      <c r="I62" s="15">
        <f>IFERROR(H62/H444, "NA")</f>
        <v>-0.46567992482966269</v>
      </c>
      <c r="J62" s="2"/>
      <c r="K62" s="14">
        <f>IFERROR(K42+K43+K44+K46+K47+K48+K49+K50+K51+K52+K53+K54+K55+K56+K57+K58+K59+K60, "NA")</f>
        <v>13132.980000000001</v>
      </c>
      <c r="L62" s="15">
        <f>IFERROR(K62/K444, "NA")</f>
        <v>0.14028248810860294</v>
      </c>
      <c r="M62" s="2"/>
      <c r="N62" s="14">
        <f t="shared" si="13"/>
        <v>4195.3299999999963</v>
      </c>
      <c r="O62" s="15">
        <f>IFERROR(N62/N444, "NA")</f>
        <v>0.26695712541289179</v>
      </c>
      <c r="P62" s="2"/>
      <c r="Q62" s="14">
        <f>IFERROR(Q42+Q43+Q44+Q46+Q47+Q48+Q49+Q50+Q51+Q52+Q53+Q54+Q55+Q56+Q57+Q58+Q59+Q60, "NA")</f>
        <v>76701.75</v>
      </c>
      <c r="R62" s="15">
        <f>IFERROR(Q62/Q444, "NA")</f>
        <v>0.19157238123782408</v>
      </c>
      <c r="S62" s="2"/>
      <c r="T62" s="14">
        <f>IFERROR(T42+T43+T44+T46+T47+T48+T49+T50+T51+T52+T53+T54+T55+T56+T57+T58+T59+T60, "NA")</f>
        <v>75702.5</v>
      </c>
      <c r="U62" s="15">
        <f>IFERROR(T62/T444, "NA")</f>
        <v>0.19699999986988539</v>
      </c>
      <c r="V62" s="2"/>
      <c r="W62" s="14">
        <f t="shared" si="14"/>
        <v>999.25</v>
      </c>
      <c r="X62" s="15">
        <f>IFERROR(W62/W444, "NA")</f>
        <v>6.2052305886663425E-2</v>
      </c>
      <c r="Y62" s="2"/>
      <c r="Z62" s="14">
        <f>IFERROR(Z42+Z43+Z44+Z46+Z47+Z48+Z49+Z50+Z51+Z52+Z53+Z54+Z55+Z56+Z57+Z58+Z59+Z60, "NA")</f>
        <v>43173.149999999994</v>
      </c>
      <c r="AA62" s="15">
        <f>IFERROR(Z62/Z444, "NA")</f>
        <v>0.11988991925973916</v>
      </c>
      <c r="AB62" s="2"/>
      <c r="AC62" s="14">
        <f t="shared" si="15"/>
        <v>33528.600000000006</v>
      </c>
      <c r="AD62" s="15">
        <f>IFERROR(AC62/AC444, "NA")</f>
        <v>0.83252448700023229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8341.3700000000008</v>
      </c>
      <c r="F64" s="8">
        <f>IFERROR(E64/E444, "NA")</f>
        <v>8.0999981549797595E-2</v>
      </c>
      <c r="G64" s="9"/>
      <c r="H64" s="10">
        <f t="shared" ref="H64:H73" si="16">IFERROR(B64-E64, "NA")</f>
        <v>-8341.3700000000008</v>
      </c>
      <c r="I64" s="8">
        <f>IFERROR(H64/H444, "NA")</f>
        <v>-1.3128634767540126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31126.41</v>
      </c>
      <c r="U64" s="8">
        <f>IFERROR(T64/T444, "NA")</f>
        <v>8.1000003513094013E-2</v>
      </c>
      <c r="V64" s="9"/>
      <c r="W64" s="10">
        <f t="shared" ref="W64:W73" si="18">IFERROR(Q64-T64, "NA")</f>
        <v>-31126.41</v>
      </c>
      <c r="X64" s="8">
        <f>IFERROR(W64/W444, "NA")</f>
        <v>-1.9329152008743551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2113.66</v>
      </c>
      <c r="C65" s="8">
        <f>IFERROR(B65/B444, "NA")</f>
        <v>1.9332231932271057E-2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2113.66</v>
      </c>
      <c r="I65" s="8">
        <f>IFERROR(H65/H444, "NA")</f>
        <v>0.332672812292931</v>
      </c>
      <c r="J65" s="9"/>
      <c r="K65" s="7">
        <v>2299.42</v>
      </c>
      <c r="L65" s="8">
        <f>IFERROR(K65/K444, "NA")</f>
        <v>2.4561703345827354E-2</v>
      </c>
      <c r="M65" s="9"/>
      <c r="N65" s="10">
        <f t="shared" si="17"/>
        <v>-185.76000000000022</v>
      </c>
      <c r="O65" s="8">
        <f>IFERROR(N65/N444, "NA")</f>
        <v>-1.182027531009453E-2</v>
      </c>
      <c r="P65" s="9"/>
      <c r="Q65" s="7">
        <v>9844.69</v>
      </c>
      <c r="R65" s="8">
        <f>IFERROR(Q65/Q444, "NA")</f>
        <v>2.4588366052250364E-2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9844.69</v>
      </c>
      <c r="X65" s="8">
        <f>IFERROR(W65/W444, "NA")</f>
        <v>0.61134422340693173</v>
      </c>
      <c r="Y65" s="9"/>
      <c r="Z65" s="7">
        <v>8000.49</v>
      </c>
      <c r="AA65" s="8">
        <f>IFERROR(Z65/Z444, "NA")</f>
        <v>2.221700524836271E-2</v>
      </c>
      <c r="AB65" s="9"/>
      <c r="AC65" s="10">
        <f t="shared" si="19"/>
        <v>1844.2000000000007</v>
      </c>
      <c r="AD65" s="8">
        <f>IFERROR(AC65/AC444, "NA")</f>
        <v>4.5792000230425033E-2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5995.05</v>
      </c>
      <c r="C68" s="8">
        <f>IFERROR(B68/B444, "NA")</f>
        <v>5.483270584936159E-2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5995.05</v>
      </c>
      <c r="I68" s="8">
        <f>IFERROR(H68/H444, "NA")</f>
        <v>0.94357188163504824</v>
      </c>
      <c r="J68" s="9"/>
      <c r="K68" s="7">
        <v>0</v>
      </c>
      <c r="L68" s="8">
        <f>IFERROR(K68/K444, "NA")</f>
        <v>0</v>
      </c>
      <c r="M68" s="9"/>
      <c r="N68" s="10">
        <f t="shared" si="17"/>
        <v>5995.05</v>
      </c>
      <c r="O68" s="8">
        <f>IFERROR(N68/N444, "NA")</f>
        <v>0.38147685991484781</v>
      </c>
      <c r="P68" s="9"/>
      <c r="Q68" s="7">
        <v>9264.85</v>
      </c>
      <c r="R68" s="8">
        <f>IFERROR(Q68/Q444, "NA")</f>
        <v>2.3140141865228035E-2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9264.85</v>
      </c>
      <c r="X68" s="8">
        <f>IFERROR(W68/W444, "NA")</f>
        <v>0.57533680880065419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9264.85</v>
      </c>
      <c r="AD68" s="8">
        <f>IFERROR(AC68/AC444, "NA")</f>
        <v>0.23004880887910922</v>
      </c>
    </row>
    <row r="69" spans="1:30" ht="16.5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1125</v>
      </c>
      <c r="R69" s="8">
        <f>IFERROR(Q69/Q444, "NA")</f>
        <v>2.8098306608721714E-3</v>
      </c>
      <c r="S69" s="9"/>
      <c r="T69" s="7">
        <v>0</v>
      </c>
      <c r="U69" s="8">
        <f>IFERROR(T69/T444, "NA")</f>
        <v>0</v>
      </c>
      <c r="V69" s="9"/>
      <c r="W69" s="10">
        <f t="shared" si="18"/>
        <v>1125</v>
      </c>
      <c r="X69" s="8">
        <f>IFERROR(W69/W444, "NA")</f>
        <v>6.9861240052535759E-2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1125</v>
      </c>
      <c r="AD69" s="8">
        <f>IFERROR(AC69/AC444, "NA")</f>
        <v>2.7934063691155052E-2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8108.71</v>
      </c>
      <c r="C73" s="15">
        <f>IFERROR(B73/B444, "NA")</f>
        <v>7.4164937781632648E-2</v>
      </c>
      <c r="D73" s="2"/>
      <c r="E73" s="14">
        <f>IFERROR(E64+E65+E66+E67+E68+E69+E70+E71+E72, "NA")</f>
        <v>8341.3700000000008</v>
      </c>
      <c r="F73" s="15">
        <f>IFERROR(E73/E444, "NA")</f>
        <v>8.0999981549797595E-2</v>
      </c>
      <c r="G73" s="2"/>
      <c r="H73" s="14">
        <f t="shared" si="16"/>
        <v>-232.66000000000076</v>
      </c>
      <c r="I73" s="15">
        <f>IFERROR(H73/H444, "NA")</f>
        <v>-3.6618782826033321E-2</v>
      </c>
      <c r="J73" s="2"/>
      <c r="K73" s="14">
        <f>IFERROR(K64+K65+K66+K67+K68+K69+K70+K71+K72, "NA")</f>
        <v>2299.42</v>
      </c>
      <c r="L73" s="15">
        <f>IFERROR(K73/K444, "NA")</f>
        <v>2.4561703345827354E-2</v>
      </c>
      <c r="M73" s="2"/>
      <c r="N73" s="14">
        <f t="shared" si="17"/>
        <v>5809.29</v>
      </c>
      <c r="O73" s="15">
        <f>IFERROR(N73/N444, "NA")</f>
        <v>0.36965658460475331</v>
      </c>
      <c r="P73" s="2"/>
      <c r="Q73" s="14">
        <f>IFERROR(Q64+Q65+Q66+Q67+Q68+Q69+Q70+Q71+Q72, "NA")</f>
        <v>20234.54</v>
      </c>
      <c r="R73" s="15">
        <f>IFERROR(Q73/Q444, "NA")</f>
        <v>5.0538338578350571E-2</v>
      </c>
      <c r="S73" s="2"/>
      <c r="T73" s="14">
        <f>IFERROR(T64+T65+T66+T67+T68+T69+T70+T71+T72, "NA")</f>
        <v>31126.41</v>
      </c>
      <c r="U73" s="15">
        <f>IFERROR(T73/T444, "NA")</f>
        <v>8.1000003513094013E-2</v>
      </c>
      <c r="V73" s="2"/>
      <c r="W73" s="14">
        <f t="shared" si="18"/>
        <v>-10891.869999999999</v>
      </c>
      <c r="X73" s="15">
        <f>IFERROR(W73/W444, "NA")</f>
        <v>-0.67637292861423337</v>
      </c>
      <c r="Y73" s="2"/>
      <c r="Z73" s="14">
        <f>IFERROR(Z64+Z65+Z66+Z67+Z68+Z69+Z70+Z71+Z72, "NA")</f>
        <v>8000.49</v>
      </c>
      <c r="AA73" s="15">
        <f>IFERROR(Z73/Z444, "NA")</f>
        <v>2.221700524836271E-2</v>
      </c>
      <c r="AB73" s="2"/>
      <c r="AC73" s="14">
        <f t="shared" si="19"/>
        <v>12234.050000000001</v>
      </c>
      <c r="AD73" s="15">
        <f>IFERROR(AC73/AC444, "NA")</f>
        <v>0.30377487280068932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1544.7</v>
      </c>
      <c r="F75" s="8">
        <f>IFERROR(E75/E444, "NA")</f>
        <v>1.500001456594928E-2</v>
      </c>
      <c r="G75" s="9"/>
      <c r="H75" s="10">
        <f t="shared" ref="H75:H92" si="20">IFERROR(B75-E75, "NA")</f>
        <v>-1544.7</v>
      </c>
      <c r="I75" s="8">
        <f>IFERROR(H75/H444, "NA")</f>
        <v>-0.243123157531907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5764.15</v>
      </c>
      <c r="U75" s="8">
        <f>IFERROR(T75/T444, "NA")</f>
        <v>1.5000000650572965E-2</v>
      </c>
      <c r="V75" s="9"/>
      <c r="W75" s="10">
        <f t="shared" ref="W75:W92" si="22">IFERROR(Q75-T75, "NA")</f>
        <v>-5764.15</v>
      </c>
      <c r="X75" s="8">
        <f>IFERROR(W75/W444, "NA")</f>
        <v>-0.35794725942117683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157.47999999999999</v>
      </c>
      <c r="C77" s="8">
        <f>IFERROR(B77/B444, "NA")</f>
        <v>1.44036405320347E-3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157.47999999999999</v>
      </c>
      <c r="I77" s="8">
        <f>IFERROR(H77/H444, "NA")</f>
        <v>2.4786065157069145E-2</v>
      </c>
      <c r="J77" s="9"/>
      <c r="K77" s="7">
        <v>380.17</v>
      </c>
      <c r="L77" s="8">
        <f>IFERROR(K77/K444, "NA")</f>
        <v>4.0608600259992456E-3</v>
      </c>
      <c r="M77" s="9"/>
      <c r="N77" s="10">
        <f t="shared" si="21"/>
        <v>-222.69000000000003</v>
      </c>
      <c r="O77" s="8">
        <f>IFERROR(N77/N444, "NA")</f>
        <v>-1.417020407410071E-2</v>
      </c>
      <c r="P77" s="9"/>
      <c r="Q77" s="7">
        <v>1139.6099999999999</v>
      </c>
      <c r="R77" s="8">
        <f>IFERROR(Q77/Q444, "NA")</f>
        <v>2.8463209950546978E-3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1139.6099999999999</v>
      </c>
      <c r="X77" s="8">
        <f>IFERROR(W77/W444, "NA")</f>
        <v>7.0768504690018011E-2</v>
      </c>
      <c r="Y77" s="9"/>
      <c r="Z77" s="7">
        <v>1476.84</v>
      </c>
      <c r="AA77" s="8">
        <f>IFERROR(Z77/Z444, "NA")</f>
        <v>4.1011190603315534E-3</v>
      </c>
      <c r="AB77" s="9"/>
      <c r="AC77" s="10">
        <f t="shared" si="23"/>
        <v>-337.23</v>
      </c>
      <c r="AD77" s="8">
        <f>IFERROR(AC77/AC444, "NA")</f>
        <v>-8.373514932060639E-3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1364.45</v>
      </c>
      <c r="C80" s="8">
        <f>IFERROR(B80/B444, "NA")</f>
        <v>1.2479710010118585E-2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1364.45</v>
      </c>
      <c r="I80" s="8">
        <f>IFERROR(H80/H444, "NA")</f>
        <v>0.21475328043918593</v>
      </c>
      <c r="J80" s="9"/>
      <c r="K80" s="7">
        <v>850.17</v>
      </c>
      <c r="L80" s="8">
        <f>IFERROR(K80/K444, "NA")</f>
        <v>9.0812567227918518E-3</v>
      </c>
      <c r="M80" s="9"/>
      <c r="N80" s="10">
        <f t="shared" si="21"/>
        <v>514.28000000000009</v>
      </c>
      <c r="O80" s="8">
        <f>IFERROR(N80/N444, "NA")</f>
        <v>3.2724651089983896E-2</v>
      </c>
      <c r="P80" s="9"/>
      <c r="Q80" s="7">
        <v>5432.14</v>
      </c>
      <c r="R80" s="8">
        <f>IFERROR(Q80/Q444, "NA")</f>
        <v>1.3567460912133475E-2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5432.14</v>
      </c>
      <c r="X80" s="8">
        <f>IFERROR(W80/W444, "NA")</f>
        <v>0.33732981025687253</v>
      </c>
      <c r="Y80" s="9"/>
      <c r="Z80" s="7">
        <v>3072.52</v>
      </c>
      <c r="AA80" s="8">
        <f>IFERROR(Z80/Z444, "NA")</f>
        <v>8.5322515203068057E-3</v>
      </c>
      <c r="AB80" s="9"/>
      <c r="AC80" s="10">
        <f t="shared" si="23"/>
        <v>2359.6200000000003</v>
      </c>
      <c r="AD80" s="8">
        <f>IFERROR(AC80/AC444, "NA")</f>
        <v>5.859002254837626E-2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customHeight="1" x14ac:dyDescent="0.45">
      <c r="A83" s="12" t="s">
        <v>79</v>
      </c>
      <c r="B83" s="7">
        <v>123</v>
      </c>
      <c r="C83" s="8">
        <f>IFERROR(B83/B444, "NA")</f>
        <v>1.1249985937517577E-3</v>
      </c>
      <c r="D83" s="9"/>
      <c r="E83" s="7">
        <v>0</v>
      </c>
      <c r="F83" s="8">
        <f>IFERROR(E83/E444, "NA")</f>
        <v>0</v>
      </c>
      <c r="G83" s="9"/>
      <c r="H83" s="10">
        <f t="shared" si="20"/>
        <v>123</v>
      </c>
      <c r="I83" s="8">
        <f>IFERROR(H83/H444, "NA")</f>
        <v>1.9359194909318676E-2</v>
      </c>
      <c r="J83" s="9"/>
      <c r="K83" s="7">
        <v>0</v>
      </c>
      <c r="L83" s="8">
        <f>IFERROR(K83/K444, "NA")</f>
        <v>0</v>
      </c>
      <c r="M83" s="9"/>
      <c r="N83" s="10">
        <f t="shared" si="21"/>
        <v>123</v>
      </c>
      <c r="O83" s="8">
        <f>IFERROR(N83/N444, "NA")</f>
        <v>7.8267326827176215E-3</v>
      </c>
      <c r="P83" s="9"/>
      <c r="Q83" s="7">
        <v>490.97</v>
      </c>
      <c r="R83" s="8">
        <f>IFERROR(Q83/Q444, "NA")</f>
        <v>1.2262600529496979E-3</v>
      </c>
      <c r="S83" s="9"/>
      <c r="T83" s="7">
        <v>0</v>
      </c>
      <c r="U83" s="8">
        <f>IFERROR(T83/T444, "NA")</f>
        <v>0</v>
      </c>
      <c r="V83" s="9"/>
      <c r="W83" s="10">
        <f t="shared" si="22"/>
        <v>490.97</v>
      </c>
      <c r="X83" s="8">
        <f>IFERROR(W83/W444, "NA")</f>
        <v>3.048868713652754E-2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490.97</v>
      </c>
      <c r="AD83" s="8">
        <f>IFERROR(AC83/AC444, "NA")</f>
        <v>1.2190922000396797E-2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1644.93</v>
      </c>
      <c r="C88" s="15">
        <f>IFERROR(B88/B444, "NA")</f>
        <v>1.5045072657073813E-2</v>
      </c>
      <c r="D88" s="2"/>
      <c r="E88" s="14">
        <f>IFERROR(E75+E76+E77+E78+E79+E80+E81+E82+E83+E84+E85+E86+E87, "NA")</f>
        <v>1544.7</v>
      </c>
      <c r="F88" s="15">
        <f>IFERROR(E88/E444, "NA")</f>
        <v>1.500001456594928E-2</v>
      </c>
      <c r="G88" s="2"/>
      <c r="H88" s="14">
        <f t="shared" si="20"/>
        <v>100.23000000000002</v>
      </c>
      <c r="I88" s="15">
        <f>IFERROR(H88/H444, "NA")</f>
        <v>1.5775382973666759E-2</v>
      </c>
      <c r="J88" s="2"/>
      <c r="K88" s="14">
        <f>IFERROR(K75+K76+K77+K78+K79+K80+K81+K82+K83+K84+K85+K86+K87, "NA")</f>
        <v>1230.3399999999999</v>
      </c>
      <c r="L88" s="15">
        <f>IFERROR(K88/K444, "NA")</f>
        <v>1.3142116748791097E-2</v>
      </c>
      <c r="M88" s="2"/>
      <c r="N88" s="14">
        <f t="shared" si="21"/>
        <v>414.59000000000015</v>
      </c>
      <c r="O88" s="15">
        <f>IFERROR(N88/N444, "NA")</f>
        <v>2.6381179698600814E-2</v>
      </c>
      <c r="P88" s="2"/>
      <c r="Q88" s="14">
        <f>IFERROR(Q75+Q76+Q77+Q78+Q79+Q80+Q81+Q82+Q83+Q84+Q85+Q86+Q87, "NA")</f>
        <v>7062.72</v>
      </c>
      <c r="R88" s="15">
        <f>IFERROR(Q88/Q444, "NA")</f>
        <v>1.7640041960137871E-2</v>
      </c>
      <c r="S88" s="2"/>
      <c r="T88" s="14">
        <f>IFERROR(T75+T76+T77+T78+T79+T80+T81+T82+T83+T84+T85+T86+T87, "NA")</f>
        <v>5764.15</v>
      </c>
      <c r="U88" s="15">
        <f>IFERROR(T88/T444, "NA")</f>
        <v>1.5000000650572965E-2</v>
      </c>
      <c r="V88" s="2"/>
      <c r="W88" s="14">
        <f t="shared" si="22"/>
        <v>1298.5700000000006</v>
      </c>
      <c r="X88" s="15">
        <f>IFERROR(W88/W444, "NA")</f>
        <v>8.0639742662241248E-2</v>
      </c>
      <c r="Y88" s="2"/>
      <c r="Z88" s="14">
        <f>IFERROR(Z75+Z76+Z77+Z78+Z79+Z80+Z81+Z82+Z83+Z84+Z85+Z86+Z87, "NA")</f>
        <v>4549.3599999999997</v>
      </c>
      <c r="AA88" s="15">
        <f>IFERROR(Z88/Z444, "NA")</f>
        <v>1.2633370580638358E-2</v>
      </c>
      <c r="AB88" s="2"/>
      <c r="AC88" s="14">
        <f t="shared" si="23"/>
        <v>2513.3600000000006</v>
      </c>
      <c r="AD88" s="15">
        <f>IFERROR(AC88/AC444, "NA")</f>
        <v>6.2407429616712418E-2</v>
      </c>
    </row>
    <row r="89" spans="1:30" ht="16.5" customHeight="1" x14ac:dyDescent="0.45">
      <c r="A89" s="6" t="s">
        <v>85</v>
      </c>
      <c r="B89" s="7">
        <v>-47.34</v>
      </c>
      <c r="C89" s="8">
        <f>IFERROR(B89/B444, "NA")</f>
        <v>-4.3298726364396925E-4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-47.34</v>
      </c>
      <c r="I89" s="8">
        <f>IFERROR(H89/H444, "NA")</f>
        <v>-7.4509291626597253E-3</v>
      </c>
      <c r="J89" s="9"/>
      <c r="K89" s="7">
        <v>-30.37</v>
      </c>
      <c r="L89" s="8">
        <f>IFERROR(K89/K444, "NA")</f>
        <v>-3.244030801735989E-4</v>
      </c>
      <c r="M89" s="9"/>
      <c r="N89" s="10">
        <f t="shared" si="21"/>
        <v>-16.970000000000002</v>
      </c>
      <c r="O89" s="8">
        <f>IFERROR(N89/N444, "NA")</f>
        <v>-1.079834582322911E-3</v>
      </c>
      <c r="P89" s="9"/>
      <c r="Q89" s="7">
        <v>-74.040000000000006</v>
      </c>
      <c r="R89" s="8">
        <f>IFERROR(Q89/Q444, "NA")</f>
        <v>-1.8492432189420052E-4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-74.040000000000006</v>
      </c>
      <c r="X89" s="8">
        <f>IFERROR(W89/W444, "NA")</f>
        <v>-4.5978010786575539E-3</v>
      </c>
      <c r="Y89" s="9"/>
      <c r="Z89" s="7">
        <v>-109.72</v>
      </c>
      <c r="AA89" s="8">
        <f>IFERROR(Z89/Z444, "NA")</f>
        <v>-3.0468756486794641E-4</v>
      </c>
      <c r="AB89" s="9"/>
      <c r="AC89" s="10">
        <f t="shared" si="23"/>
        <v>35.679999999999993</v>
      </c>
      <c r="AD89" s="8">
        <f>IFERROR(AC89/AC444, "NA")</f>
        <v>8.8594434888925511E-4</v>
      </c>
    </row>
    <row r="90" spans="1:30" ht="16.5" customHeight="1" x14ac:dyDescent="0.45">
      <c r="A90" s="6" t="s">
        <v>86</v>
      </c>
      <c r="B90" s="7">
        <v>-16.23</v>
      </c>
      <c r="C90" s="8">
        <f>IFERROR(B90/B444, "NA")</f>
        <v>-1.4844493639504903E-4</v>
      </c>
      <c r="D90" s="9"/>
      <c r="E90" s="7">
        <v>0</v>
      </c>
      <c r="F90" s="8">
        <f>IFERROR(E90/E444, "NA")</f>
        <v>0</v>
      </c>
      <c r="G90" s="9"/>
      <c r="H90" s="10">
        <f t="shared" si="20"/>
        <v>-16.23</v>
      </c>
      <c r="I90" s="8">
        <f>IFERROR(H90/H444, "NA")</f>
        <v>-2.5544693770588791E-3</v>
      </c>
      <c r="J90" s="9"/>
      <c r="K90" s="7">
        <v>0</v>
      </c>
      <c r="L90" s="8">
        <f>IFERROR(K90/K444, "NA")</f>
        <v>0</v>
      </c>
      <c r="M90" s="9"/>
      <c r="N90" s="10">
        <f t="shared" si="21"/>
        <v>-16.23</v>
      </c>
      <c r="O90" s="8">
        <f>IFERROR(N90/N444, "NA")</f>
        <v>-1.0327469222805449E-3</v>
      </c>
      <c r="P90" s="9"/>
      <c r="Q90" s="7">
        <v>-233.33</v>
      </c>
      <c r="R90" s="8">
        <f>IFERROR(Q90/Q444, "NA")</f>
        <v>-5.8277136720115896E-4</v>
      </c>
      <c r="S90" s="9"/>
      <c r="T90" s="7">
        <v>0</v>
      </c>
      <c r="U90" s="8">
        <f>IFERROR(T90/T444, "NA")</f>
        <v>0</v>
      </c>
      <c r="V90" s="9"/>
      <c r="W90" s="10">
        <f t="shared" si="22"/>
        <v>-233.33</v>
      </c>
      <c r="X90" s="8">
        <f>IFERROR(W90/W444, "NA")</f>
        <v>-1.448953168129615E-2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-233.33</v>
      </c>
      <c r="AD90" s="8">
        <f>IFERROR(AC90/AC444, "NA")</f>
        <v>-5.7936489609397403E-3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-5457.94</v>
      </c>
      <c r="F94" s="8">
        <f>IFERROR(E94/E444, "NA")</f>
        <v>-5.3000051466354114E-2</v>
      </c>
      <c r="G94" s="9"/>
      <c r="H94" s="10">
        <f t="shared" ref="H94:H124" si="24">IFERROR(B94-E94, "NA")</f>
        <v>5457.94</v>
      </c>
      <c r="I94" s="8">
        <f>IFERROR(H94/H444, "NA")</f>
        <v>0.85903515661273799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-20366.669999999998</v>
      </c>
      <c r="U94" s="8">
        <f>IFERROR(T94/T444, "NA")</f>
        <v>-5.3000019647303567E-2</v>
      </c>
      <c r="V94" s="9"/>
      <c r="W94" s="10">
        <f t="shared" ref="W94:W124" si="26">IFERROR(Q94-T94, "NA")</f>
        <v>20366.669999999998</v>
      </c>
      <c r="X94" s="8">
        <f>IFERROR(W94/W444, "NA")</f>
        <v>1.2647473972806917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-1776.1</v>
      </c>
      <c r="C96" s="8">
        <f>IFERROR(B96/B444, "NA")</f>
        <v>-1.624479676717477E-2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-1776.1</v>
      </c>
      <c r="I96" s="8">
        <f>IFERROR(H96/H444, "NA")</f>
        <v>-0.27954362665399107</v>
      </c>
      <c r="J96" s="9"/>
      <c r="K96" s="7">
        <v>-1763.2</v>
      </c>
      <c r="L96" s="8">
        <f>IFERROR(K96/K444, "NA")</f>
        <v>-1.8833964799541969E-2</v>
      </c>
      <c r="M96" s="9"/>
      <c r="N96" s="10">
        <f t="shared" si="25"/>
        <v>-12.899999999999864</v>
      </c>
      <c r="O96" s="8">
        <f>IFERROR(N96/N444, "NA")</f>
        <v>-8.2085245208988827E-4</v>
      </c>
      <c r="P96" s="9"/>
      <c r="Q96" s="7">
        <v>-6690.48</v>
      </c>
      <c r="R96" s="8">
        <f>IFERROR(Q96/Q444, "NA")</f>
        <v>-1.6710325191068486E-2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-6690.48</v>
      </c>
      <c r="X96" s="8">
        <f>IFERROR(W96/W444, "NA")</f>
        <v>-0.41547131497483503</v>
      </c>
      <c r="Y96" s="9"/>
      <c r="Z96" s="7">
        <v>-7218.15</v>
      </c>
      <c r="AA96" s="8">
        <f>IFERROR(Z96/Z444, "NA")</f>
        <v>-2.0044481829671595E-2</v>
      </c>
      <c r="AB96" s="9"/>
      <c r="AC96" s="10">
        <f t="shared" si="27"/>
        <v>527.67000000000007</v>
      </c>
      <c r="AD96" s="8">
        <f>IFERROR(AC96/AC444, "NA")</f>
        <v>1.3102193233699367E-2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-747.57</v>
      </c>
      <c r="C98" s="8">
        <f>IFERROR(B98/B444, "NA")</f>
        <v>-6.8375219409024524E-3</v>
      </c>
      <c r="D98" s="9"/>
      <c r="E98" s="7">
        <v>0</v>
      </c>
      <c r="F98" s="8">
        <f>IFERROR(E98/E444, "NA")</f>
        <v>0</v>
      </c>
      <c r="G98" s="9"/>
      <c r="H98" s="10">
        <f t="shared" si="24"/>
        <v>-747.57</v>
      </c>
      <c r="I98" s="8">
        <f>IFERROR(H98/H444, "NA")</f>
        <v>-0.11766140925495418</v>
      </c>
      <c r="J98" s="9"/>
      <c r="K98" s="7">
        <v>-2019.22</v>
      </c>
      <c r="L98" s="8">
        <f>IFERROR(K98/K444, "NA")</f>
        <v>-2.1568692378930995E-2</v>
      </c>
      <c r="M98" s="9"/>
      <c r="N98" s="10">
        <f t="shared" si="25"/>
        <v>1271.6500000000001</v>
      </c>
      <c r="O98" s="8">
        <f>IFERROR(N98/N444, "NA")</f>
        <v>8.091759850388508E-2</v>
      </c>
      <c r="P98" s="9"/>
      <c r="Q98" s="7">
        <v>-3940.31</v>
      </c>
      <c r="R98" s="8">
        <f>IFERROR(Q98/Q444, "NA")</f>
        <v>-9.8414256456366457E-3</v>
      </c>
      <c r="S98" s="9"/>
      <c r="T98" s="7">
        <v>0</v>
      </c>
      <c r="U98" s="8">
        <f>IFERROR(T98/T444, "NA")</f>
        <v>0</v>
      </c>
      <c r="V98" s="9"/>
      <c r="W98" s="10">
        <f t="shared" si="26"/>
        <v>-3940.31</v>
      </c>
      <c r="X98" s="8">
        <f>IFERROR(W98/W444, "NA")</f>
        <v>-0.24468883803680636</v>
      </c>
      <c r="Y98" s="9"/>
      <c r="Z98" s="7">
        <v>-6070.19</v>
      </c>
      <c r="AA98" s="8">
        <f>IFERROR(Z98/Z444, "NA")</f>
        <v>-1.6856647916384977E-2</v>
      </c>
      <c r="AB98" s="9"/>
      <c r="AC98" s="10">
        <f t="shared" si="27"/>
        <v>2129.8799999999997</v>
      </c>
      <c r="AD98" s="8">
        <f>IFERROR(AC98/AC444, "NA")</f>
        <v>5.2885514288459827E-2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-578.15</v>
      </c>
      <c r="C100" s="8">
        <f>IFERROR(B100/B444, "NA")</f>
        <v>-5.287950707134787E-3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-578.15</v>
      </c>
      <c r="I100" s="8">
        <f>IFERROR(H100/H444, "NA")</f>
        <v>-9.0996085665224324E-2</v>
      </c>
      <c r="J100" s="9"/>
      <c r="K100" s="7">
        <v>-164.25</v>
      </c>
      <c r="L100" s="8">
        <f>IFERROR(K100/K444, "NA")</f>
        <v>-1.7544684201025228E-3</v>
      </c>
      <c r="M100" s="9"/>
      <c r="N100" s="10">
        <f t="shared" si="25"/>
        <v>-413.9</v>
      </c>
      <c r="O100" s="8">
        <f>IFERROR(N100/N444, "NA")</f>
        <v>-2.6337273637209949E-2</v>
      </c>
      <c r="P100" s="9"/>
      <c r="Q100" s="7">
        <v>-728.14</v>
      </c>
      <c r="R100" s="8">
        <f>IFERROR(Q100/Q444, "NA")</f>
        <v>-1.8186223088066337E-3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-728.14</v>
      </c>
      <c r="X100" s="8">
        <f>IFERROR(W100/W444, "NA")</f>
        <v>-4.5216678517203006E-2</v>
      </c>
      <c r="Y100" s="9"/>
      <c r="Z100" s="7">
        <v>-1040.82</v>
      </c>
      <c r="AA100" s="8">
        <f>IFERROR(Z100/Z444, "NA")</f>
        <v>-2.8903108937828655E-3</v>
      </c>
      <c r="AB100" s="9"/>
      <c r="AC100" s="10">
        <f t="shared" si="27"/>
        <v>312.67999999999995</v>
      </c>
      <c r="AD100" s="8">
        <f>IFERROR(AC100/AC444, "NA")</f>
        <v>7.7639315866225422E-3</v>
      </c>
    </row>
    <row r="101" spans="1:30" ht="16.5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-57.25</v>
      </c>
      <c r="R101" s="8">
        <f>IFERROR(Q101/Q444, "NA")</f>
        <v>-1.4298916029771718E-4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-57.25</v>
      </c>
      <c r="X101" s="8">
        <f>IFERROR(W101/W444, "NA")</f>
        <v>-3.5551608826734863E-3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-57.25</v>
      </c>
      <c r="AD101" s="8">
        <f>IFERROR(AC101/AC444, "NA")</f>
        <v>-1.4215334633943348E-3</v>
      </c>
    </row>
    <row r="102" spans="1:30" ht="16.5" customHeight="1" x14ac:dyDescent="0.45">
      <c r="A102" s="12" t="s">
        <v>97</v>
      </c>
      <c r="B102" s="7">
        <v>-654.85</v>
      </c>
      <c r="C102" s="8">
        <f>IFERROR(B102/B444, "NA")</f>
        <v>-5.9894742204742975E-3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-654.85</v>
      </c>
      <c r="I102" s="8">
        <f>IFERROR(H102/H444, "NA")</f>
        <v>-0.10306803891355558</v>
      </c>
      <c r="J102" s="9"/>
      <c r="K102" s="7">
        <v>-610.29999999999995</v>
      </c>
      <c r="L102" s="8">
        <f>IFERROR(K102/K444, "NA")</f>
        <v>-6.5190385192606974E-3</v>
      </c>
      <c r="M102" s="9"/>
      <c r="N102" s="10">
        <f t="shared" si="25"/>
        <v>-44.550000000000068</v>
      </c>
      <c r="O102" s="8">
        <f>IFERROR(N102/N444, "NA")</f>
        <v>-2.834804398496509E-3</v>
      </c>
      <c r="P102" s="9"/>
      <c r="Q102" s="7">
        <v>-3040.98</v>
      </c>
      <c r="R102" s="8">
        <f>IFERROR(Q102/Q444, "NA")</f>
        <v>-7.5952345271991612E-3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-3040.98</v>
      </c>
      <c r="X102" s="8">
        <f>IFERROR(W102/W444, "NA")</f>
        <v>-0.18884145224440904</v>
      </c>
      <c r="Y102" s="9"/>
      <c r="Z102" s="7">
        <v>-2857.75</v>
      </c>
      <c r="AA102" s="8">
        <f>IFERROR(Z102/Z444, "NA")</f>
        <v>-7.9358447730712173E-3</v>
      </c>
      <c r="AB102" s="9"/>
      <c r="AC102" s="10">
        <f t="shared" si="27"/>
        <v>-183.23000000000002</v>
      </c>
      <c r="AD102" s="8">
        <f>IFERROR(AC102/AC444, "NA")</f>
        <v>-4.5496519912269695E-3</v>
      </c>
    </row>
    <row r="103" spans="1:30" ht="16.5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-30</v>
      </c>
      <c r="R103" s="8">
        <f>IFERROR(Q103/Q444, "NA")</f>
        <v>-7.4928817623257901E-5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-30</v>
      </c>
      <c r="X103" s="8">
        <f>IFERROR(W103/W444, "NA")</f>
        <v>-1.8629664014009535E-3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-30</v>
      </c>
      <c r="AD103" s="8">
        <f>IFERROR(AC103/AC444, "NA")</f>
        <v>-7.4490836509746795E-4</v>
      </c>
    </row>
    <row r="104" spans="1:30" ht="16.5" customHeight="1" x14ac:dyDescent="0.45">
      <c r="A104" s="12" t="s">
        <v>99</v>
      </c>
      <c r="B104" s="7">
        <v>-15.22</v>
      </c>
      <c r="C104" s="8">
        <f>IFERROR(B104/B444, "NA")</f>
        <v>-1.392071430642419E-4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-15.22</v>
      </c>
      <c r="I104" s="8">
        <f>IFERROR(H104/H444, "NA")</f>
        <v>-2.3955036302425224E-3</v>
      </c>
      <c r="J104" s="9"/>
      <c r="K104" s="7">
        <v>-629.17999999999995</v>
      </c>
      <c r="L104" s="8">
        <f>IFERROR(K104/K444, "NA")</f>
        <v>-6.7207089227403665E-3</v>
      </c>
      <c r="M104" s="9"/>
      <c r="N104" s="10">
        <f t="shared" si="25"/>
        <v>613.95999999999992</v>
      </c>
      <c r="O104" s="8">
        <f>IFERROR(N104/N444, "NA")</f>
        <v>3.9067486161636675E-2</v>
      </c>
      <c r="P104" s="9"/>
      <c r="Q104" s="7">
        <v>-276.83999999999997</v>
      </c>
      <c r="R104" s="8">
        <f>IFERROR(Q104/Q444, "NA")</f>
        <v>-6.9144312902742386E-4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-276.83999999999997</v>
      </c>
      <c r="X104" s="8">
        <f>IFERROR(W104/W444, "NA")</f>
        <v>-1.7191453952127997E-2</v>
      </c>
      <c r="Y104" s="9"/>
      <c r="Z104" s="7">
        <v>-2018.94</v>
      </c>
      <c r="AA104" s="8">
        <f>IFERROR(Z104/Z444, "NA")</f>
        <v>-5.6065066734824259E-3</v>
      </c>
      <c r="AB104" s="9"/>
      <c r="AC104" s="10">
        <f t="shared" si="27"/>
        <v>1742.1000000000001</v>
      </c>
      <c r="AD104" s="8">
        <f>IFERROR(AC104/AC444, "NA")</f>
        <v>4.3256828761209967E-2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-50</v>
      </c>
      <c r="R106" s="8">
        <f>IFERROR(Q106/Q444, "NA")</f>
        <v>-1.2488136270542984E-4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-50</v>
      </c>
      <c r="X106" s="8">
        <f>IFERROR(W106/W444, "NA")</f>
        <v>-3.1049440023349223E-3</v>
      </c>
      <c r="Y106" s="9"/>
      <c r="Z106" s="7">
        <v>0</v>
      </c>
      <c r="AA106" s="8">
        <f>IFERROR(Z106/Z444, "NA")</f>
        <v>0</v>
      </c>
      <c r="AB106" s="9"/>
      <c r="AC106" s="10">
        <f t="shared" si="27"/>
        <v>-50</v>
      </c>
      <c r="AD106" s="8">
        <f>IFERROR(AC106/AC444, "NA")</f>
        <v>-1.2415139418291133E-3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-3771.89</v>
      </c>
      <c r="C118" s="15">
        <f>IFERROR(B118/B444, "NA")</f>
        <v>-3.4498950778750551E-2</v>
      </c>
      <c r="D118" s="2"/>
      <c r="E118" s="14">
        <f>IFERROR(E94+E95+E96+E97+E98+E99+E100+E101+E102+E103+E104+E105+E106+E107+E108+E109+E110+E111+E112+E113+E114+E115+E116+E117, "NA")</f>
        <v>-5457.94</v>
      </c>
      <c r="F118" s="15">
        <f>IFERROR(E118/E444, "NA")</f>
        <v>-5.3000051466354114E-2</v>
      </c>
      <c r="G118" s="2"/>
      <c r="H118" s="14">
        <f t="shared" si="24"/>
        <v>1686.0499999999997</v>
      </c>
      <c r="I118" s="15">
        <f>IFERROR(H118/H444, "NA")</f>
        <v>0.26537049249477035</v>
      </c>
      <c r="J118" s="2"/>
      <c r="K118" s="14">
        <f>IFERROR(K94+K95+K96+K97+K98+K99+K100+K101+K102+K103+K104+K105+K106+K107+K108+K109+K110+K111+K112+K113+K114+K115+K116+K117, "NA")</f>
        <v>-5186.1500000000005</v>
      </c>
      <c r="L118" s="15">
        <f>IFERROR(K118/K444, "NA")</f>
        <v>-5.5396873040576555E-2</v>
      </c>
      <c r="M118" s="2"/>
      <c r="N118" s="14">
        <f t="shared" si="25"/>
        <v>1414.2600000000007</v>
      </c>
      <c r="O118" s="15">
        <f>IFERROR(N118/N444, "NA")</f>
        <v>8.9992154177725436E-2</v>
      </c>
      <c r="P118" s="2"/>
      <c r="Q118" s="14">
        <f>IFERROR(Q94+Q95+Q96+Q97+Q98+Q99+Q100+Q101+Q102+Q103+Q104+Q105+Q106+Q107+Q108+Q109+Q110+Q111+Q112+Q113+Q114+Q115+Q116+Q117, "NA")</f>
        <v>-14813.999999999998</v>
      </c>
      <c r="R118" s="15">
        <f>IFERROR(Q118/Q444, "NA")</f>
        <v>-3.6999850142364746E-2</v>
      </c>
      <c r="S118" s="2"/>
      <c r="T118" s="14">
        <f>IFERROR(T94+T95+T96+T97+T98+T99+T100+T101+T102+T103+T104+T105+T106+T107+T108+T109+T110+T111+T112+T113+T114+T115+T116+T117, "NA")</f>
        <v>-20366.669999999998</v>
      </c>
      <c r="U118" s="15">
        <f>IFERROR(T118/T444, "NA")</f>
        <v>-5.3000019647303567E-2</v>
      </c>
      <c r="V118" s="2"/>
      <c r="W118" s="14">
        <f t="shared" si="26"/>
        <v>5552.67</v>
      </c>
      <c r="X118" s="15">
        <f>IFERROR(W118/W444, "NA")</f>
        <v>0.3448145882689011</v>
      </c>
      <c r="Y118" s="2"/>
      <c r="Z118" s="14">
        <f>IFERROR(Z94+Z95+Z96+Z97+Z98+Z99+Z100+Z101+Z102+Z103+Z104+Z105+Z106+Z107+Z108+Z109+Z110+Z111+Z112+Z113+Z114+Z115+Z116+Z117, "NA")</f>
        <v>-19205.849999999999</v>
      </c>
      <c r="AA118" s="15">
        <f>IFERROR(Z118/Z444, "NA")</f>
        <v>-5.3333792086393078E-2</v>
      </c>
      <c r="AB118" s="2"/>
      <c r="AC118" s="14">
        <f t="shared" si="27"/>
        <v>4391.8500000000004</v>
      </c>
      <c r="AD118" s="15">
        <f>IFERROR(AC118/AC444, "NA")</f>
        <v>0.10905086010844384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109333.46999999999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102979.90000000001</v>
      </c>
      <c r="F122" s="15">
        <f>IFERROR(E122/E444, "NA")</f>
        <v>1.0000000000000002</v>
      </c>
      <c r="G122" s="2"/>
      <c r="H122" s="14">
        <f t="shared" si="24"/>
        <v>6353.5699999999779</v>
      </c>
      <c r="I122" s="15">
        <f>IFERROR(H122/H444, "NA")</f>
        <v>0.99999999999999545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93618.10000000002</v>
      </c>
      <c r="L122" s="15">
        <f>IFERROR(K122/K444, "NA")</f>
        <v>1.0000000000000002</v>
      </c>
      <c r="M122" s="2"/>
      <c r="N122" s="14">
        <f t="shared" si="25"/>
        <v>15715.369999999966</v>
      </c>
      <c r="O122" s="15">
        <f>IFERROR(N122/N444, "NA")</f>
        <v>0.99999999999999811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400380.00000000006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384276.65</v>
      </c>
      <c r="U122" s="15">
        <f>IFERROR(T122/T444, "NA")</f>
        <v>1</v>
      </c>
      <c r="V122" s="2"/>
      <c r="W122" s="14">
        <f t="shared" si="26"/>
        <v>16103.350000000035</v>
      </c>
      <c r="X122" s="15">
        <f>IFERROR(W122/W444, "NA")</f>
        <v>1.0000000000000036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360106.58999999997</v>
      </c>
      <c r="AA122" s="15">
        <f>IFERROR(Z122/Z444, "NA")</f>
        <v>0.99999999999999989</v>
      </c>
      <c r="AB122" s="2"/>
      <c r="AC122" s="14">
        <f t="shared" si="27"/>
        <v>40273.410000000091</v>
      </c>
      <c r="AD122" s="15">
        <f>IFERROR(AC122/AC444, "NA")</f>
        <v>1.0000000000000029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109333.46999999999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102979.90000000001</v>
      </c>
      <c r="F124" s="15">
        <f>IFERROR(E124/E444, "NA")</f>
        <v>1.0000000000000002</v>
      </c>
      <c r="G124" s="2"/>
      <c r="H124" s="14">
        <f t="shared" si="24"/>
        <v>6353.5699999999779</v>
      </c>
      <c r="I124" s="15">
        <f>IFERROR(H124/H444, "NA")</f>
        <v>0.99999999999999545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93618.10000000002</v>
      </c>
      <c r="L124" s="15">
        <f>IFERROR(K124/K444, "NA")</f>
        <v>1.0000000000000002</v>
      </c>
      <c r="M124" s="2"/>
      <c r="N124" s="14">
        <f t="shared" si="25"/>
        <v>15715.369999999966</v>
      </c>
      <c r="O124" s="15">
        <f>IFERROR(N124/N444, "NA")</f>
        <v>0.99999999999999811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400380.00000000006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384276.65</v>
      </c>
      <c r="U124" s="15">
        <f>IFERROR(T124/T444, "NA")</f>
        <v>1</v>
      </c>
      <c r="V124" s="2"/>
      <c r="W124" s="14">
        <f t="shared" si="26"/>
        <v>16103.350000000035</v>
      </c>
      <c r="X124" s="15">
        <f>IFERROR(W124/W444, "NA")</f>
        <v>1.0000000000000036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360106.58999999997</v>
      </c>
      <c r="AA124" s="15">
        <f>IFERROR(Z124/Z444, "NA")</f>
        <v>0.99999999999999989</v>
      </c>
      <c r="AB124" s="2"/>
      <c r="AC124" s="14">
        <f t="shared" si="27"/>
        <v>40273.410000000091</v>
      </c>
      <c r="AD124" s="15">
        <f>IFERROR(AC124/AC444, "NA")</f>
        <v>1.0000000000000029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21728.76</v>
      </c>
      <c r="F129" s="8">
        <f>IFERROR(E129/E444, "NA")</f>
        <v>0.21100001068169613</v>
      </c>
      <c r="G129" s="9"/>
      <c r="H129" s="10">
        <f t="shared" ref="H129:H141" si="28">IFERROR(-(B129-E129), "NA")</f>
        <v>21728.76</v>
      </c>
      <c r="I129" s="8">
        <f>IFERROR(H129/H444, "NA")</f>
        <v>3.419929268112254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81491.539999999994</v>
      </c>
      <c r="U129" s="8">
        <f>IFERROR(T129/T444, "NA")</f>
        <v>0.21206477156496495</v>
      </c>
      <c r="V129" s="9"/>
      <c r="W129" s="10">
        <f t="shared" ref="W129:W141" si="30">IFERROR(-(Q129-T129), "NA")</f>
        <v>81491.539999999994</v>
      </c>
      <c r="X129" s="8">
        <f>IFERROR(W129/W444, "NA")</f>
        <v>5.060533367280728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5234.87</v>
      </c>
      <c r="C130" s="8">
        <f>IFERROR(B130/B444, "NA")</f>
        <v>4.7879848686774508E-2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-5234.87</v>
      </c>
      <c r="I130" s="8">
        <f>IFERROR(H130/H444, "NA")</f>
        <v>-0.82392576142231755</v>
      </c>
      <c r="J130" s="9"/>
      <c r="K130" s="7">
        <v>5225.8900000000003</v>
      </c>
      <c r="L130" s="8">
        <f>IFERROR(K130/K444, "NA")</f>
        <v>5.5821363603833017E-2</v>
      </c>
      <c r="M130" s="9"/>
      <c r="N130" s="10">
        <f t="shared" si="29"/>
        <v>-8.9799999999995634</v>
      </c>
      <c r="O130" s="8">
        <f>IFERROR(N130/N444, "NA")</f>
        <v>-5.7141511781138882E-4</v>
      </c>
      <c r="P130" s="9"/>
      <c r="Q130" s="7">
        <v>18281.29</v>
      </c>
      <c r="R130" s="8">
        <f>IFERROR(Q130/Q444, "NA")</f>
        <v>4.5659848144262952E-2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-18281.29</v>
      </c>
      <c r="X130" s="8">
        <f>IFERROR(W130/W444, "NA")</f>
        <v>-1.135247634808908</v>
      </c>
      <c r="Y130" s="9"/>
      <c r="Z130" s="7">
        <v>19568.36</v>
      </c>
      <c r="AA130" s="8">
        <f>IFERROR(Z130/Z444, "NA")</f>
        <v>5.4340466249173609E-2</v>
      </c>
      <c r="AB130" s="9"/>
      <c r="AC130" s="10">
        <f t="shared" si="31"/>
        <v>1287.0699999999997</v>
      </c>
      <c r="AD130" s="8">
        <f>IFERROR(AC130/AC444, "NA")</f>
        <v>3.1958306982199931E-2</v>
      </c>
    </row>
    <row r="131" spans="1:30" ht="16.5" customHeight="1" x14ac:dyDescent="0.45">
      <c r="A131" s="12" t="s">
        <v>123</v>
      </c>
      <c r="B131" s="7">
        <v>2840.07</v>
      </c>
      <c r="C131" s="8">
        <f>IFERROR(B131/B444, "NA")</f>
        <v>2.5976217529728091E-2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-2840.07</v>
      </c>
      <c r="I131" s="8">
        <f>IFERROR(H131/H444, "NA")</f>
        <v>-0.44700381045616827</v>
      </c>
      <c r="J131" s="9"/>
      <c r="K131" s="7">
        <v>2326.64</v>
      </c>
      <c r="L131" s="8">
        <f>IFERROR(K131/K444, "NA")</f>
        <v>2.485245908643734E-2</v>
      </c>
      <c r="M131" s="9"/>
      <c r="N131" s="10">
        <f t="shared" si="29"/>
        <v>-513.43000000000029</v>
      </c>
      <c r="O131" s="8">
        <f>IFERROR(N131/N444, "NA")</f>
        <v>-3.2670563912908221E-2</v>
      </c>
      <c r="P131" s="9"/>
      <c r="Q131" s="7">
        <v>10497.35</v>
      </c>
      <c r="R131" s="8">
        <f>IFERROR(Q131/Q444, "NA")</f>
        <v>2.6218467455916879E-2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-10497.35</v>
      </c>
      <c r="X131" s="8">
        <f>IFERROR(W131/W444, "NA")</f>
        <v>-0.65187367845820998</v>
      </c>
      <c r="Y131" s="9"/>
      <c r="Z131" s="7">
        <v>10509.15</v>
      </c>
      <c r="AA131" s="8">
        <f>IFERROR(Z131/Z444, "NA")</f>
        <v>2.9183442602369478E-2</v>
      </c>
      <c r="AB131" s="9"/>
      <c r="AC131" s="10">
        <f t="shared" si="31"/>
        <v>11.799999999999272</v>
      </c>
      <c r="AD131" s="8">
        <f>IFERROR(AC131/AC444, "NA")</f>
        <v>2.9299729027165266E-4</v>
      </c>
    </row>
    <row r="132" spans="1:30" ht="16.5" customHeight="1" x14ac:dyDescent="0.45">
      <c r="A132" s="12" t="s">
        <v>124</v>
      </c>
      <c r="B132" s="7">
        <v>4040.44</v>
      </c>
      <c r="C132" s="8">
        <f>IFERROR(B132/B444, "NA")</f>
        <v>3.6955197708441891E-2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-4040.44</v>
      </c>
      <c r="I132" s="8">
        <f>IFERROR(H132/H444, "NA")</f>
        <v>-0.63593223966998014</v>
      </c>
      <c r="J132" s="9"/>
      <c r="K132" s="7">
        <v>3881.84</v>
      </c>
      <c r="L132" s="8">
        <f>IFERROR(K132/K444, "NA")</f>
        <v>4.1464631305271095E-2</v>
      </c>
      <c r="M132" s="9"/>
      <c r="N132" s="10">
        <f t="shared" si="29"/>
        <v>-158.59999999999991</v>
      </c>
      <c r="O132" s="8">
        <f>IFERROR(N132/N444, "NA")</f>
        <v>-1.0092030922593611E-2</v>
      </c>
      <c r="P132" s="9"/>
      <c r="Q132" s="7">
        <v>13641.2</v>
      </c>
      <c r="R132" s="8">
        <f>IFERROR(Q132/Q444, "NA")</f>
        <v>3.4070632898746192E-2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-13641.2</v>
      </c>
      <c r="X132" s="8">
        <f>IFERROR(W132/W444, "NA")</f>
        <v>-0.84710324249302293</v>
      </c>
      <c r="Y132" s="9"/>
      <c r="Z132" s="7">
        <v>13211.14</v>
      </c>
      <c r="AA132" s="8">
        <f>IFERROR(Z132/Z444, "NA")</f>
        <v>3.6686748776244275E-2</v>
      </c>
      <c r="AB132" s="9"/>
      <c r="AC132" s="10">
        <f t="shared" si="31"/>
        <v>-430.06000000000131</v>
      </c>
      <c r="AD132" s="8">
        <f>IFERROR(AC132/AC444, "NA")</f>
        <v>-1.0678509716460602E-2</v>
      </c>
    </row>
    <row r="133" spans="1:30" ht="16.5" customHeight="1" x14ac:dyDescent="0.45">
      <c r="A133" s="12" t="s">
        <v>125</v>
      </c>
      <c r="B133" s="7">
        <v>2551.08</v>
      </c>
      <c r="C133" s="8">
        <f>IFERROR(B133/B444, "NA")</f>
        <v>2.3333019614213288E-2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-2551.08</v>
      </c>
      <c r="I133" s="8">
        <f>IFERROR(H133/H444, "NA")</f>
        <v>-0.40151914592898119</v>
      </c>
      <c r="J133" s="9"/>
      <c r="K133" s="7">
        <v>2095.34</v>
      </c>
      <c r="L133" s="8">
        <f>IFERROR(K133/K444, "NA")</f>
        <v>2.2381783009909409E-2</v>
      </c>
      <c r="M133" s="9"/>
      <c r="N133" s="10">
        <f t="shared" si="29"/>
        <v>-455.73999999999978</v>
      </c>
      <c r="O133" s="8">
        <f>IFERROR(N133/N444, "NA")</f>
        <v>-2.8999635388794531E-2</v>
      </c>
      <c r="P133" s="9"/>
      <c r="Q133" s="7">
        <v>8758.85</v>
      </c>
      <c r="R133" s="8">
        <f>IFERROR(Q133/Q444, "NA")</f>
        <v>2.1876342474649084E-2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-8758.85</v>
      </c>
      <c r="X133" s="8">
        <f>IFERROR(W133/W444, "NA")</f>
        <v>-0.54391477549702472</v>
      </c>
      <c r="Y133" s="9"/>
      <c r="Z133" s="7">
        <v>8380.18</v>
      </c>
      <c r="AA133" s="8">
        <f>IFERROR(Z133/Z444, "NA")</f>
        <v>2.3271387507793177E-2</v>
      </c>
      <c r="AB133" s="9"/>
      <c r="AC133" s="10">
        <f t="shared" si="31"/>
        <v>-378.67000000000007</v>
      </c>
      <c r="AD133" s="8">
        <f>IFERROR(AC133/AC444, "NA")</f>
        <v>-9.402481687048608E-3</v>
      </c>
    </row>
    <row r="134" spans="1:30" ht="16.5" customHeight="1" x14ac:dyDescent="0.45">
      <c r="A134" s="12" t="s">
        <v>126</v>
      </c>
      <c r="B134" s="7">
        <v>1181.42</v>
      </c>
      <c r="C134" s="8">
        <f>IFERROR(B134/B444, "NA")</f>
        <v>1.0805657224635787E-2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-1181.42</v>
      </c>
      <c r="I134" s="8">
        <f>IFERROR(H134/H444, "NA")</f>
        <v>-0.18594585406314856</v>
      </c>
      <c r="J134" s="9"/>
      <c r="K134" s="7">
        <v>643.6</v>
      </c>
      <c r="L134" s="8">
        <f>IFERROR(K134/K444, "NA")</f>
        <v>6.8747389660760039E-3</v>
      </c>
      <c r="M134" s="9"/>
      <c r="N134" s="10">
        <f t="shared" si="29"/>
        <v>-537.82000000000005</v>
      </c>
      <c r="O134" s="8">
        <f>IFERROR(N134/N444, "NA")</f>
        <v>-3.4222547735115384E-2</v>
      </c>
      <c r="P134" s="9"/>
      <c r="Q134" s="7">
        <v>4122.97</v>
      </c>
      <c r="R134" s="8">
        <f>IFERROR(Q134/Q444, "NA")</f>
        <v>1.0297642239872121E-2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-4122.97</v>
      </c>
      <c r="X134" s="8">
        <f>IFERROR(W134/W444, "NA")</f>
        <v>-0.25603181946613629</v>
      </c>
      <c r="Y134" s="9"/>
      <c r="Z134" s="7">
        <v>2870.92</v>
      </c>
      <c r="AA134" s="8">
        <f>IFERROR(Z134/Z444, "NA")</f>
        <v>7.972417277895414E-3</v>
      </c>
      <c r="AB134" s="9"/>
      <c r="AC134" s="10">
        <f t="shared" si="31"/>
        <v>-1252.0500000000002</v>
      </c>
      <c r="AD134" s="8">
        <f>IFERROR(AC134/AC444, "NA")</f>
        <v>-3.1088750617342831E-2</v>
      </c>
    </row>
    <row r="135" spans="1:30" ht="16.5" customHeight="1" x14ac:dyDescent="0.45">
      <c r="A135" s="12" t="s">
        <v>127</v>
      </c>
      <c r="B135" s="7">
        <v>830.17</v>
      </c>
      <c r="C135" s="8">
        <f>IFERROR(B135/B444, "NA")</f>
        <v>7.5930088014219245E-3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-830.17</v>
      </c>
      <c r="I135" s="8">
        <f>IFERROR(H135/H444, "NA")</f>
        <v>-0.13066197429161858</v>
      </c>
      <c r="J135" s="9"/>
      <c r="K135" s="7">
        <v>665.81</v>
      </c>
      <c r="L135" s="8">
        <f>IFERROR(K135/K444, "NA")</f>
        <v>7.1119794142372027E-3</v>
      </c>
      <c r="M135" s="9"/>
      <c r="N135" s="10">
        <f t="shared" si="29"/>
        <v>-164.36</v>
      </c>
      <c r="O135" s="8">
        <f>IFERROR(N135/N444, "NA")</f>
        <v>-1.0458551087247711E-2</v>
      </c>
      <c r="P135" s="9"/>
      <c r="Q135" s="7">
        <v>2843.84</v>
      </c>
      <c r="R135" s="8">
        <f>IFERROR(Q135/Q444, "NA")</f>
        <v>7.1028522903241924E-3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-2843.84</v>
      </c>
      <c r="X135" s="8">
        <f>IFERROR(W135/W444, "NA")</f>
        <v>-0.17659927903200293</v>
      </c>
      <c r="Y135" s="9"/>
      <c r="Z135" s="7">
        <v>3106.34</v>
      </c>
      <c r="AA135" s="8">
        <f>IFERROR(Z135/Z444, "NA")</f>
        <v>8.6261681576002263E-3</v>
      </c>
      <c r="AB135" s="9"/>
      <c r="AC135" s="10">
        <f t="shared" si="31"/>
        <v>262.5</v>
      </c>
      <c r="AD135" s="8">
        <f>IFERROR(AC135/AC444, "NA")</f>
        <v>6.5179481946028451E-3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1100.3499999999999</v>
      </c>
      <c r="L136" s="8">
        <f>IFERROR(K136/K444, "NA")</f>
        <v>1.1753603202799457E-2</v>
      </c>
      <c r="M136" s="9"/>
      <c r="N136" s="10">
        <f t="shared" si="29"/>
        <v>1100.3499999999999</v>
      </c>
      <c r="O136" s="8">
        <f>IFERROR(N136/N444, "NA")</f>
        <v>7.0017441523807594E-2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3377.73</v>
      </c>
      <c r="AA136" s="8">
        <f>IFERROR(Z136/Z444, "NA")</f>
        <v>9.3798061290686179E-3</v>
      </c>
      <c r="AB136" s="9"/>
      <c r="AC136" s="10">
        <f t="shared" si="31"/>
        <v>3377.73</v>
      </c>
      <c r="AD136" s="8">
        <f>IFERROR(AC136/AC444, "NA")</f>
        <v>8.3869977734689016E-2</v>
      </c>
    </row>
    <row r="137" spans="1:30" ht="16.5" customHeight="1" x14ac:dyDescent="0.45">
      <c r="A137" s="12" t="s">
        <v>129</v>
      </c>
      <c r="B137" s="7">
        <v>578.54</v>
      </c>
      <c r="C137" s="8">
        <f>IFERROR(B137/B444, "NA")</f>
        <v>5.291517775846682E-3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-578.54</v>
      </c>
      <c r="I137" s="8">
        <f>IFERROR(H137/H444, "NA")</f>
        <v>-9.105746847835143E-2</v>
      </c>
      <c r="J137" s="9"/>
      <c r="K137" s="7">
        <v>869.36</v>
      </c>
      <c r="L137" s="8">
        <f>IFERROR(K137/K444, "NA")</f>
        <v>9.2862384517523842E-3</v>
      </c>
      <c r="M137" s="9"/>
      <c r="N137" s="10">
        <f t="shared" si="29"/>
        <v>290.82000000000005</v>
      </c>
      <c r="O137" s="8">
        <f>IFERROR(N137/N444, "NA")</f>
        <v>1.8505450396649914E-2</v>
      </c>
      <c r="P137" s="9"/>
      <c r="Q137" s="7">
        <v>2065.61</v>
      </c>
      <c r="R137" s="8">
        <f>IFERROR(Q137/Q444, "NA")</f>
        <v>5.1591238323592586E-3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-2065.61</v>
      </c>
      <c r="X137" s="8">
        <f>IFERROR(W137/W444, "NA")</f>
        <v>-0.12827206761326079</v>
      </c>
      <c r="Y137" s="9"/>
      <c r="Z137" s="7">
        <v>1854.24</v>
      </c>
      <c r="AA137" s="8">
        <f>IFERROR(Z137/Z444, "NA")</f>
        <v>5.1491420915124042E-3</v>
      </c>
      <c r="AB137" s="9"/>
      <c r="AC137" s="10">
        <f t="shared" si="31"/>
        <v>-211.37000000000012</v>
      </c>
      <c r="AD137" s="8">
        <f>IFERROR(AC137/AC444, "NA")</f>
        <v>-5.2483760376883966E-3</v>
      </c>
    </row>
    <row r="138" spans="1:30" ht="16.5" customHeight="1" x14ac:dyDescent="0.45">
      <c r="A138" s="12" t="s">
        <v>130</v>
      </c>
      <c r="B138" s="7">
        <v>6591.37</v>
      </c>
      <c r="C138" s="8">
        <f>IFERROR(B138/B444, "NA")</f>
        <v>6.0286845373150599E-2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-6591.37</v>
      </c>
      <c r="I138" s="8">
        <f>IFERROR(H138/H444, "NA")</f>
        <v>-1.0374277768246816</v>
      </c>
      <c r="J138" s="9"/>
      <c r="K138" s="7">
        <v>5780.15</v>
      </c>
      <c r="L138" s="8">
        <f>IFERROR(K138/K444, "NA")</f>
        <v>6.1741799929714437E-2</v>
      </c>
      <c r="M138" s="9"/>
      <c r="N138" s="10">
        <f t="shared" si="29"/>
        <v>-811.22000000000025</v>
      </c>
      <c r="O138" s="8">
        <f>IFERROR(N138/N444, "NA")</f>
        <v>-5.1619529161578789E-2</v>
      </c>
      <c r="P138" s="9"/>
      <c r="Q138" s="7">
        <v>26395.02</v>
      </c>
      <c r="R138" s="8">
        <f>IFERROR(Q138/Q444, "NA")</f>
        <v>6.5924921324741495E-2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-26395.02</v>
      </c>
      <c r="X138" s="8">
        <f>IFERROR(W138/W444, "NA")</f>
        <v>-1.6391011808102065</v>
      </c>
      <c r="Y138" s="9"/>
      <c r="Z138" s="7">
        <v>20162.55</v>
      </c>
      <c r="AA138" s="8">
        <f>IFERROR(Z138/Z444, "NA")</f>
        <v>5.5990505477836433E-2</v>
      </c>
      <c r="AB138" s="9"/>
      <c r="AC138" s="10">
        <f t="shared" si="31"/>
        <v>-6232.4700000000012</v>
      </c>
      <c r="AD138" s="8">
        <f>IFERROR(AC138/AC444, "NA")</f>
        <v>-0.1547539679406339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29.7</v>
      </c>
      <c r="L140" s="8">
        <f>IFERROR(K140/K444, "NA")</f>
        <v>3.1724634445689452E-4</v>
      </c>
      <c r="M140" s="9"/>
      <c r="N140" s="10">
        <f t="shared" si="29"/>
        <v>29.7</v>
      </c>
      <c r="O140" s="8">
        <f>IFERROR(N140/N444, "NA")</f>
        <v>1.8898695989976696E-3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71.56</v>
      </c>
      <c r="AA140" s="8">
        <f>IFERROR(Z140/Z444, "NA")</f>
        <v>1.9871894041150427E-4</v>
      </c>
      <c r="AB140" s="9"/>
      <c r="AC140" s="10">
        <f t="shared" si="31"/>
        <v>71.56</v>
      </c>
      <c r="AD140" s="8">
        <f>IFERROR(AC140/AC444, "NA")</f>
        <v>1.7768547535458271E-3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23847.96</v>
      </c>
      <c r="C141" s="15">
        <f>IFERROR(B141/B444, "NA")</f>
        <v>0.21812131271421276</v>
      </c>
      <c r="D141" s="2"/>
      <c r="E141" s="14">
        <f>IFERROR(E129+E130+E131+E132+E133+E134+E135+E136+E137+E138+E139+E140, "NA")</f>
        <v>21728.76</v>
      </c>
      <c r="F141" s="15">
        <f>IFERROR(E141/E444, "NA")</f>
        <v>0.21100001068169613</v>
      </c>
      <c r="G141" s="2"/>
      <c r="H141" s="14">
        <f t="shared" si="28"/>
        <v>-2119.2000000000007</v>
      </c>
      <c r="I141" s="15">
        <f>IFERROR(H141/H444, "NA")</f>
        <v>-0.33354476302299313</v>
      </c>
      <c r="J141" s="2"/>
      <c r="K141" s="14">
        <f>IFERROR(K129+K130+K131+K132+K133+K134+K135+K136+K137+K138+K139+K140, "NA")</f>
        <v>22618.680000000004</v>
      </c>
      <c r="L141" s="15">
        <f>IFERROR(K141/K444, "NA")</f>
        <v>0.24160584331448728</v>
      </c>
      <c r="M141" s="2"/>
      <c r="N141" s="14">
        <f t="shared" si="29"/>
        <v>-1229.2799999999952</v>
      </c>
      <c r="O141" s="15">
        <f>IFERROR(N141/N444, "NA")</f>
        <v>-7.822151180659416E-2</v>
      </c>
      <c r="P141" s="2"/>
      <c r="Q141" s="14">
        <f>IFERROR(Q129+Q130+Q131+Q132+Q133+Q134+Q135+Q136+Q137+Q138+Q139+Q140, "NA")</f>
        <v>86606.13</v>
      </c>
      <c r="R141" s="15">
        <f>IFERROR(Q141/Q444, "NA")</f>
        <v>0.21630983066087217</v>
      </c>
      <c r="S141" s="2"/>
      <c r="T141" s="14">
        <f>IFERROR(T129+T130+T131+T132+T133+T134+T135+T136+T137+T138+T139+T140, "NA")</f>
        <v>81491.539999999994</v>
      </c>
      <c r="U141" s="15">
        <f>IFERROR(T141/T444, "NA")</f>
        <v>0.21206477156496495</v>
      </c>
      <c r="V141" s="2"/>
      <c r="W141" s="14">
        <f t="shared" si="30"/>
        <v>-5114.5900000000111</v>
      </c>
      <c r="X141" s="15">
        <f>IFERROR(W141/W444, "NA")</f>
        <v>-0.31761031089804409</v>
      </c>
      <c r="Y141" s="2"/>
      <c r="Z141" s="14">
        <f>IFERROR(Z129+Z130+Z131+Z132+Z133+Z134+Z135+Z136+Z137+Z138+Z139+Z140, "NA")</f>
        <v>83112.17</v>
      </c>
      <c r="AA141" s="15">
        <f>IFERROR(Z141/Z444, "NA")</f>
        <v>0.23079880320990515</v>
      </c>
      <c r="AB141" s="2"/>
      <c r="AC141" s="14">
        <f t="shared" si="31"/>
        <v>-3493.9600000000064</v>
      </c>
      <c r="AD141" s="15">
        <f>IFERROR(AC141/AC444, "NA")</f>
        <v>-8.6756001043865133E-2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1235.76</v>
      </c>
      <c r="F143" s="8">
        <f>IFERROR(E143/E444, "NA")</f>
        <v>1.2000011652759423E-2</v>
      </c>
      <c r="G143" s="9"/>
      <c r="H143" s="10">
        <f t="shared" ref="H143:H149" si="32">IFERROR(-(B143-E143), "NA")</f>
        <v>1235.76</v>
      </c>
      <c r="I143" s="8">
        <f>IFERROR(H143/H444, "NA")</f>
        <v>0.19449852602552559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4611.32</v>
      </c>
      <c r="U143" s="8">
        <f>IFERROR(T143/T444, "NA")</f>
        <v>1.2000000520458371E-2</v>
      </c>
      <c r="V143" s="9"/>
      <c r="W143" s="10">
        <f t="shared" ref="W143:W149" si="34">IFERROR(-(Q143-T143), "NA")</f>
        <v>4611.32</v>
      </c>
      <c r="X143" s="8">
        <f>IFERROR(W143/W444, "NA")</f>
        <v>0.28635780753694146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1342.93</v>
      </c>
      <c r="C144" s="8">
        <f>IFERROR(B144/B444, "NA")</f>
        <v>1.228288098786218E-2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-1342.93</v>
      </c>
      <c r="I144" s="8">
        <f>IFERROR(H144/H444, "NA")</f>
        <v>-0.21136620828919783</v>
      </c>
      <c r="J144" s="9"/>
      <c r="K144" s="7">
        <v>1171.94</v>
      </c>
      <c r="L144" s="8">
        <f>IFERROR(K144/K444, "NA")</f>
        <v>1.2518305754976868E-2</v>
      </c>
      <c r="M144" s="9"/>
      <c r="N144" s="10">
        <f t="shared" si="33"/>
        <v>-170.99</v>
      </c>
      <c r="O144" s="8">
        <f>IFERROR(N144/N444, "NA")</f>
        <v>-1.08804310684381E-2</v>
      </c>
      <c r="P144" s="9"/>
      <c r="Q144" s="7">
        <v>4919.18</v>
      </c>
      <c r="R144" s="8">
        <f>IFERROR(Q144/Q444, "NA")</f>
        <v>1.2286278035865928E-2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-4919.18</v>
      </c>
      <c r="X144" s="8">
        <f>IFERROR(W144/W444, "NA")</f>
        <v>-0.3054755687481181</v>
      </c>
      <c r="Y144" s="9"/>
      <c r="Z144" s="7">
        <v>5062.72</v>
      </c>
      <c r="AA144" s="8">
        <f>IFERROR(Z144/Z444, "NA")</f>
        <v>1.4058948490778799E-2</v>
      </c>
      <c r="AB144" s="9"/>
      <c r="AC144" s="10">
        <f t="shared" si="35"/>
        <v>143.53999999999996</v>
      </c>
      <c r="AD144" s="8">
        <f>IFERROR(AC144/AC444, "NA")</f>
        <v>3.5641382242030178E-3</v>
      </c>
    </row>
    <row r="145" spans="1:30" ht="16.5" customHeight="1" x14ac:dyDescent="0.45">
      <c r="A145" s="12" t="s">
        <v>136</v>
      </c>
      <c r="B145" s="7">
        <v>64.010000000000005</v>
      </c>
      <c r="C145" s="8">
        <f>IFERROR(B145/B444, "NA")</f>
        <v>5.8545658525243922E-4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-64.010000000000005</v>
      </c>
      <c r="I145" s="8">
        <f>IFERROR(H145/H444, "NA")</f>
        <v>-1.0074650944272266E-2</v>
      </c>
      <c r="J145" s="9"/>
      <c r="K145" s="7">
        <v>-52.89</v>
      </c>
      <c r="L145" s="8">
        <f>IFERROR(K145/K444, "NA")</f>
        <v>-5.6495485381566173E-4</v>
      </c>
      <c r="M145" s="9"/>
      <c r="N145" s="10">
        <f t="shared" si="33"/>
        <v>-116.9</v>
      </c>
      <c r="O145" s="8">
        <f>IFERROR(N145/N444, "NA")</f>
        <v>-7.4385776472332523E-3</v>
      </c>
      <c r="P145" s="9"/>
      <c r="Q145" s="7">
        <v>148.86000000000001</v>
      </c>
      <c r="R145" s="8">
        <f>IFERROR(Q145/Q444, "NA")</f>
        <v>3.7179679304660574E-4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-148.86000000000001</v>
      </c>
      <c r="X145" s="8">
        <f>IFERROR(W145/W444, "NA")</f>
        <v>-9.2440392837515317E-3</v>
      </c>
      <c r="Y145" s="9"/>
      <c r="Z145" s="7">
        <v>189.5</v>
      </c>
      <c r="AA145" s="8">
        <f>IFERROR(Z145/Z444, "NA")</f>
        <v>5.2623308004443904E-4</v>
      </c>
      <c r="AB145" s="9"/>
      <c r="AC145" s="10">
        <f t="shared" si="35"/>
        <v>40.639999999999986</v>
      </c>
      <c r="AD145" s="8">
        <f>IFERROR(AC145/AC444, "NA")</f>
        <v>1.0091025319187031E-3</v>
      </c>
    </row>
    <row r="146" spans="1:30" ht="16.5" customHeight="1" x14ac:dyDescent="0.45">
      <c r="A146" s="12" t="s">
        <v>137</v>
      </c>
      <c r="B146" s="7">
        <v>133.83000000000001</v>
      </c>
      <c r="C146" s="8">
        <f>IFERROR(B146/B444, "NA")</f>
        <v>1.2240533479820955E-3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-133.83000000000001</v>
      </c>
      <c r="I146" s="8">
        <f>IFERROR(H146/H444, "NA")</f>
        <v>-2.1063748412309909E-2</v>
      </c>
      <c r="J146" s="9"/>
      <c r="K146" s="7">
        <v>598.15</v>
      </c>
      <c r="L146" s="8">
        <f>IFERROR(K146/K444, "NA")</f>
        <v>6.389255923801059E-3</v>
      </c>
      <c r="M146" s="9"/>
      <c r="N146" s="10">
        <f t="shared" si="33"/>
        <v>464.31999999999994</v>
      </c>
      <c r="O146" s="8">
        <f>IFERROR(N146/N444, "NA")</f>
        <v>2.954559771739387E-2</v>
      </c>
      <c r="P146" s="9"/>
      <c r="Q146" s="7">
        <v>374.2</v>
      </c>
      <c r="R146" s="8">
        <f>IFERROR(Q146/Q444, "NA")</f>
        <v>9.3461211848743691E-4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-374.2</v>
      </c>
      <c r="X146" s="8">
        <f>IFERROR(W146/W444, "NA")</f>
        <v>-2.3237400913474558E-2</v>
      </c>
      <c r="Y146" s="9"/>
      <c r="Z146" s="7">
        <v>-273.42</v>
      </c>
      <c r="AA146" s="8">
        <f>IFERROR(Z146/Z444, "NA")</f>
        <v>-7.5927519127045131E-4</v>
      </c>
      <c r="AB146" s="9"/>
      <c r="AC146" s="10">
        <f t="shared" si="35"/>
        <v>-647.62</v>
      </c>
      <c r="AD146" s="8">
        <f>IFERROR(AC146/AC444, "NA")</f>
        <v>-1.6080585180147409E-2</v>
      </c>
    </row>
    <row r="147" spans="1:30" ht="16.5" customHeight="1" x14ac:dyDescent="0.45">
      <c r="A147" s="12" t="s">
        <v>138</v>
      </c>
      <c r="B147" s="7">
        <v>49.03</v>
      </c>
      <c r="C147" s="8">
        <f>IFERROR(B147/B444, "NA")</f>
        <v>4.4844456139551779E-4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-49.03</v>
      </c>
      <c r="I147" s="8">
        <f>IFERROR(H147/H444, "NA")</f>
        <v>-7.7169213528771926E-3</v>
      </c>
      <c r="J147" s="9"/>
      <c r="K147" s="7">
        <v>18.38</v>
      </c>
      <c r="L147" s="8">
        <f>IFERROR(K147/K444, "NA")</f>
        <v>1.963295559298896E-4</v>
      </c>
      <c r="M147" s="9"/>
      <c r="N147" s="10">
        <f t="shared" si="33"/>
        <v>-30.650000000000002</v>
      </c>
      <c r="O147" s="8">
        <f>IFERROR(N147/N444, "NA")</f>
        <v>-1.9503199733763832E-3</v>
      </c>
      <c r="P147" s="9"/>
      <c r="Q147" s="7">
        <v>62.99</v>
      </c>
      <c r="R147" s="8">
        <f>IFERROR(Q147/Q444, "NA")</f>
        <v>1.5732554073630053E-4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-62.99</v>
      </c>
      <c r="X147" s="8">
        <f>IFERROR(W147/W444, "NA")</f>
        <v>-3.9116084541415356E-3</v>
      </c>
      <c r="Y147" s="9"/>
      <c r="Z147" s="7">
        <v>40.590000000000003</v>
      </c>
      <c r="AA147" s="8">
        <f>IFERROR(Z147/Z444, "NA")</f>
        <v>1.1271662648550808E-4</v>
      </c>
      <c r="AB147" s="9"/>
      <c r="AC147" s="10">
        <f t="shared" si="35"/>
        <v>-22.4</v>
      </c>
      <c r="AD147" s="8">
        <f>IFERROR(AC147/AC444, "NA")</f>
        <v>-5.5619824593944279E-4</v>
      </c>
    </row>
    <row r="148" spans="1:30" ht="16.5" customHeight="1" x14ac:dyDescent="0.45">
      <c r="A148" s="13" t="s">
        <v>139</v>
      </c>
      <c r="B148" s="14">
        <f>IFERROR(B143+B144+B145+B146+B147, "NA")</f>
        <v>1589.8</v>
      </c>
      <c r="C148" s="15">
        <f>IFERROR(B148/B444, "NA")</f>
        <v>1.4540835482492232E-2</v>
      </c>
      <c r="D148" s="2"/>
      <c r="E148" s="14">
        <f>IFERROR(E143+E144+E145+E146+E147, "NA")</f>
        <v>1235.76</v>
      </c>
      <c r="F148" s="15">
        <f>IFERROR(E148/E444, "NA")</f>
        <v>1.2000011652759423E-2</v>
      </c>
      <c r="G148" s="2"/>
      <c r="H148" s="14">
        <f t="shared" si="32"/>
        <v>-354.03999999999996</v>
      </c>
      <c r="I148" s="15">
        <f>IFERROR(H148/H444, "NA")</f>
        <v>-5.5723002973131576E-2</v>
      </c>
      <c r="J148" s="2"/>
      <c r="K148" s="14">
        <f>IFERROR(K143+K144+K145+K146+K147, "NA")</f>
        <v>1735.58</v>
      </c>
      <c r="L148" s="15">
        <f>IFERROR(K148/K444, "NA")</f>
        <v>1.8538936380892154E-2</v>
      </c>
      <c r="M148" s="2"/>
      <c r="N148" s="14">
        <f t="shared" si="33"/>
        <v>145.77999999999997</v>
      </c>
      <c r="O148" s="15">
        <f>IFERROR(N148/N444, "NA")</f>
        <v>9.2762690283461364E-3</v>
      </c>
      <c r="P148" s="2"/>
      <c r="Q148" s="14">
        <f>IFERROR(Q143+Q144+Q145+Q146+Q147, "NA")</f>
        <v>5505.23</v>
      </c>
      <c r="R148" s="15">
        <f>IFERROR(Q148/Q444, "NA")</f>
        <v>1.375001248813627E-2</v>
      </c>
      <c r="S148" s="2"/>
      <c r="T148" s="14">
        <f>IFERROR(T143+T144+T145+T146+T147, "NA")</f>
        <v>4611.32</v>
      </c>
      <c r="U148" s="15">
        <f>IFERROR(T148/T444, "NA")</f>
        <v>1.2000000520458371E-2</v>
      </c>
      <c r="V148" s="2"/>
      <c r="W148" s="14">
        <f t="shared" si="34"/>
        <v>-893.90999999999985</v>
      </c>
      <c r="X148" s="15">
        <f>IFERROR(W148/W444, "NA")</f>
        <v>-5.5510809862544197E-2</v>
      </c>
      <c r="Y148" s="2"/>
      <c r="Z148" s="14">
        <f>IFERROR(Z143+Z144+Z145+Z146+Z147, "NA")</f>
        <v>5019.3900000000003</v>
      </c>
      <c r="AA148" s="15">
        <f>IFERROR(Z148/Z444, "NA")</f>
        <v>1.3938623006038296E-2</v>
      </c>
      <c r="AB148" s="2"/>
      <c r="AC148" s="14">
        <f t="shared" si="35"/>
        <v>-485.83999999999924</v>
      </c>
      <c r="AD148" s="15">
        <f>IFERROR(AC148/AC444, "NA")</f>
        <v>-1.2063542669965109E-2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25437.759999999998</v>
      </c>
      <c r="C149" s="15">
        <f>IFERROR(B149/B444, "NA")</f>
        <v>0.23266214819670497</v>
      </c>
      <c r="D149" s="2"/>
      <c r="E149" s="14">
        <f>IFERROR(E127+E129+E130+E131+E132+E133+E134+E135+E136+E137+E138+E139+E140+E143+E144+E145+E146+E147, "NA")</f>
        <v>22964.519999999997</v>
      </c>
      <c r="F149" s="15">
        <f>IFERROR(E149/E444, "NA")</f>
        <v>0.22300002233445554</v>
      </c>
      <c r="G149" s="2"/>
      <c r="H149" s="14">
        <f t="shared" si="32"/>
        <v>-2473.2400000000016</v>
      </c>
      <c r="I149" s="15">
        <f>IFERROR(H149/H444, "NA")</f>
        <v>-0.38926776599612484</v>
      </c>
      <c r="J149" s="2"/>
      <c r="K149" s="14">
        <f>IFERROR(K127+K129+K130+K131+K132+K133+K134+K135+K136+K137+K138+K139+K140+K143+K144+K145+K146+K147, "NA")</f>
        <v>24354.260000000006</v>
      </c>
      <c r="L149" s="15">
        <f>IFERROR(K149/K444, "NA")</f>
        <v>0.26014477969537947</v>
      </c>
      <c r="M149" s="2"/>
      <c r="N149" s="14">
        <f t="shared" si="33"/>
        <v>-1083.4999999999927</v>
      </c>
      <c r="O149" s="15">
        <f>IFERROR(N149/N444, "NA")</f>
        <v>-6.8945242778247859E-2</v>
      </c>
      <c r="P149" s="2"/>
      <c r="Q149" s="14">
        <f>IFERROR(Q127+Q129+Q130+Q131+Q132+Q133+Q134+Q135+Q136+Q137+Q138+Q139+Q140+Q143+Q144+Q145+Q146+Q147, "NA")</f>
        <v>92111.360000000001</v>
      </c>
      <c r="R149" s="15">
        <f>IFERROR(Q149/Q444, "NA")</f>
        <v>0.23005984314900843</v>
      </c>
      <c r="S149" s="2"/>
      <c r="T149" s="14">
        <f>IFERROR(T127+T129+T130+T131+T132+T133+T134+T135+T136+T137+T138+T139+T140+T143+T144+T145+T146+T147, "NA")</f>
        <v>86102.859999999986</v>
      </c>
      <c r="U149" s="15">
        <f>IFERROR(T149/T444, "NA")</f>
        <v>0.2240647720854233</v>
      </c>
      <c r="V149" s="2"/>
      <c r="W149" s="14">
        <f t="shared" si="34"/>
        <v>-6008.5000000000146</v>
      </c>
      <c r="X149" s="15">
        <f>IFERROR(W149/W444, "NA")</f>
        <v>-0.37312112076058851</v>
      </c>
      <c r="Y149" s="2"/>
      <c r="Z149" s="14">
        <f>IFERROR(Z127+Z129+Z130+Z131+Z132+Z133+Z134+Z135+Z136+Z137+Z138+Z139+Z140+Z143+Z144+Z145+Z146+Z147, "NA")</f>
        <v>88131.56</v>
      </c>
      <c r="AA149" s="15">
        <f>IFERROR(Z149/Z444, "NA")</f>
        <v>0.24473742621594344</v>
      </c>
      <c r="AB149" s="2"/>
      <c r="AC149" s="14">
        <f t="shared" si="35"/>
        <v>-3979.8000000000029</v>
      </c>
      <c r="AD149" s="15">
        <f>IFERROR(AC149/AC444, "NA")</f>
        <v>-9.8819543713830185E-2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4222.18</v>
      </c>
      <c r="F153" s="8">
        <f>IFERROR(E153/E444, "NA")</f>
        <v>4.1000039813594694E-2</v>
      </c>
      <c r="G153" s="9"/>
      <c r="H153" s="10">
        <f t="shared" ref="H153:H158" si="36">IFERROR(-(B153-E153), "NA")</f>
        <v>4222.18</v>
      </c>
      <c r="I153" s="8">
        <f>IFERROR(H153/H444, "NA")</f>
        <v>0.66453663058721246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15755.35</v>
      </c>
      <c r="U153" s="8">
        <f>IFERROR(T153/T444, "NA")</f>
        <v>4.10000191268452E-2</v>
      </c>
      <c r="V153" s="9"/>
      <c r="W153" s="10">
        <f t="shared" ref="W153:W158" si="38">IFERROR(-(Q153-T153), "NA")</f>
        <v>15755.35</v>
      </c>
      <c r="X153" s="8">
        <f>IFERROR(W153/W444, "NA")</f>
        <v>0.97838958974375045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3115.14</v>
      </c>
      <c r="C154" s="8">
        <f>IFERROR(B154/B444, "NA")</f>
        <v>2.8492098531218299E-2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-3115.14</v>
      </c>
      <c r="I154" s="8">
        <f>IFERROR(H154/H444, "NA")</f>
        <v>-0.49029758073020308</v>
      </c>
      <c r="J154" s="9"/>
      <c r="K154" s="7">
        <v>3003.86</v>
      </c>
      <c r="L154" s="8">
        <f>IFERROR(K154/K444, "NA")</f>
        <v>3.2086316641760516E-2</v>
      </c>
      <c r="M154" s="9"/>
      <c r="N154" s="10">
        <f t="shared" si="37"/>
        <v>-111.27999999999975</v>
      </c>
      <c r="O154" s="8">
        <f>IFERROR(N154/N444, "NA")</f>
        <v>-7.0809659588033742E-3</v>
      </c>
      <c r="P154" s="9"/>
      <c r="Q154" s="7">
        <v>11535.34</v>
      </c>
      <c r="R154" s="8">
        <f>IFERROR(Q154/Q444, "NA")</f>
        <v>2.8810979569409062E-2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-11535.34</v>
      </c>
      <c r="X154" s="8">
        <f>IFERROR(W154/W444, "NA")</f>
        <v>-0.71633169495788251</v>
      </c>
      <c r="Y154" s="9"/>
      <c r="Z154" s="7">
        <v>12523.96</v>
      </c>
      <c r="AA154" s="8">
        <f>IFERROR(Z154/Z444, "NA")</f>
        <v>3.4778480449358058E-2</v>
      </c>
      <c r="AB154" s="9"/>
      <c r="AC154" s="10">
        <f t="shared" si="39"/>
        <v>988.61999999999898</v>
      </c>
      <c r="AD154" s="8">
        <f>IFERROR(AC154/AC444, "NA")</f>
        <v>2.4547710263421934E-2</v>
      </c>
    </row>
    <row r="155" spans="1:30" ht="16.5" customHeight="1" x14ac:dyDescent="0.45">
      <c r="A155" s="12" t="s">
        <v>144</v>
      </c>
      <c r="B155" s="7">
        <v>1197.02</v>
      </c>
      <c r="C155" s="8">
        <f>IFERROR(B155/B444, "NA")</f>
        <v>1.0948339973111619E-2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-1197.02</v>
      </c>
      <c r="I155" s="8">
        <f>IFERROR(H155/H444, "NA")</f>
        <v>-0.18840116658823286</v>
      </c>
      <c r="J155" s="9"/>
      <c r="K155" s="7">
        <v>1106.67</v>
      </c>
      <c r="L155" s="8">
        <f>IFERROR(K155/K444, "NA")</f>
        <v>1.182111151582867E-2</v>
      </c>
      <c r="M155" s="9"/>
      <c r="N155" s="10">
        <f t="shared" si="37"/>
        <v>-90.349999999999909</v>
      </c>
      <c r="O155" s="8">
        <f>IFERROR(N155/N444, "NA")</f>
        <v>-5.749148763280784E-3</v>
      </c>
      <c r="P155" s="9"/>
      <c r="Q155" s="7">
        <v>4079.67</v>
      </c>
      <c r="R155" s="8">
        <f>IFERROR(Q155/Q444, "NA")</f>
        <v>1.0189494979769219E-2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-4079.67</v>
      </c>
      <c r="X155" s="8">
        <f>IFERROR(W155/W444, "NA")</f>
        <v>-0.25334293796011426</v>
      </c>
      <c r="Y155" s="9"/>
      <c r="Z155" s="7">
        <v>3017.49</v>
      </c>
      <c r="AA155" s="8">
        <f>IFERROR(Z155/Z444, "NA")</f>
        <v>8.3794356554263549E-3</v>
      </c>
      <c r="AB155" s="9"/>
      <c r="AC155" s="10">
        <f t="shared" si="39"/>
        <v>-1062.1800000000003</v>
      </c>
      <c r="AD155" s="8">
        <f>IFERROR(AC155/AC444, "NA")</f>
        <v>-2.6374225574640961E-2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57.62</v>
      </c>
      <c r="R156" s="8">
        <f>IFERROR(Q156/Q444, "NA")</f>
        <v>1.4391328238173734E-4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-57.62</v>
      </c>
      <c r="X156" s="8">
        <f>IFERROR(W156/W444, "NA")</f>
        <v>-3.5781374682907646E-3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-57.62</v>
      </c>
      <c r="AD156" s="8">
        <f>IFERROR(AC156/AC444, "NA")</f>
        <v>-1.4307206665638702E-3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4312.16</v>
      </c>
      <c r="C158" s="15">
        <f>IFERROR(B158/B444, "NA")</f>
        <v>3.9440438504329919E-2</v>
      </c>
      <c r="D158" s="2"/>
      <c r="E158" s="14">
        <f>IFERROR(E153+E154+E155+E156+E157, "NA")</f>
        <v>4222.18</v>
      </c>
      <c r="F158" s="15">
        <f>IFERROR(E158/E444, "NA")</f>
        <v>4.1000039813594694E-2</v>
      </c>
      <c r="G158" s="2"/>
      <c r="H158" s="14">
        <f t="shared" si="36"/>
        <v>-89.979999999999563</v>
      </c>
      <c r="I158" s="15">
        <f>IFERROR(H158/H444, "NA")</f>
        <v>-1.4162116731223464E-2</v>
      </c>
      <c r="J158" s="2"/>
      <c r="K158" s="14">
        <f>IFERROR(K153+K154+K155+K156+K157, "NA")</f>
        <v>4110.5300000000007</v>
      </c>
      <c r="L158" s="15">
        <f>IFERROR(K158/K444, "NA")</f>
        <v>4.390742815758919E-2</v>
      </c>
      <c r="M158" s="2"/>
      <c r="N158" s="14">
        <f t="shared" si="37"/>
        <v>-201.6299999999992</v>
      </c>
      <c r="O158" s="15">
        <f>IFERROR(N158/N444, "NA")</f>
        <v>-1.2830114722084129E-2</v>
      </c>
      <c r="P158" s="2"/>
      <c r="Q158" s="14">
        <f>IFERROR(Q153+Q154+Q155+Q156+Q157, "NA")</f>
        <v>15672.630000000001</v>
      </c>
      <c r="R158" s="15">
        <f>IFERROR(Q158/Q444, "NA")</f>
        <v>3.9144387831560018E-2</v>
      </c>
      <c r="S158" s="2"/>
      <c r="T158" s="14">
        <f>IFERROR(T153+T154+T155+T156+T157, "NA")</f>
        <v>15755.35</v>
      </c>
      <c r="U158" s="15">
        <f>IFERROR(T158/T444, "NA")</f>
        <v>4.10000191268452E-2</v>
      </c>
      <c r="V158" s="2"/>
      <c r="W158" s="14">
        <f t="shared" si="38"/>
        <v>82.719999999999345</v>
      </c>
      <c r="X158" s="15">
        <f>IFERROR(W158/W444, "NA")</f>
        <v>5.1368193574628553E-3</v>
      </c>
      <c r="Y158" s="2"/>
      <c r="Z158" s="14">
        <f>IFERROR(Z153+Z154+Z155+Z156+Z157, "NA")</f>
        <v>15541.449999999999</v>
      </c>
      <c r="AA158" s="15">
        <f>IFERROR(Z158/Z444, "NA")</f>
        <v>4.3157916104784415E-2</v>
      </c>
      <c r="AB158" s="2"/>
      <c r="AC158" s="14">
        <f t="shared" si="39"/>
        <v>-131.18000000000211</v>
      </c>
      <c r="AD158" s="15">
        <f>IFERROR(AC158/AC444, "NA")</f>
        <v>-3.2572359777829143E-3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343.01</v>
      </c>
      <c r="C161" s="8">
        <f>IFERROR(B161/B444, "NA")</f>
        <v>3.137282663762524E-3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-343.01</v>
      </c>
      <c r="I161" s="8">
        <f>IFERROR(H161/H444, "NA")</f>
        <v>-5.3986971104434137E-2</v>
      </c>
      <c r="J161" s="9"/>
      <c r="K161" s="7">
        <v>200.68</v>
      </c>
      <c r="L161" s="8">
        <f>IFERROR(K161/K444, "NA")</f>
        <v>2.1436025725794479E-3</v>
      </c>
      <c r="M161" s="9"/>
      <c r="N161" s="10">
        <f t="shared" si="41"/>
        <v>-142.32999999999998</v>
      </c>
      <c r="O161" s="8">
        <f>IFERROR(N161/N444, "NA")</f>
        <v>-9.0567387213918629E-3</v>
      </c>
      <c r="P161" s="9"/>
      <c r="Q161" s="7">
        <v>1034.19</v>
      </c>
      <c r="R161" s="8">
        <f>IFERROR(Q161/Q444, "NA")</f>
        <v>2.58302112992657E-3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-1034.19</v>
      </c>
      <c r="X161" s="8">
        <f>IFERROR(W161/W444, "NA")</f>
        <v>-6.4222040755495077E-2</v>
      </c>
      <c r="Y161" s="9"/>
      <c r="Z161" s="7">
        <v>1041.69</v>
      </c>
      <c r="AA161" s="8">
        <f>IFERROR(Z161/Z444, "NA")</f>
        <v>2.8927268451266054E-3</v>
      </c>
      <c r="AB161" s="9"/>
      <c r="AC161" s="10">
        <f t="shared" si="43"/>
        <v>7.5</v>
      </c>
      <c r="AD161" s="8">
        <f>IFERROR(AC161/AC444, "NA")</f>
        <v>1.8622709127436699E-4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7.28</v>
      </c>
      <c r="R162" s="8">
        <f>IFERROR(Q162/Q444, "NA")</f>
        <v>1.8182726409910586E-5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-7.28</v>
      </c>
      <c r="X162" s="8">
        <f>IFERROR(W162/W444, "NA")</f>
        <v>-4.5207984673996469E-4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-7.28</v>
      </c>
      <c r="AD162" s="8">
        <f>IFERROR(AC162/AC444, "NA")</f>
        <v>-1.8076442993031892E-4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343.01</v>
      </c>
      <c r="C166" s="15">
        <f>IFERROR(B166/B444, "NA")</f>
        <v>3.137282663762524E-3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-343.01</v>
      </c>
      <c r="I166" s="15">
        <f>IFERROR(H166/H444, "NA")</f>
        <v>-5.3986971104434137E-2</v>
      </c>
      <c r="J166" s="2"/>
      <c r="K166" s="14">
        <f>IFERROR(K160+K161+K162+K163+K164+K165, "NA")</f>
        <v>200.68</v>
      </c>
      <c r="L166" s="15">
        <f>IFERROR(K166/K444, "NA")</f>
        <v>2.1436025725794479E-3</v>
      </c>
      <c r="M166" s="2"/>
      <c r="N166" s="14">
        <f t="shared" si="41"/>
        <v>-142.32999999999998</v>
      </c>
      <c r="O166" s="15">
        <f>IFERROR(N166/N444, "NA")</f>
        <v>-9.0567387213918629E-3</v>
      </c>
      <c r="P166" s="2"/>
      <c r="Q166" s="14">
        <f>IFERROR(Q160+Q161+Q162+Q163+Q164+Q165, "NA")</f>
        <v>1041.47</v>
      </c>
      <c r="R166" s="15">
        <f>IFERROR(Q166/Q444, "NA")</f>
        <v>2.6012038563364803E-3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-1041.47</v>
      </c>
      <c r="X166" s="15">
        <f>IFERROR(W166/W444, "NA")</f>
        <v>-6.4674120602235027E-2</v>
      </c>
      <c r="Y166" s="2"/>
      <c r="Z166" s="14">
        <f>IFERROR(Z160+Z161+Z162+Z163+Z164+Z165, "NA")</f>
        <v>1041.69</v>
      </c>
      <c r="AA166" s="15">
        <f>IFERROR(Z166/Z444, "NA")</f>
        <v>2.8927268451266054E-3</v>
      </c>
      <c r="AB166" s="2"/>
      <c r="AC166" s="14">
        <f t="shared" si="43"/>
        <v>0.22000000000002728</v>
      </c>
      <c r="AD166" s="15">
        <f>IFERROR(AC166/AC444, "NA")</f>
        <v>5.4626613440487762E-6</v>
      </c>
    </row>
    <row r="167" spans="1:30" ht="16.5" customHeight="1" x14ac:dyDescent="0.45">
      <c r="A167" s="6" t="s">
        <v>155</v>
      </c>
      <c r="B167" s="7">
        <v>373.31</v>
      </c>
      <c r="C167" s="8">
        <f>IFERROR(B167/B444, "NA")</f>
        <v>3.4144164636867374E-3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-373.31</v>
      </c>
      <c r="I167" s="8">
        <f>IFERROR(H167/H444, "NA")</f>
        <v>-5.8755943508924838E-2</v>
      </c>
      <c r="J167" s="9"/>
      <c r="K167" s="7">
        <v>411.5</v>
      </c>
      <c r="L167" s="8">
        <f>IFERROR(K167/K444, "NA")</f>
        <v>4.3955175334684212E-3</v>
      </c>
      <c r="M167" s="9"/>
      <c r="N167" s="10">
        <f t="shared" si="41"/>
        <v>38.19</v>
      </c>
      <c r="O167" s="8">
        <f>IFERROR(N167/N444, "NA")</f>
        <v>2.4301050500242761E-3</v>
      </c>
      <c r="P167" s="9"/>
      <c r="Q167" s="7">
        <v>1329.45</v>
      </c>
      <c r="R167" s="8">
        <f>IFERROR(Q167/Q444, "NA")</f>
        <v>3.3204705529746741E-3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-1329.45</v>
      </c>
      <c r="X167" s="8">
        <f>IFERROR(W167/W444, "NA")</f>
        <v>-8.255735607808326E-2</v>
      </c>
      <c r="Y167" s="9"/>
      <c r="Z167" s="7">
        <v>1313</v>
      </c>
      <c r="AA167" s="8">
        <f>IFERROR(Z167/Z444, "NA")</f>
        <v>3.6461426601495958E-3</v>
      </c>
      <c r="AB167" s="9"/>
      <c r="AC167" s="10">
        <f t="shared" si="43"/>
        <v>-16.450000000000045</v>
      </c>
      <c r="AD167" s="8">
        <f>IFERROR(AC167/AC444, "NA")</f>
        <v>-4.0845808686177943E-4</v>
      </c>
    </row>
    <row r="168" spans="1:30" ht="16.5" customHeight="1" x14ac:dyDescent="0.45">
      <c r="A168" s="6" t="s">
        <v>156</v>
      </c>
      <c r="B168" s="7">
        <v>104.56</v>
      </c>
      <c r="C168" s="8">
        <f>IFERROR(B168/B444, "NA")</f>
        <v>9.5634026798929912E-4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-104.56</v>
      </c>
      <c r="I168" s="8">
        <f>IFERROR(H168/H444, "NA")</f>
        <v>-1.6456889591206187E-2</v>
      </c>
      <c r="J168" s="9"/>
      <c r="K168" s="7">
        <v>38.6</v>
      </c>
      <c r="L168" s="8">
        <f>IFERROR(K168/K444, "NA")</f>
        <v>4.1231343084296729E-4</v>
      </c>
      <c r="M168" s="9"/>
      <c r="N168" s="10">
        <f t="shared" si="41"/>
        <v>-65.960000000000008</v>
      </c>
      <c r="O168" s="8">
        <f>IFERROR(N168/N444, "NA")</f>
        <v>-4.1971649410736129E-3</v>
      </c>
      <c r="P168" s="9"/>
      <c r="Q168" s="7">
        <v>342.07</v>
      </c>
      <c r="R168" s="8">
        <f>IFERROR(Q168/Q444, "NA")</f>
        <v>8.5436335481292776E-4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-342.07</v>
      </c>
      <c r="X168" s="8">
        <f>IFERROR(W168/W444, "NA")</f>
        <v>-2.1242163897574138E-2</v>
      </c>
      <c r="Y168" s="9"/>
      <c r="Z168" s="7">
        <v>139.80000000000001</v>
      </c>
      <c r="AA168" s="8">
        <f>IFERROR(Z168/Z444, "NA")</f>
        <v>3.8821838833885268E-4</v>
      </c>
      <c r="AB168" s="9"/>
      <c r="AC168" s="10">
        <f t="shared" si="43"/>
        <v>-202.26999999999998</v>
      </c>
      <c r="AD168" s="8">
        <f>IFERROR(AC168/AC444, "NA")</f>
        <v>-5.0224205002754943E-3</v>
      </c>
    </row>
    <row r="169" spans="1:30" ht="16.5" customHeight="1" x14ac:dyDescent="0.45">
      <c r="A169" s="6" t="s">
        <v>157</v>
      </c>
      <c r="B169" s="7">
        <v>-801.97</v>
      </c>
      <c r="C169" s="8">
        <f>IFERROR(B169/B444, "NA")</f>
        <v>-7.3350822945617662E-3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801.97</v>
      </c>
      <c r="I169" s="8">
        <f>IFERROR(H169/H444, "NA")</f>
        <v>0.1262235247270431</v>
      </c>
      <c r="J169" s="9"/>
      <c r="K169" s="7">
        <v>-1258.97</v>
      </c>
      <c r="L169" s="8">
        <f>IFERROR(K169/K444, "NA")</f>
        <v>-1.3447933679491465E-2</v>
      </c>
      <c r="M169" s="9"/>
      <c r="N169" s="10">
        <f t="shared" si="41"/>
        <v>-457</v>
      </c>
      <c r="O169" s="8">
        <f>IFERROR(N169/N444, "NA")</f>
        <v>-2.907981167481263E-2</v>
      </c>
      <c r="P169" s="9"/>
      <c r="Q169" s="7">
        <v>-3505.7</v>
      </c>
      <c r="R169" s="8">
        <f>IFERROR(Q169/Q444, "NA")</f>
        <v>-8.7559318647285073E-3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3505.7</v>
      </c>
      <c r="X169" s="8">
        <f>IFERROR(W169/W444, "NA")</f>
        <v>0.21770004377971075</v>
      </c>
      <c r="Y169" s="9"/>
      <c r="Z169" s="7">
        <v>-7261</v>
      </c>
      <c r="AA169" s="8">
        <f>IFERROR(Z169/Z444, "NA")</f>
        <v>-2.0163474375739694E-2</v>
      </c>
      <c r="AB169" s="9"/>
      <c r="AC169" s="10">
        <f t="shared" si="43"/>
        <v>-3755.3</v>
      </c>
      <c r="AD169" s="8">
        <f>IFERROR(AC169/AC444, "NA")</f>
        <v>-9.3245146115017385E-2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4331.0700000000006</v>
      </c>
      <c r="C170" s="15">
        <f>IFERROR(B170/B444, "NA")</f>
        <v>3.9613395605206721E-2</v>
      </c>
      <c r="D170" s="2"/>
      <c r="E170" s="14">
        <f>IFERROR(E151+E153+E154+E155+E156+E157+E160+E161+E162+E163+E164+E165+E167+E168+E169, "NA")</f>
        <v>4222.18</v>
      </c>
      <c r="F170" s="15">
        <f>IFERROR(E170/E444, "NA")</f>
        <v>4.1000039813594694E-2</v>
      </c>
      <c r="G170" s="2"/>
      <c r="H170" s="14">
        <f t="shared" si="40"/>
        <v>-108.89000000000033</v>
      </c>
      <c r="I170" s="15">
        <f>IFERROR(H170/H444, "NA")</f>
        <v>-1.7138396208745667E-2</v>
      </c>
      <c r="J170" s="2"/>
      <c r="K170" s="14">
        <f>IFERROR(K151+K153+K154+K155+K156+K157+K160+K161+K162+K163+K164+K165+K167+K168+K169, "NA")</f>
        <v>3502.3400000000011</v>
      </c>
      <c r="L170" s="15">
        <f>IFERROR(K170/K444, "NA")</f>
        <v>3.7410928014988562E-2</v>
      </c>
      <c r="M170" s="2"/>
      <c r="N170" s="14">
        <f t="shared" si="41"/>
        <v>-828.72999999999956</v>
      </c>
      <c r="O170" s="15">
        <f>IFERROR(N170/N444, "NA")</f>
        <v>-5.2733725009337977E-2</v>
      </c>
      <c r="P170" s="2"/>
      <c r="Q170" s="14">
        <f>IFERROR(Q151+Q153+Q154+Q155+Q156+Q157+Q160+Q161+Q162+Q163+Q164+Q165+Q167+Q168+Q169, "NA")</f>
        <v>14879.919999999998</v>
      </c>
      <c r="R170" s="15">
        <f>IFERROR(Q170/Q444, "NA")</f>
        <v>3.7164493730955588E-2</v>
      </c>
      <c r="S170" s="2"/>
      <c r="T170" s="14">
        <f>IFERROR(T151+T153+T154+T155+T156+T157+T160+T161+T162+T163+T164+T165+T167+T168+T169, "NA")</f>
        <v>15755.35</v>
      </c>
      <c r="U170" s="15">
        <f>IFERROR(T170/T444, "NA")</f>
        <v>4.10000191268452E-2</v>
      </c>
      <c r="V170" s="2"/>
      <c r="W170" s="14">
        <f t="shared" si="42"/>
        <v>875.43000000000211</v>
      </c>
      <c r="X170" s="15">
        <f>IFERROR(W170/W444, "NA")</f>
        <v>5.4363222559281353E-2</v>
      </c>
      <c r="Y170" s="2"/>
      <c r="Z170" s="14">
        <f>IFERROR(Z151+Z153+Z154+Z155+Z156+Z157+Z160+Z161+Z162+Z163+Z164+Z165+Z167+Z168+Z169, "NA")</f>
        <v>10774.939999999999</v>
      </c>
      <c r="AA170" s="15">
        <f>IFERROR(Z170/Z444, "NA")</f>
        <v>2.9921529622659773E-2</v>
      </c>
      <c r="AB170" s="2"/>
      <c r="AC170" s="14">
        <f t="shared" si="43"/>
        <v>-4104.9799999999996</v>
      </c>
      <c r="AD170" s="15">
        <f>IFERROR(AC170/AC444, "NA")</f>
        <v>-0.10192779801859346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29768.829999999998</v>
      </c>
      <c r="C171" s="15">
        <f>IFERROR(B171/B444, "NA")</f>
        <v>0.27227554380191171</v>
      </c>
      <c r="D171" s="2"/>
      <c r="E171" s="14">
        <f>IFERROR(E127+E129+E130+E131+E132+E133+E134+E135+E136+E137+E138+E139+E140+E143+E144+E145+E146+E147+E151+E153+E154+E155+E156+E157+E160+E161+E162+E163+E164+E165+E167+E168+E169, "NA")</f>
        <v>27186.699999999997</v>
      </c>
      <c r="F171" s="15">
        <f>IFERROR(E171/E444, "NA")</f>
        <v>0.26400006214805022</v>
      </c>
      <c r="G171" s="2"/>
      <c r="H171" s="14">
        <f t="shared" si="40"/>
        <v>-2582.130000000001</v>
      </c>
      <c r="I171" s="15">
        <f>IFERROR(H171/H444, "NA")</f>
        <v>-0.40640616220487036</v>
      </c>
      <c r="J171" s="2"/>
      <c r="K171" s="14">
        <f>IFERROR(K127+K129+K130+K131+K132+K133+K134+K135+K136+K137+K138+K139+K140+K143+K144+K145+K146+K147+K151+K153+K154+K155+K156+K157+K160+K161+K162+K163+K164+K165+K167+K168+K169, "NA")</f>
        <v>27856.600000000006</v>
      </c>
      <c r="L171" s="15">
        <f>IFERROR(K171/K444, "NA")</f>
        <v>0.29755570771036804</v>
      </c>
      <c r="M171" s="2"/>
      <c r="N171" s="14">
        <f t="shared" si="41"/>
        <v>-1912.2299999999923</v>
      </c>
      <c r="O171" s="15">
        <f>IFERROR(N171/N444, "NA")</f>
        <v>-0.12167896778758584</v>
      </c>
      <c r="P171" s="2"/>
      <c r="Q171" s="14">
        <f>IFERROR(Q127+Q129+Q130+Q131+Q132+Q133+Q134+Q135+Q136+Q137+Q138+Q139+Q140+Q143+Q144+Q145+Q146+Q147+Q151+Q153+Q154+Q155+Q156+Q157+Q160+Q161+Q162+Q163+Q164+Q165+Q167+Q168+Q169, "NA")</f>
        <v>106991.28</v>
      </c>
      <c r="R171" s="15">
        <f>IFERROR(Q171/Q444, "NA")</f>
        <v>0.26722433687996405</v>
      </c>
      <c r="S171" s="2"/>
      <c r="T171" s="14">
        <f>IFERROR(T127+T129+T130+T131+T132+T133+T134+T135+T136+T137+T138+T139+T140+T143+T144+T145+T146+T147+T151+T153+T154+T155+T156+T157+T160+T161+T162+T163+T164+T165+T167+T168+T169, "NA")</f>
        <v>101858.20999999999</v>
      </c>
      <c r="U171" s="15">
        <f>IFERROR(T171/T444, "NA")</f>
        <v>0.2650647912122685</v>
      </c>
      <c r="V171" s="2"/>
      <c r="W171" s="14">
        <f t="shared" si="42"/>
        <v>-5133.070000000007</v>
      </c>
      <c r="X171" s="15">
        <f>IFERROR(W171/W444, "NA")</f>
        <v>-0.31875789820130684</v>
      </c>
      <c r="Y171" s="2"/>
      <c r="Z171" s="14">
        <f>IFERROR(Z127+Z129+Z130+Z131+Z132+Z133+Z134+Z135+Z136+Z137+Z138+Z139+Z140+Z143+Z144+Z145+Z146+Z147+Z151+Z153+Z154+Z155+Z156+Z157+Z160+Z161+Z162+Z163+Z164+Z165+Z167+Z168+Z169, "NA")</f>
        <v>98906.5</v>
      </c>
      <c r="AA171" s="15">
        <f>IFERROR(Z171/Z444, "NA")</f>
        <v>0.27465895583860322</v>
      </c>
      <c r="AB171" s="2"/>
      <c r="AC171" s="14">
        <f t="shared" si="43"/>
        <v>-8084.7799999999988</v>
      </c>
      <c r="AD171" s="15">
        <f>IFERROR(AC171/AC444, "NA")</f>
        <v>-0.20074734173242356</v>
      </c>
    </row>
    <row r="172" spans="1:30" ht="16.5" customHeight="1" x14ac:dyDescent="0.45">
      <c r="A172" s="22" t="s">
        <v>160</v>
      </c>
      <c r="B172" s="23">
        <f>IFERROR(B124-B171, "NA")</f>
        <v>79564.639999999985</v>
      </c>
      <c r="C172" s="24">
        <f>IFERROR(B172/B444, "NA")</f>
        <v>0.72772445619808812</v>
      </c>
      <c r="D172" s="25"/>
      <c r="E172" s="23">
        <f>IFERROR(E124-E171, "NA")</f>
        <v>75793.200000000012</v>
      </c>
      <c r="F172" s="24">
        <f>IFERROR(E172/E444, "NA")</f>
        <v>0.73599993785194995</v>
      </c>
      <c r="G172" s="25"/>
      <c r="H172" s="23">
        <f>IFERROR(B172-E172, "NA")</f>
        <v>3771.4399999999732</v>
      </c>
      <c r="I172" s="24">
        <f>IFERROR(H172/H444, "NA")</f>
        <v>0.59359383779512453</v>
      </c>
      <c r="J172" s="25"/>
      <c r="K172" s="23">
        <f>IFERROR(K124-K171, "NA")</f>
        <v>65761.500000000015</v>
      </c>
      <c r="L172" s="24">
        <f>IFERROR(K172/K444, "NA")</f>
        <v>0.70244429228963212</v>
      </c>
      <c r="M172" s="25"/>
      <c r="N172" s="23">
        <f>IFERROR(B172-K172, "NA")</f>
        <v>13803.13999999997</v>
      </c>
      <c r="O172" s="24">
        <f>IFERROR(N172/N444, "NA")</f>
        <v>0.87832103221241209</v>
      </c>
      <c r="P172" s="25"/>
      <c r="Q172" s="23">
        <f>IFERROR(Q124-Q171, "NA")</f>
        <v>293388.72000000009</v>
      </c>
      <c r="R172" s="24">
        <f>IFERROR(Q172/Q444, "NA")</f>
        <v>0.73277566312003617</v>
      </c>
      <c r="S172" s="25"/>
      <c r="T172" s="23">
        <f>IFERROR(T124-T171, "NA")</f>
        <v>282418.44000000006</v>
      </c>
      <c r="U172" s="24">
        <f>IFERROR(T172/T444, "NA")</f>
        <v>0.73493520878773155</v>
      </c>
      <c r="V172" s="25"/>
      <c r="W172" s="23">
        <f>IFERROR(Q172-T172, "NA")</f>
        <v>10970.280000000028</v>
      </c>
      <c r="X172" s="24">
        <f>IFERROR(W172/W444, "NA")</f>
        <v>0.68124210179869682</v>
      </c>
      <c r="Y172" s="25"/>
      <c r="Z172" s="23">
        <f>IFERROR(Z124-Z171, "NA")</f>
        <v>261200.08999999997</v>
      </c>
      <c r="AA172" s="24">
        <f>IFERROR(Z172/Z444, "NA")</f>
        <v>0.72534104416139666</v>
      </c>
      <c r="AB172" s="25"/>
      <c r="AC172" s="23">
        <f>IFERROR(Q172-Z172, "NA")</f>
        <v>32188.630000000121</v>
      </c>
      <c r="AD172" s="24">
        <f>IFERROR(AC172/AC444, "NA")</f>
        <v>0.79925265826758007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5640</v>
      </c>
      <c r="C178" s="8">
        <f>IFERROR(B178/B444, "NA")</f>
        <v>5.1585301372031822E-2</v>
      </c>
      <c r="D178" s="9"/>
      <c r="E178" s="7">
        <v>5640</v>
      </c>
      <c r="F178" s="8">
        <f>IFERROR(E178/E444, "NA")</f>
        <v>5.4767969283326168E-2</v>
      </c>
      <c r="G178" s="9"/>
      <c r="H178" s="10">
        <f t="shared" si="44"/>
        <v>0</v>
      </c>
      <c r="I178" s="8">
        <f>IFERROR(H178/H444, "NA")</f>
        <v>0</v>
      </c>
      <c r="J178" s="9"/>
      <c r="K178" s="7">
        <v>5640</v>
      </c>
      <c r="L178" s="8">
        <f>IFERROR(K178/K444, "NA")</f>
        <v>6.0244760361511288E-2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23970</v>
      </c>
      <c r="R178" s="8">
        <f>IFERROR(Q178/Q444, "NA")</f>
        <v>5.9868125280983064E-2</v>
      </c>
      <c r="S178" s="9"/>
      <c r="T178" s="7">
        <v>23970</v>
      </c>
      <c r="U178" s="8">
        <f>IFERROR(T178/T444, "NA")</f>
        <v>6.2376935991296893E-2</v>
      </c>
      <c r="V178" s="9"/>
      <c r="W178" s="10">
        <f t="shared" si="46"/>
        <v>0</v>
      </c>
      <c r="X178" s="8">
        <f>IFERROR(W178/W444, "NA")</f>
        <v>0</v>
      </c>
      <c r="Y178" s="9"/>
      <c r="Z178" s="7">
        <v>23970</v>
      </c>
      <c r="AA178" s="8">
        <f>IFERROR(Z178/Z444, "NA")</f>
        <v>6.6563624953378378E-2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20900.71</v>
      </c>
      <c r="C180" s="8">
        <f>IFERROR(B180/B444, "NA")</f>
        <v>0.19116479153181545</v>
      </c>
      <c r="D180" s="9"/>
      <c r="E180" s="7">
        <v>21110.880000000001</v>
      </c>
      <c r="F180" s="8">
        <f>IFERROR(E180/E444, "NA")</f>
        <v>0.20500000485531644</v>
      </c>
      <c r="G180" s="9"/>
      <c r="H180" s="10">
        <f t="shared" si="44"/>
        <v>210.17000000000189</v>
      </c>
      <c r="I180" s="8">
        <f>IFERROR(H180/H444, "NA")</f>
        <v>3.3079040602370269E-2</v>
      </c>
      <c r="J180" s="9"/>
      <c r="K180" s="7">
        <v>21994.17</v>
      </c>
      <c r="L180" s="8">
        <f>IFERROR(K180/K444, "NA")</f>
        <v>0.23493501790786181</v>
      </c>
      <c r="M180" s="9"/>
      <c r="N180" s="10">
        <f t="shared" si="45"/>
        <v>1093.4599999999991</v>
      </c>
      <c r="O180" s="8">
        <f>IFERROR(N180/N444, "NA")</f>
        <v>6.9579017229629309E-2</v>
      </c>
      <c r="P180" s="9"/>
      <c r="Q180" s="7">
        <v>71441.399999999994</v>
      </c>
      <c r="R180" s="8">
        <f>IFERROR(Q180/Q444, "NA")</f>
        <v>0.1784339877116739</v>
      </c>
      <c r="S180" s="9"/>
      <c r="T180" s="7">
        <v>77029.119999999995</v>
      </c>
      <c r="U180" s="8">
        <f>IFERROR(T180/T444, "NA")</f>
        <v>0.20045225230312586</v>
      </c>
      <c r="V180" s="9"/>
      <c r="W180" s="10">
        <f t="shared" si="46"/>
        <v>5587.7200000000012</v>
      </c>
      <c r="X180" s="8">
        <f>IFERROR(W180/W444, "NA")</f>
        <v>0.34699115401453789</v>
      </c>
      <c r="Y180" s="9"/>
      <c r="Z180" s="7">
        <v>75161.09</v>
      </c>
      <c r="AA180" s="8">
        <f>IFERROR(Z180/Z444, "NA")</f>
        <v>0.20871900733613341</v>
      </c>
      <c r="AB180" s="9"/>
      <c r="AC180" s="10">
        <f t="shared" si="47"/>
        <v>3719.6900000000023</v>
      </c>
      <c r="AD180" s="8">
        <f>IFERROR(AC180/AC444, "NA")</f>
        <v>9.2360939885646753E-2</v>
      </c>
    </row>
    <row r="181" spans="1:30" ht="16.5" customHeight="1" x14ac:dyDescent="0.45">
      <c r="A181" s="12" t="s">
        <v>166</v>
      </c>
      <c r="B181" s="7">
        <v>148.62</v>
      </c>
      <c r="C181" s="8">
        <f>IFERROR(B181/B444, "NA")</f>
        <v>1.3593275691332215E-3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-148.62</v>
      </c>
      <c r="I181" s="8">
        <f>IFERROR(H181/H444, "NA")</f>
        <v>-2.339157355628408E-2</v>
      </c>
      <c r="J181" s="9"/>
      <c r="K181" s="7">
        <v>1055.81</v>
      </c>
      <c r="L181" s="8">
        <f>IFERROR(K181/K444, "NA")</f>
        <v>1.1277840503065111E-2</v>
      </c>
      <c r="M181" s="9"/>
      <c r="N181" s="10">
        <f t="shared" si="45"/>
        <v>907.18999999999994</v>
      </c>
      <c r="O181" s="8">
        <f>IFERROR(N181/N444, "NA")</f>
        <v>5.7726289613289426E-2</v>
      </c>
      <c r="P181" s="9"/>
      <c r="Q181" s="7">
        <v>433.4</v>
      </c>
      <c r="R181" s="8">
        <f>IFERROR(Q181/Q444, "NA")</f>
        <v>1.0824716519306659E-3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-433.4</v>
      </c>
      <c r="X181" s="8">
        <f>IFERROR(W181/W444, "NA")</f>
        <v>-2.6913654612239105E-2</v>
      </c>
      <c r="Y181" s="9"/>
      <c r="Z181" s="7">
        <v>1055.81</v>
      </c>
      <c r="AA181" s="8">
        <f>IFERROR(Z181/Z444, "NA")</f>
        <v>2.9319374577399426E-3</v>
      </c>
      <c r="AB181" s="9"/>
      <c r="AC181" s="10">
        <f t="shared" si="47"/>
        <v>622.41</v>
      </c>
      <c r="AD181" s="8">
        <f>IFERROR(AC181/AC444, "NA")</f>
        <v>1.5454613850677168E-2</v>
      </c>
    </row>
    <row r="182" spans="1:30" ht="16.5" customHeight="1" x14ac:dyDescent="0.45">
      <c r="A182" s="13" t="s">
        <v>167</v>
      </c>
      <c r="B182" s="14">
        <f>IFERROR(B177+B178+B179+B180+B181, "NA")</f>
        <v>26689.329999999998</v>
      </c>
      <c r="C182" s="15">
        <f>IFERROR(B182/B444, "NA")</f>
        <v>0.24410942047298048</v>
      </c>
      <c r="D182" s="2"/>
      <c r="E182" s="14">
        <f>IFERROR(E177+E178+E179+E180+E181, "NA")</f>
        <v>26750.880000000001</v>
      </c>
      <c r="F182" s="15">
        <f>IFERROR(E182/E444, "NA")</f>
        <v>0.25976797413864261</v>
      </c>
      <c r="G182" s="2"/>
      <c r="H182" s="14">
        <f t="shared" si="44"/>
        <v>61.55000000000291</v>
      </c>
      <c r="I182" s="15">
        <f>IFERROR(H182/H444, "NA")</f>
        <v>9.6874670460863482E-3</v>
      </c>
      <c r="J182" s="2"/>
      <c r="K182" s="14">
        <f>IFERROR(K177+K178+K179+K180+K181, "NA")</f>
        <v>28689.98</v>
      </c>
      <c r="L182" s="15">
        <f>IFERROR(K182/K444, "NA")</f>
        <v>0.30645761877243821</v>
      </c>
      <c r="M182" s="2"/>
      <c r="N182" s="14">
        <f t="shared" si="45"/>
        <v>2000.6500000000015</v>
      </c>
      <c r="O182" s="15">
        <f>IFERROR(N182/N444, "NA")</f>
        <v>0.12730530684291888</v>
      </c>
      <c r="P182" s="2"/>
      <c r="Q182" s="14">
        <f>IFERROR(Q177+Q178+Q179+Q180+Q181, "NA")</f>
        <v>95844.799999999988</v>
      </c>
      <c r="R182" s="15">
        <f>IFERROR(Q182/Q444, "NA")</f>
        <v>0.23938458464458762</v>
      </c>
      <c r="S182" s="2"/>
      <c r="T182" s="14">
        <f>IFERROR(T177+T178+T179+T180+T181, "NA")</f>
        <v>100999.12</v>
      </c>
      <c r="U182" s="15">
        <f>IFERROR(T182/T444, "NA")</f>
        <v>0.26282918829442276</v>
      </c>
      <c r="V182" s="2"/>
      <c r="W182" s="14">
        <f t="shared" si="46"/>
        <v>5154.320000000007</v>
      </c>
      <c r="X182" s="15">
        <f>IFERROR(W182/W444, "NA")</f>
        <v>0.32007749940229918</v>
      </c>
      <c r="Y182" s="2"/>
      <c r="Z182" s="14">
        <f>IFERROR(Z177+Z178+Z179+Z180+Z181, "NA")</f>
        <v>100186.9</v>
      </c>
      <c r="AA182" s="15">
        <f>IFERROR(Z182/Z444, "NA")</f>
        <v>0.27821456974725173</v>
      </c>
      <c r="AB182" s="2"/>
      <c r="AC182" s="14">
        <f t="shared" si="47"/>
        <v>4342.1000000000058</v>
      </c>
      <c r="AD182" s="15">
        <f>IFERROR(AC182/AC444, "NA")</f>
        <v>0.10781555373632401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293</v>
      </c>
      <c r="C184" s="8">
        <f>IFERROR(B184/B444, "NA")</f>
        <v>2.679874698937114E-3</v>
      </c>
      <c r="D184" s="9"/>
      <c r="E184" s="7">
        <v>292.5</v>
      </c>
      <c r="F184" s="8">
        <f>IFERROR(E184/E444, "NA")</f>
        <v>2.840360109108671E-3</v>
      </c>
      <c r="G184" s="9"/>
      <c r="H184" s="10">
        <f t="shared" si="44"/>
        <v>-0.5</v>
      </c>
      <c r="I184" s="8">
        <f>IFERROR(H184/H444, "NA")</f>
        <v>-7.8695914265523075E-5</v>
      </c>
      <c r="J184" s="9"/>
      <c r="K184" s="7">
        <v>500</v>
      </c>
      <c r="L184" s="8">
        <f>IFERROR(K184/K444, "NA")</f>
        <v>5.3408475497793689E-3</v>
      </c>
      <c r="M184" s="9"/>
      <c r="N184" s="10">
        <f t="shared" si="45"/>
        <v>207</v>
      </c>
      <c r="O184" s="8">
        <f>IFERROR(N184/N444, "NA")</f>
        <v>1.3171818417256486E-2</v>
      </c>
      <c r="P184" s="9"/>
      <c r="Q184" s="7">
        <v>302</v>
      </c>
      <c r="R184" s="8">
        <f>IFERROR(Q184/Q444, "NA")</f>
        <v>7.5428343074079624E-4</v>
      </c>
      <c r="S184" s="9"/>
      <c r="T184" s="7">
        <v>1300</v>
      </c>
      <c r="U184" s="8">
        <f>IFERROR(T184/T444, "NA")</f>
        <v>3.3829794238083421E-3</v>
      </c>
      <c r="V184" s="9"/>
      <c r="W184" s="10">
        <f t="shared" si="46"/>
        <v>998</v>
      </c>
      <c r="X184" s="8">
        <f>IFERROR(W184/W444, "NA")</f>
        <v>6.1974682286605048E-2</v>
      </c>
      <c r="Y184" s="9"/>
      <c r="Z184" s="7">
        <v>2000</v>
      </c>
      <c r="AA184" s="8">
        <f>IFERROR(Z184/Z444, "NA")</f>
        <v>5.5539111350336569E-3</v>
      </c>
      <c r="AB184" s="9"/>
      <c r="AC184" s="10">
        <f t="shared" si="47"/>
        <v>1698</v>
      </c>
      <c r="AD184" s="8">
        <f>IFERROR(AC184/AC444, "NA")</f>
        <v>4.2161813464516688E-2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2331.0300000000002</v>
      </c>
      <c r="C186" s="8">
        <f>IFERROR(B186/B444, "NA")</f>
        <v>2.1320369691001304E-2</v>
      </c>
      <c r="D186" s="9"/>
      <c r="E186" s="7">
        <v>2772</v>
      </c>
      <c r="F186" s="8">
        <f>IFERROR(E186/E444, "NA")</f>
        <v>2.691787426478371E-2</v>
      </c>
      <c r="G186" s="9"/>
      <c r="H186" s="10">
        <f t="shared" ref="H186:H197" si="48">IFERROR(-(B186-E186), "NA")</f>
        <v>440.9699999999998</v>
      </c>
      <c r="I186" s="8">
        <f>IFERROR(H186/H444, "NA")</f>
        <v>6.9405074627335389E-2</v>
      </c>
      <c r="J186" s="9"/>
      <c r="K186" s="7">
        <v>2520</v>
      </c>
      <c r="L186" s="8">
        <f>IFERROR(K186/K444, "NA")</f>
        <v>2.691787165088802E-2</v>
      </c>
      <c r="M186" s="9"/>
      <c r="N186" s="10">
        <f t="shared" ref="N186:N197" si="49">IFERROR(-(B186-K186), "NA")</f>
        <v>188.9699999999998</v>
      </c>
      <c r="O186" s="8">
        <f>IFERROR(N186/N444, "NA")</f>
        <v>1.2024533943521524E-2</v>
      </c>
      <c r="P186" s="9"/>
      <c r="Q186" s="7">
        <v>8786.83</v>
      </c>
      <c r="R186" s="8">
        <f>IFERROR(Q186/Q444, "NA")</f>
        <v>2.1946226085219043E-2</v>
      </c>
      <c r="S186" s="9"/>
      <c r="T186" s="7">
        <v>9829.52</v>
      </c>
      <c r="U186" s="8">
        <f>IFERROR(T186/T444, "NA")</f>
        <v>2.5579279927625057E-2</v>
      </c>
      <c r="V186" s="9"/>
      <c r="W186" s="10">
        <f t="shared" ref="W186:W197" si="50">IFERROR(-(Q186-T186), "NA")</f>
        <v>1042.6900000000005</v>
      </c>
      <c r="X186" s="8">
        <f>IFERROR(W186/W444, "NA")</f>
        <v>6.4749881235892037E-2</v>
      </c>
      <c r="Y186" s="9"/>
      <c r="Z186" s="7">
        <v>9212.19</v>
      </c>
      <c r="AA186" s="8">
        <f>IFERROR(Z186/Z444, "NA")</f>
        <v>2.5581842309522856E-2</v>
      </c>
      <c r="AB186" s="9"/>
      <c r="AC186" s="10">
        <f t="shared" ref="AC186:AC197" si="51">IFERROR(-(Q186-Z186), "NA")</f>
        <v>425.36000000000058</v>
      </c>
      <c r="AD186" s="8">
        <f>IFERROR(AC186/AC444, "NA")</f>
        <v>1.0561807405928648E-2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2331.0300000000002</v>
      </c>
      <c r="C193" s="15">
        <f>IFERROR(B193/B444, "NA")</f>
        <v>2.1320369691001304E-2</v>
      </c>
      <c r="D193" s="2"/>
      <c r="E193" s="14">
        <f>IFERROR(E186+E187+E188+E189+E190+E191+E192, "NA")</f>
        <v>2772</v>
      </c>
      <c r="F193" s="15">
        <f>IFERROR(E193/E444, "NA")</f>
        <v>2.691787426478371E-2</v>
      </c>
      <c r="G193" s="2"/>
      <c r="H193" s="14">
        <f t="shared" si="48"/>
        <v>440.9699999999998</v>
      </c>
      <c r="I193" s="15">
        <f>IFERROR(H193/H444, "NA")</f>
        <v>6.9405074627335389E-2</v>
      </c>
      <c r="J193" s="2"/>
      <c r="K193" s="14">
        <f>IFERROR(K186+K187+K188+K189+K190+K191+K192, "NA")</f>
        <v>2520</v>
      </c>
      <c r="L193" s="15">
        <f>IFERROR(K193/K444, "NA")</f>
        <v>2.691787165088802E-2</v>
      </c>
      <c r="M193" s="2"/>
      <c r="N193" s="14">
        <f t="shared" si="49"/>
        <v>188.9699999999998</v>
      </c>
      <c r="O193" s="15">
        <f>IFERROR(N193/N444, "NA")</f>
        <v>1.2024533943521524E-2</v>
      </c>
      <c r="P193" s="2"/>
      <c r="Q193" s="14">
        <f>IFERROR(Q186+Q187+Q188+Q189+Q190+Q191+Q192, "NA")</f>
        <v>8786.83</v>
      </c>
      <c r="R193" s="15">
        <f>IFERROR(Q193/Q444, "NA")</f>
        <v>2.1946226085219043E-2</v>
      </c>
      <c r="S193" s="2"/>
      <c r="T193" s="14">
        <f>IFERROR(T186+T187+T188+T189+T190+T191+T192, "NA")</f>
        <v>9829.52</v>
      </c>
      <c r="U193" s="15">
        <f>IFERROR(T193/T444, "NA")</f>
        <v>2.5579279927625057E-2</v>
      </c>
      <c r="V193" s="2"/>
      <c r="W193" s="14">
        <f t="shared" si="50"/>
        <v>1042.6900000000005</v>
      </c>
      <c r="X193" s="15">
        <f>IFERROR(W193/W444, "NA")</f>
        <v>6.4749881235892037E-2</v>
      </c>
      <c r="Y193" s="2"/>
      <c r="Z193" s="14">
        <f>IFERROR(Z186+Z187+Z188+Z189+Z190+Z191+Z192, "NA")</f>
        <v>9212.19</v>
      </c>
      <c r="AA193" s="15">
        <f>IFERROR(Z193/Z444, "NA")</f>
        <v>2.5581842309522856E-2</v>
      </c>
      <c r="AB193" s="2"/>
      <c r="AC193" s="14">
        <f t="shared" si="51"/>
        <v>425.36000000000058</v>
      </c>
      <c r="AD193" s="15">
        <f>IFERROR(AC193/AC444, "NA")</f>
        <v>1.0561807405928648E-2</v>
      </c>
    </row>
    <row r="194" spans="1:30" ht="16.5" customHeight="1" x14ac:dyDescent="0.45">
      <c r="A194" s="6" t="s">
        <v>178</v>
      </c>
      <c r="B194" s="7">
        <v>249.9</v>
      </c>
      <c r="C194" s="8">
        <f>IFERROR(B194/B444, "NA")</f>
        <v>2.2856678746224737E-3</v>
      </c>
      <c r="D194" s="9"/>
      <c r="E194" s="7">
        <v>216.35</v>
      </c>
      <c r="F194" s="8">
        <f>IFERROR(E194/E444, "NA")</f>
        <v>2.1008954174552511E-3</v>
      </c>
      <c r="G194" s="9"/>
      <c r="H194" s="10">
        <f t="shared" si="48"/>
        <v>-33.550000000000011</v>
      </c>
      <c r="I194" s="8">
        <f>IFERROR(H194/H444, "NA")</f>
        <v>-5.2804958472166003E-3</v>
      </c>
      <c r="J194" s="9"/>
      <c r="K194" s="7">
        <v>236</v>
      </c>
      <c r="L194" s="8">
        <f>IFERROR(K194/K444, "NA")</f>
        <v>2.5208800434958624E-3</v>
      </c>
      <c r="M194" s="9"/>
      <c r="N194" s="10">
        <f t="shared" si="49"/>
        <v>-13.900000000000006</v>
      </c>
      <c r="O194" s="8">
        <f>IFERROR(N194/N444, "NA")</f>
        <v>-8.8448442512012188E-4</v>
      </c>
      <c r="P194" s="9"/>
      <c r="Q194" s="7">
        <v>1070.82</v>
      </c>
      <c r="R194" s="8">
        <f>IFERROR(Q194/Q444, "NA")</f>
        <v>2.6745092162445677E-3</v>
      </c>
      <c r="S194" s="9"/>
      <c r="T194" s="7">
        <v>818.4</v>
      </c>
      <c r="U194" s="8">
        <f>IFERROR(T194/T444, "NA")</f>
        <v>2.1297156618805746E-3</v>
      </c>
      <c r="V194" s="9"/>
      <c r="W194" s="10">
        <f t="shared" si="50"/>
        <v>-252.41999999999996</v>
      </c>
      <c r="X194" s="8">
        <f>IFERROR(W194/W444, "NA")</f>
        <v>-1.5674999301387618E-2</v>
      </c>
      <c r="Y194" s="9"/>
      <c r="Z194" s="7">
        <v>1090</v>
      </c>
      <c r="AA194" s="8">
        <f>IFERROR(Z194/Z444, "NA")</f>
        <v>3.0268815685933433E-3</v>
      </c>
      <c r="AB194" s="9"/>
      <c r="AC194" s="10">
        <f t="shared" si="51"/>
        <v>19.180000000000064</v>
      </c>
      <c r="AD194" s="8">
        <f>IFERROR(AC194/AC444, "NA")</f>
        <v>4.7624474808564949E-4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29563.26</v>
      </c>
      <c r="C196" s="15">
        <f>IFERROR(B196/B444, "NA")</f>
        <v>0.27039533273754141</v>
      </c>
      <c r="D196" s="2"/>
      <c r="E196" s="14">
        <f>IFERROR(E175+E177+E178+E179+E180+E181+E183+E184+E186+E187+E188+E189+E190+E191+E192+E194+E195, "NA")</f>
        <v>30031.73</v>
      </c>
      <c r="F196" s="15">
        <f>IFERROR(E196/E444, "NA")</f>
        <v>0.29162710392999025</v>
      </c>
      <c r="G196" s="2"/>
      <c r="H196" s="14">
        <f t="shared" si="48"/>
        <v>468.47000000000116</v>
      </c>
      <c r="I196" s="15">
        <f>IFERROR(H196/H444, "NA")</f>
        <v>7.3733349911939375E-2</v>
      </c>
      <c r="J196" s="2"/>
      <c r="K196" s="14">
        <f>IFERROR(K175+K177+K178+K179+K180+K181+K183+K184+K186+K187+K188+K189+K190+K191+K192+K194+K195, "NA")</f>
        <v>31945.98</v>
      </c>
      <c r="L196" s="15">
        <f>IFERROR(K196/K444, "NA")</f>
        <v>0.34123721801660145</v>
      </c>
      <c r="M196" s="2"/>
      <c r="N196" s="14">
        <f t="shared" si="49"/>
        <v>2382.7200000000012</v>
      </c>
      <c r="O196" s="15">
        <f>IFERROR(N196/N444, "NA")</f>
        <v>0.15161717477857675</v>
      </c>
      <c r="P196" s="2"/>
      <c r="Q196" s="14">
        <f>IFERROR(Q175+Q177+Q178+Q179+Q180+Q181+Q183+Q184+Q186+Q187+Q188+Q189+Q190+Q191+Q192+Q194+Q195, "NA")</f>
        <v>106004.45</v>
      </c>
      <c r="R196" s="15">
        <f>IFERROR(Q196/Q444, "NA")</f>
        <v>0.26475960337679205</v>
      </c>
      <c r="S196" s="2"/>
      <c r="T196" s="14">
        <f>IFERROR(T175+T177+T178+T179+T180+T181+T183+T184+T186+T187+T188+T189+T190+T191+T192+T194+T195, "NA")</f>
        <v>112947.04</v>
      </c>
      <c r="U196" s="15">
        <f>IFERROR(T196/T444, "NA")</f>
        <v>0.29392116330773671</v>
      </c>
      <c r="V196" s="2"/>
      <c r="W196" s="14">
        <f t="shared" si="50"/>
        <v>6942.5899999999965</v>
      </c>
      <c r="X196" s="15">
        <f>IFERROR(W196/W444, "NA")</f>
        <v>0.43112706362340797</v>
      </c>
      <c r="Y196" s="2"/>
      <c r="Z196" s="14">
        <f>IFERROR(Z175+Z177+Z178+Z179+Z180+Z181+Z183+Z184+Z186+Z187+Z188+Z189+Z190+Z191+Z192+Z194+Z195, "NA")</f>
        <v>112489.09</v>
      </c>
      <c r="AA196" s="15">
        <f>IFERROR(Z196/Z444, "NA")</f>
        <v>0.31237720476040159</v>
      </c>
      <c r="AB196" s="2"/>
      <c r="AC196" s="14">
        <f t="shared" si="51"/>
        <v>6484.6399999999994</v>
      </c>
      <c r="AD196" s="15">
        <f>IFERROR(AC196/AC444, "NA")</f>
        <v>0.16101541935485481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29563.26</v>
      </c>
      <c r="C197" s="15">
        <f>IFERROR(B197/B444, "NA")</f>
        <v>0.27039533273754141</v>
      </c>
      <c r="D197" s="2"/>
      <c r="E197" s="14">
        <f>IFERROR(E175+E177+E178+E179+E180+E181+E183+E184+E186+E187+E188+E189+E190+E191+E192+E194+E195, "NA")</f>
        <v>30031.73</v>
      </c>
      <c r="F197" s="15">
        <f>IFERROR(E197/E444, "NA")</f>
        <v>0.29162710392999025</v>
      </c>
      <c r="G197" s="2"/>
      <c r="H197" s="14">
        <f t="shared" si="48"/>
        <v>468.47000000000116</v>
      </c>
      <c r="I197" s="15">
        <f>IFERROR(H197/H444, "NA")</f>
        <v>7.3733349911939375E-2</v>
      </c>
      <c r="J197" s="2"/>
      <c r="K197" s="14">
        <f>IFERROR(K175+K177+K178+K179+K180+K181+K183+K184+K186+K187+K188+K189+K190+K191+K192+K194+K195, "NA")</f>
        <v>31945.98</v>
      </c>
      <c r="L197" s="15">
        <f>IFERROR(K197/K444, "NA")</f>
        <v>0.34123721801660145</v>
      </c>
      <c r="M197" s="2"/>
      <c r="N197" s="14">
        <f t="shared" si="49"/>
        <v>2382.7200000000012</v>
      </c>
      <c r="O197" s="15">
        <f>IFERROR(N197/N444, "NA")</f>
        <v>0.15161717477857675</v>
      </c>
      <c r="P197" s="2"/>
      <c r="Q197" s="14">
        <f>IFERROR(Q175+Q177+Q178+Q179+Q180+Q181+Q183+Q184+Q186+Q187+Q188+Q189+Q190+Q191+Q192+Q194+Q195, "NA")</f>
        <v>106004.45</v>
      </c>
      <c r="R197" s="15">
        <f>IFERROR(Q197/Q444, "NA")</f>
        <v>0.26475960337679205</v>
      </c>
      <c r="S197" s="2"/>
      <c r="T197" s="14">
        <f>IFERROR(T175+T177+T178+T179+T180+T181+T183+T184+T186+T187+T188+T189+T190+T191+T192+T194+T195, "NA")</f>
        <v>112947.04</v>
      </c>
      <c r="U197" s="15">
        <f>IFERROR(T197/T444, "NA")</f>
        <v>0.29392116330773671</v>
      </c>
      <c r="V197" s="2"/>
      <c r="W197" s="14">
        <f t="shared" si="50"/>
        <v>6942.5899999999965</v>
      </c>
      <c r="X197" s="15">
        <f>IFERROR(W197/W444, "NA")</f>
        <v>0.43112706362340797</v>
      </c>
      <c r="Y197" s="2"/>
      <c r="Z197" s="14">
        <f>IFERROR(Z175+Z177+Z178+Z179+Z180+Z181+Z183+Z184+Z186+Z187+Z188+Z189+Z190+Z191+Z192+Z194+Z195, "NA")</f>
        <v>112489.09</v>
      </c>
      <c r="AA197" s="15">
        <f>IFERROR(Z197/Z444, "NA")</f>
        <v>0.31237720476040159</v>
      </c>
      <c r="AB197" s="2"/>
      <c r="AC197" s="14">
        <f t="shared" si="51"/>
        <v>6484.6399999999994</v>
      </c>
      <c r="AD197" s="15">
        <f>IFERROR(AC197/AC444, "NA")</f>
        <v>0.16101541935485481</v>
      </c>
    </row>
    <row r="198" spans="1:30" ht="16.5" customHeight="1" x14ac:dyDescent="0.45">
      <c r="A198" s="22" t="s">
        <v>181</v>
      </c>
      <c r="B198" s="23">
        <f>IFERROR(B172-B197, "NA")</f>
        <v>50001.37999999999</v>
      </c>
      <c r="C198" s="24">
        <f>IFERROR(B198/B444, "NA")</f>
        <v>0.45732912346054677</v>
      </c>
      <c r="D198" s="25"/>
      <c r="E198" s="23">
        <f>IFERROR(E172-E197, "NA")</f>
        <v>45761.470000000016</v>
      </c>
      <c r="F198" s="24">
        <f>IFERROR(E198/E444, "NA")</f>
        <v>0.4443728339219597</v>
      </c>
      <c r="G198" s="25"/>
      <c r="H198" s="23">
        <f>IFERROR(B198-E198, "NA")</f>
        <v>4239.9099999999744</v>
      </c>
      <c r="I198" s="24">
        <f>IFERROR(H198/H444, "NA")</f>
        <v>0.6673271877070639</v>
      </c>
      <c r="J198" s="25"/>
      <c r="K198" s="23">
        <f>IFERROR(K172-K197, "NA")</f>
        <v>33815.520000000019</v>
      </c>
      <c r="L198" s="24">
        <f>IFERROR(K198/K444, "NA")</f>
        <v>0.36120707427303073</v>
      </c>
      <c r="M198" s="25"/>
      <c r="N198" s="23">
        <f>IFERROR(B198-K198, "NA")</f>
        <v>16185.859999999971</v>
      </c>
      <c r="O198" s="24">
        <f>IFERROR(N198/N444, "NA")</f>
        <v>1.0299382069909888</v>
      </c>
      <c r="P198" s="25"/>
      <c r="Q198" s="23">
        <f>IFERROR(Q172-Q197, "NA")</f>
        <v>187384.27000000008</v>
      </c>
      <c r="R198" s="24">
        <f>IFERROR(Q198/Q444, "NA")</f>
        <v>0.46801605974324412</v>
      </c>
      <c r="S198" s="25"/>
      <c r="T198" s="23">
        <f>IFERROR(T172-T197, "NA")</f>
        <v>169471.40000000008</v>
      </c>
      <c r="U198" s="24">
        <f>IFERROR(T198/T444, "NA")</f>
        <v>0.4410140454799949</v>
      </c>
      <c r="V198" s="25"/>
      <c r="W198" s="23">
        <f>IFERROR(Q198-T198, "NA")</f>
        <v>17912.869999999995</v>
      </c>
      <c r="X198" s="24">
        <f>IFERROR(W198/W444, "NA")</f>
        <v>1.1123691654221028</v>
      </c>
      <c r="Y198" s="25"/>
      <c r="Z198" s="23">
        <f>IFERROR(Z172-Z197, "NA")</f>
        <v>148710.99999999997</v>
      </c>
      <c r="AA198" s="24">
        <f>IFERROR(Z198/Z444, "NA")</f>
        <v>0.41296383940099501</v>
      </c>
      <c r="AB198" s="25"/>
      <c r="AC198" s="23">
        <f>IFERROR(Q198-Z198, "NA")</f>
        <v>38673.270000000106</v>
      </c>
      <c r="AD198" s="24">
        <f>IFERROR(AC198/AC444, "NA")</f>
        <v>0.96026807762243449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1104.77</v>
      </c>
      <c r="C202" s="8">
        <f>IFERROR(B202/B444, "NA")</f>
        <v>1.01045910277978E-2</v>
      </c>
      <c r="D202" s="9"/>
      <c r="E202" s="7">
        <v>926.82</v>
      </c>
      <c r="F202" s="8">
        <f>IFERROR(E202/E444, "NA")</f>
        <v>9.0000087395695674E-3</v>
      </c>
      <c r="G202" s="9"/>
      <c r="H202" s="10">
        <f t="shared" si="52"/>
        <v>-177.94999999999993</v>
      </c>
      <c r="I202" s="8">
        <f>IFERROR(H202/H444, "NA")</f>
        <v>-2.8007875887099652E-2</v>
      </c>
      <c r="J202" s="9"/>
      <c r="K202" s="7">
        <v>770.48</v>
      </c>
      <c r="L202" s="8">
        <f>IFERROR(K202/K444, "NA")</f>
        <v>8.2300324403080174E-3</v>
      </c>
      <c r="M202" s="9"/>
      <c r="N202" s="10">
        <f t="shared" si="53"/>
        <v>-334.28999999999996</v>
      </c>
      <c r="O202" s="8">
        <f>IFERROR(N202/N444, "NA")</f>
        <v>-2.1271532264273769E-2</v>
      </c>
      <c r="P202" s="9"/>
      <c r="Q202" s="7">
        <v>4168.26</v>
      </c>
      <c r="R202" s="8">
        <f>IFERROR(Q202/Q444, "NA")</f>
        <v>1.0410759778210701E-2</v>
      </c>
      <c r="S202" s="9"/>
      <c r="T202" s="7">
        <v>3458.49</v>
      </c>
      <c r="U202" s="8">
        <f>IFERROR(T202/T444, "NA")</f>
        <v>9.0000003903437792E-3</v>
      </c>
      <c r="V202" s="9"/>
      <c r="W202" s="10">
        <f t="shared" si="54"/>
        <v>-709.77000000000044</v>
      </c>
      <c r="X202" s="8">
        <f>IFERROR(W202/W444, "NA")</f>
        <v>-4.4075922090745186E-2</v>
      </c>
      <c r="Y202" s="9"/>
      <c r="Z202" s="7">
        <v>3758.55</v>
      </c>
      <c r="AA202" s="8">
        <f>IFERROR(Z202/Z444, "NA")</f>
        <v>1.0437326348290376E-2</v>
      </c>
      <c r="AB202" s="9"/>
      <c r="AC202" s="10">
        <f t="shared" si="55"/>
        <v>-409.71000000000004</v>
      </c>
      <c r="AD202" s="8">
        <f>IFERROR(AC202/AC444, "NA")</f>
        <v>-1.0173213542136121E-2</v>
      </c>
    </row>
    <row r="203" spans="1:30" ht="16.5" customHeight="1" x14ac:dyDescent="0.45">
      <c r="A203" s="6" t="s">
        <v>185</v>
      </c>
      <c r="B203" s="7">
        <v>641.83000000000004</v>
      </c>
      <c r="C203" s="8">
        <f>IFERROR(B203/B444, "NA")</f>
        <v>5.8703890034771606E-3</v>
      </c>
      <c r="D203" s="9"/>
      <c r="E203" s="7">
        <v>617.88</v>
      </c>
      <c r="F203" s="8">
        <f>IFERROR(E203/E444, "NA")</f>
        <v>6.0000058263797113E-3</v>
      </c>
      <c r="G203" s="9"/>
      <c r="H203" s="10">
        <f t="shared" si="52"/>
        <v>-23.950000000000045</v>
      </c>
      <c r="I203" s="8">
        <f>IFERROR(H203/H444, "NA")</f>
        <v>-3.7695342933185623E-3</v>
      </c>
      <c r="J203" s="9"/>
      <c r="K203" s="7">
        <v>907.34</v>
      </c>
      <c r="L203" s="8">
        <f>IFERROR(K203/K444, "NA")</f>
        <v>9.6919292316336256E-3</v>
      </c>
      <c r="M203" s="9"/>
      <c r="N203" s="10">
        <f t="shared" si="53"/>
        <v>265.51</v>
      </c>
      <c r="O203" s="8">
        <f>IFERROR(N203/N444, "NA")</f>
        <v>1.6894925159254923E-2</v>
      </c>
      <c r="P203" s="9"/>
      <c r="Q203" s="7">
        <v>2353.9899999999998</v>
      </c>
      <c r="R203" s="8">
        <f>IFERROR(Q203/Q444, "NA")</f>
        <v>5.8793895798990954E-3</v>
      </c>
      <c r="S203" s="9"/>
      <c r="T203" s="7">
        <v>2305.66</v>
      </c>
      <c r="U203" s="8">
        <f>IFERROR(T203/T444, "NA")</f>
        <v>6.0000002602291855E-3</v>
      </c>
      <c r="V203" s="9"/>
      <c r="W203" s="10">
        <f t="shared" si="54"/>
        <v>-48.329999999999927</v>
      </c>
      <c r="X203" s="8">
        <f>IFERROR(W203/W444, "NA")</f>
        <v>-3.0012388726569313E-3</v>
      </c>
      <c r="Y203" s="9"/>
      <c r="Z203" s="7">
        <v>2949.44</v>
      </c>
      <c r="AA203" s="8">
        <f>IFERROR(Z203/Z444, "NA")</f>
        <v>8.1904638290568356E-3</v>
      </c>
      <c r="AB203" s="9"/>
      <c r="AC203" s="10">
        <f t="shared" si="55"/>
        <v>595.45000000000027</v>
      </c>
      <c r="AD203" s="8">
        <f>IFERROR(AC203/AC444, "NA")</f>
        <v>1.4785189533242918E-2</v>
      </c>
    </row>
    <row r="204" spans="1:30" ht="16.5" customHeight="1" x14ac:dyDescent="0.45">
      <c r="A204" s="6" t="s">
        <v>186</v>
      </c>
      <c r="B204" s="7">
        <v>89.66</v>
      </c>
      <c r="C204" s="8">
        <f>IFERROR(B204/B444, "NA")</f>
        <v>8.2005995053481789E-4</v>
      </c>
      <c r="D204" s="9"/>
      <c r="E204" s="7">
        <v>205.96</v>
      </c>
      <c r="F204" s="8">
        <f>IFERROR(E204/E444, "NA")</f>
        <v>2.0000019421265707E-3</v>
      </c>
      <c r="G204" s="9"/>
      <c r="H204" s="10">
        <f t="shared" si="52"/>
        <v>116.30000000000001</v>
      </c>
      <c r="I204" s="8">
        <f>IFERROR(H204/H444, "NA")</f>
        <v>1.8304669658160671E-2</v>
      </c>
      <c r="J204" s="9"/>
      <c r="K204" s="7">
        <v>11.24</v>
      </c>
      <c r="L204" s="8">
        <f>IFERROR(K204/K444, "NA")</f>
        <v>1.2006225291904022E-4</v>
      </c>
      <c r="M204" s="9"/>
      <c r="N204" s="10">
        <f t="shared" si="53"/>
        <v>-78.42</v>
      </c>
      <c r="O204" s="8">
        <f>IFERROR(N204/N444, "NA")</f>
        <v>-4.9900193250302111E-3</v>
      </c>
      <c r="P204" s="9"/>
      <c r="Q204" s="7">
        <v>488.21</v>
      </c>
      <c r="R204" s="8">
        <f>IFERROR(Q204/Q444, "NA")</f>
        <v>1.2193666017283581E-3</v>
      </c>
      <c r="S204" s="9"/>
      <c r="T204" s="7">
        <v>768.56</v>
      </c>
      <c r="U204" s="8">
        <f>IFERROR(T204/T444, "NA")</f>
        <v>2.0000174353554919E-3</v>
      </c>
      <c r="V204" s="9"/>
      <c r="W204" s="10">
        <f t="shared" si="54"/>
        <v>280.34999999999997</v>
      </c>
      <c r="X204" s="8">
        <f>IFERROR(W204/W444, "NA")</f>
        <v>1.7409421021091907E-2</v>
      </c>
      <c r="Y204" s="9"/>
      <c r="Z204" s="7">
        <v>272.75</v>
      </c>
      <c r="AA204" s="8">
        <f>IFERROR(Z204/Z444, "NA")</f>
        <v>7.5741463104021496E-4</v>
      </c>
      <c r="AB204" s="9"/>
      <c r="AC204" s="10">
        <f t="shared" si="55"/>
        <v>-215.45999999999998</v>
      </c>
      <c r="AD204" s="8">
        <f>IFERROR(AC204/AC444, "NA")</f>
        <v>-5.3499318781300145E-3</v>
      </c>
    </row>
    <row r="205" spans="1:30" ht="16.5" customHeight="1" x14ac:dyDescent="0.45">
      <c r="A205" s="6" t="s">
        <v>187</v>
      </c>
      <c r="B205" s="7">
        <v>369.95</v>
      </c>
      <c r="C205" s="8">
        <f>IFERROR(B205/B444, "NA")</f>
        <v>3.3836847947842502E-3</v>
      </c>
      <c r="D205" s="9"/>
      <c r="E205" s="7">
        <v>308.94</v>
      </c>
      <c r="F205" s="8">
        <f>IFERROR(E205/E444, "NA")</f>
        <v>3.0000029131898556E-3</v>
      </c>
      <c r="G205" s="9"/>
      <c r="H205" s="10">
        <f t="shared" si="52"/>
        <v>-61.009999999999991</v>
      </c>
      <c r="I205" s="8">
        <f>IFERROR(H205/H444, "NA")</f>
        <v>-9.6024754586791251E-3</v>
      </c>
      <c r="J205" s="9"/>
      <c r="K205" s="7">
        <v>348.96</v>
      </c>
      <c r="L205" s="8">
        <f>IFERROR(K205/K444, "NA")</f>
        <v>3.727484321942017E-3</v>
      </c>
      <c r="M205" s="9"/>
      <c r="N205" s="10">
        <f t="shared" si="53"/>
        <v>-20.990000000000009</v>
      </c>
      <c r="O205" s="8">
        <f>IFERROR(N205/N444, "NA")</f>
        <v>-1.3356351139044143E-3</v>
      </c>
      <c r="P205" s="9"/>
      <c r="Q205" s="7">
        <v>1642.31</v>
      </c>
      <c r="R205" s="8">
        <f>IFERROR(Q205/Q444, "NA")</f>
        <v>4.1018782156950892E-3</v>
      </c>
      <c r="S205" s="9"/>
      <c r="T205" s="7">
        <v>1152.8399999999999</v>
      </c>
      <c r="U205" s="8">
        <f>IFERROR(T205/T444, "NA")</f>
        <v>3.0000261530332374E-3</v>
      </c>
      <c r="V205" s="9"/>
      <c r="W205" s="10">
        <f t="shared" si="54"/>
        <v>-489.47</v>
      </c>
      <c r="X205" s="8">
        <f>IFERROR(W205/W444, "NA")</f>
        <v>-3.0395538816457492E-2</v>
      </c>
      <c r="Y205" s="9"/>
      <c r="Z205" s="7">
        <v>1390.9</v>
      </c>
      <c r="AA205" s="8">
        <f>IFERROR(Z205/Z444, "NA")</f>
        <v>3.8624674988591572E-3</v>
      </c>
      <c r="AB205" s="9"/>
      <c r="AC205" s="10">
        <f t="shared" si="55"/>
        <v>-251.40999999999985</v>
      </c>
      <c r="AD205" s="8">
        <f>IFERROR(AC205/AC444, "NA")</f>
        <v>-6.2425804023051442E-3</v>
      </c>
    </row>
    <row r="206" spans="1:30" ht="16.5" customHeight="1" x14ac:dyDescent="0.45">
      <c r="A206" s="6" t="s">
        <v>188</v>
      </c>
      <c r="B206" s="7">
        <v>133.31</v>
      </c>
      <c r="C206" s="8">
        <f>IFERROR(B206/B444, "NA")</f>
        <v>1.2192972563662345E-3</v>
      </c>
      <c r="D206" s="9"/>
      <c r="E206" s="7">
        <v>102.98</v>
      </c>
      <c r="F206" s="8">
        <f>IFERROR(E206/E444, "NA")</f>
        <v>1.0000009710632854E-3</v>
      </c>
      <c r="G206" s="9"/>
      <c r="H206" s="10">
        <f t="shared" si="52"/>
        <v>-30.33</v>
      </c>
      <c r="I206" s="8">
        <f>IFERROR(H206/H444, "NA")</f>
        <v>-4.7736941593466298E-3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-133.31</v>
      </c>
      <c r="O206" s="8">
        <f>IFERROR(N206/N444, "NA")</f>
        <v>-8.4827783246592368E-3</v>
      </c>
      <c r="P206" s="9"/>
      <c r="Q206" s="7">
        <v>224.11</v>
      </c>
      <c r="R206" s="8">
        <f>IFERROR(Q206/Q444, "NA")</f>
        <v>5.5974324391827764E-4</v>
      </c>
      <c r="S206" s="9"/>
      <c r="T206" s="7">
        <v>384.28</v>
      </c>
      <c r="U206" s="8">
        <f>IFERROR(T206/T444, "NA")</f>
        <v>1.0000087176777459E-3</v>
      </c>
      <c r="V206" s="9"/>
      <c r="W206" s="10">
        <f t="shared" si="54"/>
        <v>160.16999999999996</v>
      </c>
      <c r="X206" s="8">
        <f>IFERROR(W206/W444, "NA")</f>
        <v>9.946377617079687E-3</v>
      </c>
      <c r="Y206" s="9"/>
      <c r="Z206" s="7">
        <v>10.8</v>
      </c>
      <c r="AA206" s="8">
        <f>IFERROR(Z206/Z444, "NA")</f>
        <v>2.999112012918175E-5</v>
      </c>
      <c r="AB206" s="9"/>
      <c r="AC206" s="10">
        <f t="shared" si="55"/>
        <v>-213.31</v>
      </c>
      <c r="AD206" s="8">
        <f>IFERROR(AC206/AC444, "NA")</f>
        <v>-5.2965467786313634E-3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100</v>
      </c>
      <c r="F207" s="8">
        <f>IFERROR(E207/E444, "NA")</f>
        <v>9.7106328516535756E-4</v>
      </c>
      <c r="G207" s="9"/>
      <c r="H207" s="10">
        <f t="shared" si="52"/>
        <v>100</v>
      </c>
      <c r="I207" s="8">
        <f>IFERROR(H207/H444, "NA")</f>
        <v>1.5739182853104616E-2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145.07</v>
      </c>
      <c r="R207" s="8">
        <f>IFERROR(Q207/Q444, "NA")</f>
        <v>3.6233078575353413E-4</v>
      </c>
      <c r="S207" s="9"/>
      <c r="T207" s="7">
        <v>400</v>
      </c>
      <c r="U207" s="8">
        <f>IFERROR(T207/T444, "NA")</f>
        <v>1.0409167457871822E-3</v>
      </c>
      <c r="V207" s="9"/>
      <c r="W207" s="10">
        <f t="shared" si="54"/>
        <v>254.93</v>
      </c>
      <c r="X207" s="8">
        <f>IFERROR(W207/W444, "NA")</f>
        <v>1.5830867490304837E-2</v>
      </c>
      <c r="Y207" s="9"/>
      <c r="Z207" s="7">
        <v>99.6</v>
      </c>
      <c r="AA207" s="8">
        <f>IFERROR(Z207/Z444, "NA")</f>
        <v>2.7658477452467613E-4</v>
      </c>
      <c r="AB207" s="9"/>
      <c r="AC207" s="10">
        <f t="shared" si="55"/>
        <v>-45.47</v>
      </c>
      <c r="AD207" s="8">
        <f>IFERROR(AC207/AC444, "NA")</f>
        <v>-1.1290327786993956E-3</v>
      </c>
    </row>
    <row r="208" spans="1:30" ht="16.5" customHeight="1" x14ac:dyDescent="0.45">
      <c r="A208" s="6" t="s">
        <v>190</v>
      </c>
      <c r="B208" s="7">
        <v>35.54</v>
      </c>
      <c r="C208" s="8">
        <f>IFERROR(B208/B444, "NA")</f>
        <v>3.250605692840445E-4</v>
      </c>
      <c r="D208" s="9"/>
      <c r="E208" s="7">
        <v>100</v>
      </c>
      <c r="F208" s="8">
        <f>IFERROR(E208/E444, "NA")</f>
        <v>9.7106328516535756E-4</v>
      </c>
      <c r="G208" s="9"/>
      <c r="H208" s="10">
        <f t="shared" si="52"/>
        <v>64.460000000000008</v>
      </c>
      <c r="I208" s="8">
        <f>IFERROR(H208/H444, "NA")</f>
        <v>1.0145477267111236E-2</v>
      </c>
      <c r="J208" s="9"/>
      <c r="K208" s="7">
        <v>92.78</v>
      </c>
      <c r="L208" s="8">
        <f>IFERROR(K208/K444, "NA")</f>
        <v>9.9104767133705984E-4</v>
      </c>
      <c r="M208" s="9"/>
      <c r="N208" s="10">
        <f t="shared" si="53"/>
        <v>57.24</v>
      </c>
      <c r="O208" s="8">
        <f>IFERROR(N208/N444, "NA")</f>
        <v>3.6422941362500546E-3</v>
      </c>
      <c r="P208" s="9"/>
      <c r="Q208" s="7">
        <v>206.34</v>
      </c>
      <c r="R208" s="8">
        <f>IFERROR(Q208/Q444, "NA")</f>
        <v>5.1536040761276784E-4</v>
      </c>
      <c r="S208" s="9"/>
      <c r="T208" s="7">
        <v>400</v>
      </c>
      <c r="U208" s="8">
        <f>IFERROR(T208/T444, "NA")</f>
        <v>1.0409167457871822E-3</v>
      </c>
      <c r="V208" s="9"/>
      <c r="W208" s="10">
        <f t="shared" si="54"/>
        <v>193.66</v>
      </c>
      <c r="X208" s="8">
        <f>IFERROR(W208/W444, "NA")</f>
        <v>1.2026069109843621E-2</v>
      </c>
      <c r="Y208" s="9"/>
      <c r="Z208" s="7">
        <v>580.70000000000005</v>
      </c>
      <c r="AA208" s="8">
        <f>IFERROR(Z208/Z444, "NA")</f>
        <v>1.6125780980570225E-3</v>
      </c>
      <c r="AB208" s="9"/>
      <c r="AC208" s="10">
        <f t="shared" si="55"/>
        <v>374.36</v>
      </c>
      <c r="AD208" s="8">
        <f>IFERROR(AC208/AC444, "NA")</f>
        <v>9.2954631852629373E-3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2375.06</v>
      </c>
      <c r="C209" s="15">
        <f>IFERROR(B209/B444, "NA")</f>
        <v>2.1723082602244308E-2</v>
      </c>
      <c r="D209" s="2"/>
      <c r="E209" s="14">
        <f>IFERROR(E201+E202+E203+E204+E205+E206+E207+E208, "NA")</f>
        <v>2362.58</v>
      </c>
      <c r="F209" s="15">
        <f>IFERROR(E209/E444, "NA")</f>
        <v>2.2942146962659705E-2</v>
      </c>
      <c r="G209" s="2"/>
      <c r="H209" s="14">
        <f t="shared" si="52"/>
        <v>-12.480000000000018</v>
      </c>
      <c r="I209" s="15">
        <f>IFERROR(H209/H444, "NA")</f>
        <v>-1.9642500200674588E-3</v>
      </c>
      <c r="J209" s="2"/>
      <c r="K209" s="14">
        <f>IFERROR(K201+K202+K203+K204+K205+K206+K207+K208, "NA")</f>
        <v>2130.8000000000002</v>
      </c>
      <c r="L209" s="15">
        <f>IFERROR(K209/K444, "NA")</f>
        <v>2.276055591813976E-2</v>
      </c>
      <c r="M209" s="2"/>
      <c r="N209" s="14">
        <f t="shared" si="53"/>
        <v>-244.25999999999976</v>
      </c>
      <c r="O209" s="15">
        <f>IFERROR(N209/N444, "NA")</f>
        <v>-1.5542745732362638E-2</v>
      </c>
      <c r="P209" s="2"/>
      <c r="Q209" s="14">
        <f>IFERROR(Q201+Q202+Q203+Q204+Q205+Q206+Q207+Q208, "NA")</f>
        <v>9228.2900000000009</v>
      </c>
      <c r="R209" s="15">
        <f>IFERROR(Q209/Q444, "NA")</f>
        <v>2.3048828612817825E-2</v>
      </c>
      <c r="S209" s="2"/>
      <c r="T209" s="14">
        <f>IFERROR(T201+T202+T203+T204+T205+T206+T207+T208, "NA")</f>
        <v>8869.8299999999981</v>
      </c>
      <c r="U209" s="15">
        <f>IFERROR(T209/T444, "NA")</f>
        <v>2.3081886448213799E-2</v>
      </c>
      <c r="V209" s="2"/>
      <c r="W209" s="14">
        <f t="shared" si="54"/>
        <v>-358.46000000000276</v>
      </c>
      <c r="X209" s="15">
        <f>IFERROR(W209/W444, "NA")</f>
        <v>-2.2259964541539699E-2</v>
      </c>
      <c r="Y209" s="2"/>
      <c r="Z209" s="14">
        <f>IFERROR(Z201+Z202+Z203+Z204+Z205+Z206+Z207+Z208, "NA")</f>
        <v>9062.74</v>
      </c>
      <c r="AA209" s="15">
        <f>IFERROR(Z209/Z444, "NA")</f>
        <v>2.5166826299957461E-2</v>
      </c>
      <c r="AB209" s="2"/>
      <c r="AC209" s="14">
        <f t="shared" si="55"/>
        <v>-165.55000000000109</v>
      </c>
      <c r="AD209" s="15">
        <f>IFERROR(AC209/AC444, "NA")</f>
        <v>-4.110652661396221E-3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4222.18</v>
      </c>
      <c r="F213" s="8">
        <f>IFERROR(E213/E444, "NA")</f>
        <v>4.1000039813594694E-2</v>
      </c>
      <c r="G213" s="9"/>
      <c r="H213" s="10">
        <f t="shared" ref="H213:H227" si="56">IFERROR(-(B213-E213), "NA")</f>
        <v>4222.18</v>
      </c>
      <c r="I213" s="8">
        <f>IFERROR(H213/H444, "NA")</f>
        <v>0.66453663058721246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15755.35</v>
      </c>
      <c r="U213" s="8">
        <f>IFERROR(T213/T444, "NA")</f>
        <v>4.10000191268452E-2</v>
      </c>
      <c r="V213" s="9"/>
      <c r="W213" s="10">
        <f t="shared" ref="W213:W227" si="58">IFERROR(-(Q213-T213), "NA")</f>
        <v>15755.35</v>
      </c>
      <c r="X213" s="8">
        <f>IFERROR(W213/W444, "NA")</f>
        <v>0.97838958974375045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1516.34</v>
      </c>
      <c r="C214" s="8">
        <f>IFERROR(B214/B444, "NA")</f>
        <v>1.3868946078451547E-2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-1516.34</v>
      </c>
      <c r="I214" s="8">
        <f>IFERROR(H214/H444, "NA")</f>
        <v>-0.2386595252747665</v>
      </c>
      <c r="J214" s="9"/>
      <c r="K214" s="7">
        <v>2576.52</v>
      </c>
      <c r="L214" s="8">
        <f>IFERROR(K214/K444, "NA")</f>
        <v>2.7521601057915082E-2</v>
      </c>
      <c r="M214" s="9"/>
      <c r="N214" s="10">
        <f t="shared" si="57"/>
        <v>1060.18</v>
      </c>
      <c r="O214" s="8">
        <f>IFERROR(N214/N444, "NA")</f>
        <v>6.7461345167183495E-2</v>
      </c>
      <c r="P214" s="9"/>
      <c r="Q214" s="7">
        <v>6612.33</v>
      </c>
      <c r="R214" s="8">
        <f>IFERROR(Q214/Q444, "NA")</f>
        <v>1.6515135621159898E-2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-6612.33</v>
      </c>
      <c r="X214" s="8">
        <f>IFERROR(W214/W444, "NA")</f>
        <v>-0.41061828749918555</v>
      </c>
      <c r="Y214" s="9"/>
      <c r="Z214" s="7">
        <v>12935.91</v>
      </c>
      <c r="AA214" s="8">
        <f>IFERROR(Z214/Z444, "NA")</f>
        <v>3.592244729539662E-2</v>
      </c>
      <c r="AB214" s="9"/>
      <c r="AC214" s="10">
        <f t="shared" si="59"/>
        <v>6323.58</v>
      </c>
      <c r="AD214" s="8">
        <f>IFERROR(AC214/AC444, "NA")</f>
        <v>0.15701625464543489</v>
      </c>
    </row>
    <row r="215" spans="1:30" ht="16.5" customHeight="1" x14ac:dyDescent="0.45">
      <c r="A215" s="12" t="s">
        <v>195</v>
      </c>
      <c r="B215" s="7">
        <v>1282.68</v>
      </c>
      <c r="C215" s="8">
        <f>IFERROR(B215/B444, "NA")</f>
        <v>1.1731814603524428E-2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-1282.68</v>
      </c>
      <c r="I215" s="8">
        <f>IFERROR(H215/H444, "NA")</f>
        <v>-0.2018833506202023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-1282.68</v>
      </c>
      <c r="O215" s="8">
        <f>IFERROR(N215/N444, "NA")</f>
        <v>-8.1619459166408462E-2</v>
      </c>
      <c r="P215" s="9"/>
      <c r="Q215" s="7">
        <v>3324.87</v>
      </c>
      <c r="R215" s="8">
        <f>IFERROR(Q215/Q444, "NA")</f>
        <v>8.3042859283680506E-3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-3324.87</v>
      </c>
      <c r="X215" s="8">
        <f>IFERROR(W215/W444, "NA")</f>
        <v>-0.20647070330086625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-3324.87</v>
      </c>
      <c r="AD215" s="8">
        <f>IFERROR(AC215/AC444, "NA")</f>
        <v>-8.2557449195387281E-2</v>
      </c>
    </row>
    <row r="216" spans="1:30" ht="16.5" customHeight="1" x14ac:dyDescent="0.45">
      <c r="A216" s="12" t="s">
        <v>196</v>
      </c>
      <c r="B216" s="7">
        <v>100</v>
      </c>
      <c r="C216" s="8">
        <f>IFERROR(B216/B444, "NA")</f>
        <v>9.1463300305020959E-4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-100</v>
      </c>
      <c r="I216" s="8">
        <f>IFERROR(H216/H444, "NA")</f>
        <v>-1.5739182853104616E-2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-100</v>
      </c>
      <c r="O216" s="8">
        <f>IFERROR(N216/N444, "NA")</f>
        <v>-6.3631973030224571E-3</v>
      </c>
      <c r="P216" s="9"/>
      <c r="Q216" s="7">
        <v>210</v>
      </c>
      <c r="R216" s="8">
        <f>IFERROR(Q216/Q444, "NA")</f>
        <v>5.2450172336280534E-4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-210</v>
      </c>
      <c r="X216" s="8">
        <f>IFERROR(W216/W444, "NA")</f>
        <v>-1.3040764809806675E-2</v>
      </c>
      <c r="Y216" s="9"/>
      <c r="Z216" s="7">
        <v>5.73</v>
      </c>
      <c r="AA216" s="8">
        <f>IFERROR(Z216/Z444, "NA")</f>
        <v>1.5911955401871431E-5</v>
      </c>
      <c r="AB216" s="9"/>
      <c r="AC216" s="10">
        <f t="shared" si="59"/>
        <v>-204.27</v>
      </c>
      <c r="AD216" s="8">
        <f>IFERROR(AC216/AC444, "NA")</f>
        <v>-5.0720810579486597E-3</v>
      </c>
    </row>
    <row r="217" spans="1:30" ht="16.5" customHeight="1" x14ac:dyDescent="0.45">
      <c r="A217" s="12" t="s">
        <v>197</v>
      </c>
      <c r="B217" s="7">
        <v>2618.48</v>
      </c>
      <c r="C217" s="8">
        <f>IFERROR(B217/B444, "NA")</f>
        <v>2.3949482258269129E-2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-2618.48</v>
      </c>
      <c r="I217" s="8">
        <f>IFERROR(H217/H444, "NA")</f>
        <v>-0.41212735517197374</v>
      </c>
      <c r="J217" s="9"/>
      <c r="K217" s="7">
        <v>2122.9899999999998</v>
      </c>
      <c r="L217" s="8">
        <f>IFERROR(K217/K444, "NA")</f>
        <v>2.2677131879412202E-2</v>
      </c>
      <c r="M217" s="9"/>
      <c r="N217" s="10">
        <f t="shared" si="57"/>
        <v>-495.49000000000024</v>
      </c>
      <c r="O217" s="8">
        <f>IFERROR(N217/N444, "NA")</f>
        <v>-3.1529006316745989E-2</v>
      </c>
      <c r="P217" s="9"/>
      <c r="Q217" s="7">
        <v>11434.06</v>
      </c>
      <c r="R217" s="8">
        <f>IFERROR(Q217/Q444, "NA")</f>
        <v>2.855801988111294E-2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-11434.06</v>
      </c>
      <c r="X217" s="8">
        <f>IFERROR(W217/W444, "NA")</f>
        <v>-0.71004232038675286</v>
      </c>
      <c r="Y217" s="9"/>
      <c r="Z217" s="7">
        <v>13388.21</v>
      </c>
      <c r="AA217" s="8">
        <f>IFERROR(Z217/Z444, "NA")</f>
        <v>3.7178464298584478E-2</v>
      </c>
      <c r="AB217" s="9"/>
      <c r="AC217" s="10">
        <f t="shared" si="59"/>
        <v>1954.1499999999996</v>
      </c>
      <c r="AD217" s="8">
        <f>IFERROR(AC217/AC444, "NA")</f>
        <v>4.8522089388507231E-2</v>
      </c>
    </row>
    <row r="218" spans="1:30" ht="16.5" customHeight="1" x14ac:dyDescent="0.45">
      <c r="A218" s="13" t="s">
        <v>198</v>
      </c>
      <c r="B218" s="14">
        <f>IFERROR(B213+B214+B215+B216+B217, "NA")</f>
        <v>5517.5</v>
      </c>
      <c r="C218" s="15">
        <f>IFERROR(B218/B444, "NA")</f>
        <v>5.0464875943295316E-2</v>
      </c>
      <c r="D218" s="2"/>
      <c r="E218" s="14">
        <f>IFERROR(E213+E214+E215+E216+E217, "NA")</f>
        <v>4222.18</v>
      </c>
      <c r="F218" s="15">
        <f>IFERROR(E218/E444, "NA")</f>
        <v>4.1000039813594694E-2</v>
      </c>
      <c r="G218" s="2"/>
      <c r="H218" s="14">
        <f t="shared" si="56"/>
        <v>-1295.3199999999997</v>
      </c>
      <c r="I218" s="15">
        <f>IFERROR(H218/H444, "NA")</f>
        <v>-0.20387278333283465</v>
      </c>
      <c r="J218" s="2"/>
      <c r="K218" s="14">
        <f>IFERROR(K213+K214+K215+K216+K217, "NA")</f>
        <v>4699.51</v>
      </c>
      <c r="L218" s="15">
        <f>IFERROR(K218/K444, "NA")</f>
        <v>5.0198732937327288E-2</v>
      </c>
      <c r="M218" s="2"/>
      <c r="N218" s="14">
        <f t="shared" si="57"/>
        <v>-817.98999999999978</v>
      </c>
      <c r="O218" s="15">
        <f>IFERROR(N218/N444, "NA")</f>
        <v>-5.2050317618993383E-2</v>
      </c>
      <c r="P218" s="2"/>
      <c r="Q218" s="14">
        <f>IFERROR(Q213+Q214+Q215+Q216+Q217, "NA")</f>
        <v>21581.260000000002</v>
      </c>
      <c r="R218" s="15">
        <f>IFERROR(Q218/Q444, "NA")</f>
        <v>5.3901943154003699E-2</v>
      </c>
      <c r="S218" s="2"/>
      <c r="T218" s="14">
        <f>IFERROR(T213+T214+T215+T216+T217, "NA")</f>
        <v>15755.35</v>
      </c>
      <c r="U218" s="15">
        <f>IFERROR(T218/T444, "NA")</f>
        <v>4.10000191268452E-2</v>
      </c>
      <c r="V218" s="2"/>
      <c r="W218" s="14">
        <f t="shared" si="58"/>
        <v>-5825.9100000000017</v>
      </c>
      <c r="X218" s="15">
        <f>IFERROR(W218/W444, "NA")</f>
        <v>-0.36178248625286108</v>
      </c>
      <c r="Y218" s="2"/>
      <c r="Z218" s="14">
        <f>IFERROR(Z213+Z214+Z215+Z216+Z217, "NA")</f>
        <v>26329.85</v>
      </c>
      <c r="AA218" s="15">
        <f>IFERROR(Z218/Z444, "NA")</f>
        <v>7.3116823549382967E-2</v>
      </c>
      <c r="AB218" s="2"/>
      <c r="AC218" s="14">
        <f t="shared" si="59"/>
        <v>4748.5899999999965</v>
      </c>
      <c r="AD218" s="15">
        <f>IFERROR(AC218/AC444, "NA")</f>
        <v>0.11790881378060609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32.700000000000003</v>
      </c>
      <c r="C222" s="8">
        <f>IFERROR(B222/B444, "NA")</f>
        <v>2.9908499199741859E-4</v>
      </c>
      <c r="D222" s="9"/>
      <c r="E222" s="7">
        <v>100</v>
      </c>
      <c r="F222" s="8">
        <f>IFERROR(E222/E444, "NA")</f>
        <v>9.7106328516535756E-4</v>
      </c>
      <c r="G222" s="9"/>
      <c r="H222" s="10">
        <f t="shared" si="56"/>
        <v>67.3</v>
      </c>
      <c r="I222" s="8">
        <f>IFERROR(H222/H444, "NA")</f>
        <v>1.0592470060139405E-2</v>
      </c>
      <c r="J222" s="9"/>
      <c r="K222" s="7">
        <v>146.83000000000001</v>
      </c>
      <c r="L222" s="8">
        <f>IFERROR(K222/K444, "NA")</f>
        <v>1.5683932914682098E-3</v>
      </c>
      <c r="M222" s="9"/>
      <c r="N222" s="10">
        <f t="shared" si="57"/>
        <v>114.13000000000001</v>
      </c>
      <c r="O222" s="8">
        <f>IFERROR(N222/N444, "NA")</f>
        <v>7.2623170819395306E-3</v>
      </c>
      <c r="P222" s="9"/>
      <c r="Q222" s="7">
        <v>398.68</v>
      </c>
      <c r="R222" s="8">
        <f>IFERROR(Q222/Q444, "NA")</f>
        <v>9.9575403366801538E-4</v>
      </c>
      <c r="S222" s="9"/>
      <c r="T222" s="7">
        <v>400</v>
      </c>
      <c r="U222" s="8">
        <f>IFERROR(T222/T444, "NA")</f>
        <v>1.0409167457871822E-3</v>
      </c>
      <c r="V222" s="9"/>
      <c r="W222" s="10">
        <f t="shared" si="58"/>
        <v>1.3199999999999932</v>
      </c>
      <c r="X222" s="8">
        <f>IFERROR(W222/W444, "NA")</f>
        <v>8.1970521661641526E-5</v>
      </c>
      <c r="Y222" s="9"/>
      <c r="Z222" s="7">
        <v>758.74</v>
      </c>
      <c r="AA222" s="8">
        <f>IFERROR(Z222/Z444, "NA")</f>
        <v>2.1069872672977185E-3</v>
      </c>
      <c r="AB222" s="9"/>
      <c r="AC222" s="10">
        <f t="shared" si="59"/>
        <v>360.06</v>
      </c>
      <c r="AD222" s="8">
        <f>IFERROR(AC222/AC444, "NA")</f>
        <v>8.9403901978998106E-3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5550.2</v>
      </c>
      <c r="C227" s="15">
        <f>IFERROR(B227/B444, "NA")</f>
        <v>5.0763960935292729E-2</v>
      </c>
      <c r="D227" s="2"/>
      <c r="E227" s="14">
        <f>IFERROR(E211+E213+E214+E215+E216+E217+E219+E220+E221+E222+E223+E224+E225+E226, "NA")</f>
        <v>4322.18</v>
      </c>
      <c r="F227" s="15">
        <f>IFERROR(E227/E444, "NA")</f>
        <v>4.1971103098760051E-2</v>
      </c>
      <c r="G227" s="2"/>
      <c r="H227" s="14">
        <f t="shared" si="56"/>
        <v>-1228.0199999999995</v>
      </c>
      <c r="I227" s="15">
        <f>IFERROR(H227/H444, "NA")</f>
        <v>-0.19328031327269521</v>
      </c>
      <c r="J227" s="2"/>
      <c r="K227" s="14">
        <f>IFERROR(K211+K213+K214+K215+K216+K217+K219+K220+K221+K222+K223+K224+K225+K226, "NA")</f>
        <v>4846.34</v>
      </c>
      <c r="L227" s="15">
        <f>IFERROR(K227/K444, "NA")</f>
        <v>5.17671262287955E-2</v>
      </c>
      <c r="M227" s="2"/>
      <c r="N227" s="14">
        <f t="shared" si="57"/>
        <v>-703.85999999999967</v>
      </c>
      <c r="O227" s="15">
        <f>IFERROR(N227/N444, "NA")</f>
        <v>-4.4788000537053847E-2</v>
      </c>
      <c r="P227" s="2"/>
      <c r="Q227" s="14">
        <f>IFERROR(Q211+Q213+Q214+Q215+Q216+Q217+Q219+Q220+Q221+Q222+Q223+Q224+Q225+Q226, "NA")</f>
        <v>21979.940000000002</v>
      </c>
      <c r="R227" s="15">
        <f>IFERROR(Q227/Q444, "NA")</f>
        <v>5.4897697187671721E-2</v>
      </c>
      <c r="S227" s="2"/>
      <c r="T227" s="14">
        <f>IFERROR(T211+T213+T214+T215+T216+T217+T219+T220+T221+T222+T223+T224+T225+T226, "NA")</f>
        <v>16155.35</v>
      </c>
      <c r="U227" s="15">
        <f>IFERROR(T227/T444, "NA")</f>
        <v>4.2040935872632385E-2</v>
      </c>
      <c r="V227" s="2"/>
      <c r="W227" s="14">
        <f t="shared" si="58"/>
        <v>-5824.590000000002</v>
      </c>
      <c r="X227" s="15">
        <f>IFERROR(W227/W444, "NA")</f>
        <v>-0.36170051573119943</v>
      </c>
      <c r="Y227" s="2"/>
      <c r="Z227" s="14">
        <f>IFERROR(Z211+Z213+Z214+Z215+Z216+Z217+Z219+Z220+Z221+Z222+Z223+Z224+Z225+Z226, "NA")</f>
        <v>27088.59</v>
      </c>
      <c r="AA227" s="15">
        <f>IFERROR(Z227/Z444, "NA")</f>
        <v>7.5223810816680683E-2</v>
      </c>
      <c r="AB227" s="2"/>
      <c r="AC227" s="14">
        <f t="shared" si="59"/>
        <v>5108.6499999999978</v>
      </c>
      <c r="AD227" s="15">
        <f>IFERROR(AC227/AC444, "NA")</f>
        <v>0.12684920397850594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1544.7</v>
      </c>
      <c r="F229" s="8">
        <f>IFERROR(E229/E444, "NA")</f>
        <v>1.500001456594928E-2</v>
      </c>
      <c r="G229" s="9"/>
      <c r="H229" s="10">
        <f t="shared" ref="H229:H236" si="60">IFERROR(-(B229-E229), "NA")</f>
        <v>1544.7</v>
      </c>
      <c r="I229" s="8">
        <f>IFERROR(H229/H444, "NA")</f>
        <v>0.243123157531907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5764.15</v>
      </c>
      <c r="U229" s="8">
        <f>IFERROR(T229/T444, "NA")</f>
        <v>1.5000000650572965E-2</v>
      </c>
      <c r="V229" s="9"/>
      <c r="W229" s="10">
        <f t="shared" ref="W229:W236" si="62">IFERROR(-(Q229-T229), "NA")</f>
        <v>5764.15</v>
      </c>
      <c r="X229" s="8">
        <f>IFERROR(W229/W444, "NA")</f>
        <v>0.35794725942117683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322</v>
      </c>
      <c r="L231" s="8">
        <f>IFERROR(K231/K444, "NA")</f>
        <v>3.4395058220579137E-3</v>
      </c>
      <c r="M231" s="9"/>
      <c r="N231" s="10">
        <f t="shared" si="61"/>
        <v>322</v>
      </c>
      <c r="O231" s="8">
        <f>IFERROR(N231/N444, "NA")</f>
        <v>2.0489495315732312E-2</v>
      </c>
      <c r="P231" s="9"/>
      <c r="Q231" s="7">
        <v>217</v>
      </c>
      <c r="R231" s="8">
        <f>IFERROR(Q231/Q444, "NA")</f>
        <v>5.4198511414156548E-4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-217</v>
      </c>
      <c r="X231" s="8">
        <f>IFERROR(W231/W444, "NA")</f>
        <v>-1.3475456970133562E-2</v>
      </c>
      <c r="Y231" s="9"/>
      <c r="Z231" s="7">
        <v>1039.1300000000001</v>
      </c>
      <c r="AA231" s="8">
        <f>IFERROR(Z231/Z444, "NA")</f>
        <v>2.8856178388737626E-3</v>
      </c>
      <c r="AB231" s="9"/>
      <c r="AC231" s="10">
        <f t="shared" si="63"/>
        <v>822.13000000000011</v>
      </c>
      <c r="AD231" s="8">
        <f>IFERROR(AC231/AC444, "NA")</f>
        <v>2.0413717139919383E-2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1500.85</v>
      </c>
      <c r="C234" s="8">
        <f>IFERROR(B234/B444, "NA")</f>
        <v>1.372726942627907E-2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-1500.85</v>
      </c>
      <c r="I234" s="8">
        <f>IFERROR(H234/H444, "NA")</f>
        <v>-0.2362215258508206</v>
      </c>
      <c r="J234" s="9"/>
      <c r="K234" s="7">
        <v>1187.07</v>
      </c>
      <c r="L234" s="8">
        <f>IFERROR(K234/K444, "NA")</f>
        <v>1.2679919801833191E-2</v>
      </c>
      <c r="M234" s="9"/>
      <c r="N234" s="10">
        <f t="shared" si="61"/>
        <v>-313.77999999999997</v>
      </c>
      <c r="O234" s="8">
        <f>IFERROR(N234/N444, "NA")</f>
        <v>-1.9966440497423864E-2</v>
      </c>
      <c r="P234" s="9"/>
      <c r="Q234" s="7">
        <v>6477.32</v>
      </c>
      <c r="R234" s="8">
        <f>IFERROR(Q234/Q444, "NA")</f>
        <v>1.6177930965582697E-2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-6477.32</v>
      </c>
      <c r="X234" s="8">
        <f>IFERROR(W234/W444, "NA")</f>
        <v>-0.40223431770408075</v>
      </c>
      <c r="Y234" s="9"/>
      <c r="Z234" s="7">
        <v>4182.66</v>
      </c>
      <c r="AA234" s="8">
        <f>IFERROR(Z234/Z444, "NA")</f>
        <v>1.1615060974029938E-2</v>
      </c>
      <c r="AB234" s="9"/>
      <c r="AC234" s="10">
        <f t="shared" si="63"/>
        <v>-2294.66</v>
      </c>
      <c r="AD234" s="8">
        <f>IFERROR(AC234/AC444, "NA")</f>
        <v>-5.6977047635151865E-2</v>
      </c>
    </row>
    <row r="235" spans="1:30" ht="16.5" customHeight="1" x14ac:dyDescent="0.45">
      <c r="A235" s="6" t="s">
        <v>214</v>
      </c>
      <c r="B235" s="7">
        <v>17.88</v>
      </c>
      <c r="C235" s="8">
        <f>IFERROR(B235/B444, "NA")</f>
        <v>1.6353638094537747E-4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-17.88</v>
      </c>
      <c r="I235" s="8">
        <f>IFERROR(H235/H444, "NA")</f>
        <v>-2.8141658941351049E-3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-17.88</v>
      </c>
      <c r="O235" s="8">
        <f>IFERROR(N235/N444, "NA")</f>
        <v>-1.1377396777804152E-3</v>
      </c>
      <c r="P235" s="9"/>
      <c r="Q235" s="7">
        <v>102.81</v>
      </c>
      <c r="R235" s="8">
        <f>IFERROR(Q235/Q444, "NA")</f>
        <v>2.5678105799490487E-4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-102.81</v>
      </c>
      <c r="X235" s="8">
        <f>IFERROR(W235/W444, "NA")</f>
        <v>-6.3843858576010677E-3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-102.81</v>
      </c>
      <c r="AD235" s="8">
        <f>IFERROR(AC235/AC444, "NA")</f>
        <v>-2.5528009671890229E-3</v>
      </c>
    </row>
    <row r="236" spans="1:30" ht="16.5" customHeight="1" x14ac:dyDescent="0.45">
      <c r="A236" s="19" t="s">
        <v>215</v>
      </c>
      <c r="B236" s="14">
        <f>IFERROR(B229+B230+B231+B232+B233+B234+B235, "NA")</f>
        <v>1518.73</v>
      </c>
      <c r="C236" s="15">
        <f>IFERROR(B236/B444, "NA")</f>
        <v>1.3890805807224448E-2</v>
      </c>
      <c r="D236" s="2"/>
      <c r="E236" s="14">
        <f>IFERROR(E229+E230+E231+E232+E233+E234+E235, "NA")</f>
        <v>1544.7</v>
      </c>
      <c r="F236" s="15">
        <f>IFERROR(E236/E444, "NA")</f>
        <v>1.500001456594928E-2</v>
      </c>
      <c r="G236" s="2"/>
      <c r="H236" s="14">
        <f t="shared" si="60"/>
        <v>25.970000000000027</v>
      </c>
      <c r="I236" s="15">
        <f>IFERROR(H236/H444, "NA")</f>
        <v>4.0874657869512726E-3</v>
      </c>
      <c r="J236" s="2"/>
      <c r="K236" s="14">
        <f>IFERROR(K229+K230+K231+K232+K233+K234+K235, "NA")</f>
        <v>1509.07</v>
      </c>
      <c r="L236" s="15">
        <f>IFERROR(K236/K444, "NA")</f>
        <v>1.6119425623891105E-2</v>
      </c>
      <c r="M236" s="2"/>
      <c r="N236" s="14">
        <f t="shared" si="61"/>
        <v>-9.6600000000000819</v>
      </c>
      <c r="O236" s="15">
        <f>IFERROR(N236/N444, "NA")</f>
        <v>-6.146848594719746E-4</v>
      </c>
      <c r="P236" s="2"/>
      <c r="Q236" s="14">
        <f>IFERROR(Q229+Q230+Q231+Q232+Q233+Q234+Q235, "NA")</f>
        <v>6797.13</v>
      </c>
      <c r="R236" s="15">
        <f>IFERROR(Q236/Q444, "NA")</f>
        <v>1.6976697137719168E-2</v>
      </c>
      <c r="S236" s="2"/>
      <c r="T236" s="14">
        <f>IFERROR(T229+T230+T231+T232+T233+T234+T235, "NA")</f>
        <v>5764.15</v>
      </c>
      <c r="U236" s="15">
        <f>IFERROR(T236/T444, "NA")</f>
        <v>1.5000000650572965E-2</v>
      </c>
      <c r="V236" s="2"/>
      <c r="W236" s="14">
        <f t="shared" si="62"/>
        <v>-1032.9800000000005</v>
      </c>
      <c r="X236" s="15">
        <f>IFERROR(W236/W444, "NA")</f>
        <v>-6.4146901110638588E-2</v>
      </c>
      <c r="Y236" s="2"/>
      <c r="Z236" s="14">
        <f>IFERROR(Z229+Z230+Z231+Z232+Z233+Z234+Z235, "NA")</f>
        <v>5221.79</v>
      </c>
      <c r="AA236" s="15">
        <f>IFERROR(Z236/Z444, "NA")</f>
        <v>1.45006788129037E-2</v>
      </c>
      <c r="AB236" s="2"/>
      <c r="AC236" s="14">
        <f t="shared" si="63"/>
        <v>-1575.3400000000001</v>
      </c>
      <c r="AD236" s="15">
        <f>IFERROR(AC236/AC444, "NA")</f>
        <v>-3.9116131462421509E-2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6693.69</v>
      </c>
      <c r="F240" s="8">
        <f>IFERROR(E240/E444, "NA")</f>
        <v>6.4999966012785015E-2</v>
      </c>
      <c r="G240" s="9"/>
      <c r="H240" s="10">
        <f t="shared" ref="H240:H263" si="64">IFERROR(-(B240-E240), "NA")</f>
        <v>6693.69</v>
      </c>
      <c r="I240" s="8">
        <f>IFERROR(H240/H444, "NA")</f>
        <v>1.0535321087199783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24977.98</v>
      </c>
      <c r="U240" s="8">
        <f>IFERROR(T240/T444, "NA")</f>
        <v>6.4999994144843296E-2</v>
      </c>
      <c r="V240" s="9"/>
      <c r="W240" s="10">
        <f t="shared" ref="W240:W263" si="66">IFERROR(-(Q240-T240), "NA")</f>
        <v>24977.98</v>
      </c>
      <c r="X240" s="8">
        <f>IFERROR(W240/W444, "NA")</f>
        <v>1.5511045838288329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1890.29</v>
      </c>
      <c r="C242" s="8">
        <f>IFERROR(B242/B444, "NA")</f>
        <v>1.7289216193357805E-2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-1890.29</v>
      </c>
      <c r="I242" s="8">
        <f>IFERROR(H242/H444, "NA")</f>
        <v>-0.2975161995539512</v>
      </c>
      <c r="J242" s="9"/>
      <c r="K242" s="7">
        <v>1440.99</v>
      </c>
      <c r="L242" s="8">
        <f>IFERROR(K242/K444, "NA")</f>
        <v>1.5392215821513146E-2</v>
      </c>
      <c r="M242" s="9"/>
      <c r="N242" s="10">
        <f t="shared" si="65"/>
        <v>-449.29999999999995</v>
      </c>
      <c r="O242" s="8">
        <f>IFERROR(N242/N444, "NA")</f>
        <v>-2.8589845482479895E-2</v>
      </c>
      <c r="P242" s="9"/>
      <c r="Q242" s="7">
        <v>7454.82</v>
      </c>
      <c r="R242" s="8">
        <f>IFERROR(Q242/Q444, "NA")</f>
        <v>1.8619361606473848E-2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-7454.82</v>
      </c>
      <c r="X242" s="8">
        <f>IFERROR(W242/W444, "NA")</f>
        <v>-0.46293597294972849</v>
      </c>
      <c r="Y242" s="9"/>
      <c r="Z242" s="7">
        <v>5515.71</v>
      </c>
      <c r="AA242" s="8">
        <f>IFERROR(Z242/Z444, "NA")</f>
        <v>1.5316881593308247E-2</v>
      </c>
      <c r="AB242" s="9"/>
      <c r="AC242" s="10">
        <f t="shared" si="67"/>
        <v>-1939.1099999999997</v>
      </c>
      <c r="AD242" s="8">
        <f>IFERROR(AC242/AC444, "NA")</f>
        <v>-4.8148641994805029E-2</v>
      </c>
    </row>
    <row r="243" spans="1:30" ht="16.5" customHeight="1" x14ac:dyDescent="0.45">
      <c r="A243" s="12" t="s">
        <v>220</v>
      </c>
      <c r="B243" s="7">
        <v>2370.0700000000002</v>
      </c>
      <c r="C243" s="8">
        <f>IFERROR(B243/B444, "NA")</f>
        <v>2.1677442415392104E-2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-2370.0700000000002</v>
      </c>
      <c r="I243" s="8">
        <f>IFERROR(H243/H444, "NA")</f>
        <v>-0.37302965104657659</v>
      </c>
      <c r="J243" s="9"/>
      <c r="K243" s="7">
        <v>1402.77</v>
      </c>
      <c r="L243" s="8">
        <f>IFERROR(K243/K444, "NA")</f>
        <v>1.4983961434808011E-2</v>
      </c>
      <c r="M243" s="9"/>
      <c r="N243" s="10">
        <f t="shared" si="65"/>
        <v>-967.30000000000018</v>
      </c>
      <c r="O243" s="8">
        <f>IFERROR(N243/N444, "NA")</f>
        <v>-6.155120751213624E-2</v>
      </c>
      <c r="P243" s="9"/>
      <c r="Q243" s="7">
        <v>9106.42</v>
      </c>
      <c r="R243" s="8">
        <f>IFERROR(Q243/Q444, "NA")</f>
        <v>2.2744442779359608E-2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-9106.42</v>
      </c>
      <c r="X243" s="8">
        <f>IFERROR(W243/W444, "NA")</f>
        <v>-0.56549848323485563</v>
      </c>
      <c r="Y243" s="9"/>
      <c r="Z243" s="7">
        <v>5246.49</v>
      </c>
      <c r="AA243" s="8">
        <f>IFERROR(Z243/Z444, "NA")</f>
        <v>1.4569269615421366E-2</v>
      </c>
      <c r="AB243" s="9"/>
      <c r="AC243" s="10">
        <f t="shared" si="67"/>
        <v>-3859.9300000000003</v>
      </c>
      <c r="AD243" s="8">
        <f>IFERROR(AC243/AC444, "NA")</f>
        <v>-9.5843138189688995E-2</v>
      </c>
    </row>
    <row r="244" spans="1:30" ht="16.5" customHeight="1" x14ac:dyDescent="0.45">
      <c r="A244" s="12" t="s">
        <v>221</v>
      </c>
      <c r="B244" s="7">
        <v>622.11</v>
      </c>
      <c r="C244" s="8">
        <f>IFERROR(B244/B444, "NA")</f>
        <v>5.6900233752756593E-3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-622.11</v>
      </c>
      <c r="I244" s="8">
        <f>IFERROR(H244/H444, "NA")</f>
        <v>-9.791503044744912E-2</v>
      </c>
      <c r="J244" s="9"/>
      <c r="K244" s="7">
        <v>567.6</v>
      </c>
      <c r="L244" s="8">
        <f>IFERROR(K244/K444, "NA")</f>
        <v>6.06293013850954E-3</v>
      </c>
      <c r="M244" s="9"/>
      <c r="N244" s="10">
        <f t="shared" si="65"/>
        <v>-54.509999999999991</v>
      </c>
      <c r="O244" s="8">
        <f>IFERROR(N244/N444, "NA")</f>
        <v>-3.4685788498775407E-3</v>
      </c>
      <c r="P244" s="9"/>
      <c r="Q244" s="7">
        <v>2855.28</v>
      </c>
      <c r="R244" s="8">
        <f>IFERROR(Q244/Q444, "NA")</f>
        <v>7.1314251461111946E-3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-2855.28</v>
      </c>
      <c r="X244" s="8">
        <f>IFERROR(W244/W444, "NA")</f>
        <v>-0.17730969021973716</v>
      </c>
      <c r="Y244" s="9"/>
      <c r="Z244" s="7">
        <v>1864.43</v>
      </c>
      <c r="AA244" s="8">
        <f>IFERROR(Z244/Z444, "NA")</f>
        <v>5.1774392687454008E-3</v>
      </c>
      <c r="AB244" s="9"/>
      <c r="AC244" s="10">
        <f t="shared" si="67"/>
        <v>-990.85000000000014</v>
      </c>
      <c r="AD244" s="8">
        <f>IFERROR(AC244/AC444, "NA")</f>
        <v>-2.4603081785227542E-2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220.48</v>
      </c>
      <c r="C246" s="8">
        <f>IFERROR(B246/B444, "NA")</f>
        <v>2.0165828451251021E-3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-220.48</v>
      </c>
      <c r="I246" s="8">
        <f>IFERROR(H246/H444, "NA")</f>
        <v>-3.4701750354525052E-2</v>
      </c>
      <c r="J246" s="9"/>
      <c r="K246" s="7">
        <v>390.97</v>
      </c>
      <c r="L246" s="8">
        <f>IFERROR(K246/K444, "NA")</f>
        <v>4.1762223330744806E-3</v>
      </c>
      <c r="M246" s="9"/>
      <c r="N246" s="10">
        <f t="shared" si="65"/>
        <v>170.49000000000004</v>
      </c>
      <c r="O246" s="8">
        <f>IFERROR(N246/N444, "NA")</f>
        <v>1.084861508192299E-2</v>
      </c>
      <c r="P246" s="9"/>
      <c r="Q246" s="7">
        <v>739.46</v>
      </c>
      <c r="R246" s="8">
        <f>IFERROR(Q246/Q444, "NA")</f>
        <v>1.846895449323143E-3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-739.46</v>
      </c>
      <c r="X246" s="8">
        <f>IFERROR(W246/W444, "NA")</f>
        <v>-4.5919637839331638E-2</v>
      </c>
      <c r="Y246" s="9"/>
      <c r="Z246" s="7">
        <v>1610.03</v>
      </c>
      <c r="AA246" s="8">
        <f>IFERROR(Z246/Z444, "NA")</f>
        <v>4.4709817723691198E-3</v>
      </c>
      <c r="AB246" s="9"/>
      <c r="AC246" s="10">
        <f t="shared" si="67"/>
        <v>870.56999999999994</v>
      </c>
      <c r="AD246" s="8">
        <f>IFERROR(AC246/AC444, "NA")</f>
        <v>2.1616495846763423E-2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252.39</v>
      </c>
      <c r="C248" s="8">
        <f>IFERROR(B248/B444, "NA")</f>
        <v>2.3084422363984238E-3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-252.39</v>
      </c>
      <c r="I248" s="8">
        <f>IFERROR(H248/H444, "NA")</f>
        <v>-3.9724123602950738E-2</v>
      </c>
      <c r="J248" s="9"/>
      <c r="K248" s="7">
        <v>263.13</v>
      </c>
      <c r="L248" s="8">
        <f>IFERROR(K248/K444, "NA")</f>
        <v>2.8106744315468907E-3</v>
      </c>
      <c r="M248" s="9"/>
      <c r="N248" s="10">
        <f t="shared" si="65"/>
        <v>10.740000000000009</v>
      </c>
      <c r="O248" s="8">
        <f>IFERROR(N248/N444, "NA")</f>
        <v>6.8340739034461245E-4</v>
      </c>
      <c r="P248" s="9"/>
      <c r="Q248" s="7">
        <v>1005.91</v>
      </c>
      <c r="R248" s="8">
        <f>IFERROR(Q248/Q444, "NA")</f>
        <v>2.5123882311803786E-3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-1005.91</v>
      </c>
      <c r="X248" s="8">
        <f>IFERROR(W248/W444, "NA")</f>
        <v>-6.2465884427774433E-2</v>
      </c>
      <c r="Y248" s="9"/>
      <c r="Z248" s="7">
        <v>1059.6099999999999</v>
      </c>
      <c r="AA248" s="8">
        <f>IFERROR(Z248/Z444, "NA")</f>
        <v>2.9424898888965067E-3</v>
      </c>
      <c r="AB248" s="9"/>
      <c r="AC248" s="10">
        <f t="shared" si="67"/>
        <v>53.699999999999932</v>
      </c>
      <c r="AD248" s="8">
        <f>IFERROR(AC248/AC444, "NA")</f>
        <v>1.333385973524466E-3</v>
      </c>
    </row>
    <row r="249" spans="1:30" ht="16.5" customHeight="1" x14ac:dyDescent="0.45">
      <c r="A249" s="12" t="s">
        <v>226</v>
      </c>
      <c r="B249" s="7">
        <v>2651.96</v>
      </c>
      <c r="C249" s="8">
        <f>IFERROR(B249/B444, "NA")</f>
        <v>2.4255701387690339E-2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-2651.96</v>
      </c>
      <c r="I249" s="8">
        <f>IFERROR(H249/H444, "NA")</f>
        <v>-0.41739683359119317</v>
      </c>
      <c r="J249" s="9"/>
      <c r="K249" s="7">
        <v>1725.76</v>
      </c>
      <c r="L249" s="8">
        <f>IFERROR(K249/K444, "NA")</f>
        <v>1.8434042135014487E-2</v>
      </c>
      <c r="M249" s="9"/>
      <c r="N249" s="10">
        <f t="shared" si="65"/>
        <v>-926.2</v>
      </c>
      <c r="O249" s="8">
        <f>IFERROR(N249/N444, "NA")</f>
        <v>-5.8935933420594E-2</v>
      </c>
      <c r="P249" s="9"/>
      <c r="Q249" s="7">
        <v>9531.26</v>
      </c>
      <c r="R249" s="8">
        <f>IFERROR(Q249/Q444, "NA")</f>
        <v>2.3805534741995104E-2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-9531.26</v>
      </c>
      <c r="X249" s="8">
        <f>IFERROR(W249/W444, "NA")</f>
        <v>-0.59188057143389505</v>
      </c>
      <c r="Y249" s="9"/>
      <c r="Z249" s="7">
        <v>8341.52</v>
      </c>
      <c r="AA249" s="8">
        <f>IFERROR(Z249/Z444, "NA")</f>
        <v>2.3164030405552979E-2</v>
      </c>
      <c r="AB249" s="9"/>
      <c r="AC249" s="10">
        <f t="shared" si="67"/>
        <v>-1189.7399999999998</v>
      </c>
      <c r="AD249" s="8">
        <f>IFERROR(AC249/AC444, "NA")</f>
        <v>-2.9541575943035379E-2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customHeight="1" x14ac:dyDescent="0.45">
      <c r="A251" s="12" t="s">
        <v>228</v>
      </c>
      <c r="B251" s="7">
        <v>16.14</v>
      </c>
      <c r="C251" s="8">
        <f>IFERROR(B251/B444, "NA")</f>
        <v>1.4762176669230384E-4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-16.14</v>
      </c>
      <c r="I251" s="8">
        <f>IFERROR(H251/H444, "NA")</f>
        <v>-2.5403041124910852E-3</v>
      </c>
      <c r="J251" s="9"/>
      <c r="K251" s="7">
        <v>99.08</v>
      </c>
      <c r="L251" s="8">
        <f>IFERROR(K251/K444, "NA")</f>
        <v>1.0583423504642799E-3</v>
      </c>
      <c r="M251" s="9"/>
      <c r="N251" s="10">
        <f t="shared" si="65"/>
        <v>82.94</v>
      </c>
      <c r="O251" s="8">
        <f>IFERROR(N251/N444, "NA")</f>
        <v>5.2776358431268254E-3</v>
      </c>
      <c r="P251" s="9"/>
      <c r="Q251" s="7">
        <v>97.17</v>
      </c>
      <c r="R251" s="8">
        <f>IFERROR(Q251/Q444, "NA")</f>
        <v>2.4269444028173235E-4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-97.17</v>
      </c>
      <c r="X251" s="8">
        <f>IFERROR(W251/W444, "NA")</f>
        <v>-6.0341481741376882E-3</v>
      </c>
      <c r="Y251" s="9"/>
      <c r="Z251" s="7">
        <v>236.54</v>
      </c>
      <c r="AA251" s="8">
        <f>IFERROR(Z251/Z444, "NA")</f>
        <v>6.5686106994043063E-4</v>
      </c>
      <c r="AB251" s="9"/>
      <c r="AC251" s="10">
        <f t="shared" si="67"/>
        <v>139.37</v>
      </c>
      <c r="AD251" s="8">
        <f>IFERROR(AC251/AC444, "NA")</f>
        <v>3.4605959614544706E-3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1527.6</v>
      </c>
      <c r="C258" s="8">
        <f>IFERROR(B258/B444, "NA")</f>
        <v>1.3971933754595002E-2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-1527.6</v>
      </c>
      <c r="I258" s="8">
        <f>IFERROR(H258/H444, "NA")</f>
        <v>-0.24043175726402607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-1527.6</v>
      </c>
      <c r="O258" s="8">
        <f>IFERROR(N258/N444, "NA")</f>
        <v>-9.7204202000971046E-2</v>
      </c>
      <c r="P258" s="9"/>
      <c r="Q258" s="7">
        <v>2612.2199999999998</v>
      </c>
      <c r="R258" s="8">
        <f>IFERROR(Q258/Q444, "NA")</f>
        <v>6.5243518657275585E-3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-2612.2199999999998</v>
      </c>
      <c r="X258" s="8">
        <f>IFERROR(W258/W444, "NA")</f>
        <v>-0.1622159364355866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-2612.2199999999998</v>
      </c>
      <c r="AD258" s="8">
        <f>IFERROR(AC258/AC444, "NA")</f>
        <v>-6.4862150982496924E-2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9551.0400000000009</v>
      </c>
      <c r="C262" s="15">
        <f>IFERROR(B262/B444, "NA")</f>
        <v>8.7356963974526747E-2</v>
      </c>
      <c r="D262" s="2"/>
      <c r="E262" s="14">
        <f>IFERROR(E240+E241+E242+E243+E244+E245+E246+E247+E248+E249+E250+E251+E252+E253+E254+E255+E256+E257+E258+E259+E260+E261, "NA")</f>
        <v>6693.69</v>
      </c>
      <c r="F262" s="15">
        <f>IFERROR(E262/E444, "NA")</f>
        <v>6.4999966012785015E-2</v>
      </c>
      <c r="G262" s="2"/>
      <c r="H262" s="14">
        <f t="shared" si="64"/>
        <v>-2857.3500000000013</v>
      </c>
      <c r="I262" s="15">
        <f>IFERROR(H262/H444, "NA")</f>
        <v>-0.44972354125318492</v>
      </c>
      <c r="J262" s="2"/>
      <c r="K262" s="14">
        <f>IFERROR(K240+K241+K242+K243+K244+K245+K246+K247+K248+K249+K250+K251+K252+K253+K254+K255+K256+K257+K258+K259+K260+K261, "NA")</f>
        <v>5890.3</v>
      </c>
      <c r="L262" s="15">
        <f>IFERROR(K262/K444, "NA")</f>
        <v>6.2918388644930837E-2</v>
      </c>
      <c r="M262" s="2"/>
      <c r="N262" s="14">
        <f t="shared" si="65"/>
        <v>-3660.7400000000007</v>
      </c>
      <c r="O262" s="15">
        <f>IFERROR(N262/N444, "NA")</f>
        <v>-0.23294010895066433</v>
      </c>
      <c r="P262" s="2"/>
      <c r="Q262" s="14">
        <f>IFERROR(Q240+Q241+Q242+Q243+Q244+Q245+Q246+Q247+Q248+Q249+Q250+Q251+Q252+Q253+Q254+Q255+Q256+Q257+Q258+Q259+Q260+Q261, "NA")</f>
        <v>33402.539999999994</v>
      </c>
      <c r="R262" s="15">
        <f>IFERROR(Q262/Q444, "NA")</f>
        <v>8.3427094260452556E-2</v>
      </c>
      <c r="S262" s="2"/>
      <c r="T262" s="14">
        <f>IFERROR(T240+T241+T242+T243+T244+T245+T246+T247+T248+T249+T250+T251+T252+T253+T254+T255+T256+T257+T258+T259+T260+T261, "NA")</f>
        <v>24977.98</v>
      </c>
      <c r="U262" s="15">
        <f>IFERROR(T262/T444, "NA")</f>
        <v>6.4999994144843296E-2</v>
      </c>
      <c r="V262" s="2"/>
      <c r="W262" s="14">
        <f t="shared" si="66"/>
        <v>-8424.559999999994</v>
      </c>
      <c r="X262" s="15">
        <f>IFERROR(W262/W444, "NA")</f>
        <v>-0.52315574088621353</v>
      </c>
      <c r="Y262" s="2"/>
      <c r="Z262" s="14">
        <f>IFERROR(Z240+Z241+Z242+Z243+Z244+Z245+Z246+Z247+Z248+Z249+Z250+Z251+Z252+Z253+Z254+Z255+Z256+Z257+Z258+Z259+Z260+Z261, "NA")</f>
        <v>23874.33</v>
      </c>
      <c r="AA262" s="15">
        <f>IFERROR(Z262/Z444, "NA")</f>
        <v>6.6297953614234059E-2</v>
      </c>
      <c r="AB262" s="2"/>
      <c r="AC262" s="14">
        <f t="shared" si="67"/>
        <v>-9528.2099999999919</v>
      </c>
      <c r="AD262" s="15">
        <f>IFERROR(AC262/AC444, "NA")</f>
        <v>-0.23658811111351133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9551.0400000000009</v>
      </c>
      <c r="C263" s="15">
        <f>IFERROR(B263/B444, "NA")</f>
        <v>8.7356963974526747E-2</v>
      </c>
      <c r="D263" s="2"/>
      <c r="E263" s="14">
        <f>IFERROR(E238+E240+E241+E242+E243+E244+E245+E246+E247+E248+E249+E250+E251+E252+E253+E254+E255+E256+E257+E258+E259+E260+E261, "NA")</f>
        <v>6693.69</v>
      </c>
      <c r="F263" s="15">
        <f>IFERROR(E263/E444, "NA")</f>
        <v>6.4999966012785015E-2</v>
      </c>
      <c r="G263" s="2"/>
      <c r="H263" s="14">
        <f t="shared" si="64"/>
        <v>-2857.3500000000013</v>
      </c>
      <c r="I263" s="15">
        <f>IFERROR(H263/H444, "NA")</f>
        <v>-0.44972354125318492</v>
      </c>
      <c r="J263" s="2"/>
      <c r="K263" s="14">
        <f>IFERROR(K238+K240+K241+K242+K243+K244+K245+K246+K247+K248+K249+K250+K251+K252+K253+K254+K255+K256+K257+K258+K259+K260+K261, "NA")</f>
        <v>5890.3</v>
      </c>
      <c r="L263" s="15">
        <f>IFERROR(K263/K444, "NA")</f>
        <v>6.2918388644930837E-2</v>
      </c>
      <c r="M263" s="2"/>
      <c r="N263" s="14">
        <f t="shared" si="65"/>
        <v>-3660.7400000000007</v>
      </c>
      <c r="O263" s="15">
        <f>IFERROR(N263/N444, "NA")</f>
        <v>-0.23294010895066433</v>
      </c>
      <c r="P263" s="2"/>
      <c r="Q263" s="14">
        <f>IFERROR(Q238+Q240+Q241+Q242+Q243+Q244+Q245+Q246+Q247+Q248+Q249+Q250+Q251+Q252+Q253+Q254+Q255+Q256+Q257+Q258+Q259+Q260+Q261, "NA")</f>
        <v>33402.539999999994</v>
      </c>
      <c r="R263" s="15">
        <f>IFERROR(Q263/Q444, "NA")</f>
        <v>8.3427094260452556E-2</v>
      </c>
      <c r="S263" s="2"/>
      <c r="T263" s="14">
        <f>IFERROR(T238+T240+T241+T242+T243+T244+T245+T246+T247+T248+T249+T250+T251+T252+T253+T254+T255+T256+T257+T258+T259+T260+T261, "NA")</f>
        <v>24977.98</v>
      </c>
      <c r="U263" s="15">
        <f>IFERROR(T263/T444, "NA")</f>
        <v>6.4999994144843296E-2</v>
      </c>
      <c r="V263" s="2"/>
      <c r="W263" s="14">
        <f t="shared" si="66"/>
        <v>-8424.559999999994</v>
      </c>
      <c r="X263" s="15">
        <f>IFERROR(W263/W444, "NA")</f>
        <v>-0.52315574088621353</v>
      </c>
      <c r="Y263" s="2"/>
      <c r="Z263" s="14">
        <f>IFERROR(Z238+Z240+Z241+Z242+Z243+Z244+Z245+Z246+Z247+Z248+Z249+Z250+Z251+Z252+Z253+Z254+Z255+Z256+Z257+Z258+Z259+Z260+Z261, "NA")</f>
        <v>23874.33</v>
      </c>
      <c r="AA263" s="15">
        <f>IFERROR(Z263/Z444, "NA")</f>
        <v>6.6297953614234059E-2</v>
      </c>
      <c r="AB263" s="2"/>
      <c r="AC263" s="14">
        <f t="shared" si="67"/>
        <v>-9528.2099999999919</v>
      </c>
      <c r="AD263" s="15">
        <f>IFERROR(AC263/AC444, "NA")</f>
        <v>-0.23658811111351133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2802.81</v>
      </c>
      <c r="C265" s="8">
        <f>IFERROR(B265/B444, "NA")</f>
        <v>2.5635425272791577E-2</v>
      </c>
      <c r="D265" s="9"/>
      <c r="E265" s="7">
        <v>2471.52</v>
      </c>
      <c r="F265" s="8">
        <f>IFERROR(E265/E444, "NA")</f>
        <v>2.4000023305518845E-2</v>
      </c>
      <c r="G265" s="9"/>
      <c r="H265" s="10">
        <f>IFERROR(-(B265-E265), "NA")</f>
        <v>-331.28999999999996</v>
      </c>
      <c r="I265" s="8">
        <f>IFERROR(H265/H444, "NA")</f>
        <v>-5.2142338874050273E-2</v>
      </c>
      <c r="J265" s="9"/>
      <c r="K265" s="7">
        <v>2349.67</v>
      </c>
      <c r="L265" s="8">
        <f>IFERROR(K265/K444, "NA")</f>
        <v>2.5098458524580182E-2</v>
      </c>
      <c r="M265" s="9"/>
      <c r="N265" s="10">
        <f>IFERROR(-(B265-K265), "NA")</f>
        <v>-453.13999999999987</v>
      </c>
      <c r="O265" s="8">
        <f>IFERROR(N265/N444, "NA")</f>
        <v>-2.8834192258915953E-2</v>
      </c>
      <c r="P265" s="9"/>
      <c r="Q265" s="7">
        <v>10232.4</v>
      </c>
      <c r="R265" s="8">
        <f>IFERROR(Q265/Q444, "NA")</f>
        <v>2.5556721114940804E-2</v>
      </c>
      <c r="S265" s="9"/>
      <c r="T265" s="7">
        <v>9222.64</v>
      </c>
      <c r="U265" s="8">
        <f>IFERROR(T265/T444, "NA")</f>
        <v>2.4000001040916742E-2</v>
      </c>
      <c r="V265" s="9"/>
      <c r="W265" s="10">
        <f>IFERROR(-(Q265-T265), "NA")</f>
        <v>-1009.7600000000002</v>
      </c>
      <c r="X265" s="8">
        <f>IFERROR(W265/W444, "NA")</f>
        <v>-6.2704965115954234E-2</v>
      </c>
      <c r="Y265" s="9"/>
      <c r="Z265" s="7">
        <v>8327.01</v>
      </c>
      <c r="AA265" s="8">
        <f>IFERROR(Z265/Z444, "NA")</f>
        <v>2.3123736780268307E-2</v>
      </c>
      <c r="AB265" s="9"/>
      <c r="AC265" s="10">
        <f>IFERROR(-(Q265-Z265), "NA")</f>
        <v>-1905.3899999999994</v>
      </c>
      <c r="AD265" s="8">
        <f>IFERROR(AC265/AC444, "NA")</f>
        <v>-4.7311364992435469E-2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-17.96</v>
      </c>
      <c r="R266" s="8">
        <f>IFERROR(Q266/Q444, "NA")</f>
        <v>-4.4857385483790404E-5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17.96</v>
      </c>
      <c r="X266" s="8">
        <f>IFERROR(W266/W444, "NA")</f>
        <v>1.1152958856387042E-3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17.96</v>
      </c>
      <c r="AD266" s="8">
        <f>IFERROR(AC266/AC444, "NA")</f>
        <v>4.4595180790501756E-4</v>
      </c>
    </row>
    <row r="267" spans="1:30" ht="16.5" customHeight="1" x14ac:dyDescent="0.45">
      <c r="A267" s="19" t="s">
        <v>243</v>
      </c>
      <c r="B267" s="14">
        <f>IFERROR(B265+B266, "NA")</f>
        <v>2802.81</v>
      </c>
      <c r="C267" s="15">
        <f>IFERROR(B267/B444, "NA")</f>
        <v>2.5635425272791577E-2</v>
      </c>
      <c r="D267" s="2"/>
      <c r="E267" s="14">
        <f>IFERROR(E265+E266, "NA")</f>
        <v>2471.52</v>
      </c>
      <c r="F267" s="15">
        <f>IFERROR(E267/E444, "NA")</f>
        <v>2.4000023305518845E-2</v>
      </c>
      <c r="G267" s="2"/>
      <c r="H267" s="14">
        <f>IFERROR(-(B267-E267), "NA")</f>
        <v>-331.28999999999996</v>
      </c>
      <c r="I267" s="15">
        <f>IFERROR(H267/H444, "NA")</f>
        <v>-5.2142338874050273E-2</v>
      </c>
      <c r="J267" s="2"/>
      <c r="K267" s="14">
        <f>IFERROR(K265+K266, "NA")</f>
        <v>2349.67</v>
      </c>
      <c r="L267" s="15">
        <f>IFERROR(K267/K444, "NA")</f>
        <v>2.5098458524580182E-2</v>
      </c>
      <c r="M267" s="2"/>
      <c r="N267" s="14">
        <f>IFERROR(-(B267-K267), "NA")</f>
        <v>-453.13999999999987</v>
      </c>
      <c r="O267" s="15">
        <f>IFERROR(N267/N444, "NA")</f>
        <v>-2.8834192258915953E-2</v>
      </c>
      <c r="P267" s="2"/>
      <c r="Q267" s="14">
        <f>IFERROR(Q265+Q266, "NA")</f>
        <v>10214.44</v>
      </c>
      <c r="R267" s="15">
        <f>IFERROR(Q267/Q444, "NA")</f>
        <v>2.5511863729457018E-2</v>
      </c>
      <c r="S267" s="2"/>
      <c r="T267" s="14">
        <f>IFERROR(T265+T266, "NA")</f>
        <v>9222.64</v>
      </c>
      <c r="U267" s="15">
        <f>IFERROR(T267/T444, "NA")</f>
        <v>2.4000001040916742E-2</v>
      </c>
      <c r="V267" s="2"/>
      <c r="W267" s="14">
        <f>IFERROR(-(Q267-T267), "NA")</f>
        <v>-991.80000000000109</v>
      </c>
      <c r="X267" s="15">
        <f>IFERROR(W267/W444, "NA")</f>
        <v>-6.1589669230315586E-2</v>
      </c>
      <c r="Y267" s="2"/>
      <c r="Z267" s="14">
        <f>IFERROR(Z265+Z266, "NA")</f>
        <v>8327.01</v>
      </c>
      <c r="AA267" s="15">
        <f>IFERROR(Z267/Z444, "NA")</f>
        <v>2.3123736780268307E-2</v>
      </c>
      <c r="AB267" s="2"/>
      <c r="AC267" s="14">
        <f>IFERROR(-(Q267-Z267), "NA")</f>
        <v>-1887.4300000000003</v>
      </c>
      <c r="AD267" s="15">
        <f>IFERROR(AC267/AC444, "NA")</f>
        <v>-4.6865413184530476E-2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307.92</v>
      </c>
      <c r="C270" s="8">
        <f>IFERROR(B270/B444, "NA")</f>
        <v>2.8163379429922055E-3</v>
      </c>
      <c r="D270" s="9"/>
      <c r="E270" s="7">
        <v>354.13</v>
      </c>
      <c r="F270" s="8">
        <f>IFERROR(E270/E444, "NA")</f>
        <v>3.4388264117560809E-3</v>
      </c>
      <c r="G270" s="9"/>
      <c r="H270" s="10">
        <f>IFERROR(-(B270-E270), "NA")</f>
        <v>46.20999999999998</v>
      </c>
      <c r="I270" s="8">
        <f>IFERROR(H270/H444, "NA")</f>
        <v>7.2730763964196391E-3</v>
      </c>
      <c r="J270" s="9"/>
      <c r="K270" s="7">
        <v>429.37</v>
      </c>
      <c r="L270" s="8">
        <f>IFERROR(K270/K444, "NA")</f>
        <v>4.5863994248975352E-3</v>
      </c>
      <c r="M270" s="9"/>
      <c r="N270" s="10">
        <f>IFERROR(-(B270-K270), "NA")</f>
        <v>121.44999999999999</v>
      </c>
      <c r="O270" s="8">
        <f>IFERROR(N270/N444, "NA")</f>
        <v>7.7281031245207731E-3</v>
      </c>
      <c r="P270" s="9"/>
      <c r="Q270" s="7">
        <v>1231.68</v>
      </c>
      <c r="R270" s="8">
        <f>IFERROR(Q270/Q444, "NA")</f>
        <v>3.0762775363404769E-3</v>
      </c>
      <c r="S270" s="9"/>
      <c r="T270" s="7">
        <v>1416.52</v>
      </c>
      <c r="U270" s="8">
        <f>IFERROR(T270/T444, "NA")</f>
        <v>3.6861984718561482E-3</v>
      </c>
      <c r="V270" s="9"/>
      <c r="W270" s="10">
        <f>IFERROR(-(Q270-T270), "NA")</f>
        <v>184.83999999999992</v>
      </c>
      <c r="X270" s="8">
        <f>IFERROR(W270/W444, "NA")</f>
        <v>1.1478356987831735E-2</v>
      </c>
      <c r="Y270" s="9"/>
      <c r="Z270" s="7">
        <v>1543.24</v>
      </c>
      <c r="AA270" s="8">
        <f>IFERROR(Z270/Z444, "NA")</f>
        <v>4.2855089100146708E-3</v>
      </c>
      <c r="AB270" s="9"/>
      <c r="AC270" s="10">
        <f>IFERROR(-(Q270-Z270), "NA")</f>
        <v>311.55999999999995</v>
      </c>
      <c r="AD270" s="8">
        <f>IFERROR(AC270/AC444, "NA")</f>
        <v>7.7361216743255697E-3</v>
      </c>
    </row>
    <row r="271" spans="1:30" ht="16.5" customHeight="1" x14ac:dyDescent="0.45">
      <c r="A271" s="6" t="s">
        <v>246</v>
      </c>
      <c r="B271" s="7">
        <v>793.91</v>
      </c>
      <c r="C271" s="8">
        <f>IFERROR(B271/B444, "NA")</f>
        <v>7.2613628745159184E-3</v>
      </c>
      <c r="D271" s="9"/>
      <c r="E271" s="7">
        <v>905.41</v>
      </c>
      <c r="F271" s="8">
        <f>IFERROR(E271/E444, "NA")</f>
        <v>8.7921040902156633E-3</v>
      </c>
      <c r="G271" s="9"/>
      <c r="H271" s="10">
        <f>IFERROR(-(B271-E271), "NA")</f>
        <v>111.5</v>
      </c>
      <c r="I271" s="8">
        <f>IFERROR(H271/H444, "NA")</f>
        <v>1.7549188881211646E-2</v>
      </c>
      <c r="J271" s="9"/>
      <c r="K271" s="7">
        <v>952.74</v>
      </c>
      <c r="L271" s="8">
        <f>IFERROR(K271/K444, "NA")</f>
        <v>1.0176878189153592E-2</v>
      </c>
      <c r="M271" s="9"/>
      <c r="N271" s="10">
        <f>IFERROR(-(B271-K271), "NA")</f>
        <v>158.83000000000004</v>
      </c>
      <c r="O271" s="8">
        <f>IFERROR(N271/N444, "NA")</f>
        <v>1.010666627639057E-2</v>
      </c>
      <c r="P271" s="9"/>
      <c r="Q271" s="7">
        <v>3179.64</v>
      </c>
      <c r="R271" s="8">
        <f>IFERROR(Q271/Q444, "NA")</f>
        <v>7.9415555222538577E-3</v>
      </c>
      <c r="S271" s="9"/>
      <c r="T271" s="7">
        <v>3621.64</v>
      </c>
      <c r="U271" s="8">
        <f>IFERROR(T271/T444, "NA")</f>
        <v>9.424564308031725E-3</v>
      </c>
      <c r="V271" s="9"/>
      <c r="W271" s="10">
        <f>IFERROR(-(Q271-T271), "NA")</f>
        <v>442</v>
      </c>
      <c r="X271" s="8">
        <f>IFERROR(W271/W444, "NA")</f>
        <v>2.7447704980640714E-2</v>
      </c>
      <c r="Y271" s="9"/>
      <c r="Z271" s="7">
        <v>3810.96</v>
      </c>
      <c r="AA271" s="8">
        <f>IFERROR(Z271/Z444, "NA")</f>
        <v>1.0582866589583934E-2</v>
      </c>
      <c r="AB271" s="9"/>
      <c r="AC271" s="10">
        <f>IFERROR(-(Q271-Z271), "NA")</f>
        <v>631.32000000000016</v>
      </c>
      <c r="AD271" s="8">
        <f>IFERROR(AC271/AC444, "NA")</f>
        <v>1.5675851635111121E-2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1101.83</v>
      </c>
      <c r="C273" s="15">
        <f>IFERROR(B273/B444, "NA")</f>
        <v>1.0077700817508124E-2</v>
      </c>
      <c r="D273" s="2"/>
      <c r="E273" s="14">
        <f>IFERROR(E269+E270+E271+E272, "NA")</f>
        <v>1259.54</v>
      </c>
      <c r="F273" s="15">
        <f>IFERROR(E273/E444, "NA")</f>
        <v>1.2230930501971745E-2</v>
      </c>
      <c r="G273" s="2"/>
      <c r="H273" s="14">
        <f>IFERROR(-(B273-E273), "NA")</f>
        <v>157.71000000000004</v>
      </c>
      <c r="I273" s="15">
        <f>IFERROR(H273/H444, "NA")</f>
        <v>2.4822265277631296E-2</v>
      </c>
      <c r="J273" s="2"/>
      <c r="K273" s="14">
        <f>IFERROR(K269+K270+K271+K272, "NA")</f>
        <v>1382.1100000000001</v>
      </c>
      <c r="L273" s="15">
        <f>IFERROR(K273/K444, "NA")</f>
        <v>1.4763277614051129E-2</v>
      </c>
      <c r="M273" s="2"/>
      <c r="N273" s="14">
        <f>IFERROR(-(B273-K273), "NA")</f>
        <v>280.2800000000002</v>
      </c>
      <c r="O273" s="15">
        <f>IFERROR(N273/N444, "NA")</f>
        <v>1.7834769400911357E-2</v>
      </c>
      <c r="P273" s="2"/>
      <c r="Q273" s="14">
        <f>IFERROR(Q269+Q270+Q271+Q272, "NA")</f>
        <v>4411.32</v>
      </c>
      <c r="R273" s="15">
        <f>IFERROR(Q273/Q444, "NA")</f>
        <v>1.1017833058594335E-2</v>
      </c>
      <c r="S273" s="2"/>
      <c r="T273" s="14">
        <f>IFERROR(T269+T270+T271+T272, "NA")</f>
        <v>5038.16</v>
      </c>
      <c r="U273" s="15">
        <f>IFERROR(T273/T444, "NA")</f>
        <v>1.3110762779887875E-2</v>
      </c>
      <c r="V273" s="2"/>
      <c r="W273" s="14">
        <f>IFERROR(-(Q273-T273), "NA")</f>
        <v>626.84000000000015</v>
      </c>
      <c r="X273" s="15">
        <f>IFERROR(W273/W444, "NA")</f>
        <v>3.8926061968472467E-2</v>
      </c>
      <c r="Y273" s="2"/>
      <c r="Z273" s="14">
        <f>IFERROR(Z269+Z270+Z271+Z272, "NA")</f>
        <v>5354.2</v>
      </c>
      <c r="AA273" s="15">
        <f>IFERROR(Z273/Z444, "NA")</f>
        <v>1.4868375499598603E-2</v>
      </c>
      <c r="AB273" s="2"/>
      <c r="AC273" s="14">
        <f>IFERROR(-(Q273-Z273), "NA")</f>
        <v>942.88000000000011</v>
      </c>
      <c r="AD273" s="15">
        <f>IFERROR(AC273/AC444, "NA")</f>
        <v>2.3411973309436691E-2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hidden="1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0</v>
      </c>
      <c r="F287" s="8">
        <f>IFERROR(E287/E444, "NA")</f>
        <v>0</v>
      </c>
      <c r="G287" s="9"/>
      <c r="H287" s="10">
        <f t="shared" si="72"/>
        <v>0</v>
      </c>
      <c r="I287" s="8">
        <f>IFERROR(H287/H444, "NA")</f>
        <v>0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0</v>
      </c>
      <c r="U287" s="8">
        <f>IFERROR(T287/T444, "NA")</f>
        <v>0</v>
      </c>
      <c r="V287" s="9"/>
      <c r="W287" s="10">
        <f t="shared" si="74"/>
        <v>0</v>
      </c>
      <c r="X287" s="8">
        <f>IFERROR(W287/W444, "NA")</f>
        <v>0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1.2576203791940382E-3</v>
      </c>
      <c r="D288" s="9"/>
      <c r="E288" s="7">
        <v>138</v>
      </c>
      <c r="F288" s="8">
        <f>IFERROR(E288/E444, "NA")</f>
        <v>1.3400673335281935E-3</v>
      </c>
      <c r="G288" s="9"/>
      <c r="H288" s="10">
        <f t="shared" si="72"/>
        <v>0.5</v>
      </c>
      <c r="I288" s="8">
        <f>IFERROR(H288/H444, "NA")</f>
        <v>7.8695914265523075E-5</v>
      </c>
      <c r="J288" s="9"/>
      <c r="K288" s="7">
        <v>137.5</v>
      </c>
      <c r="L288" s="8">
        <f>IFERROR(K288/K444, "NA")</f>
        <v>1.4687330761893266E-3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550</v>
      </c>
      <c r="R288" s="8">
        <f>IFERROR(Q288/Q444, "NA")</f>
        <v>1.3736949897597283E-3</v>
      </c>
      <c r="S288" s="9"/>
      <c r="T288" s="7">
        <v>552</v>
      </c>
      <c r="U288" s="8">
        <f>IFERROR(T288/T444, "NA")</f>
        <v>1.4364651091863113E-3</v>
      </c>
      <c r="V288" s="9"/>
      <c r="W288" s="10">
        <f t="shared" si="74"/>
        <v>2</v>
      </c>
      <c r="X288" s="8">
        <f>IFERROR(W288/W444, "NA")</f>
        <v>1.241977600933969E-4</v>
      </c>
      <c r="Y288" s="9"/>
      <c r="Z288" s="7">
        <v>550</v>
      </c>
      <c r="AA288" s="8">
        <f>IFERROR(Z288/Z444, "NA")</f>
        <v>1.5273255621342558E-3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250.75</v>
      </c>
      <c r="C289" s="8">
        <f>IFERROR(B289/B444, "NA")</f>
        <v>2.2934422551484004E-3</v>
      </c>
      <c r="D289" s="9"/>
      <c r="E289" s="7">
        <v>234</v>
      </c>
      <c r="F289" s="8">
        <f>IFERROR(E289/E444, "NA")</f>
        <v>2.2722880872869367E-3</v>
      </c>
      <c r="G289" s="9"/>
      <c r="H289" s="10">
        <f t="shared" si="72"/>
        <v>-16.75</v>
      </c>
      <c r="I289" s="8">
        <f>IFERROR(H289/H444, "NA")</f>
        <v>-2.6363131278950231E-3</v>
      </c>
      <c r="J289" s="9"/>
      <c r="K289" s="7">
        <v>217.97</v>
      </c>
      <c r="L289" s="8">
        <f>IFERROR(K289/K444, "NA")</f>
        <v>2.3282890808508181E-3</v>
      </c>
      <c r="M289" s="9"/>
      <c r="N289" s="10">
        <f t="shared" si="73"/>
        <v>-32.78</v>
      </c>
      <c r="O289" s="8">
        <f>IFERROR(N289/N444, "NA")</f>
        <v>-2.0858560759307613E-3</v>
      </c>
      <c r="P289" s="9"/>
      <c r="Q289" s="7">
        <v>994.27</v>
      </c>
      <c r="R289" s="8">
        <f>IFERROR(Q289/Q444, "NA")</f>
        <v>2.4833158499425545E-3</v>
      </c>
      <c r="S289" s="9"/>
      <c r="T289" s="7">
        <v>936</v>
      </c>
      <c r="U289" s="8">
        <f>IFERROR(T289/T444, "NA")</f>
        <v>2.4357451851420063E-3</v>
      </c>
      <c r="V289" s="9"/>
      <c r="W289" s="10">
        <f t="shared" si="74"/>
        <v>-58.269999999999982</v>
      </c>
      <c r="X289" s="8">
        <f>IFERROR(W289/W444, "NA")</f>
        <v>-3.6185017403211174E-3</v>
      </c>
      <c r="Y289" s="9"/>
      <c r="Z289" s="7">
        <v>877.7</v>
      </c>
      <c r="AA289" s="8">
        <f>IFERROR(Z289/Z444, "NA")</f>
        <v>2.4373339016095204E-3</v>
      </c>
      <c r="AB289" s="9"/>
      <c r="AC289" s="10">
        <f t="shared" si="75"/>
        <v>-116.56999999999994</v>
      </c>
      <c r="AD289" s="8">
        <f>IFERROR(AC289/AC444, "NA")</f>
        <v>-2.8944656039803932E-3</v>
      </c>
    </row>
    <row r="290" spans="1:30" ht="16.5" customHeight="1" x14ac:dyDescent="0.45">
      <c r="A290" s="6" t="s">
        <v>263</v>
      </c>
      <c r="B290" s="7">
        <v>861.34</v>
      </c>
      <c r="C290" s="8">
        <f>IFERROR(B290/B444, "NA")</f>
        <v>7.8780999084726751E-3</v>
      </c>
      <c r="D290" s="9"/>
      <c r="E290" s="7">
        <v>720.86</v>
      </c>
      <c r="F290" s="8">
        <f>IFERROR(E290/E444, "NA")</f>
        <v>7.0000067974429966E-3</v>
      </c>
      <c r="G290" s="9"/>
      <c r="H290" s="10">
        <f t="shared" si="72"/>
        <v>-140.48000000000002</v>
      </c>
      <c r="I290" s="8">
        <f>IFERROR(H290/H444, "NA")</f>
        <v>-2.2110404072041366E-2</v>
      </c>
      <c r="J290" s="9"/>
      <c r="K290" s="7">
        <v>137.13</v>
      </c>
      <c r="L290" s="8">
        <f>IFERROR(K290/K444, "NA")</f>
        <v>1.4647808490024898E-3</v>
      </c>
      <c r="M290" s="9"/>
      <c r="N290" s="10">
        <f t="shared" si="73"/>
        <v>-724.21</v>
      </c>
      <c r="O290" s="8">
        <f>IFERROR(N290/N444, "NA")</f>
        <v>-4.6082911188218938E-2</v>
      </c>
      <c r="P290" s="9"/>
      <c r="Q290" s="7">
        <v>3406.43</v>
      </c>
      <c r="R290" s="8">
        <f>IFERROR(Q290/Q444, "NA")</f>
        <v>8.5079924072131476E-3</v>
      </c>
      <c r="S290" s="9"/>
      <c r="T290" s="7">
        <v>2561.2199999999998</v>
      </c>
      <c r="U290" s="8">
        <f>IFERROR(T290/T444, "NA")</f>
        <v>6.6650419691126166E-3</v>
      </c>
      <c r="V290" s="9"/>
      <c r="W290" s="10">
        <f t="shared" si="74"/>
        <v>-845.21</v>
      </c>
      <c r="X290" s="8">
        <f>IFERROR(W290/W444, "NA")</f>
        <v>-5.2486594404269997E-2</v>
      </c>
      <c r="Y290" s="9"/>
      <c r="Z290" s="7">
        <v>2552.4499999999998</v>
      </c>
      <c r="AA290" s="8">
        <f>IFERROR(Z290/Z444, "NA")</f>
        <v>7.0880402383083291E-3</v>
      </c>
      <c r="AB290" s="9"/>
      <c r="AC290" s="10">
        <f t="shared" si="75"/>
        <v>-853.98</v>
      </c>
      <c r="AD290" s="8">
        <f>IFERROR(AC290/AC444, "NA")</f>
        <v>-2.1204561520864525E-2</v>
      </c>
    </row>
    <row r="291" spans="1:30" ht="16.5" customHeight="1" x14ac:dyDescent="0.45">
      <c r="A291" s="6" t="s">
        <v>264</v>
      </c>
      <c r="B291" s="7">
        <v>709.72</v>
      </c>
      <c r="C291" s="8">
        <f>IFERROR(B291/B444, "NA")</f>
        <v>6.4913333492479476E-3</v>
      </c>
      <c r="D291" s="9"/>
      <c r="E291" s="7">
        <v>1029.8</v>
      </c>
      <c r="F291" s="8">
        <f>IFERROR(E291/E444, "NA")</f>
        <v>1.0000009710632852E-2</v>
      </c>
      <c r="G291" s="9"/>
      <c r="H291" s="10">
        <f t="shared" si="72"/>
        <v>320.07999999999993</v>
      </c>
      <c r="I291" s="8">
        <f>IFERROR(H291/H444, "NA")</f>
        <v>5.0377976476217244E-2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-709.72</v>
      </c>
      <c r="O291" s="8">
        <f>IFERROR(N291/N444, "NA")</f>
        <v>-4.5160883899010983E-2</v>
      </c>
      <c r="P291" s="9"/>
      <c r="Q291" s="7">
        <v>6147.7</v>
      </c>
      <c r="R291" s="8">
        <f>IFERROR(Q291/Q444, "NA")</f>
        <v>1.5354663070083421E-2</v>
      </c>
      <c r="S291" s="9"/>
      <c r="T291" s="7">
        <v>3842.77</v>
      </c>
      <c r="U291" s="8">
        <f>IFERROR(T291/T444, "NA")</f>
        <v>1.0000009108021525E-2</v>
      </c>
      <c r="V291" s="9"/>
      <c r="W291" s="10">
        <f t="shared" si="74"/>
        <v>-2304.9299999999998</v>
      </c>
      <c r="X291" s="8">
        <f>IFERROR(W291/W444, "NA")</f>
        <v>-0.14313357158603665</v>
      </c>
      <c r="Y291" s="9"/>
      <c r="Z291" s="7">
        <v>6479.22</v>
      </c>
      <c r="AA291" s="8">
        <f>IFERROR(Z291/Z444, "NA")</f>
        <v>1.7992506052166388E-2</v>
      </c>
      <c r="AB291" s="9"/>
      <c r="AC291" s="10">
        <f t="shared" si="75"/>
        <v>331.52000000000044</v>
      </c>
      <c r="AD291" s="8">
        <f>IFERROR(AC291/AC444, "NA")</f>
        <v>8.2317340399037636E-3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205.96</v>
      </c>
      <c r="F292" s="8">
        <f>IFERROR(E292/E444, "NA")</f>
        <v>2.0000019421265707E-3</v>
      </c>
      <c r="G292" s="9"/>
      <c r="H292" s="10">
        <f t="shared" si="72"/>
        <v>205.96</v>
      </c>
      <c r="I292" s="8">
        <f>IFERROR(H292/H444, "NA")</f>
        <v>3.2416421004254264E-2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768.56</v>
      </c>
      <c r="U292" s="8">
        <f>IFERROR(T292/T444, "NA")</f>
        <v>2.0000174353554919E-3</v>
      </c>
      <c r="V292" s="9"/>
      <c r="W292" s="10">
        <f t="shared" si="74"/>
        <v>768.56</v>
      </c>
      <c r="X292" s="8">
        <f>IFERROR(W292/W444, "NA")</f>
        <v>4.7726715248690557E-2</v>
      </c>
      <c r="Y292" s="9"/>
      <c r="Z292" s="7">
        <v>1038.82</v>
      </c>
      <c r="AA292" s="8">
        <f>IFERROR(Z292/Z444, "NA")</f>
        <v>2.8847569826478316E-3</v>
      </c>
      <c r="AB292" s="9"/>
      <c r="AC292" s="10">
        <f t="shared" si="75"/>
        <v>1038.82</v>
      </c>
      <c r="AD292" s="8">
        <f>IFERROR(AC292/AC444, "NA")</f>
        <v>2.5794190261018389E-2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205.96</v>
      </c>
      <c r="F293" s="8">
        <f>IFERROR(E293/E444, "NA")</f>
        <v>2.0000019421265707E-3</v>
      </c>
      <c r="G293" s="9"/>
      <c r="H293" s="10">
        <f t="shared" si="72"/>
        <v>205.96</v>
      </c>
      <c r="I293" s="8">
        <f>IFERROR(H293/H444, "NA")</f>
        <v>3.2416421004254264E-2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768.56</v>
      </c>
      <c r="U293" s="8">
        <f>IFERROR(T293/T444, "NA")</f>
        <v>2.0000174353554919E-3</v>
      </c>
      <c r="V293" s="9"/>
      <c r="W293" s="10">
        <f t="shared" si="74"/>
        <v>768.56</v>
      </c>
      <c r="X293" s="8">
        <f>IFERROR(W293/W444, "NA")</f>
        <v>4.7726715248690557E-2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367.98</v>
      </c>
      <c r="C294" s="8">
        <f>IFERROR(B294/B444, "NA")</f>
        <v>3.3656665246241616E-3</v>
      </c>
      <c r="D294" s="9"/>
      <c r="E294" s="7">
        <v>365</v>
      </c>
      <c r="F294" s="8">
        <f>IFERROR(E294/E444, "NA")</f>
        <v>3.5443809908535552E-3</v>
      </c>
      <c r="G294" s="9"/>
      <c r="H294" s="10">
        <f t="shared" si="72"/>
        <v>-2.9800000000000182</v>
      </c>
      <c r="I294" s="8">
        <f>IFERROR(H294/H444, "NA")</f>
        <v>-4.6902764902252041E-4</v>
      </c>
      <c r="J294" s="9"/>
      <c r="K294" s="7">
        <v>312.49</v>
      </c>
      <c r="L294" s="8">
        <f>IFERROR(K294/K444, "NA")</f>
        <v>3.3379229016611105E-3</v>
      </c>
      <c r="M294" s="9"/>
      <c r="N294" s="10">
        <f t="shared" si="73"/>
        <v>-55.490000000000009</v>
      </c>
      <c r="O294" s="8">
        <f>IFERROR(N294/N444, "NA")</f>
        <v>-3.5309381834471619E-3</v>
      </c>
      <c r="P294" s="9"/>
      <c r="Q294" s="7">
        <v>1509.43</v>
      </c>
      <c r="R294" s="8">
        <f>IFERROR(Q294/Q444, "NA")</f>
        <v>3.7699935061691393E-3</v>
      </c>
      <c r="S294" s="9"/>
      <c r="T294" s="7">
        <v>1460</v>
      </c>
      <c r="U294" s="8">
        <f>IFERROR(T294/T444, "NA")</f>
        <v>3.7993461221232151E-3</v>
      </c>
      <c r="V294" s="9"/>
      <c r="W294" s="10">
        <f t="shared" si="74"/>
        <v>-49.430000000000064</v>
      </c>
      <c r="X294" s="8">
        <f>IFERROR(W294/W444, "NA")</f>
        <v>-3.0695476407083082E-3</v>
      </c>
      <c r="Y294" s="9"/>
      <c r="Z294" s="7">
        <v>1685.45</v>
      </c>
      <c r="AA294" s="8">
        <f>IFERROR(Z294/Z444, "NA")</f>
        <v>4.6804197612712387E-3</v>
      </c>
      <c r="AB294" s="9"/>
      <c r="AC294" s="10">
        <f t="shared" si="75"/>
        <v>176.01999999999998</v>
      </c>
      <c r="AD294" s="8">
        <f>IFERROR(AC294/AC444, "NA")</f>
        <v>4.3706256808152101E-3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2327.29</v>
      </c>
      <c r="C295" s="15">
        <f>IFERROR(B295/B444, "NA")</f>
        <v>2.1286162416687224E-2</v>
      </c>
      <c r="D295" s="2"/>
      <c r="E295" s="14">
        <f>IFERROR(E286+E287+E288+E289+E290+E291+E292+E293+E294, "NA")</f>
        <v>2899.58</v>
      </c>
      <c r="F295" s="15">
        <f>IFERROR(E295/E444, "NA")</f>
        <v>2.8156756803997676E-2</v>
      </c>
      <c r="G295" s="2"/>
      <c r="H295" s="14">
        <f t="shared" si="72"/>
        <v>572.29</v>
      </c>
      <c r="I295" s="15">
        <f>IFERROR(H295/H444, "NA")</f>
        <v>9.0073769550032393E-2</v>
      </c>
      <c r="J295" s="2"/>
      <c r="K295" s="14">
        <f>IFERROR(K286+K287+K288+K289+K290+K291+K292+K293+K294, "NA")</f>
        <v>805.09</v>
      </c>
      <c r="L295" s="15">
        <f>IFERROR(K295/K444, "NA")</f>
        <v>8.5997259077037445E-3</v>
      </c>
      <c r="M295" s="2"/>
      <c r="N295" s="14">
        <f t="shared" si="73"/>
        <v>-1522.1999999999998</v>
      </c>
      <c r="O295" s="15">
        <f>IFERROR(N295/N444, "NA")</f>
        <v>-9.6860589346607823E-2</v>
      </c>
      <c r="P295" s="2"/>
      <c r="Q295" s="14">
        <f>IFERROR(Q286+Q287+Q288+Q289+Q290+Q291+Q292+Q293+Q294, "NA")</f>
        <v>12607.83</v>
      </c>
      <c r="R295" s="15">
        <f>IFERROR(Q295/Q444, "NA")</f>
        <v>3.1489659823167988E-2</v>
      </c>
      <c r="S295" s="2"/>
      <c r="T295" s="14">
        <f>IFERROR(T286+T287+T288+T289+T290+T291+T292+T293+T294, "NA")</f>
        <v>10889.109999999999</v>
      </c>
      <c r="U295" s="15">
        <f>IFERROR(T295/T444, "NA")</f>
        <v>2.8336642364296654E-2</v>
      </c>
      <c r="V295" s="2"/>
      <c r="W295" s="14">
        <f t="shared" si="74"/>
        <v>-1718.7200000000012</v>
      </c>
      <c r="X295" s="15">
        <f>IFERROR(W295/W444, "NA")</f>
        <v>-0.10673058711386163</v>
      </c>
      <c r="Y295" s="2"/>
      <c r="Z295" s="14">
        <f>IFERROR(Z286+Z287+Z288+Z289+Z290+Z291+Z292+Z293+Z294, "NA")</f>
        <v>13183.64</v>
      </c>
      <c r="AA295" s="15">
        <f>IFERROR(Z295/Z444, "NA")</f>
        <v>3.6610382498137563E-2</v>
      </c>
      <c r="AB295" s="2"/>
      <c r="AC295" s="14">
        <f t="shared" si="75"/>
        <v>575.80999999999949</v>
      </c>
      <c r="AD295" s="15">
        <f>IFERROR(AC295/AC444, "NA")</f>
        <v>1.4297522856892423E-2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159</v>
      </c>
      <c r="C299" s="8">
        <f>IFERROR(B299/B444, "NA")</f>
        <v>1.4542664748498333E-3</v>
      </c>
      <c r="D299" s="9"/>
      <c r="E299" s="7">
        <v>159</v>
      </c>
      <c r="F299" s="8">
        <f>IFERROR(E299/E444, "NA")</f>
        <v>1.5439906234129186E-3</v>
      </c>
      <c r="G299" s="9"/>
      <c r="H299" s="10">
        <f t="shared" si="76"/>
        <v>0</v>
      </c>
      <c r="I299" s="8">
        <f>IFERROR(H299/H444, "NA")</f>
        <v>0</v>
      </c>
      <c r="J299" s="9"/>
      <c r="K299" s="7">
        <v>411.65</v>
      </c>
      <c r="L299" s="8">
        <f>IFERROR(K299/K444, "NA")</f>
        <v>4.3971197877333548E-3</v>
      </c>
      <c r="M299" s="9"/>
      <c r="N299" s="10">
        <f t="shared" si="77"/>
        <v>252.64999999999998</v>
      </c>
      <c r="O299" s="8">
        <f>IFERROR(N299/N444, "NA")</f>
        <v>1.6076617986086235E-2</v>
      </c>
      <c r="P299" s="9"/>
      <c r="Q299" s="7">
        <v>636</v>
      </c>
      <c r="R299" s="8">
        <f>IFERROR(Q299/Q444, "NA")</f>
        <v>1.5884909336130676E-3</v>
      </c>
      <c r="S299" s="9"/>
      <c r="T299" s="7">
        <v>636</v>
      </c>
      <c r="U299" s="8">
        <f>IFERROR(T299/T444, "NA")</f>
        <v>1.6550576258016197E-3</v>
      </c>
      <c r="V299" s="9"/>
      <c r="W299" s="10">
        <f t="shared" si="78"/>
        <v>0</v>
      </c>
      <c r="X299" s="8">
        <f>IFERROR(W299/W444, "NA")</f>
        <v>0</v>
      </c>
      <c r="Y299" s="9"/>
      <c r="Z299" s="7">
        <v>411.65</v>
      </c>
      <c r="AA299" s="8">
        <f>IFERROR(Z299/Z444, "NA")</f>
        <v>1.1431337593683023E-3</v>
      </c>
      <c r="AB299" s="9"/>
      <c r="AC299" s="10">
        <f t="shared" si="79"/>
        <v>-224.35000000000002</v>
      </c>
      <c r="AD299" s="8">
        <f>IFERROR(AC299/AC444, "NA")</f>
        <v>-5.5706730569872326E-3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268.25</v>
      </c>
      <c r="L304" s="8">
        <f>IFERROR(K304/K444, "NA")</f>
        <v>2.8653647104566315E-3</v>
      </c>
      <c r="M304" s="9"/>
      <c r="N304" s="10">
        <f t="shared" si="77"/>
        <v>268.25</v>
      </c>
      <c r="O304" s="8">
        <f>IFERROR(N304/N444, "NA")</f>
        <v>1.706927676535774E-2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268.25</v>
      </c>
      <c r="AA304" s="8">
        <f>IFERROR(Z304/Z444, "NA")</f>
        <v>7.4491833098638924E-4</v>
      </c>
      <c r="AB304" s="9"/>
      <c r="AC304" s="10">
        <f t="shared" si="79"/>
        <v>268.25</v>
      </c>
      <c r="AD304" s="8">
        <f>IFERROR(AC304/AC444, "NA")</f>
        <v>6.6607222979131932E-3</v>
      </c>
    </row>
    <row r="305" spans="1:30" ht="16.5" customHeight="1" x14ac:dyDescent="0.45">
      <c r="A305" s="6" t="s">
        <v>277</v>
      </c>
      <c r="B305" s="7">
        <v>139.12</v>
      </c>
      <c r="C305" s="8">
        <f>IFERROR(B305/B444, "NA")</f>
        <v>1.2724374338434516E-3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-139.12</v>
      </c>
      <c r="I305" s="8">
        <f>IFERROR(H305/H444, "NA")</f>
        <v>-2.1896351185239141E-2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-139.12</v>
      </c>
      <c r="O305" s="8">
        <f>IFERROR(N305/N444, "NA")</f>
        <v>-8.8524800879648431E-3</v>
      </c>
      <c r="P305" s="9"/>
      <c r="Q305" s="7">
        <v>211.94</v>
      </c>
      <c r="R305" s="8">
        <f>IFERROR(Q305/Q444, "NA")</f>
        <v>5.2934712023577598E-4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-211.94</v>
      </c>
      <c r="X305" s="8">
        <f>IFERROR(W305/W444, "NA")</f>
        <v>-1.3161236637097269E-2</v>
      </c>
      <c r="Y305" s="9"/>
      <c r="Z305" s="7">
        <v>5.59</v>
      </c>
      <c r="AA305" s="8">
        <f>IFERROR(Z305/Z444, "NA")</f>
        <v>1.5523181622419073E-5</v>
      </c>
      <c r="AB305" s="9"/>
      <c r="AC305" s="10">
        <f t="shared" si="79"/>
        <v>-206.35</v>
      </c>
      <c r="AD305" s="8">
        <f>IFERROR(AC305/AC444, "NA")</f>
        <v>-5.1237280379287506E-3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55</v>
      </c>
      <c r="F310" s="8">
        <f>IFERROR(E310/E444, "NA")</f>
        <v>5.3408480684094669E-4</v>
      </c>
      <c r="G310" s="9"/>
      <c r="H310" s="10">
        <f t="shared" si="76"/>
        <v>55</v>
      </c>
      <c r="I310" s="8">
        <f>IFERROR(H310/H444, "NA")</f>
        <v>8.6565505692075377E-3</v>
      </c>
      <c r="J310" s="9"/>
      <c r="K310" s="7">
        <v>52.79</v>
      </c>
      <c r="L310" s="8">
        <f>IFERROR(K310/K444, "NA")</f>
        <v>5.6388668430570584E-4</v>
      </c>
      <c r="M310" s="9"/>
      <c r="N310" s="10">
        <f t="shared" si="77"/>
        <v>52.79</v>
      </c>
      <c r="O310" s="8">
        <f>IFERROR(N310/N444, "NA")</f>
        <v>3.359131856265555E-3</v>
      </c>
      <c r="P310" s="9"/>
      <c r="Q310" s="7">
        <v>278.95999999999998</v>
      </c>
      <c r="R310" s="8">
        <f>IFERROR(Q310/Q444, "NA")</f>
        <v>6.9673809880613409E-4</v>
      </c>
      <c r="S310" s="9"/>
      <c r="T310" s="7">
        <v>220</v>
      </c>
      <c r="U310" s="8">
        <f>IFERROR(T310/T444, "NA")</f>
        <v>5.7250421018295019E-4</v>
      </c>
      <c r="V310" s="9"/>
      <c r="W310" s="10">
        <f t="shared" si="78"/>
        <v>-58.95999999999998</v>
      </c>
      <c r="X310" s="8">
        <f>IFERROR(W310/W444, "NA")</f>
        <v>-3.661349967553339E-3</v>
      </c>
      <c r="Y310" s="9"/>
      <c r="Z310" s="7">
        <v>52.79</v>
      </c>
      <c r="AA310" s="8">
        <f>IFERROR(Z310/Z444, "NA")</f>
        <v>1.4659548440921339E-4</v>
      </c>
      <c r="AB310" s="9"/>
      <c r="AC310" s="10">
        <f t="shared" si="79"/>
        <v>-226.17</v>
      </c>
      <c r="AD310" s="8">
        <f>IFERROR(AC310/AC444, "NA")</f>
        <v>-5.615864164469811E-3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60.62</v>
      </c>
      <c r="AA311" s="8">
        <f>IFERROR(Z311/Z444, "NA")</f>
        <v>1.6833904650287015E-4</v>
      </c>
      <c r="AB311" s="9"/>
      <c r="AC311" s="10">
        <f t="shared" si="79"/>
        <v>60.62</v>
      </c>
      <c r="AD311" s="8">
        <f>IFERROR(AC311/AC444, "NA")</f>
        <v>1.5052115030736171E-3</v>
      </c>
    </row>
    <row r="312" spans="1:30" ht="16.5" customHeight="1" x14ac:dyDescent="0.45">
      <c r="A312" s="6" t="s">
        <v>284</v>
      </c>
      <c r="B312" s="7">
        <v>244.94</v>
      </c>
      <c r="C312" s="8">
        <f>IFERROR(B312/B444, "NA")</f>
        <v>2.2403020776711833E-3</v>
      </c>
      <c r="D312" s="9"/>
      <c r="E312" s="7">
        <v>35</v>
      </c>
      <c r="F312" s="8">
        <f>IFERROR(E312/E444, "NA")</f>
        <v>3.3987214980787516E-4</v>
      </c>
      <c r="G312" s="9"/>
      <c r="H312" s="10">
        <f t="shared" si="76"/>
        <v>-209.94</v>
      </c>
      <c r="I312" s="8">
        <f>IFERROR(H312/H444, "NA")</f>
        <v>-3.3042840481807827E-2</v>
      </c>
      <c r="J312" s="9"/>
      <c r="K312" s="7">
        <v>38.380000000000003</v>
      </c>
      <c r="L312" s="8">
        <f>IFERROR(K312/K444, "NA")</f>
        <v>4.0996345792106441E-4</v>
      </c>
      <c r="M312" s="9"/>
      <c r="N312" s="10">
        <f t="shared" si="77"/>
        <v>-206.56</v>
      </c>
      <c r="O312" s="8">
        <f>IFERROR(N312/N444, "NA")</f>
        <v>-1.3143820349123187E-2</v>
      </c>
      <c r="P312" s="9"/>
      <c r="Q312" s="7">
        <v>399.98</v>
      </c>
      <c r="R312" s="8">
        <f>IFERROR(Q312/Q444, "NA")</f>
        <v>9.9900094909835665E-4</v>
      </c>
      <c r="S312" s="9"/>
      <c r="T312" s="7">
        <v>140</v>
      </c>
      <c r="U312" s="8">
        <f>IFERROR(T312/T444, "NA")</f>
        <v>3.6432086102551375E-4</v>
      </c>
      <c r="V312" s="9"/>
      <c r="W312" s="10">
        <f t="shared" si="78"/>
        <v>-259.98</v>
      </c>
      <c r="X312" s="8">
        <f>IFERROR(W312/W444, "NA")</f>
        <v>-1.6144466834540662E-2</v>
      </c>
      <c r="Y312" s="9"/>
      <c r="Z312" s="7">
        <v>38.380000000000003</v>
      </c>
      <c r="AA312" s="8">
        <f>IFERROR(Z312/Z444, "NA")</f>
        <v>1.0657955468129589E-4</v>
      </c>
      <c r="AB312" s="9"/>
      <c r="AC312" s="10">
        <f t="shared" si="79"/>
        <v>-361.6</v>
      </c>
      <c r="AD312" s="8">
        <f>IFERROR(AC312/AC444, "NA")</f>
        <v>-8.978628827308148E-3</v>
      </c>
    </row>
    <row r="313" spans="1:30" ht="16.5" customHeight="1" x14ac:dyDescent="0.45">
      <c r="A313" s="6" t="s">
        <v>285</v>
      </c>
      <c r="B313" s="7">
        <v>40</v>
      </c>
      <c r="C313" s="8">
        <f>IFERROR(B313/B444, "NA")</f>
        <v>3.6585320122008386E-4</v>
      </c>
      <c r="D313" s="9"/>
      <c r="E313" s="7">
        <v>15</v>
      </c>
      <c r="F313" s="8">
        <f>IFERROR(E313/E444, "NA")</f>
        <v>1.4565949277480362E-4</v>
      </c>
      <c r="G313" s="9"/>
      <c r="H313" s="10">
        <f t="shared" si="76"/>
        <v>-25</v>
      </c>
      <c r="I313" s="8">
        <f>IFERROR(H313/H444, "NA")</f>
        <v>-3.9347957132761539E-3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-40</v>
      </c>
      <c r="O313" s="8">
        <f>IFERROR(N313/N444, "NA")</f>
        <v>-2.545278921208983E-3</v>
      </c>
      <c r="P313" s="9"/>
      <c r="Q313" s="7">
        <v>40</v>
      </c>
      <c r="R313" s="8">
        <f>IFERROR(Q313/Q444, "NA")</f>
        <v>9.9905090164343873E-5</v>
      </c>
      <c r="S313" s="9"/>
      <c r="T313" s="7">
        <v>60</v>
      </c>
      <c r="U313" s="8">
        <f>IFERROR(T313/T444, "NA")</f>
        <v>1.5613751186807732E-4</v>
      </c>
      <c r="V313" s="9"/>
      <c r="W313" s="10">
        <f t="shared" si="78"/>
        <v>20</v>
      </c>
      <c r="X313" s="8">
        <f>IFERROR(W313/W444, "NA")</f>
        <v>1.241977600933969E-3</v>
      </c>
      <c r="Y313" s="9"/>
      <c r="Z313" s="7">
        <v>24</v>
      </c>
      <c r="AA313" s="8">
        <f>IFERROR(Z313/Z444, "NA")</f>
        <v>6.6646933620403886E-5</v>
      </c>
      <c r="AB313" s="9"/>
      <c r="AC313" s="10">
        <f t="shared" si="79"/>
        <v>-16</v>
      </c>
      <c r="AD313" s="8">
        <f>IFERROR(AC313/AC444, "NA")</f>
        <v>-3.9728446138531626E-4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408.07</v>
      </c>
      <c r="C315" s="8">
        <f>IFERROR(B315/B444, "NA")</f>
        <v>3.7323428955469903E-3</v>
      </c>
      <c r="D315" s="9"/>
      <c r="E315" s="7">
        <v>411.92</v>
      </c>
      <c r="F315" s="8">
        <f>IFERROR(E315/E444, "NA")</f>
        <v>4.0000038842531414E-3</v>
      </c>
      <c r="G315" s="9"/>
      <c r="H315" s="10">
        <f t="shared" si="76"/>
        <v>3.8500000000000227</v>
      </c>
      <c r="I315" s="8">
        <f>IFERROR(H315/H444, "NA")</f>
        <v>6.0595853984453125E-4</v>
      </c>
      <c r="J315" s="9"/>
      <c r="K315" s="7">
        <v>455.52</v>
      </c>
      <c r="L315" s="8">
        <f>IFERROR(K315/K444, "NA")</f>
        <v>4.8657257517509961E-3</v>
      </c>
      <c r="M315" s="9"/>
      <c r="N315" s="10">
        <f t="shared" si="77"/>
        <v>47.449999999999989</v>
      </c>
      <c r="O315" s="8">
        <f>IFERROR(N315/N444, "NA")</f>
        <v>3.019337120284155E-3</v>
      </c>
      <c r="P315" s="9"/>
      <c r="Q315" s="7">
        <v>1632.28</v>
      </c>
      <c r="R315" s="8">
        <f>IFERROR(Q315/Q444, "NA")</f>
        <v>4.0768270143363801E-3</v>
      </c>
      <c r="S315" s="9"/>
      <c r="T315" s="7">
        <v>1537.11</v>
      </c>
      <c r="U315" s="8">
        <f>IFERROR(T315/T444, "NA")</f>
        <v>4.0000088477923383E-3</v>
      </c>
      <c r="V315" s="9"/>
      <c r="W315" s="10">
        <f t="shared" si="78"/>
        <v>-95.170000000000073</v>
      </c>
      <c r="X315" s="8">
        <f>IFERROR(W315/W444, "NA")</f>
        <v>-5.909950414044296E-3</v>
      </c>
      <c r="Y315" s="9"/>
      <c r="Z315" s="7">
        <v>1822.08</v>
      </c>
      <c r="AA315" s="8">
        <f>IFERROR(Z315/Z444, "NA")</f>
        <v>5.0598352004610631E-3</v>
      </c>
      <c r="AB315" s="9"/>
      <c r="AC315" s="10">
        <f t="shared" si="79"/>
        <v>189.79999999999995</v>
      </c>
      <c r="AD315" s="8">
        <f>IFERROR(AC315/AC444, "NA")</f>
        <v>4.7127869231833128E-3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294</v>
      </c>
      <c r="R316" s="8">
        <f>IFERROR(Q316/Q444, "NA")</f>
        <v>7.3430241270792745E-4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-294</v>
      </c>
      <c r="X316" s="8">
        <f>IFERROR(W316/W444, "NA")</f>
        <v>-1.8257070733729345E-2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-294</v>
      </c>
      <c r="AD316" s="8">
        <f>IFERROR(AC316/AC444, "NA")</f>
        <v>-7.3001019779551863E-3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3.7918855040455588E-3</v>
      </c>
      <c r="D318" s="9"/>
      <c r="E318" s="7">
        <v>415</v>
      </c>
      <c r="F318" s="8">
        <f>IFERROR(E318/E444, "NA")</f>
        <v>4.0299126334362341E-3</v>
      </c>
      <c r="G318" s="9"/>
      <c r="H318" s="10">
        <f t="shared" si="76"/>
        <v>0.42000000000001592</v>
      </c>
      <c r="I318" s="8">
        <f>IFERROR(H318/H444, "NA")</f>
        <v>6.6104567983041895E-5</v>
      </c>
      <c r="J318" s="9"/>
      <c r="K318" s="7">
        <v>414.58</v>
      </c>
      <c r="L318" s="8">
        <f>IFERROR(K318/K444, "NA")</f>
        <v>4.4284171543750618E-3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1658.32</v>
      </c>
      <c r="R318" s="8">
        <f>IFERROR(Q318/Q444, "NA")</f>
        <v>4.141865228033368E-3</v>
      </c>
      <c r="S318" s="9"/>
      <c r="T318" s="7">
        <v>1660</v>
      </c>
      <c r="U318" s="8">
        <f>IFERROR(T318/T444, "NA")</f>
        <v>4.3198044950168062E-3</v>
      </c>
      <c r="V318" s="9"/>
      <c r="W318" s="10">
        <f t="shared" si="78"/>
        <v>1.6800000000000637</v>
      </c>
      <c r="X318" s="8">
        <f>IFERROR(W318/W444, "NA")</f>
        <v>1.0432611847845734E-4</v>
      </c>
      <c r="Y318" s="9"/>
      <c r="Z318" s="7">
        <v>1658.32</v>
      </c>
      <c r="AA318" s="8">
        <f>IFERROR(Z318/Z444, "NA")</f>
        <v>4.605080956724507E-3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318.51</v>
      </c>
      <c r="C319" s="8">
        <f>IFERROR(B319/B444, "NA")</f>
        <v>2.9131975780152227E-3</v>
      </c>
      <c r="D319" s="9"/>
      <c r="E319" s="7">
        <v>309</v>
      </c>
      <c r="F319" s="8">
        <f>IFERROR(E319/E444, "NA")</f>
        <v>3.000585551160955E-3</v>
      </c>
      <c r="G319" s="9"/>
      <c r="H319" s="10">
        <f t="shared" si="76"/>
        <v>-9.5099999999999909</v>
      </c>
      <c r="I319" s="8">
        <f>IFERROR(H319/H444, "NA")</f>
        <v>-1.4967962893302474E-3</v>
      </c>
      <c r="J319" s="9"/>
      <c r="K319" s="7">
        <v>268.01</v>
      </c>
      <c r="L319" s="8">
        <f>IFERROR(K319/K444, "NA")</f>
        <v>2.8628011036327373E-3</v>
      </c>
      <c r="M319" s="9"/>
      <c r="N319" s="10">
        <f t="shared" si="77"/>
        <v>-50.5</v>
      </c>
      <c r="O319" s="8">
        <f>IFERROR(N319/N444, "NA")</f>
        <v>-3.2134146380263409E-3</v>
      </c>
      <c r="P319" s="9"/>
      <c r="Q319" s="7">
        <v>1274.0899999999999</v>
      </c>
      <c r="R319" s="8">
        <f>IFERROR(Q319/Q444, "NA")</f>
        <v>3.182201908187222E-3</v>
      </c>
      <c r="S319" s="9"/>
      <c r="T319" s="7">
        <v>1236</v>
      </c>
      <c r="U319" s="8">
        <f>IFERROR(T319/T444, "NA")</f>
        <v>3.2164327444823928E-3</v>
      </c>
      <c r="V319" s="9"/>
      <c r="W319" s="10">
        <f t="shared" si="78"/>
        <v>-38.089999999999918</v>
      </c>
      <c r="X319" s="8">
        <f>IFERROR(W319/W444, "NA")</f>
        <v>-2.3653463409787387E-3</v>
      </c>
      <c r="Y319" s="9"/>
      <c r="Z319" s="7">
        <v>1053.1600000000001</v>
      </c>
      <c r="AA319" s="8">
        <f>IFERROR(Z319/Z444, "NA")</f>
        <v>2.9245785254860233E-3</v>
      </c>
      <c r="AB319" s="9"/>
      <c r="AC319" s="10">
        <f t="shared" si="79"/>
        <v>-220.92999999999984</v>
      </c>
      <c r="AD319" s="8">
        <f>IFERROR(AC319/AC444, "NA")</f>
        <v>-5.4857535033661165E-3</v>
      </c>
    </row>
    <row r="320" spans="1:30" ht="16.5" customHeight="1" x14ac:dyDescent="0.45">
      <c r="A320" s="6" t="s">
        <v>292</v>
      </c>
      <c r="B320" s="7">
        <v>1010.77</v>
      </c>
      <c r="C320" s="8">
        <f>IFERROR(B320/B444, "NA")</f>
        <v>9.2448360049306039E-3</v>
      </c>
      <c r="D320" s="9"/>
      <c r="E320" s="7">
        <v>1133</v>
      </c>
      <c r="F320" s="8">
        <f>IFERROR(E320/E444, "NA")</f>
        <v>1.1002147020923501E-2</v>
      </c>
      <c r="G320" s="9"/>
      <c r="H320" s="10">
        <f t="shared" si="76"/>
        <v>122.23000000000002</v>
      </c>
      <c r="I320" s="8">
        <f>IFERROR(H320/H444, "NA")</f>
        <v>1.9238003201349774E-2</v>
      </c>
      <c r="J320" s="9"/>
      <c r="K320" s="7">
        <v>1279.6400000000001</v>
      </c>
      <c r="L320" s="8">
        <f>IFERROR(K320/K444, "NA")</f>
        <v>1.3668724317199345E-2</v>
      </c>
      <c r="M320" s="9"/>
      <c r="N320" s="10">
        <f t="shared" si="77"/>
        <v>268.87000000000012</v>
      </c>
      <c r="O320" s="8">
        <f>IFERROR(N320/N444, "NA")</f>
        <v>1.7108728588636487E-2</v>
      </c>
      <c r="P320" s="9"/>
      <c r="Q320" s="7">
        <v>4350.3500000000004</v>
      </c>
      <c r="R320" s="8">
        <f>IFERROR(Q320/Q444, "NA")</f>
        <v>1.0865552724911335E-2</v>
      </c>
      <c r="S320" s="9"/>
      <c r="T320" s="7">
        <v>4532</v>
      </c>
      <c r="U320" s="8">
        <f>IFERROR(T320/T444, "NA")</f>
        <v>1.1793586729768773E-2</v>
      </c>
      <c r="V320" s="9"/>
      <c r="W320" s="10">
        <f t="shared" si="78"/>
        <v>181.64999999999964</v>
      </c>
      <c r="X320" s="8">
        <f>IFERROR(W320/W444, "NA")</f>
        <v>1.128026156048275E-2</v>
      </c>
      <c r="Y320" s="9"/>
      <c r="Z320" s="7">
        <v>4771.25</v>
      </c>
      <c r="AA320" s="8">
        <f>IFERROR(Z320/Z444, "NA")</f>
        <v>1.3249549251514668E-2</v>
      </c>
      <c r="AB320" s="9"/>
      <c r="AC320" s="10">
        <f t="shared" si="79"/>
        <v>420.89999999999964</v>
      </c>
      <c r="AD320" s="8">
        <f>IFERROR(AC320/AC444, "NA")</f>
        <v>1.0451064362317467E-2</v>
      </c>
    </row>
    <row r="321" spans="1:30" ht="16.5" customHeight="1" x14ac:dyDescent="0.45">
      <c r="A321" s="6" t="s">
        <v>293</v>
      </c>
      <c r="B321" s="7">
        <v>801.97</v>
      </c>
      <c r="C321" s="8">
        <f>IFERROR(B321/B444, "NA")</f>
        <v>7.3350822945617662E-3</v>
      </c>
      <c r="D321" s="9"/>
      <c r="E321" s="7">
        <v>1235.76</v>
      </c>
      <c r="F321" s="8">
        <f>IFERROR(E321/E444, "NA")</f>
        <v>1.2000011652759423E-2</v>
      </c>
      <c r="G321" s="9"/>
      <c r="H321" s="10">
        <f t="shared" si="76"/>
        <v>433.78999999999996</v>
      </c>
      <c r="I321" s="8">
        <f>IFERROR(H321/H444, "NA")</f>
        <v>6.8275001298482504E-2</v>
      </c>
      <c r="J321" s="9"/>
      <c r="K321" s="7">
        <v>1258.97</v>
      </c>
      <c r="L321" s="8">
        <f>IFERROR(K321/K444, "NA")</f>
        <v>1.3447933679491465E-2</v>
      </c>
      <c r="M321" s="9"/>
      <c r="N321" s="10">
        <f t="shared" si="77"/>
        <v>457</v>
      </c>
      <c r="O321" s="8">
        <f>IFERROR(N321/N444, "NA")</f>
        <v>2.907981167481263E-2</v>
      </c>
      <c r="P321" s="9"/>
      <c r="Q321" s="7">
        <v>3505.7</v>
      </c>
      <c r="R321" s="8">
        <f>IFERROR(Q321/Q444, "NA")</f>
        <v>8.7559318647285073E-3</v>
      </c>
      <c r="S321" s="9"/>
      <c r="T321" s="7">
        <v>4543.13</v>
      </c>
      <c r="U321" s="8">
        <f>IFERROR(T321/T444, "NA")</f>
        <v>1.1822550238220302E-2</v>
      </c>
      <c r="V321" s="9"/>
      <c r="W321" s="10">
        <f t="shared" si="78"/>
        <v>1037.4300000000003</v>
      </c>
      <c r="X321" s="8">
        <f>IFERROR(W321/W444, "NA")</f>
        <v>6.4423241126846387E-2</v>
      </c>
      <c r="Y321" s="9"/>
      <c r="Z321" s="7">
        <v>7261</v>
      </c>
      <c r="AA321" s="8">
        <f>IFERROR(Z321/Z444, "NA")</f>
        <v>2.0163474375739694E-2</v>
      </c>
      <c r="AB321" s="9"/>
      <c r="AC321" s="10">
        <f t="shared" si="79"/>
        <v>3755.3</v>
      </c>
      <c r="AD321" s="8">
        <f>IFERROR(AC321/AC444, "NA")</f>
        <v>9.3245146115017385E-2</v>
      </c>
    </row>
    <row r="322" spans="1:30" ht="16.5" customHeight="1" x14ac:dyDescent="0.45">
      <c r="A322" s="6" t="s">
        <v>294</v>
      </c>
      <c r="B322" s="7">
        <v>316.11</v>
      </c>
      <c r="C322" s="8">
        <f>IFERROR(B322/B444, "NA")</f>
        <v>2.8912463859420176E-3</v>
      </c>
      <c r="D322" s="9"/>
      <c r="E322" s="7">
        <v>354</v>
      </c>
      <c r="F322" s="8">
        <f>IFERROR(E322/E444, "NA")</f>
        <v>3.4375640294853657E-3</v>
      </c>
      <c r="G322" s="9"/>
      <c r="H322" s="10">
        <f t="shared" si="76"/>
        <v>37.889999999999986</v>
      </c>
      <c r="I322" s="8">
        <f>IFERROR(H322/H444, "NA")</f>
        <v>5.9635763830413364E-3</v>
      </c>
      <c r="J322" s="9"/>
      <c r="K322" s="7">
        <v>331.33</v>
      </c>
      <c r="L322" s="8">
        <f>IFERROR(K322/K444, "NA")</f>
        <v>3.5391660373367967E-3</v>
      </c>
      <c r="M322" s="9"/>
      <c r="N322" s="10">
        <f t="shared" si="77"/>
        <v>15.21999999999997</v>
      </c>
      <c r="O322" s="8">
        <f>IFERROR(N322/N444, "NA")</f>
        <v>9.6847862952001602E-4</v>
      </c>
      <c r="P322" s="9"/>
      <c r="Q322" s="7">
        <v>1575.96</v>
      </c>
      <c r="R322" s="8">
        <f>IFERROR(Q322/Q444, "NA")</f>
        <v>3.9361606473849843E-3</v>
      </c>
      <c r="S322" s="9"/>
      <c r="T322" s="7">
        <v>1416</v>
      </c>
      <c r="U322" s="8">
        <f>IFERROR(T322/T444, "NA")</f>
        <v>3.6848452800866249E-3</v>
      </c>
      <c r="V322" s="9"/>
      <c r="W322" s="10">
        <f t="shared" si="78"/>
        <v>-159.96000000000004</v>
      </c>
      <c r="X322" s="8">
        <f>IFERROR(W322/W444, "NA")</f>
        <v>-9.9333368522698858E-3</v>
      </c>
      <c r="Y322" s="9"/>
      <c r="Z322" s="7">
        <v>1499.3</v>
      </c>
      <c r="AA322" s="8">
        <f>IFERROR(Z322/Z444, "NA")</f>
        <v>4.1634894823779807E-3</v>
      </c>
      <c r="AB322" s="9"/>
      <c r="AC322" s="10">
        <f t="shared" si="79"/>
        <v>-76.660000000000082</v>
      </c>
      <c r="AD322" s="8">
        <f>IFERROR(AC322/AC444, "NA")</f>
        <v>-1.9034891756123987E-3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3853.07</v>
      </c>
      <c r="C324" s="15">
        <f>IFERROR(B324/B444, "NA")</f>
        <v>3.5241449850626709E-2</v>
      </c>
      <c r="D324" s="2"/>
      <c r="E324" s="14">
        <f>IFERROR(E297+E298+E299+E300+E301+E302+E303+E304+E305+E306+E307+E308+E309+E310+E311+E312+E313+E314+E315+E316+E317+E318+E319+E320+E321+E322+E323, "NA")</f>
        <v>4122.68</v>
      </c>
      <c r="F324" s="15">
        <f>IFERROR(E324/E444, "NA")</f>
        <v>4.0033831844855164E-2</v>
      </c>
      <c r="G324" s="2"/>
      <c r="H324" s="14">
        <f t="shared" si="76"/>
        <v>269.61000000000013</v>
      </c>
      <c r="I324" s="15">
        <f>IFERROR(H324/H444, "NA")</f>
        <v>4.2434410890255375E-2</v>
      </c>
      <c r="J324" s="2"/>
      <c r="K324" s="14">
        <f>IFERROR(K297+K298+K299+K300+K301+K302+K303+K304+K305+K306+K307+K308+K309+K310+K311+K312+K313+K314+K315+K316+K317+K318+K319+K320+K321+K322+K323, "NA")</f>
        <v>4779.12</v>
      </c>
      <c r="L324" s="15">
        <f>IFERROR(K324/K444, "NA")</f>
        <v>5.1049102684203158E-2</v>
      </c>
      <c r="M324" s="2"/>
      <c r="N324" s="14">
        <f t="shared" si="77"/>
        <v>926.04999999999973</v>
      </c>
      <c r="O324" s="15">
        <f>IFERROR(N324/N444, "NA")</f>
        <v>5.8926388624639447E-2</v>
      </c>
      <c r="P324" s="2"/>
      <c r="Q324" s="14">
        <f>IFERROR(Q297+Q298+Q299+Q300+Q301+Q302+Q303+Q304+Q305+Q306+Q307+Q308+Q309+Q310+Q311+Q312+Q313+Q314+Q315+Q316+Q317+Q318+Q319+Q320+Q321+Q322+Q323, "NA")</f>
        <v>15857.579999999998</v>
      </c>
      <c r="R324" s="15">
        <f>IFERROR(Q324/Q444, "NA")</f>
        <v>3.9606323992207398E-2</v>
      </c>
      <c r="S324" s="2"/>
      <c r="T324" s="14">
        <f>IFERROR(T297+T298+T299+T300+T301+T302+T303+T304+T305+T306+T307+T308+T309+T310+T311+T312+T313+T314+T315+T316+T317+T318+T319+T320+T321+T322+T323, "NA")</f>
        <v>15980.240000000002</v>
      </c>
      <c r="U324" s="15">
        <f>IFERROR(T324/T444, "NA")</f>
        <v>4.1585248544245404E-2</v>
      </c>
      <c r="V324" s="2"/>
      <c r="W324" s="14">
        <f t="shared" si="78"/>
        <v>122.66000000000349</v>
      </c>
      <c r="X324" s="15">
        <f>IFERROR(W324/W444, "NA")</f>
        <v>7.6170486265282481E-3</v>
      </c>
      <c r="Y324" s="2"/>
      <c r="Z324" s="14">
        <f>IFERROR(Z297+Z298+Z299+Z300+Z301+Z302+Z303+Z304+Z305+Z306+Z307+Z308+Z309+Z310+Z311+Z312+Z313+Z314+Z315+Z316+Z317+Z318+Z319+Z320+Z321+Z322+Z323, "NA")</f>
        <v>18926.39</v>
      </c>
      <c r="AA324" s="15">
        <f>IFERROR(Z324/Z444, "NA")</f>
        <v>5.2557744083494826E-2</v>
      </c>
      <c r="AB324" s="2"/>
      <c r="AC324" s="14">
        <f t="shared" si="79"/>
        <v>3068.8100000000013</v>
      </c>
      <c r="AD324" s="15">
        <f>IFERROR(AC324/AC444, "NA")</f>
        <v>7.6199407996492052E-2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29080.029999999995</v>
      </c>
      <c r="C325" s="15">
        <f>IFERROR(B325/B444, "NA")</f>
        <v>0.26597555167690184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25676.469999999998</v>
      </c>
      <c r="F325" s="15">
        <f>IFERROR(E325/E444, "NA")</f>
        <v>0.24933477309649746</v>
      </c>
      <c r="G325" s="2"/>
      <c r="H325" s="14">
        <f t="shared" si="76"/>
        <v>-3403.5599999999977</v>
      </c>
      <c r="I325" s="15">
        <f>IFERROR(H325/H444, "NA")</f>
        <v>-0.53569253191512711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23692.500000000011</v>
      </c>
      <c r="L325" s="15">
        <f>IFERROR(K325/K444, "NA")</f>
        <v>0.25307606114629555</v>
      </c>
      <c r="M325" s="2"/>
      <c r="N325" s="14">
        <f t="shared" si="77"/>
        <v>-5387.5299999999843</v>
      </c>
      <c r="O325" s="15">
        <f>IFERROR(N325/N444, "NA")</f>
        <v>-0.34281916365952475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114499.06999999998</v>
      </c>
      <c r="R325" s="15">
        <f>IFERROR(Q325/Q444, "NA")</f>
        <v>0.28597599780208793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96897.46</v>
      </c>
      <c r="U325" s="15">
        <f>IFERROR(T325/T444, "NA")</f>
        <v>0.25215547184560916</v>
      </c>
      <c r="V325" s="2"/>
      <c r="W325" s="14">
        <f t="shared" si="78"/>
        <v>-17601.609999999971</v>
      </c>
      <c r="X325" s="15">
        <f>IFERROR(W325/W444, "NA")</f>
        <v>-1.0930402680187661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111038.69</v>
      </c>
      <c r="AA325" s="15">
        <f>IFERROR(Z325/Z444, "NA")</f>
        <v>0.3083495084052752</v>
      </c>
      <c r="AB325" s="2"/>
      <c r="AC325" s="14">
        <f t="shared" si="79"/>
        <v>-3460.3799999999756</v>
      </c>
      <c r="AD325" s="15">
        <f>IFERROR(AC325/AC444, "NA")</f>
        <v>-8.5922200280531935E-2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11441.92</v>
      </c>
      <c r="C329" s="8">
        <f>IFERROR(B329/B444, "NA")</f>
        <v>0.10465157650260254</v>
      </c>
      <c r="D329" s="9"/>
      <c r="E329" s="7">
        <v>11441.92</v>
      </c>
      <c r="F329" s="8">
        <f>IFERROR(E329/E444, "NA")</f>
        <v>0.11110828423799209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11108.66</v>
      </c>
      <c r="L329" s="8">
        <f>IFERROR(K329/K444, "NA")</f>
        <v>0.11865931908466418</v>
      </c>
      <c r="M329" s="9"/>
      <c r="N329" s="10">
        <f t="shared" si="81"/>
        <v>-333.26000000000022</v>
      </c>
      <c r="O329" s="8">
        <f>IFERROR(N329/N444, "NA")</f>
        <v>-2.1205991332052653E-2</v>
      </c>
      <c r="P329" s="9"/>
      <c r="Q329" s="7">
        <v>45767.68</v>
      </c>
      <c r="R329" s="8">
        <f>IFERROR(Q329/Q444, "NA")</f>
        <v>0.11431060492532094</v>
      </c>
      <c r="S329" s="9"/>
      <c r="T329" s="7">
        <v>45767.68</v>
      </c>
      <c r="U329" s="8">
        <f>IFERROR(T329/T444, "NA")</f>
        <v>0.11910086131957276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27288.05</v>
      </c>
      <c r="AA329" s="8">
        <f>IFERROR(Z329/Z444, "NA")</f>
        <v>7.5777702374177594E-2</v>
      </c>
      <c r="AB329" s="9"/>
      <c r="AC329" s="10">
        <f t="shared" si="83"/>
        <v>-18479.63</v>
      </c>
      <c r="AD329" s="8">
        <f>IFERROR(AC329/AC444, "NA")</f>
        <v>-0.45885436569687077</v>
      </c>
    </row>
    <row r="330" spans="1:30" ht="16.5" customHeight="1" x14ac:dyDescent="0.45">
      <c r="A330" s="6" t="s">
        <v>301</v>
      </c>
      <c r="B330" s="7">
        <v>1183.3699999999999</v>
      </c>
      <c r="C330" s="8">
        <f>IFERROR(B330/B444, "NA")</f>
        <v>1.0823492568195264E-2</v>
      </c>
      <c r="D330" s="9"/>
      <c r="E330" s="7">
        <v>1183.3699999999999</v>
      </c>
      <c r="F330" s="8">
        <f>IFERROR(E330/E444, "NA")</f>
        <v>1.1491271597661291E-2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1026.43</v>
      </c>
      <c r="L330" s="8">
        <f>IFERROR(K330/K444, "NA")</f>
        <v>1.0964012301040077E-2</v>
      </c>
      <c r="M330" s="9"/>
      <c r="N330" s="10">
        <f t="shared" si="81"/>
        <v>-156.93999999999983</v>
      </c>
      <c r="O330" s="8">
        <f>IFERROR(N330/N444, "NA")</f>
        <v>-9.9864018473634335E-3</v>
      </c>
      <c r="P330" s="9"/>
      <c r="Q330" s="7">
        <v>4614.37</v>
      </c>
      <c r="R330" s="8">
        <f>IFERROR(Q330/Q444, "NA")</f>
        <v>1.1524976272541086E-2</v>
      </c>
      <c r="S330" s="9"/>
      <c r="T330" s="7">
        <v>4733.4799999999996</v>
      </c>
      <c r="U330" s="8">
        <f>IFERROR(T330/T444, "NA")</f>
        <v>1.2317896494621776E-2</v>
      </c>
      <c r="V330" s="9"/>
      <c r="W330" s="10">
        <f t="shared" si="82"/>
        <v>119.10999999999967</v>
      </c>
      <c r="X330" s="8">
        <f>IFERROR(W330/W444, "NA")</f>
        <v>7.3965976023622317E-3</v>
      </c>
      <c r="Y330" s="9"/>
      <c r="Z330" s="7">
        <v>1896.02</v>
      </c>
      <c r="AA330" s="8">
        <f>IFERROR(Z330/Z444, "NA")</f>
        <v>5.2651632951232572E-3</v>
      </c>
      <c r="AB330" s="9"/>
      <c r="AC330" s="10">
        <f t="shared" si="83"/>
        <v>-2718.35</v>
      </c>
      <c r="AD330" s="8">
        <f>IFERROR(AC330/AC444, "NA")</f>
        <v>-6.74973884754234E-2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781.76</v>
      </c>
      <c r="C333" s="8">
        <f>IFERROR(B333/B444, "NA")</f>
        <v>7.1502349646453186E-3</v>
      </c>
      <c r="D333" s="9"/>
      <c r="E333" s="7">
        <v>860</v>
      </c>
      <c r="F333" s="8">
        <f>IFERROR(E333/E444, "NA")</f>
        <v>8.3511442524220759E-3</v>
      </c>
      <c r="G333" s="9"/>
      <c r="H333" s="10">
        <f t="shared" si="80"/>
        <v>78.240000000000009</v>
      </c>
      <c r="I333" s="8">
        <f>IFERROR(H333/H444, "NA")</f>
        <v>1.2314336664269052E-2</v>
      </c>
      <c r="J333" s="9"/>
      <c r="K333" s="7">
        <v>860.16</v>
      </c>
      <c r="L333" s="8">
        <f>IFERROR(K333/K444, "NA")</f>
        <v>9.1879668568364443E-3</v>
      </c>
      <c r="M333" s="9"/>
      <c r="N333" s="10">
        <f t="shared" si="81"/>
        <v>78.399999999999977</v>
      </c>
      <c r="O333" s="8">
        <f>IFERROR(N333/N444, "NA")</f>
        <v>4.9887466855696051E-3</v>
      </c>
      <c r="P333" s="9"/>
      <c r="Q333" s="7">
        <v>2194.2600000000002</v>
      </c>
      <c r="R333" s="8">
        <f>IFERROR(Q333/Q444, "NA")</f>
        <v>5.4804435786003306E-3</v>
      </c>
      <c r="S333" s="9"/>
      <c r="T333" s="7">
        <v>3440</v>
      </c>
      <c r="U333" s="8">
        <f>IFERROR(T333/T444, "NA")</f>
        <v>8.9518840137697668E-3</v>
      </c>
      <c r="V333" s="9"/>
      <c r="W333" s="10">
        <f t="shared" si="82"/>
        <v>1245.7399999999998</v>
      </c>
      <c r="X333" s="8">
        <f>IFERROR(W333/W444, "NA")</f>
        <v>7.7359058829374105E-2</v>
      </c>
      <c r="Y333" s="9"/>
      <c r="Z333" s="7">
        <v>4729.67</v>
      </c>
      <c r="AA333" s="8">
        <f>IFERROR(Z333/Z444, "NA")</f>
        <v>1.3134083439017319E-2</v>
      </c>
      <c r="AB333" s="9"/>
      <c r="AC333" s="10">
        <f t="shared" si="83"/>
        <v>2535.41</v>
      </c>
      <c r="AD333" s="8">
        <f>IFERROR(AC333/AC444, "NA")</f>
        <v>6.2954937265059047E-2</v>
      </c>
    </row>
    <row r="334" spans="1:30" ht="16.5" customHeight="1" x14ac:dyDescent="0.45">
      <c r="A334" s="6" t="s">
        <v>305</v>
      </c>
      <c r="B334" s="7">
        <v>-881.03</v>
      </c>
      <c r="C334" s="8">
        <f>IFERROR(B334/B444, "NA")</f>
        <v>-8.0581911467732612E-3</v>
      </c>
      <c r="D334" s="9"/>
      <c r="E334" s="7">
        <v>-881.03</v>
      </c>
      <c r="F334" s="8">
        <f>IFERROR(E334/E444, "NA")</f>
        <v>-8.555358861292349E-3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-855.37</v>
      </c>
      <c r="L334" s="8">
        <f>IFERROR(K334/K444, "NA")</f>
        <v>-9.1368015373095579E-3</v>
      </c>
      <c r="M334" s="9"/>
      <c r="N334" s="10">
        <f t="shared" si="81"/>
        <v>25.659999999999968</v>
      </c>
      <c r="O334" s="8">
        <f>IFERROR(N334/N444, "NA")</f>
        <v>1.6327964279555605E-3</v>
      </c>
      <c r="P334" s="9"/>
      <c r="Q334" s="7">
        <v>-881.03</v>
      </c>
      <c r="R334" s="8">
        <f>IFERROR(Q334/Q444, "NA")</f>
        <v>-2.200484539687297E-3</v>
      </c>
      <c r="S334" s="9"/>
      <c r="T334" s="7">
        <v>-881.03</v>
      </c>
      <c r="U334" s="8">
        <f>IFERROR(T334/T444, "NA")</f>
        <v>-2.2926972013522025E-3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-855.37</v>
      </c>
      <c r="AA334" s="8">
        <f>IFERROR(Z334/Z444, "NA")</f>
        <v>-2.3753244837868698E-3</v>
      </c>
      <c r="AB334" s="9"/>
      <c r="AC334" s="10">
        <f t="shared" si="83"/>
        <v>25.659999999999968</v>
      </c>
      <c r="AD334" s="8">
        <f>IFERROR(AC334/AC444, "NA")</f>
        <v>6.3714495494670014E-4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1247.54</v>
      </c>
      <c r="C338" s="8">
        <f>IFERROR(B338/B444, "NA")</f>
        <v>1.1410412566252585E-2</v>
      </c>
      <c r="D338" s="9"/>
      <c r="E338" s="7">
        <v>1235.76</v>
      </c>
      <c r="F338" s="8">
        <f>IFERROR(E338/E444, "NA")</f>
        <v>1.2000011652759423E-2</v>
      </c>
      <c r="G338" s="9"/>
      <c r="H338" s="10">
        <f t="shared" si="84"/>
        <v>-11.779999999999973</v>
      </c>
      <c r="I338" s="8">
        <f>IFERROR(H338/H444, "NA")</f>
        <v>-1.8540757400957195E-3</v>
      </c>
      <c r="J338" s="9"/>
      <c r="K338" s="7">
        <v>1036.51</v>
      </c>
      <c r="L338" s="8">
        <f>IFERROR(K338/K444, "NA")</f>
        <v>1.1071683787643628E-2</v>
      </c>
      <c r="M338" s="9"/>
      <c r="N338" s="10">
        <f t="shared" si="85"/>
        <v>-211.02999999999997</v>
      </c>
      <c r="O338" s="8">
        <f>IFERROR(N338/N444, "NA")</f>
        <v>-1.3428255268568289E-2</v>
      </c>
      <c r="P338" s="9"/>
      <c r="Q338" s="7">
        <v>4345.8</v>
      </c>
      <c r="R338" s="8">
        <f>IFERROR(Q338/Q444, "NA")</f>
        <v>1.0854188520905141E-2</v>
      </c>
      <c r="S338" s="9"/>
      <c r="T338" s="7">
        <v>4611.32</v>
      </c>
      <c r="U338" s="8">
        <f>IFERROR(T338/T444, "NA")</f>
        <v>1.2000000520458371E-2</v>
      </c>
      <c r="V338" s="9"/>
      <c r="W338" s="10">
        <f t="shared" si="86"/>
        <v>265.51999999999953</v>
      </c>
      <c r="X338" s="8">
        <f>IFERROR(W338/W444, "NA")</f>
        <v>1.6488494629999344E-2</v>
      </c>
      <c r="Y338" s="9"/>
      <c r="Z338" s="7">
        <v>3688.38</v>
      </c>
      <c r="AA338" s="8">
        <f>IFERROR(Z338/Z444, "NA")</f>
        <v>1.024246737611772E-2</v>
      </c>
      <c r="AB338" s="9"/>
      <c r="AC338" s="10">
        <f t="shared" si="87"/>
        <v>-657.42000000000007</v>
      </c>
      <c r="AD338" s="8">
        <f>IFERROR(AC338/AC444, "NA")</f>
        <v>-1.6323921912745915E-2</v>
      </c>
    </row>
    <row r="339" spans="1:30" ht="16.5" customHeight="1" x14ac:dyDescent="0.45">
      <c r="A339" s="12" t="s">
        <v>309</v>
      </c>
      <c r="B339" s="7">
        <v>328.08</v>
      </c>
      <c r="C339" s="8">
        <f>IFERROR(B339/B444, "NA")</f>
        <v>3.0007279564071274E-3</v>
      </c>
      <c r="D339" s="9"/>
      <c r="E339" s="7">
        <v>514.9</v>
      </c>
      <c r="F339" s="8">
        <f>IFERROR(E339/E444, "NA")</f>
        <v>5.0000048553164259E-3</v>
      </c>
      <c r="G339" s="9"/>
      <c r="H339" s="10">
        <f t="shared" si="84"/>
        <v>186.82</v>
      </c>
      <c r="I339" s="8">
        <f>IFERROR(H339/H444, "NA")</f>
        <v>2.9403941406170041E-2</v>
      </c>
      <c r="J339" s="9"/>
      <c r="K339" s="7">
        <v>395.46</v>
      </c>
      <c r="L339" s="8">
        <f>IFERROR(K339/K444, "NA")</f>
        <v>4.2241831440714989E-3</v>
      </c>
      <c r="M339" s="9"/>
      <c r="N339" s="10">
        <f t="shared" si="85"/>
        <v>67.38</v>
      </c>
      <c r="O339" s="8">
        <f>IFERROR(N339/N444, "NA")</f>
        <v>4.2875223427765313E-3</v>
      </c>
      <c r="P339" s="9"/>
      <c r="Q339" s="7">
        <v>2218.3200000000002</v>
      </c>
      <c r="R339" s="8">
        <f>IFERROR(Q339/Q444, "NA")</f>
        <v>5.5405364903341825E-3</v>
      </c>
      <c r="S339" s="9"/>
      <c r="T339" s="7">
        <v>1921.38</v>
      </c>
      <c r="U339" s="8">
        <f>IFERROR(T339/T444, "NA")</f>
        <v>4.99999154255144E-3</v>
      </c>
      <c r="V339" s="9"/>
      <c r="W339" s="10">
        <f t="shared" si="86"/>
        <v>-296.94000000000005</v>
      </c>
      <c r="X339" s="8">
        <f>IFERROR(W339/W444, "NA")</f>
        <v>-1.8439641441066641E-2</v>
      </c>
      <c r="Y339" s="9"/>
      <c r="Z339" s="7">
        <v>2436.5100000000002</v>
      </c>
      <c r="AA339" s="8">
        <f>IFERROR(Z339/Z444, "NA")</f>
        <v>6.7660800098104283E-3</v>
      </c>
      <c r="AB339" s="9"/>
      <c r="AC339" s="10">
        <f t="shared" si="87"/>
        <v>218.19000000000005</v>
      </c>
      <c r="AD339" s="8">
        <f>IFERROR(AC339/AC444, "NA")</f>
        <v>5.4177185393538864E-3</v>
      </c>
    </row>
    <row r="340" spans="1:30" ht="16.5" customHeight="1" x14ac:dyDescent="0.45">
      <c r="A340" s="12" t="s">
        <v>310</v>
      </c>
      <c r="B340" s="7">
        <v>349.03</v>
      </c>
      <c r="C340" s="8">
        <f>IFERROR(B340/B444, "NA")</f>
        <v>3.1923435705461462E-3</v>
      </c>
      <c r="D340" s="9"/>
      <c r="E340" s="7">
        <v>411.92</v>
      </c>
      <c r="F340" s="8">
        <f>IFERROR(E340/E444, "NA")</f>
        <v>4.0000038842531414E-3</v>
      </c>
      <c r="G340" s="9"/>
      <c r="H340" s="10">
        <f t="shared" si="84"/>
        <v>62.890000000000043</v>
      </c>
      <c r="I340" s="8">
        <f>IFERROR(H340/H444, "NA")</f>
        <v>9.8983720963174999E-3</v>
      </c>
      <c r="J340" s="9"/>
      <c r="K340" s="7">
        <v>367.98</v>
      </c>
      <c r="L340" s="8">
        <f>IFERROR(K340/K444, "NA")</f>
        <v>3.9306501627356244E-3</v>
      </c>
      <c r="M340" s="9"/>
      <c r="N340" s="10">
        <f t="shared" si="85"/>
        <v>18.950000000000045</v>
      </c>
      <c r="O340" s="8">
        <f>IFERROR(N340/N444, "NA")</f>
        <v>1.2058258889227585E-3</v>
      </c>
      <c r="P340" s="9"/>
      <c r="Q340" s="7">
        <v>1760.46</v>
      </c>
      <c r="R340" s="8">
        <f>IFERROR(Q340/Q444, "NA")</f>
        <v>4.3969728757680205E-3</v>
      </c>
      <c r="S340" s="9"/>
      <c r="T340" s="7">
        <v>1537.11</v>
      </c>
      <c r="U340" s="8">
        <f>IFERROR(T340/T444, "NA")</f>
        <v>4.0000088477923383E-3</v>
      </c>
      <c r="V340" s="9"/>
      <c r="W340" s="10">
        <f t="shared" si="86"/>
        <v>-223.35000000000014</v>
      </c>
      <c r="X340" s="8">
        <f>IFERROR(W340/W444, "NA")</f>
        <v>-1.3869784858430106E-2</v>
      </c>
      <c r="Y340" s="9"/>
      <c r="Z340" s="7">
        <v>1436.8</v>
      </c>
      <c r="AA340" s="8">
        <f>IFERROR(Z340/Z444, "NA")</f>
        <v>3.9899297594081793E-3</v>
      </c>
      <c r="AB340" s="9"/>
      <c r="AC340" s="10">
        <f t="shared" si="87"/>
        <v>-323.66000000000008</v>
      </c>
      <c r="AD340" s="8">
        <f>IFERROR(AC340/AC444, "NA")</f>
        <v>-8.0365680482482188E-3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1924.6499999999999</v>
      </c>
      <c r="C342" s="15">
        <f>IFERROR(B342/B444, "NA")</f>
        <v>1.7603484093205859E-2</v>
      </c>
      <c r="D342" s="2"/>
      <c r="E342" s="14">
        <f>IFERROR(E337+E338+E339+E340+E341, "NA")</f>
        <v>2162.58</v>
      </c>
      <c r="F342" s="15">
        <f>IFERROR(E342/E444, "NA")</f>
        <v>2.100002039232899E-2</v>
      </c>
      <c r="G342" s="2"/>
      <c r="H342" s="14">
        <f t="shared" si="84"/>
        <v>237.93000000000006</v>
      </c>
      <c r="I342" s="15">
        <f>IFERROR(H342/H444, "NA")</f>
        <v>3.7448237762391819E-2</v>
      </c>
      <c r="J342" s="2"/>
      <c r="K342" s="14">
        <f>IFERROR(K337+K338+K339+K340+K341, "NA")</f>
        <v>1799.95</v>
      </c>
      <c r="L342" s="15">
        <f>IFERROR(K342/K444, "NA")</f>
        <v>1.9226517094450751E-2</v>
      </c>
      <c r="M342" s="2"/>
      <c r="N342" s="14">
        <f t="shared" si="85"/>
        <v>-124.69999999999982</v>
      </c>
      <c r="O342" s="15">
        <f>IFERROR(N342/N444, "NA")</f>
        <v>-7.934907036868992E-3</v>
      </c>
      <c r="P342" s="2"/>
      <c r="Q342" s="14">
        <f>IFERROR(Q337+Q338+Q339+Q340+Q341, "NA")</f>
        <v>8324.5800000000017</v>
      </c>
      <c r="R342" s="15">
        <f>IFERROR(Q342/Q444, "NA")</f>
        <v>2.0791697887007347E-2</v>
      </c>
      <c r="S342" s="2"/>
      <c r="T342" s="14">
        <f>IFERROR(T337+T338+T339+T340+T341, "NA")</f>
        <v>8069.8099999999995</v>
      </c>
      <c r="U342" s="15">
        <f>IFERROR(T342/T444, "NA")</f>
        <v>2.100000091080215E-2</v>
      </c>
      <c r="V342" s="2"/>
      <c r="W342" s="14">
        <f t="shared" si="86"/>
        <v>-254.77000000000226</v>
      </c>
      <c r="X342" s="15">
        <f>IFERROR(W342/W444, "NA")</f>
        <v>-1.5820931669497502E-2</v>
      </c>
      <c r="Y342" s="2"/>
      <c r="Z342" s="14">
        <f>IFERROR(Z337+Z338+Z339+Z340+Z341, "NA")</f>
        <v>7561.6900000000005</v>
      </c>
      <c r="AA342" s="15">
        <f>IFERROR(Z342/Z444, "NA")</f>
        <v>2.0998477145336328E-2</v>
      </c>
      <c r="AB342" s="2"/>
      <c r="AC342" s="14">
        <f t="shared" si="87"/>
        <v>-762.89000000000124</v>
      </c>
      <c r="AD342" s="15">
        <f>IFERROR(AC342/AC444, "NA")</f>
        <v>-1.8942771421640275E-2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14450.670000000002</v>
      </c>
      <c r="C343" s="15">
        <f>IFERROR(B343/B444, "NA")</f>
        <v>0.13217059698187575</v>
      </c>
      <c r="D343" s="2"/>
      <c r="E343" s="14">
        <f>IFERROR(E328+E329+E330+E331+E332+E333+E334+E335+E337+E338+E339+E340+E341, "NA")</f>
        <v>14766.84</v>
      </c>
      <c r="F343" s="15">
        <f>IFERROR(E343/E444, "NA")</f>
        <v>0.14339536161911209</v>
      </c>
      <c r="G343" s="2"/>
      <c r="H343" s="14">
        <f t="shared" si="84"/>
        <v>316.16999999999825</v>
      </c>
      <c r="I343" s="15">
        <f>IFERROR(H343/H444, "NA")</f>
        <v>4.9762574426660586E-2</v>
      </c>
      <c r="J343" s="2"/>
      <c r="K343" s="14">
        <f>IFERROR(K328+K329+K330+K331+K332+K333+K334+K335+K337+K338+K339+K340+K341, "NA")</f>
        <v>13939.829999999998</v>
      </c>
      <c r="L343" s="15">
        <f>IFERROR(K343/K444, "NA")</f>
        <v>0.14890101379968188</v>
      </c>
      <c r="M343" s="2"/>
      <c r="N343" s="14">
        <f t="shared" si="85"/>
        <v>-510.84000000000378</v>
      </c>
      <c r="O343" s="15">
        <f>IFERROR(N343/N444, "NA")</f>
        <v>-3.2505757102760158E-2</v>
      </c>
      <c r="P343" s="2"/>
      <c r="Q343" s="14">
        <f>IFERROR(Q328+Q329+Q330+Q331+Q332+Q333+Q334+Q335+Q337+Q338+Q339+Q340+Q341, "NA")</f>
        <v>60019.860000000008</v>
      </c>
      <c r="R343" s="15">
        <f>IFERROR(Q343/Q444, "NA")</f>
        <v>0.14990723812378243</v>
      </c>
      <c r="S343" s="2"/>
      <c r="T343" s="14">
        <f>IFERROR(T328+T329+T330+T331+T332+T333+T334+T335+T337+T338+T339+T340+T341, "NA")</f>
        <v>61129.94</v>
      </c>
      <c r="U343" s="15">
        <f>IFERROR(T343/T444, "NA")</f>
        <v>0.15907794553741425</v>
      </c>
      <c r="V343" s="2"/>
      <c r="W343" s="14">
        <f t="shared" si="86"/>
        <v>1110.0799999999945</v>
      </c>
      <c r="X343" s="15">
        <f>IFERROR(W343/W444, "NA")</f>
        <v>6.8934724762238664E-2</v>
      </c>
      <c r="Y343" s="2"/>
      <c r="Z343" s="14">
        <f>IFERROR(Z328+Z329+Z330+Z331+Z332+Z333+Z334+Z335+Z337+Z338+Z339+Z340+Z341, "NA")</f>
        <v>40620.06</v>
      </c>
      <c r="AA343" s="15">
        <f>IFERROR(Z343/Z444, "NA")</f>
        <v>0.11280010176986763</v>
      </c>
      <c r="AB343" s="2"/>
      <c r="AC343" s="14">
        <f t="shared" si="87"/>
        <v>-19399.80000000001</v>
      </c>
      <c r="AD343" s="15">
        <f>IFERROR(AC343/AC444, "NA")</f>
        <v>-0.48170244337392892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14450.670000000002</v>
      </c>
      <c r="C344" s="15">
        <f>IFERROR(B344/B444, "NA")</f>
        <v>0.13217059698187575</v>
      </c>
      <c r="D344" s="2"/>
      <c r="E344" s="14">
        <f>IFERROR(E328+E329+E330+E331+E332+E333+E334+E335+E337+E338+E339+E340+E341, "NA")</f>
        <v>14766.84</v>
      </c>
      <c r="F344" s="15">
        <f>IFERROR(E344/E444, "NA")</f>
        <v>0.14339536161911209</v>
      </c>
      <c r="G344" s="2"/>
      <c r="H344" s="14">
        <f t="shared" si="84"/>
        <v>316.16999999999825</v>
      </c>
      <c r="I344" s="15">
        <f>IFERROR(H344/H444, "NA")</f>
        <v>4.9762574426660586E-2</v>
      </c>
      <c r="J344" s="2"/>
      <c r="K344" s="14">
        <f>IFERROR(K328+K329+K330+K331+K332+K333+K334+K335+K337+K338+K339+K340+K341, "NA")</f>
        <v>13939.829999999998</v>
      </c>
      <c r="L344" s="15">
        <f>IFERROR(K344/K444, "NA")</f>
        <v>0.14890101379968188</v>
      </c>
      <c r="M344" s="2"/>
      <c r="N344" s="14">
        <f t="shared" si="85"/>
        <v>-510.84000000000378</v>
      </c>
      <c r="O344" s="15">
        <f>IFERROR(N344/N444, "NA")</f>
        <v>-3.2505757102760158E-2</v>
      </c>
      <c r="P344" s="2"/>
      <c r="Q344" s="14">
        <f>IFERROR(Q328+Q329+Q330+Q331+Q332+Q333+Q334+Q335+Q337+Q338+Q339+Q340+Q341, "NA")</f>
        <v>60019.860000000008</v>
      </c>
      <c r="R344" s="15">
        <f>IFERROR(Q344/Q444, "NA")</f>
        <v>0.14990723812378243</v>
      </c>
      <c r="S344" s="2"/>
      <c r="T344" s="14">
        <f>IFERROR(T328+T329+T330+T331+T332+T333+T334+T335+T337+T338+T339+T340+T341, "NA")</f>
        <v>61129.94</v>
      </c>
      <c r="U344" s="15">
        <f>IFERROR(T344/T444, "NA")</f>
        <v>0.15907794553741425</v>
      </c>
      <c r="V344" s="2"/>
      <c r="W344" s="14">
        <f t="shared" si="86"/>
        <v>1110.0799999999945</v>
      </c>
      <c r="X344" s="15">
        <f>IFERROR(W344/W444, "NA")</f>
        <v>6.8934724762238664E-2</v>
      </c>
      <c r="Y344" s="2"/>
      <c r="Z344" s="14">
        <f>IFERROR(Z328+Z329+Z330+Z331+Z332+Z333+Z334+Z335+Z337+Z338+Z339+Z340+Z341, "NA")</f>
        <v>40620.06</v>
      </c>
      <c r="AA344" s="15">
        <f>IFERROR(Z344/Z444, "NA")</f>
        <v>0.11280010176986763</v>
      </c>
      <c r="AB344" s="2"/>
      <c r="AC344" s="14">
        <f t="shared" si="87"/>
        <v>-19399.80000000001</v>
      </c>
      <c r="AD344" s="15">
        <f>IFERROR(AC344/AC444, "NA")</f>
        <v>-0.48170244337392892</v>
      </c>
    </row>
    <row r="345" spans="1:30" ht="16.5" customHeight="1" x14ac:dyDescent="0.45">
      <c r="A345" s="22" t="s">
        <v>315</v>
      </c>
      <c r="B345" s="23">
        <f>IFERROR(B198-B325-B344, "NA")</f>
        <v>6470.679999999993</v>
      </c>
      <c r="C345" s="24">
        <f>IFERROR(B345/B444, "NA")</f>
        <v>5.9182974801769241E-2</v>
      </c>
      <c r="D345" s="25"/>
      <c r="E345" s="23">
        <f>IFERROR(E198-E325-E344, "NA")</f>
        <v>5318.160000000018</v>
      </c>
      <c r="F345" s="24">
        <f>IFERROR(E345/E444, "NA")</f>
        <v>5.1642699206350152E-2</v>
      </c>
      <c r="G345" s="25"/>
      <c r="H345" s="23">
        <f>IFERROR(B345-E345, "NA")</f>
        <v>1152.519999999975</v>
      </c>
      <c r="I345" s="24">
        <f>IFERROR(H345/H444, "NA")</f>
        <v>0.18139723021859738</v>
      </c>
      <c r="J345" s="25"/>
      <c r="K345" s="23">
        <f>IFERROR(K198-K325-K344, "NA")</f>
        <v>-3816.8099999999904</v>
      </c>
      <c r="L345" s="24">
        <f>IFERROR(K345/K444, "NA")</f>
        <v>-4.0770000672946685E-2</v>
      </c>
      <c r="M345" s="25"/>
      <c r="N345" s="23">
        <f>IFERROR(B345-K345, "NA")</f>
        <v>10287.489999999983</v>
      </c>
      <c r="O345" s="24">
        <f>IFERROR(N345/N444, "NA")</f>
        <v>0.65461328622870385</v>
      </c>
      <c r="P345" s="25"/>
      <c r="Q345" s="23">
        <f>IFERROR(Q198-Q325-Q344, "NA")</f>
        <v>12865.340000000091</v>
      </c>
      <c r="R345" s="24">
        <f>IFERROR(Q345/Q444, "NA")</f>
        <v>3.2132823817373722E-2</v>
      </c>
      <c r="S345" s="25"/>
      <c r="T345" s="23">
        <f>IFERROR(T198-T325-T344, "NA")</f>
        <v>11444.000000000073</v>
      </c>
      <c r="U345" s="24">
        <f>IFERROR(T345/T444, "NA")</f>
        <v>2.9780628096971472E-2</v>
      </c>
      <c r="V345" s="25"/>
      <c r="W345" s="23">
        <f>IFERROR(Q345-T345, "NA")</f>
        <v>1421.3400000000183</v>
      </c>
      <c r="X345" s="24">
        <f>IFERROR(W345/W444, "NA")</f>
        <v>8.8263622165575512E-2</v>
      </c>
      <c r="Y345" s="25"/>
      <c r="Z345" s="23">
        <f>IFERROR(Z198-Z325-Z344, "NA")</f>
        <v>-2947.7500000000291</v>
      </c>
      <c r="AA345" s="24">
        <f>IFERROR(Z345/Z444, "NA")</f>
        <v>-8.185770774147812E-3</v>
      </c>
      <c r="AB345" s="25"/>
      <c r="AC345" s="23">
        <f>IFERROR(Q345-Z345, "NA")</f>
        <v>15813.09000000012</v>
      </c>
      <c r="AD345" s="24">
        <f>IFERROR(AC345/AC444, "NA")</f>
        <v>0.39264343396797369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6470.679999999993</v>
      </c>
      <c r="C404" s="24">
        <f>IFERROR(B404/B444, "NA")</f>
        <v>5.9182974801769241E-2</v>
      </c>
      <c r="D404" s="25"/>
      <c r="E404" s="23">
        <f>IFERROR(E345-E403, "NA")</f>
        <v>5318.160000000018</v>
      </c>
      <c r="F404" s="24">
        <f>IFERROR(E404/E444, "NA")</f>
        <v>5.1642699206350152E-2</v>
      </c>
      <c r="G404" s="25"/>
      <c r="H404" s="23">
        <f>IFERROR(B404-E404, "NA")</f>
        <v>1152.519999999975</v>
      </c>
      <c r="I404" s="24">
        <f>IFERROR(H404/H444, "NA")</f>
        <v>0.18139723021859738</v>
      </c>
      <c r="J404" s="25"/>
      <c r="K404" s="23">
        <f>IFERROR(K345-K403, "NA")</f>
        <v>-3816.8099999999904</v>
      </c>
      <c r="L404" s="24">
        <f>IFERROR(K404/K444, "NA")</f>
        <v>-4.0770000672946685E-2</v>
      </c>
      <c r="M404" s="25"/>
      <c r="N404" s="23">
        <f>IFERROR(B404-K404, "NA")</f>
        <v>10287.489999999983</v>
      </c>
      <c r="O404" s="24">
        <f>IFERROR(N404/N444, "NA")</f>
        <v>0.65461328622870385</v>
      </c>
      <c r="P404" s="25"/>
      <c r="Q404" s="23">
        <f>IFERROR(Q345-Q403, "NA")</f>
        <v>12865.340000000091</v>
      </c>
      <c r="R404" s="24">
        <f>IFERROR(Q404/Q444, "NA")</f>
        <v>3.2132823817373722E-2</v>
      </c>
      <c r="S404" s="25"/>
      <c r="T404" s="23">
        <f>IFERROR(T345-T403, "NA")</f>
        <v>11444.000000000073</v>
      </c>
      <c r="U404" s="24">
        <f>IFERROR(T404/T444, "NA")</f>
        <v>2.9780628096971472E-2</v>
      </c>
      <c r="V404" s="25"/>
      <c r="W404" s="23">
        <f>IFERROR(Q404-T404, "NA")</f>
        <v>1421.3400000000183</v>
      </c>
      <c r="X404" s="24">
        <f>IFERROR(W404/W444, "NA")</f>
        <v>8.8263622165575512E-2</v>
      </c>
      <c r="Y404" s="25"/>
      <c r="Z404" s="23">
        <f>IFERROR(Z345-Z403, "NA")</f>
        <v>-2947.7500000000291</v>
      </c>
      <c r="AA404" s="24">
        <f>IFERROR(Z404/Z444, "NA")</f>
        <v>-8.185770774147812E-3</v>
      </c>
      <c r="AB404" s="25"/>
      <c r="AC404" s="23">
        <f>IFERROR(Q404-Z404, "NA")</f>
        <v>15813.09000000012</v>
      </c>
      <c r="AD404" s="24">
        <f>IFERROR(AC404/AC444, "NA")</f>
        <v>0.39264343396797369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3192.54</v>
      </c>
      <c r="F407" s="8">
        <f>IFERROR(E407/E444, "NA")</f>
        <v>3.1001583804218105E-2</v>
      </c>
      <c r="G407" s="9"/>
      <c r="H407" s="10">
        <f t="shared" ref="H407:H429" si="100">IFERROR(-(B407-E407), "NA")</f>
        <v>3192.54</v>
      </c>
      <c r="I407" s="8">
        <f>IFERROR(H407/H444, "NA")</f>
        <v>0.50247970825850607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12730.4</v>
      </c>
      <c r="U407" s="8">
        <f>IFERROR(T407/T444, "NA")</f>
        <v>3.3128216351422858E-2</v>
      </c>
      <c r="V407" s="9"/>
      <c r="W407" s="10">
        <f t="shared" ref="W407:W429" si="102">IFERROR(-(Q407-T407), "NA")</f>
        <v>12730.4</v>
      </c>
      <c r="X407" s="8">
        <f>IFERROR(W407/W444, "NA")</f>
        <v>0.79054358254648993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3311.05</v>
      </c>
      <c r="C410" s="8">
        <f>IFERROR(B410/B444, "NA")</f>
        <v>3.0283956047493968E-2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-3311.05</v>
      </c>
      <c r="I410" s="8">
        <f>IFERROR(H410/H444, "NA")</f>
        <v>-0.52113221385772035</v>
      </c>
      <c r="J410" s="9"/>
      <c r="K410" s="7">
        <v>2891.92</v>
      </c>
      <c r="L410" s="8">
        <f>IFERROR(K410/K444, "NA")</f>
        <v>3.0890607692315906E-2</v>
      </c>
      <c r="M410" s="9"/>
      <c r="N410" s="10">
        <f t="shared" si="101"/>
        <v>-419.13000000000011</v>
      </c>
      <c r="O410" s="8">
        <f>IFERROR(N410/N444, "NA")</f>
        <v>-2.6670068856158032E-2</v>
      </c>
      <c r="P410" s="9"/>
      <c r="Q410" s="7">
        <v>13287.37</v>
      </c>
      <c r="R410" s="8">
        <f>IFERROR(Q410/Q444, "NA")</f>
        <v>3.3186897447424951E-2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-13287.37</v>
      </c>
      <c r="X410" s="8">
        <f>IFERROR(W410/W444, "NA")</f>
        <v>-0.8251307957660996</v>
      </c>
      <c r="Y410" s="9"/>
      <c r="Z410" s="7">
        <v>12010.26</v>
      </c>
      <c r="AA410" s="8">
        <f>IFERROR(Z410/Z444, "NA")</f>
        <v>3.3351958374324669E-2</v>
      </c>
      <c r="AB410" s="9"/>
      <c r="AC410" s="10">
        <f t="shared" si="103"/>
        <v>-1277.1100000000006</v>
      </c>
      <c r="AD410" s="8">
        <f>IFERROR(AC410/AC444, "NA")</f>
        <v>-3.1710997404987597E-2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-29.93</v>
      </c>
      <c r="C416" s="8">
        <f>IFERROR(B416/B444, "NA")</f>
        <v>-2.7374965781292772E-4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29.93</v>
      </c>
      <c r="I416" s="8">
        <f>IFERROR(H416/H444, "NA")</f>
        <v>4.7107374279342111E-3</v>
      </c>
      <c r="J416" s="9"/>
      <c r="K416" s="7">
        <v>-29.81</v>
      </c>
      <c r="L416" s="8">
        <f>IFERROR(K416/K444, "NA")</f>
        <v>-3.1842133091784596E-4</v>
      </c>
      <c r="M416" s="9"/>
      <c r="N416" s="10">
        <f t="shared" si="101"/>
        <v>0.12000000000000099</v>
      </c>
      <c r="O416" s="8">
        <f>IFERROR(N416/N444, "NA")</f>
        <v>7.6358367636270113E-6</v>
      </c>
      <c r="P416" s="9"/>
      <c r="Q416" s="7">
        <v>-113.16</v>
      </c>
      <c r="R416" s="8">
        <f>IFERROR(Q416/Q444, "NA")</f>
        <v>-2.8263150007492883E-4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113.16</v>
      </c>
      <c r="X416" s="8">
        <f>IFERROR(W416/W444, "NA")</f>
        <v>7.027109266084396E-3</v>
      </c>
      <c r="Y416" s="9"/>
      <c r="Z416" s="7">
        <v>-112.63</v>
      </c>
      <c r="AA416" s="8">
        <f>IFERROR(Z416/Z444, "NA")</f>
        <v>-3.1276850556942042E-4</v>
      </c>
      <c r="AB416" s="9"/>
      <c r="AC416" s="10">
        <f t="shared" si="103"/>
        <v>0.53000000000000114</v>
      </c>
      <c r="AD416" s="8">
        <f>IFERROR(AC416/AC444, "NA")</f>
        <v>1.3160047783388629E-5</v>
      </c>
    </row>
    <row r="417" spans="1:30" ht="16.5" customHeight="1" x14ac:dyDescent="0.45">
      <c r="A417" s="6" t="s">
        <v>382</v>
      </c>
      <c r="B417" s="7">
        <v>-31.85</v>
      </c>
      <c r="C417" s="8">
        <f>IFERROR(B417/B444, "NA")</f>
        <v>-2.9131061147149174E-4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31.85</v>
      </c>
      <c r="I417" s="8">
        <f>IFERROR(H417/H444, "NA")</f>
        <v>5.0129297387138203E-3</v>
      </c>
      <c r="J417" s="9"/>
      <c r="K417" s="7">
        <v>40.200000000000003</v>
      </c>
      <c r="L417" s="8">
        <f>IFERROR(K417/K444, "NA")</f>
        <v>4.2940414300226133E-4</v>
      </c>
      <c r="M417" s="9"/>
      <c r="N417" s="10">
        <f t="shared" si="101"/>
        <v>72.050000000000011</v>
      </c>
      <c r="O417" s="8">
        <f>IFERROR(N417/N444, "NA")</f>
        <v>4.5846836568276808E-3</v>
      </c>
      <c r="P417" s="9"/>
      <c r="Q417" s="7">
        <v>62.01</v>
      </c>
      <c r="R417" s="8">
        <f>IFERROR(Q417/Q444, "NA")</f>
        <v>1.5487786602727408E-4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-62.01</v>
      </c>
      <c r="X417" s="8">
        <f>IFERROR(W417/W444, "NA")</f>
        <v>-3.8507515516957706E-3</v>
      </c>
      <c r="Y417" s="9"/>
      <c r="Z417" s="7">
        <v>71.930000000000007</v>
      </c>
      <c r="AA417" s="8">
        <f>IFERROR(Z417/Z444, "NA")</f>
        <v>1.997464139714855E-4</v>
      </c>
      <c r="AB417" s="9"/>
      <c r="AC417" s="10">
        <f t="shared" si="103"/>
        <v>9.9200000000000088</v>
      </c>
      <c r="AD417" s="8">
        <f>IFERROR(AC417/AC444, "NA")</f>
        <v>2.4631636605889631E-4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3249.2700000000004</v>
      </c>
      <c r="C428" s="15">
        <f>IFERROR(B428/B444, "NA")</f>
        <v>2.9718895778209548E-2</v>
      </c>
      <c r="D428" s="2"/>
      <c r="E428" s="14">
        <f>IFERROR(E407+E408+E409+E410+E411+E412+E413+E414+E415+E416+E417+E418+E419+E420+E421+E422+E423+E424+E425+E426+E427, "NA")</f>
        <v>3192.54</v>
      </c>
      <c r="F428" s="15">
        <f>IFERROR(E428/E444, "NA")</f>
        <v>3.1001583804218105E-2</v>
      </c>
      <c r="G428" s="2"/>
      <c r="H428" s="14">
        <f t="shared" si="100"/>
        <v>-56.730000000000473</v>
      </c>
      <c r="I428" s="15">
        <f>IFERROR(H428/H444, "NA")</f>
        <v>-8.9288384325663227E-3</v>
      </c>
      <c r="J428" s="2"/>
      <c r="K428" s="14">
        <f>IFERROR(K407+K408+K409+K410+K411+K412+K413+K414+K415+K416+K417+K418+K419+K420+K421+K422+K423+K424+K425+K426+K427, "NA")</f>
        <v>2902.31</v>
      </c>
      <c r="L428" s="15">
        <f>IFERROR(K428/K444, "NA")</f>
        <v>3.1001590504400323E-2</v>
      </c>
      <c r="M428" s="2"/>
      <c r="N428" s="14">
        <f t="shared" si="101"/>
        <v>-346.96000000000049</v>
      </c>
      <c r="O428" s="15">
        <f>IFERROR(N428/N444, "NA")</f>
        <v>-2.2077749362566748E-2</v>
      </c>
      <c r="P428" s="2"/>
      <c r="Q428" s="14">
        <f>IFERROR(Q407+Q408+Q409+Q410+Q411+Q412+Q413+Q414+Q415+Q416+Q417+Q418+Q419+Q420+Q421+Q422+Q423+Q424+Q425+Q426+Q427, "NA")</f>
        <v>13236.220000000001</v>
      </c>
      <c r="R428" s="15">
        <f>IFERROR(Q428/Q444, "NA")</f>
        <v>3.3059143813377295E-2</v>
      </c>
      <c r="S428" s="2"/>
      <c r="T428" s="14">
        <f>IFERROR(T407+T408+T409+T410+T411+T412+T413+T414+T415+T416+T417+T418+T419+T420+T421+T422+T423+T424+T425+T426+T427, "NA")</f>
        <v>12730.4</v>
      </c>
      <c r="U428" s="15">
        <f>IFERROR(T428/T444, "NA")</f>
        <v>3.3128216351422858E-2</v>
      </c>
      <c r="V428" s="2"/>
      <c r="W428" s="14">
        <f t="shared" si="102"/>
        <v>-505.82000000000153</v>
      </c>
      <c r="X428" s="15">
        <f>IFERROR(W428/W444, "NA")</f>
        <v>-3.1410855505221102E-2</v>
      </c>
      <c r="Y428" s="2"/>
      <c r="Z428" s="14">
        <f>IFERROR(Z407+Z408+Z409+Z410+Z411+Z412+Z413+Z414+Z415+Z416+Z417+Z418+Z419+Z420+Z421+Z422+Z423+Z424+Z425+Z426+Z427, "NA")</f>
        <v>11969.560000000001</v>
      </c>
      <c r="AA428" s="15">
        <f>IFERROR(Z428/Z444, "NA")</f>
        <v>3.3238936282726735E-2</v>
      </c>
      <c r="AB428" s="2"/>
      <c r="AC428" s="14">
        <f t="shared" si="103"/>
        <v>-1266.6599999999999</v>
      </c>
      <c r="AD428" s="15">
        <f>IFERROR(AC428/AC444, "NA")</f>
        <v>-3.1451520991145288E-2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3249.2700000000004</v>
      </c>
      <c r="C429" s="15">
        <f>IFERROR(B429/B444, "NA")</f>
        <v>2.9718895778209548E-2</v>
      </c>
      <c r="D429" s="2"/>
      <c r="E429" s="14">
        <f>IFERROR(E407+E408+E409+E410+E411+E412+E413+E414+E415+E416+E417+E418+E419+E420+E421+E422+E423+E424+E425+E426+E427, "NA")</f>
        <v>3192.54</v>
      </c>
      <c r="F429" s="15">
        <f>IFERROR(E429/E444, "NA")</f>
        <v>3.1001583804218105E-2</v>
      </c>
      <c r="G429" s="2"/>
      <c r="H429" s="14">
        <f t="shared" si="100"/>
        <v>-56.730000000000473</v>
      </c>
      <c r="I429" s="15">
        <f>IFERROR(H429/H444, "NA")</f>
        <v>-8.9288384325663227E-3</v>
      </c>
      <c r="J429" s="2"/>
      <c r="K429" s="14">
        <f>IFERROR(K407+K408+K409+K410+K411+K412+K413+K414+K415+K416+K417+K418+K419+K420+K421+K422+K423+K424+K425+K426+K427, "NA")</f>
        <v>2902.31</v>
      </c>
      <c r="L429" s="15">
        <f>IFERROR(K429/K444, "NA")</f>
        <v>3.1001590504400323E-2</v>
      </c>
      <c r="M429" s="2"/>
      <c r="N429" s="14">
        <f t="shared" si="101"/>
        <v>-346.96000000000049</v>
      </c>
      <c r="O429" s="15">
        <f>IFERROR(N429/N444, "NA")</f>
        <v>-2.2077749362566748E-2</v>
      </c>
      <c r="P429" s="2"/>
      <c r="Q429" s="14">
        <f>IFERROR(Q407+Q408+Q409+Q410+Q411+Q412+Q413+Q414+Q415+Q416+Q417+Q418+Q419+Q420+Q421+Q422+Q423+Q424+Q425+Q426+Q427, "NA")</f>
        <v>13236.220000000001</v>
      </c>
      <c r="R429" s="15">
        <f>IFERROR(Q429/Q444, "NA")</f>
        <v>3.3059143813377295E-2</v>
      </c>
      <c r="S429" s="2"/>
      <c r="T429" s="14">
        <f>IFERROR(T407+T408+T409+T410+T411+T412+T413+T414+T415+T416+T417+T418+T419+T420+T421+T422+T423+T424+T425+T426+T427, "NA")</f>
        <v>12730.4</v>
      </c>
      <c r="U429" s="15">
        <f>IFERROR(T429/T444, "NA")</f>
        <v>3.3128216351422858E-2</v>
      </c>
      <c r="V429" s="2"/>
      <c r="W429" s="14">
        <f t="shared" si="102"/>
        <v>-505.82000000000153</v>
      </c>
      <c r="X429" s="15">
        <f>IFERROR(W429/W444, "NA")</f>
        <v>-3.1410855505221102E-2</v>
      </c>
      <c r="Y429" s="2"/>
      <c r="Z429" s="14">
        <f>IFERROR(Z407+Z408+Z409+Z410+Z411+Z412+Z413+Z414+Z415+Z416+Z417+Z418+Z419+Z420+Z421+Z422+Z423+Z424+Z425+Z426+Z427, "NA")</f>
        <v>11969.560000000001</v>
      </c>
      <c r="AA429" s="15">
        <f>IFERROR(Z429/Z444, "NA")</f>
        <v>3.3238936282726735E-2</v>
      </c>
      <c r="AB429" s="2"/>
      <c r="AC429" s="14">
        <f t="shared" si="103"/>
        <v>-1266.6599999999999</v>
      </c>
      <c r="AD429" s="15">
        <f>IFERROR(AC429/AC444, "NA")</f>
        <v>-3.1451520991145288E-2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3221.4099999999926</v>
      </c>
      <c r="C443" s="24">
        <f>IFERROR(B443/B444, "NA")</f>
        <v>2.946407902355969E-2</v>
      </c>
      <c r="D443" s="25"/>
      <c r="E443" s="23">
        <f>IFERROR(E404-E429-E442, "NA")</f>
        <v>2125.6200000000181</v>
      </c>
      <c r="F443" s="24">
        <f>IFERROR(E443/E444, "NA")</f>
        <v>2.0641115402132048E-2</v>
      </c>
      <c r="G443" s="25"/>
      <c r="H443" s="23">
        <f>IFERROR(B443-E443, "NA")</f>
        <v>1095.7899999999745</v>
      </c>
      <c r="I443" s="24">
        <f>IFERROR(H443/H444, "NA")</f>
        <v>0.17246839178603104</v>
      </c>
      <c r="J443" s="25"/>
      <c r="K443" s="23">
        <f>IFERROR(K404-K429-K442, "NA")</f>
        <v>-6719.1199999999899</v>
      </c>
      <c r="L443" s="24">
        <f>IFERROR(K443/K444, "NA")</f>
        <v>-7.1771591177347008E-2</v>
      </c>
      <c r="M443" s="25"/>
      <c r="N443" s="23">
        <f>IFERROR(B443-K443, "NA")</f>
        <v>9940.5299999999825</v>
      </c>
      <c r="O443" s="24">
        <f>IFERROR(N443/N444, "NA")</f>
        <v>0.63253553686613717</v>
      </c>
      <c r="P443" s="25"/>
      <c r="Q443" s="23">
        <f>IFERROR(Q404-Q429-Q442, "NA")</f>
        <v>-370.87999999991007</v>
      </c>
      <c r="R443" s="24">
        <f>IFERROR(Q443/Q444, "NA")</f>
        <v>-9.2631999600357182E-4</v>
      </c>
      <c r="S443" s="25"/>
      <c r="T443" s="23">
        <f>IFERROR(T404-T429-T442, "NA")</f>
        <v>-1286.3999999999269</v>
      </c>
      <c r="U443" s="24">
        <f>IFERROR(T443/T444, "NA")</f>
        <v>-3.3475882544513873E-3</v>
      </c>
      <c r="V443" s="25"/>
      <c r="W443" s="23">
        <f>IFERROR(Q443-T443, "NA")</f>
        <v>915.52000000001681</v>
      </c>
      <c r="X443" s="24">
        <f>IFERROR(W443/W444, "NA")</f>
        <v>5.6852766660354409E-2</v>
      </c>
      <c r="Y443" s="25"/>
      <c r="Z443" s="23">
        <f>IFERROR(Z404-Z429-Z442, "NA")</f>
        <v>-14917.31000000003</v>
      </c>
      <c r="AA443" s="24">
        <f>IFERROR(Z443/Z444, "NA")</f>
        <v>-4.1424707056874545E-2</v>
      </c>
      <c r="AB443" s="25"/>
      <c r="AC443" s="23">
        <f>IFERROR(Q443-Z443, "NA")</f>
        <v>14546.43000000012</v>
      </c>
      <c r="AD443" s="24">
        <f>IFERROR(AC443/AC444, "NA")</f>
        <v>0.3611919129768284</v>
      </c>
    </row>
    <row r="444" spans="1:30" ht="15.75" hidden="1" x14ac:dyDescent="0.45">
      <c r="A444" s="26" t="s">
        <v>117</v>
      </c>
      <c r="B444" s="7">
        <v>109333.47</v>
      </c>
      <c r="C444" s="27"/>
      <c r="D444" s="9"/>
      <c r="E444" s="7">
        <v>102979.9</v>
      </c>
      <c r="F444" s="27"/>
      <c r="G444" s="9"/>
      <c r="H444" s="10">
        <f>IFERROR(B444-E444, "NA")</f>
        <v>6353.570000000007</v>
      </c>
      <c r="I444" s="27"/>
      <c r="J444" s="9"/>
      <c r="K444" s="7">
        <v>93618.1</v>
      </c>
      <c r="L444" s="27"/>
      <c r="M444" s="9"/>
      <c r="N444" s="10">
        <f>IFERROR(B444-K444, "NA")</f>
        <v>15715.369999999995</v>
      </c>
      <c r="O444" s="27"/>
      <c r="P444" s="9"/>
      <c r="Q444" s="7">
        <v>400380</v>
      </c>
      <c r="R444" s="27"/>
      <c r="S444" s="9"/>
      <c r="T444" s="7">
        <v>384276.65</v>
      </c>
      <c r="U444" s="27"/>
      <c r="V444" s="9"/>
      <c r="W444" s="10">
        <f>IFERROR(Q444-T444, "NA")</f>
        <v>16103.349999999977</v>
      </c>
      <c r="X444" s="27"/>
      <c r="Y444" s="9"/>
      <c r="Z444" s="7">
        <v>360106.59</v>
      </c>
      <c r="AA444" s="27"/>
      <c r="AB444" s="9"/>
      <c r="AC444" s="10">
        <f>IFERROR(Q444-Z444, "NA")</f>
        <v>40273.409999999974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72518.84</v>
      </c>
      <c r="F10" s="8">
        <f>IFERROR(E10/E444, "NA")</f>
        <v>0.55199995859172901</v>
      </c>
      <c r="G10" s="9"/>
      <c r="H10" s="10">
        <f t="shared" ref="H10:H19" si="0">IFERROR(B10-E10, "NA")</f>
        <v>-72518.84</v>
      </c>
      <c r="I10" s="8">
        <f>IFERROR(H10/H444, "NA")</f>
        <v>4.0927994473616485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248750.52</v>
      </c>
      <c r="U10" s="8">
        <f>IFERROR(T10/T444, "NA")</f>
        <v>0.55199999999999994</v>
      </c>
      <c r="V10" s="9"/>
      <c r="W10" s="10">
        <f t="shared" ref="W10:W19" si="2">IFERROR(Q10-T10, "NA")</f>
        <v>-248750.52</v>
      </c>
      <c r="X10" s="8">
        <f>IFERROR(W10/W444, "NA")</f>
        <v>4.8816105454342047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57341.88</v>
      </c>
      <c r="C11" s="8">
        <f>IFERROR(B11/B444, "NA")</f>
        <v>0.50452100758709961</v>
      </c>
      <c r="D11" s="9"/>
      <c r="E11" s="7">
        <v>0</v>
      </c>
      <c r="F11" s="8">
        <f>IFERROR(E11/E444, "NA")</f>
        <v>0</v>
      </c>
      <c r="G11" s="9"/>
      <c r="H11" s="10">
        <f t="shared" si="0"/>
        <v>57341.88</v>
      </c>
      <c r="I11" s="8">
        <f>IFERROR(H11/H444, "NA")</f>
        <v>-3.2362461227272523</v>
      </c>
      <c r="J11" s="9"/>
      <c r="K11" s="7">
        <v>67388.210000000006</v>
      </c>
      <c r="L11" s="8">
        <f>IFERROR(K11/K444, "NA")</f>
        <v>0.56218944861089892</v>
      </c>
      <c r="M11" s="9"/>
      <c r="N11" s="10">
        <f t="shared" si="1"/>
        <v>-10046.330000000009</v>
      </c>
      <c r="O11" s="8">
        <f>IFERROR(N11/N444, "NA")</f>
        <v>1.6174122897400904</v>
      </c>
      <c r="P11" s="9"/>
      <c r="Q11" s="7">
        <v>186435.24</v>
      </c>
      <c r="R11" s="8">
        <f>IFERROR(Q11/Q444, "NA")</f>
        <v>0.46646319471645137</v>
      </c>
      <c r="S11" s="9"/>
      <c r="T11" s="7">
        <v>0</v>
      </c>
      <c r="U11" s="8">
        <f>IFERROR(T11/T444, "NA")</f>
        <v>0</v>
      </c>
      <c r="V11" s="9"/>
      <c r="W11" s="10">
        <f t="shared" si="2"/>
        <v>186435.24</v>
      </c>
      <c r="X11" s="8">
        <f>IFERROR(W11/W444, "NA")</f>
        <v>-3.6587028385892695</v>
      </c>
      <c r="Y11" s="9"/>
      <c r="Z11" s="7">
        <v>218615.41</v>
      </c>
      <c r="AA11" s="8">
        <f>IFERROR(Z11/Z444, "NA")</f>
        <v>0.51933721278917189</v>
      </c>
      <c r="AB11" s="9"/>
      <c r="AC11" s="10">
        <f t="shared" si="3"/>
        <v>-32180.170000000013</v>
      </c>
      <c r="AD11" s="8">
        <f>IFERROR(AC11/AC444, "NA")</f>
        <v>1.5127634629595856</v>
      </c>
    </row>
    <row r="12" spans="1:30" ht="16.5" customHeight="1" x14ac:dyDescent="0.45">
      <c r="A12" s="12" t="s">
        <v>14</v>
      </c>
      <c r="B12" s="7">
        <v>6152.1</v>
      </c>
      <c r="C12" s="8">
        <f>IFERROR(B12/B444, "NA")</f>
        <v>5.4129088386648566E-2</v>
      </c>
      <c r="D12" s="9"/>
      <c r="E12" s="7">
        <v>0</v>
      </c>
      <c r="F12" s="8">
        <f>IFERROR(E12/E444, "NA")</f>
        <v>0</v>
      </c>
      <c r="G12" s="9"/>
      <c r="H12" s="10">
        <f t="shared" si="0"/>
        <v>6152.1</v>
      </c>
      <c r="I12" s="8">
        <f>IFERROR(H12/H444, "NA")</f>
        <v>-0.34721062113119294</v>
      </c>
      <c r="J12" s="9"/>
      <c r="K12" s="7">
        <v>7669.7</v>
      </c>
      <c r="L12" s="8">
        <f>IFERROR(K12/K444, "NA")</f>
        <v>6.3984848596082472E-2</v>
      </c>
      <c r="M12" s="9"/>
      <c r="N12" s="10">
        <f t="shared" si="1"/>
        <v>-1517.5999999999995</v>
      </c>
      <c r="O12" s="8">
        <f>IFERROR(N12/N444, "NA")</f>
        <v>0.24432652430385604</v>
      </c>
      <c r="P12" s="9"/>
      <c r="Q12" s="7">
        <v>19461.95</v>
      </c>
      <c r="R12" s="8">
        <f>IFERROR(Q12/Q444, "NA")</f>
        <v>4.8694031087748439E-2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19461.95</v>
      </c>
      <c r="X12" s="8">
        <f>IFERROR(W12/W444, "NA")</f>
        <v>-0.38193150452394325</v>
      </c>
      <c r="Y12" s="9"/>
      <c r="Z12" s="7">
        <v>24527.599999999999</v>
      </c>
      <c r="AA12" s="8">
        <f>IFERROR(Z12/Z444, "NA")</f>
        <v>5.8267143292449933E-2</v>
      </c>
      <c r="AB12" s="9"/>
      <c r="AC12" s="10">
        <f t="shared" si="3"/>
        <v>-5065.6499999999978</v>
      </c>
      <c r="AD12" s="8">
        <f>IFERROR(AC12/AC444, "NA")</f>
        <v>0.23813206195434081</v>
      </c>
    </row>
    <row r="13" spans="1:30" ht="16.5" customHeight="1" x14ac:dyDescent="0.45">
      <c r="A13" s="12" t="s">
        <v>15</v>
      </c>
      <c r="B13" s="7">
        <v>98</v>
      </c>
      <c r="C13" s="8">
        <f>IFERROR(B13/B444, "NA")</f>
        <v>8.6225039610727378E-4</v>
      </c>
      <c r="D13" s="9"/>
      <c r="E13" s="7">
        <v>0</v>
      </c>
      <c r="F13" s="8">
        <f>IFERROR(E13/E444, "NA")</f>
        <v>0</v>
      </c>
      <c r="G13" s="9"/>
      <c r="H13" s="10">
        <f t="shared" si="0"/>
        <v>98</v>
      </c>
      <c r="I13" s="8">
        <f>IFERROR(H13/H444, "NA")</f>
        <v>-5.5308985339732625E-3</v>
      </c>
      <c r="J13" s="9"/>
      <c r="K13" s="7">
        <v>1417</v>
      </c>
      <c r="L13" s="8">
        <f>IFERROR(K13/K444, "NA")</f>
        <v>1.1821392031063648E-2</v>
      </c>
      <c r="M13" s="9"/>
      <c r="N13" s="10">
        <f t="shared" si="1"/>
        <v>-1319</v>
      </c>
      <c r="O13" s="8">
        <f>IFERROR(N13/N444, "NA")</f>
        <v>0.21235285026145642</v>
      </c>
      <c r="P13" s="9"/>
      <c r="Q13" s="7">
        <v>405</v>
      </c>
      <c r="R13" s="8">
        <f>IFERROR(Q13/Q444, "NA")</f>
        <v>1.0133148317891124E-3</v>
      </c>
      <c r="S13" s="9"/>
      <c r="T13" s="7">
        <v>0</v>
      </c>
      <c r="U13" s="8">
        <f>IFERROR(T13/T444, "NA")</f>
        <v>0</v>
      </c>
      <c r="V13" s="9"/>
      <c r="W13" s="10">
        <f t="shared" si="2"/>
        <v>405</v>
      </c>
      <c r="X13" s="8">
        <f>IFERROR(W13/W444, "NA")</f>
        <v>-7.9479322129692564E-3</v>
      </c>
      <c r="Y13" s="9"/>
      <c r="Z13" s="7">
        <v>1830</v>
      </c>
      <c r="AA13" s="8">
        <f>IFERROR(Z13/Z444, "NA")</f>
        <v>4.3473014981157297E-3</v>
      </c>
      <c r="AB13" s="9"/>
      <c r="AC13" s="10">
        <f t="shared" si="3"/>
        <v>-1425</v>
      </c>
      <c r="AD13" s="8">
        <f>IFERROR(AC13/AC444, "NA")</f>
        <v>6.6988084112588858E-2</v>
      </c>
    </row>
    <row r="14" spans="1:30" ht="16.5" customHeight="1" x14ac:dyDescent="0.45">
      <c r="A14" s="12" t="s">
        <v>16</v>
      </c>
      <c r="B14" s="7">
        <v>0</v>
      </c>
      <c r="C14" s="8">
        <f>IFERROR(B14/B444, "NA")</f>
        <v>0</v>
      </c>
      <c r="D14" s="9"/>
      <c r="E14" s="7">
        <v>0</v>
      </c>
      <c r="F14" s="8">
        <f>IFERROR(E14/E444, "NA")</f>
        <v>0</v>
      </c>
      <c r="G14" s="9"/>
      <c r="H14" s="10">
        <f t="shared" si="0"/>
        <v>0</v>
      </c>
      <c r="I14" s="8">
        <f>IFERROR(H14/H444, "NA")</f>
        <v>0</v>
      </c>
      <c r="J14" s="9"/>
      <c r="K14" s="7">
        <v>1445</v>
      </c>
      <c r="L14" s="8">
        <f>IFERROR(K14/K444, "NA")</f>
        <v>1.2054983405001392E-2</v>
      </c>
      <c r="M14" s="9"/>
      <c r="N14" s="10">
        <f t="shared" si="1"/>
        <v>-1445</v>
      </c>
      <c r="O14" s="8">
        <f>IFERROR(N14/N444, "NA")</f>
        <v>0.23263826279590941</v>
      </c>
      <c r="P14" s="9"/>
      <c r="Q14" s="7">
        <v>0</v>
      </c>
      <c r="R14" s="8">
        <f>IFERROR(Q14/Q444, "NA")</f>
        <v>0</v>
      </c>
      <c r="S14" s="9"/>
      <c r="T14" s="7">
        <v>0</v>
      </c>
      <c r="U14" s="8">
        <f>IFERROR(T14/T444, "NA")</f>
        <v>0</v>
      </c>
      <c r="V14" s="9"/>
      <c r="W14" s="10">
        <f t="shared" si="2"/>
        <v>0</v>
      </c>
      <c r="X14" s="8">
        <f>IFERROR(W14/W444, "NA")</f>
        <v>0</v>
      </c>
      <c r="Y14" s="9"/>
      <c r="Z14" s="7">
        <v>2440</v>
      </c>
      <c r="AA14" s="8">
        <f>IFERROR(Z14/Z444, "NA")</f>
        <v>5.7964019974876399E-3</v>
      </c>
      <c r="AB14" s="9"/>
      <c r="AC14" s="10">
        <f t="shared" si="3"/>
        <v>-2440</v>
      </c>
      <c r="AD14" s="8">
        <f>IFERROR(AC14/AC444, "NA")</f>
        <v>0.1147024036734855</v>
      </c>
    </row>
    <row r="15" spans="1:30" ht="16.5" customHeight="1" x14ac:dyDescent="0.45">
      <c r="A15" s="12" t="s">
        <v>17</v>
      </c>
      <c r="B15" s="7">
        <v>74</v>
      </c>
      <c r="C15" s="8">
        <f>IFERROR(B15/B444, "NA")</f>
        <v>6.5108703379528835E-4</v>
      </c>
      <c r="D15" s="9"/>
      <c r="E15" s="7">
        <v>0</v>
      </c>
      <c r="F15" s="8">
        <f>IFERROR(E15/E444, "NA")</f>
        <v>0</v>
      </c>
      <c r="G15" s="9"/>
      <c r="H15" s="10">
        <f t="shared" si="0"/>
        <v>74</v>
      </c>
      <c r="I15" s="8">
        <f>IFERROR(H15/H444, "NA")</f>
        <v>-4.1763927705512393E-3</v>
      </c>
      <c r="J15" s="9"/>
      <c r="K15" s="7">
        <v>204</v>
      </c>
      <c r="L15" s="8">
        <f>IFERROR(K15/K444, "NA")</f>
        <v>1.7018800101178434E-3</v>
      </c>
      <c r="M15" s="9"/>
      <c r="N15" s="10">
        <f t="shared" si="1"/>
        <v>-130</v>
      </c>
      <c r="O15" s="8">
        <f>IFERROR(N15/N444, "NA")</f>
        <v>2.0929393884753095E-2</v>
      </c>
      <c r="P15" s="9"/>
      <c r="Q15" s="7">
        <v>132</v>
      </c>
      <c r="R15" s="8">
        <f>IFERROR(Q15/Q444, "NA")</f>
        <v>3.3026557480534037E-4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132</v>
      </c>
      <c r="X15" s="8">
        <f>IFERROR(W15/W444, "NA")</f>
        <v>-2.5904371657084983E-3</v>
      </c>
      <c r="Y15" s="9"/>
      <c r="Z15" s="7">
        <v>272</v>
      </c>
      <c r="AA15" s="8">
        <f>IFERROR(Z15/Z444, "NA")</f>
        <v>6.4615628824452379E-4</v>
      </c>
      <c r="AB15" s="9"/>
      <c r="AC15" s="10">
        <f t="shared" si="3"/>
        <v>-140</v>
      </c>
      <c r="AD15" s="8">
        <f>IFERROR(AC15/AC444, "NA")</f>
        <v>6.5812854566753972E-3</v>
      </c>
    </row>
    <row r="16" spans="1:30" ht="16.5" customHeight="1" x14ac:dyDescent="0.45">
      <c r="A16" s="12" t="s">
        <v>18</v>
      </c>
      <c r="B16" s="7">
        <v>7.0000000000000007E-2</v>
      </c>
      <c r="C16" s="8">
        <f>IFERROR(B16/B444, "NA")</f>
        <v>6.1589314007662419E-7</v>
      </c>
      <c r="D16" s="9"/>
      <c r="E16" s="7">
        <v>0</v>
      </c>
      <c r="F16" s="8">
        <f>IFERROR(E16/E444, "NA")</f>
        <v>0</v>
      </c>
      <c r="G16" s="9"/>
      <c r="H16" s="10">
        <f t="shared" si="0"/>
        <v>7.0000000000000007E-2</v>
      </c>
      <c r="I16" s="8">
        <f>IFERROR(H16/H444, "NA")</f>
        <v>-3.9506418099809017E-6</v>
      </c>
      <c r="J16" s="9"/>
      <c r="K16" s="7">
        <v>0</v>
      </c>
      <c r="L16" s="8">
        <f>IFERROR(K16/K444, "NA")</f>
        <v>0</v>
      </c>
      <c r="M16" s="9"/>
      <c r="N16" s="10">
        <f t="shared" si="1"/>
        <v>7.0000000000000007E-2</v>
      </c>
      <c r="O16" s="8">
        <f>IFERROR(N16/N444, "NA")</f>
        <v>-1.1269673630251667E-5</v>
      </c>
      <c r="P16" s="9"/>
      <c r="Q16" s="7">
        <v>7.0000000000000007E-2</v>
      </c>
      <c r="R16" s="8">
        <f>IFERROR(Q16/Q444, "NA")</f>
        <v>1.7514083512404414E-7</v>
      </c>
      <c r="S16" s="9"/>
      <c r="T16" s="7">
        <v>0</v>
      </c>
      <c r="U16" s="8">
        <f>IFERROR(T16/T444, "NA")</f>
        <v>0</v>
      </c>
      <c r="V16" s="9"/>
      <c r="W16" s="10">
        <f t="shared" si="2"/>
        <v>7.0000000000000007E-2</v>
      </c>
      <c r="X16" s="8">
        <f>IFERROR(W16/W444, "NA")</f>
        <v>-1.3737166787848097E-6</v>
      </c>
      <c r="Y16" s="9"/>
      <c r="Z16" s="7">
        <v>0</v>
      </c>
      <c r="AA16" s="8">
        <f>IFERROR(Z16/Z444, "NA")</f>
        <v>0</v>
      </c>
      <c r="AB16" s="9"/>
      <c r="AC16" s="10">
        <f t="shared" si="3"/>
        <v>7.0000000000000007E-2</v>
      </c>
      <c r="AD16" s="8">
        <f>IFERROR(AC16/AC444, "NA")</f>
        <v>-3.2906427283376988E-6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63666.049999999996</v>
      </c>
      <c r="C18" s="15">
        <f>IFERROR(B18/B444, "NA")</f>
        <v>0.56016404929679076</v>
      </c>
      <c r="D18" s="2"/>
      <c r="E18" s="14">
        <f>IFERROR(E10+E11+E12+E13+E14+E15+E16+E17, "NA")</f>
        <v>72518.84</v>
      </c>
      <c r="F18" s="15">
        <f>IFERROR(E18/E444, "NA")</f>
        <v>0.55199995859172901</v>
      </c>
      <c r="G18" s="2"/>
      <c r="H18" s="14">
        <f t="shared" si="0"/>
        <v>-8852.7900000000009</v>
      </c>
      <c r="I18" s="15">
        <f>IFERROR(H18/H444, "NA")</f>
        <v>0.49963146155686899</v>
      </c>
      <c r="J18" s="2"/>
      <c r="K18" s="14">
        <f>IFERROR(K10+K11+K12+K13+K14+K15+K16+K17, "NA")</f>
        <v>78123.91</v>
      </c>
      <c r="L18" s="15">
        <f>IFERROR(K18/K444, "NA")</f>
        <v>0.65175255265316423</v>
      </c>
      <c r="M18" s="2"/>
      <c r="N18" s="14">
        <f t="shared" si="1"/>
        <v>-14457.860000000008</v>
      </c>
      <c r="O18" s="15">
        <f>IFERROR(N18/N444, "NA")</f>
        <v>2.3276480513124351</v>
      </c>
      <c r="P18" s="2"/>
      <c r="Q18" s="14">
        <f>IFERROR(Q10+Q11+Q12+Q13+Q14+Q15+Q16+Q17, "NA")</f>
        <v>206434.26</v>
      </c>
      <c r="R18" s="15">
        <f>IFERROR(Q18/Q444, "NA")</f>
        <v>0.51650098135162947</v>
      </c>
      <c r="S18" s="2"/>
      <c r="T18" s="14">
        <f>IFERROR(T10+T11+T12+T13+T14+T15+T16+T17, "NA")</f>
        <v>248750.52</v>
      </c>
      <c r="U18" s="15">
        <f>IFERROR(T18/T444, "NA")</f>
        <v>0.55199999999999994</v>
      </c>
      <c r="V18" s="2"/>
      <c r="W18" s="14">
        <f t="shared" si="2"/>
        <v>-42316.25999999998</v>
      </c>
      <c r="X18" s="15">
        <f>IFERROR(W18/W444, "NA")</f>
        <v>0.83043645922563514</v>
      </c>
      <c r="Y18" s="2"/>
      <c r="Z18" s="14">
        <f>IFERROR(Z10+Z11+Z12+Z13+Z14+Z15+Z16+Z17, "NA")</f>
        <v>247685.01</v>
      </c>
      <c r="AA18" s="15">
        <f>IFERROR(Z18/Z444, "NA")</f>
        <v>0.58839421586546969</v>
      </c>
      <c r="AB18" s="2"/>
      <c r="AC18" s="14">
        <f t="shared" si="3"/>
        <v>-41250.75</v>
      </c>
      <c r="AD18" s="15">
        <f>IFERROR(AC18/AC444, "NA")</f>
        <v>1.9391640075139474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12086.47</v>
      </c>
      <c r="F21" s="8">
        <f>IFERROR(E21/E444, "NA")</f>
        <v>9.1999967725906476E-2</v>
      </c>
      <c r="G21" s="9"/>
      <c r="H21" s="10">
        <f t="shared" ref="H21:H29" si="4">IFERROR(B21-E21, "NA")</f>
        <v>-12086.47</v>
      </c>
      <c r="I21" s="8">
        <f>IFERROR(H21/H444, "NA")</f>
        <v>0.68213305310114092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41458.42</v>
      </c>
      <c r="U21" s="8">
        <f>IFERROR(T21/T444, "NA")</f>
        <v>9.1999999999999998E-2</v>
      </c>
      <c r="V21" s="9"/>
      <c r="W21" s="10">
        <f t="shared" ref="W21:W29" si="6">IFERROR(Q21-T21, "NA")</f>
        <v>-41458.42</v>
      </c>
      <c r="X21" s="8">
        <f>IFERROR(W21/W444, "NA")</f>
        <v>0.81360175757236752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IFERROR(B22/B444, "NA")</f>
        <v>0</v>
      </c>
      <c r="D22" s="9"/>
      <c r="E22" s="7">
        <v>0</v>
      </c>
      <c r="F22" s="8">
        <f>IFERROR(E22/E444, "NA")</f>
        <v>0</v>
      </c>
      <c r="G22" s="9"/>
      <c r="H22" s="10">
        <f t="shared" si="4"/>
        <v>0</v>
      </c>
      <c r="I22" s="8">
        <f>IFERROR(H22/H444, "NA")</f>
        <v>0</v>
      </c>
      <c r="J22" s="9"/>
      <c r="K22" s="7">
        <v>7747.1</v>
      </c>
      <c r="L22" s="8">
        <f>IFERROR(K22/K444, "NA")</f>
        <v>6.4630561894038957E-2</v>
      </c>
      <c r="M22" s="9"/>
      <c r="N22" s="10">
        <f t="shared" si="5"/>
        <v>-7747.1</v>
      </c>
      <c r="O22" s="8">
        <f>IFERROR(N22/N444, "NA")</f>
        <v>1.247246979727467</v>
      </c>
      <c r="P22" s="9"/>
      <c r="Q22" s="7">
        <v>2793.44</v>
      </c>
      <c r="R22" s="8">
        <f>IFERROR(Q22/Q444, "NA")</f>
        <v>6.9892202066987119E-3</v>
      </c>
      <c r="S22" s="9"/>
      <c r="T22" s="7">
        <v>0</v>
      </c>
      <c r="U22" s="8">
        <f>IFERROR(T22/T444, "NA")</f>
        <v>0</v>
      </c>
      <c r="V22" s="9"/>
      <c r="W22" s="10">
        <f t="shared" si="6"/>
        <v>2793.44</v>
      </c>
      <c r="X22" s="8">
        <f>IFERROR(W22/W444, "NA")</f>
        <v>-5.4819930274066266E-2</v>
      </c>
      <c r="Y22" s="9"/>
      <c r="Z22" s="7">
        <v>28314.35</v>
      </c>
      <c r="AA22" s="8">
        <f>IFERROR(Z22/Z444, "NA")</f>
        <v>6.7262850367854163E-2</v>
      </c>
      <c r="AB22" s="9"/>
      <c r="AC22" s="10">
        <f t="shared" si="7"/>
        <v>-25520.91</v>
      </c>
      <c r="AD22" s="8">
        <f>IFERROR(AC22/AC444, "NA")</f>
        <v>1.1997170987437265</v>
      </c>
    </row>
    <row r="23" spans="1:30" ht="16.5" customHeight="1" x14ac:dyDescent="0.45">
      <c r="A23" s="12" t="s">
        <v>24</v>
      </c>
      <c r="B23" s="7">
        <v>6947.08</v>
      </c>
      <c r="C23" s="8">
        <f>IFERROR(B23/B444, "NA")</f>
        <v>6.1123698793764482E-2</v>
      </c>
      <c r="D23" s="9"/>
      <c r="E23" s="7">
        <v>0</v>
      </c>
      <c r="F23" s="8">
        <f>IFERROR(E23/E444, "NA")</f>
        <v>0</v>
      </c>
      <c r="G23" s="9"/>
      <c r="H23" s="10">
        <f t="shared" si="4"/>
        <v>6947.08</v>
      </c>
      <c r="I23" s="8">
        <f>IFERROR(H23/H444, "NA")</f>
        <v>-0.3920774957897446</v>
      </c>
      <c r="J23" s="9"/>
      <c r="K23" s="7">
        <v>0</v>
      </c>
      <c r="L23" s="8">
        <f>IFERROR(K23/K444, "NA")</f>
        <v>0</v>
      </c>
      <c r="M23" s="9"/>
      <c r="N23" s="10">
        <f t="shared" si="5"/>
        <v>6947.08</v>
      </c>
      <c r="O23" s="8">
        <f>IFERROR(N23/N444, "NA")</f>
        <v>-1.1184474897606964</v>
      </c>
      <c r="P23" s="9"/>
      <c r="Q23" s="7">
        <v>20836.400000000001</v>
      </c>
      <c r="R23" s="8">
        <f>IFERROR(Q23/Q444, "NA")</f>
        <v>5.2132921385409051E-2</v>
      </c>
      <c r="S23" s="9"/>
      <c r="T23" s="7">
        <v>0</v>
      </c>
      <c r="U23" s="8">
        <f>IFERROR(T23/T444, "NA")</f>
        <v>0</v>
      </c>
      <c r="V23" s="9"/>
      <c r="W23" s="10">
        <f t="shared" si="6"/>
        <v>20836.400000000001</v>
      </c>
      <c r="X23" s="8">
        <f>IFERROR(W23/W444, "NA")</f>
        <v>-0.40890443151188299</v>
      </c>
      <c r="Y23" s="9"/>
      <c r="Z23" s="7">
        <v>0</v>
      </c>
      <c r="AA23" s="8">
        <f>IFERROR(Z23/Z444, "NA")</f>
        <v>0</v>
      </c>
      <c r="AB23" s="9"/>
      <c r="AC23" s="10">
        <f t="shared" si="7"/>
        <v>20836.400000000001</v>
      </c>
      <c r="AD23" s="8">
        <f>IFERROR(AC23/AC444, "NA")</f>
        <v>-0.97950211635336615</v>
      </c>
    </row>
    <row r="24" spans="1:30" ht="16.5" customHeight="1" x14ac:dyDescent="0.45">
      <c r="A24" s="12" t="s">
        <v>25</v>
      </c>
      <c r="B24" s="7">
        <v>682.19</v>
      </c>
      <c r="C24" s="8">
        <f>IFERROR(B24/B444, "NA")</f>
        <v>6.0022305889838893E-3</v>
      </c>
      <c r="D24" s="9"/>
      <c r="E24" s="7">
        <v>0</v>
      </c>
      <c r="F24" s="8">
        <f>IFERROR(E24/E444, "NA")</f>
        <v>0</v>
      </c>
      <c r="G24" s="9"/>
      <c r="H24" s="10">
        <f t="shared" si="4"/>
        <v>682.19</v>
      </c>
      <c r="I24" s="8">
        <f>IFERROR(H24/H444, "NA")</f>
        <v>-3.850126194786959E-2</v>
      </c>
      <c r="J24" s="9"/>
      <c r="K24" s="7">
        <v>785.56</v>
      </c>
      <c r="L24" s="8">
        <f>IFERROR(K24/K444, "NA")</f>
        <v>6.5535728468047701E-3</v>
      </c>
      <c r="M24" s="9"/>
      <c r="N24" s="10">
        <f t="shared" si="5"/>
        <v>-103.36999999999989</v>
      </c>
      <c r="O24" s="8">
        <f>IFERROR(N24/N444, "NA")</f>
        <v>1.6642088045130194E-2</v>
      </c>
      <c r="P24" s="9"/>
      <c r="Q24" s="7">
        <v>2676.8</v>
      </c>
      <c r="R24" s="8">
        <f>IFERROR(Q24/Q444, "NA")</f>
        <v>6.6973855351434479E-3</v>
      </c>
      <c r="S24" s="9"/>
      <c r="T24" s="7">
        <v>0</v>
      </c>
      <c r="U24" s="8">
        <f>IFERROR(T24/T444, "NA")</f>
        <v>0</v>
      </c>
      <c r="V24" s="9"/>
      <c r="W24" s="10">
        <f t="shared" si="6"/>
        <v>2676.8</v>
      </c>
      <c r="X24" s="8">
        <f>IFERROR(W24/W444, "NA")</f>
        <v>-5.2530925796731125E-2</v>
      </c>
      <c r="Y24" s="9"/>
      <c r="Z24" s="7">
        <v>4550.6099999999997</v>
      </c>
      <c r="AA24" s="8">
        <f>IFERROR(Z24/Z444, "NA")</f>
        <v>1.0810313481060339E-2</v>
      </c>
      <c r="AB24" s="9"/>
      <c r="AC24" s="10">
        <f t="shared" si="7"/>
        <v>-1873.8099999999995</v>
      </c>
      <c r="AD24" s="8">
        <f>IFERROR(AC24/AC444, "NA")</f>
        <v>8.8086275011235157E-2</v>
      </c>
    </row>
    <row r="25" spans="1:30" ht="16.5" customHeight="1" x14ac:dyDescent="0.45">
      <c r="A25" s="12" t="s">
        <v>26</v>
      </c>
      <c r="B25" s="7">
        <v>123.51</v>
      </c>
      <c r="C25" s="8">
        <f>IFERROR(B25/B444, "NA")</f>
        <v>1.0866994532980549E-3</v>
      </c>
      <c r="D25" s="9"/>
      <c r="E25" s="7">
        <v>0</v>
      </c>
      <c r="F25" s="8">
        <f>IFERROR(E25/E444, "NA")</f>
        <v>0</v>
      </c>
      <c r="G25" s="9"/>
      <c r="H25" s="10">
        <f t="shared" si="4"/>
        <v>123.51</v>
      </c>
      <c r="I25" s="8">
        <f>IFERROR(H25/H444, "NA")</f>
        <v>-6.9706252850105883E-3</v>
      </c>
      <c r="J25" s="9"/>
      <c r="K25" s="7">
        <v>0</v>
      </c>
      <c r="L25" s="8">
        <f>IFERROR(K25/K444, "NA")</f>
        <v>0</v>
      </c>
      <c r="M25" s="9"/>
      <c r="N25" s="10">
        <f t="shared" si="5"/>
        <v>123.51</v>
      </c>
      <c r="O25" s="8">
        <f>IFERROR(N25/N444, "NA")</f>
        <v>-1.9884534143891193E-2</v>
      </c>
      <c r="P25" s="9"/>
      <c r="Q25" s="7">
        <v>321.54000000000002</v>
      </c>
      <c r="R25" s="8">
        <f>IFERROR(Q25/Q444, "NA")</f>
        <v>8.044969160826451E-4</v>
      </c>
      <c r="S25" s="9"/>
      <c r="T25" s="7">
        <v>0</v>
      </c>
      <c r="U25" s="8">
        <f>IFERROR(T25/T444, "NA")</f>
        <v>0</v>
      </c>
      <c r="V25" s="9"/>
      <c r="W25" s="10">
        <f t="shared" si="6"/>
        <v>321.54000000000002</v>
      </c>
      <c r="X25" s="8">
        <f>IFERROR(W25/W444, "NA")</f>
        <v>-6.31006944137811E-3</v>
      </c>
      <c r="Y25" s="9"/>
      <c r="Z25" s="7">
        <v>0</v>
      </c>
      <c r="AA25" s="8">
        <f>IFERROR(Z25/Z444, "NA")</f>
        <v>0</v>
      </c>
      <c r="AB25" s="9"/>
      <c r="AC25" s="10">
        <f t="shared" si="7"/>
        <v>321.54000000000002</v>
      </c>
      <c r="AD25" s="8">
        <f>IFERROR(AC25/AC444, "NA")</f>
        <v>-1.5115332326710052E-2</v>
      </c>
    </row>
    <row r="26" spans="1:30" ht="16.5" customHeight="1" x14ac:dyDescent="0.45">
      <c r="A26" s="12" t="s">
        <v>27</v>
      </c>
      <c r="B26" s="7">
        <v>2346.42</v>
      </c>
      <c r="C26" s="8">
        <f>IFERROR(B26/B444, "NA")</f>
        <v>2.0644914024837036E-2</v>
      </c>
      <c r="D26" s="9"/>
      <c r="E26" s="7">
        <v>0</v>
      </c>
      <c r="F26" s="8">
        <f>IFERROR(E26/E444, "NA")</f>
        <v>0</v>
      </c>
      <c r="G26" s="9"/>
      <c r="H26" s="10">
        <f t="shared" si="4"/>
        <v>2346.42</v>
      </c>
      <c r="I26" s="8">
        <f>IFERROR(H26/H444, "NA")</f>
        <v>-0.13242664222536268</v>
      </c>
      <c r="J26" s="9"/>
      <c r="K26" s="7">
        <v>0</v>
      </c>
      <c r="L26" s="8">
        <f>IFERROR(K26/K444, "NA")</f>
        <v>0</v>
      </c>
      <c r="M26" s="9"/>
      <c r="N26" s="10">
        <f t="shared" si="5"/>
        <v>2346.42</v>
      </c>
      <c r="O26" s="8">
        <f>IFERROR(N26/N444, "NA")</f>
        <v>-0.3777626799927874</v>
      </c>
      <c r="P26" s="9"/>
      <c r="Q26" s="7">
        <v>5731.41</v>
      </c>
      <c r="R26" s="8">
        <f>IFERROR(Q26/Q444, "NA")</f>
        <v>1.4340056197689967E-2</v>
      </c>
      <c r="S26" s="9"/>
      <c r="T26" s="7">
        <v>0</v>
      </c>
      <c r="U26" s="8">
        <f>IFERROR(T26/T444, "NA")</f>
        <v>0</v>
      </c>
      <c r="V26" s="9"/>
      <c r="W26" s="10">
        <f t="shared" si="6"/>
        <v>5731.41</v>
      </c>
      <c r="X26" s="8">
        <f>IFERROR(W26/W444, "NA")</f>
        <v>-0.1124761929993435</v>
      </c>
      <c r="Y26" s="9"/>
      <c r="Z26" s="7">
        <v>0</v>
      </c>
      <c r="AA26" s="8">
        <f>IFERROR(Z26/Z444, "NA")</f>
        <v>0</v>
      </c>
      <c r="AB26" s="9"/>
      <c r="AC26" s="10">
        <f t="shared" si="7"/>
        <v>5731.41</v>
      </c>
      <c r="AD26" s="8">
        <f>IFERROR(AC26/AC444, "NA")</f>
        <v>-0.26942889485174243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754.74</v>
      </c>
      <c r="C28" s="8">
        <f>IFERROR(B28/B444, "NA")</f>
        <v>6.6405598363061613E-3</v>
      </c>
      <c r="D28" s="9"/>
      <c r="E28" s="7">
        <v>0</v>
      </c>
      <c r="F28" s="8">
        <f>IFERROR(E28/E444, "NA")</f>
        <v>0</v>
      </c>
      <c r="G28" s="9"/>
      <c r="H28" s="10">
        <f t="shared" si="4"/>
        <v>754.74</v>
      </c>
      <c r="I28" s="8">
        <f>IFERROR(H28/H444, "NA")</f>
        <v>-4.2595819995214085E-2</v>
      </c>
      <c r="J28" s="9"/>
      <c r="K28" s="7">
        <v>898.5</v>
      </c>
      <c r="L28" s="8">
        <f>IFERROR(K28/K444, "NA")</f>
        <v>7.4957803386807957E-3</v>
      </c>
      <c r="M28" s="9"/>
      <c r="N28" s="10">
        <f t="shared" si="5"/>
        <v>-143.76</v>
      </c>
      <c r="O28" s="8">
        <f>IFERROR(N28/N444, "NA")</f>
        <v>2.3144689729785423E-2</v>
      </c>
      <c r="P28" s="9"/>
      <c r="Q28" s="7">
        <v>3024.95</v>
      </c>
      <c r="R28" s="8">
        <f>IFERROR(Q28/Q444, "NA")</f>
        <v>7.5684609886925323E-3</v>
      </c>
      <c r="S28" s="9"/>
      <c r="T28" s="7">
        <v>0</v>
      </c>
      <c r="U28" s="8">
        <f>IFERROR(T28/T444, "NA")</f>
        <v>0</v>
      </c>
      <c r="V28" s="9"/>
      <c r="W28" s="10">
        <f t="shared" si="6"/>
        <v>3024.95</v>
      </c>
      <c r="X28" s="8">
        <f>IFERROR(W28/W444, "NA")</f>
        <v>-5.9363203821287278E-2</v>
      </c>
      <c r="Y28" s="9"/>
      <c r="Z28" s="7">
        <v>3510.14</v>
      </c>
      <c r="AA28" s="8">
        <f>IFERROR(Z28/Z444, "NA")</f>
        <v>8.3385993883037975E-3</v>
      </c>
      <c r="AB28" s="9"/>
      <c r="AC28" s="10">
        <f t="shared" si="7"/>
        <v>-485.19000000000005</v>
      </c>
      <c r="AD28" s="8">
        <f>IFERROR(AC28/AC444, "NA")</f>
        <v>2.2808384933745259E-2</v>
      </c>
    </row>
    <row r="29" spans="1:30" ht="16.5" customHeight="1" x14ac:dyDescent="0.45">
      <c r="A29" s="13" t="s">
        <v>30</v>
      </c>
      <c r="B29" s="14">
        <f>IFERROR(B21+B22+B23+B24+B25+B26+B27+B28, "NA")</f>
        <v>10853.94</v>
      </c>
      <c r="C29" s="15">
        <f>IFERROR(B29/B444, "NA")</f>
        <v>9.5498102697189627E-2</v>
      </c>
      <c r="D29" s="2"/>
      <c r="E29" s="14">
        <f>IFERROR(E21+E22+E23+E24+E25+E26+E27+E28, "NA")</f>
        <v>12086.47</v>
      </c>
      <c r="F29" s="15">
        <f>IFERROR(E29/E444, "NA")</f>
        <v>9.1999967725906476E-2</v>
      </c>
      <c r="G29" s="2"/>
      <c r="H29" s="14">
        <f t="shared" si="4"/>
        <v>-1232.5299999999988</v>
      </c>
      <c r="I29" s="15">
        <f>IFERROR(H29/H444, "NA")</f>
        <v>6.9561207857939372E-2</v>
      </c>
      <c r="J29" s="2"/>
      <c r="K29" s="14">
        <f>IFERROR(K21+K22+K23+K24+K25+K26+K27+K28, "NA")</f>
        <v>9431.16</v>
      </c>
      <c r="L29" s="15">
        <f>IFERROR(K29/K444, "NA")</f>
        <v>7.8679915079524515E-2</v>
      </c>
      <c r="M29" s="2"/>
      <c r="N29" s="14">
        <f t="shared" si="5"/>
        <v>1422.7800000000007</v>
      </c>
      <c r="O29" s="15">
        <f>IFERROR(N29/N444, "NA")</f>
        <v>-0.2290609463949925</v>
      </c>
      <c r="P29" s="2"/>
      <c r="Q29" s="14">
        <f>IFERROR(Q21+Q22+Q23+Q24+Q25+Q26+Q27+Q28, "NA")</f>
        <v>35384.54</v>
      </c>
      <c r="R29" s="15">
        <f>IFERROR(Q29/Q444, "NA")</f>
        <v>8.8532541229716349E-2</v>
      </c>
      <c r="S29" s="2"/>
      <c r="T29" s="14">
        <f>IFERROR(T21+T22+T23+T24+T25+T26+T27+T28, "NA")</f>
        <v>41458.42</v>
      </c>
      <c r="U29" s="15">
        <f>IFERROR(T29/T444, "NA")</f>
        <v>9.1999999999999998E-2</v>
      </c>
      <c r="V29" s="2"/>
      <c r="W29" s="14">
        <f t="shared" si="6"/>
        <v>-6073.8799999999974</v>
      </c>
      <c r="X29" s="15">
        <f>IFERROR(W29/W444, "NA")</f>
        <v>0.11919700372767822</v>
      </c>
      <c r="Y29" s="2"/>
      <c r="Z29" s="14">
        <f>IFERROR(Z21+Z22+Z23+Z24+Z25+Z26+Z27+Z28, "NA")</f>
        <v>36375.1</v>
      </c>
      <c r="AA29" s="15">
        <f>IFERROR(Z29/Z444, "NA")</f>
        <v>8.6411763237218303E-2</v>
      </c>
      <c r="AB29" s="2"/>
      <c r="AC29" s="14">
        <f t="shared" si="7"/>
        <v>-990.55999999999767</v>
      </c>
      <c r="AD29" s="15">
        <f>IFERROR(AC29/AC444, "NA")</f>
        <v>4.6565415156888328E-2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22727.83</v>
      </c>
      <c r="F31" s="8">
        <f>IFERROR(E31/E444, "NA")</f>
        <v>0.17300002618464191</v>
      </c>
      <c r="G31" s="9"/>
      <c r="H31" s="10">
        <f t="shared" ref="H31:H40" si="8">IFERROR(B31-E31, "NA")</f>
        <v>-22727.83</v>
      </c>
      <c r="I31" s="8">
        <f>IFERROR(H31/H444, "NA")</f>
        <v>1.2827073635448321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77959.86</v>
      </c>
      <c r="U31" s="8">
        <f>IFERROR(T31/T444, "NA")</f>
        <v>0.17300001109545418</v>
      </c>
      <c r="V31" s="9"/>
      <c r="W31" s="10">
        <f t="shared" ref="W31:W40" si="10">IFERROR(Q31-T31, "NA")</f>
        <v>-77959.86</v>
      </c>
      <c r="X31" s="8">
        <f>IFERROR(W31/W444, "NA")</f>
        <v>1.5299251422532676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8337.77</v>
      </c>
      <c r="C33" s="8">
        <f>IFERROR(B33/B444, "NA")</f>
        <v>7.3359647807666781E-2</v>
      </c>
      <c r="D33" s="9"/>
      <c r="E33" s="7">
        <v>0</v>
      </c>
      <c r="F33" s="8">
        <f>IFERROR(E33/E444, "NA")</f>
        <v>0</v>
      </c>
      <c r="G33" s="9"/>
      <c r="H33" s="10">
        <f t="shared" si="8"/>
        <v>8337.77</v>
      </c>
      <c r="I33" s="8">
        <f>IFERROR(H33/H444, "NA")</f>
        <v>-0.47056489662863521</v>
      </c>
      <c r="J33" s="9"/>
      <c r="K33" s="7">
        <v>7666.45</v>
      </c>
      <c r="L33" s="8">
        <f>IFERROR(K33/K444, "NA")</f>
        <v>6.3957735311607547E-2</v>
      </c>
      <c r="M33" s="9"/>
      <c r="N33" s="10">
        <f t="shared" si="9"/>
        <v>671.32000000000062</v>
      </c>
      <c r="O33" s="8">
        <f>IFERROR(N33/N444, "NA")</f>
        <v>-0.10807939002086508</v>
      </c>
      <c r="P33" s="9"/>
      <c r="Q33" s="7">
        <v>37967.919999999998</v>
      </c>
      <c r="R33" s="8">
        <f>IFERROR(Q33/Q444, "NA")</f>
        <v>9.4996188810327106E-2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37967.919999999998</v>
      </c>
      <c r="X33" s="8">
        <f>IFERROR(W33/W444, "NA")</f>
        <v>-0.74510235661096214</v>
      </c>
      <c r="Y33" s="9"/>
      <c r="Z33" s="7">
        <v>35742.07</v>
      </c>
      <c r="AA33" s="8">
        <f>IFERROR(Z33/Z444, "NA")</f>
        <v>8.4907953255058635E-2</v>
      </c>
      <c r="AB33" s="9"/>
      <c r="AC33" s="10">
        <f t="shared" si="11"/>
        <v>2225.8499999999985</v>
      </c>
      <c r="AD33" s="8">
        <f>IFERROR(AC33/AC444, "NA")</f>
        <v>-0.10463538738386374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197.81</v>
      </c>
      <c r="C35" s="8">
        <f>IFERROR(B35/B444, "NA")</f>
        <v>1.7404260291222432E-3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197.81</v>
      </c>
      <c r="I35" s="8">
        <f>IFERROR(H35/H444, "NA")</f>
        <v>-1.1163949377604602E-2</v>
      </c>
      <c r="J35" s="9"/>
      <c r="K35" s="7">
        <v>1043.9000000000001</v>
      </c>
      <c r="L35" s="8">
        <f>IFERROR(K35/K444, "NA")</f>
        <v>8.7087869733432199E-3</v>
      </c>
      <c r="M35" s="9"/>
      <c r="N35" s="10">
        <f t="shared" si="9"/>
        <v>-846.09000000000015</v>
      </c>
      <c r="O35" s="8">
        <f>IFERROR(N35/N444, "NA")</f>
        <v>0.13621654516885193</v>
      </c>
      <c r="P35" s="9"/>
      <c r="Q35" s="7">
        <v>2056.2199999999998</v>
      </c>
      <c r="R35" s="8">
        <f>IFERROR(Q35/Q444, "NA")</f>
        <v>5.1446869714108856E-3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2056.2199999999998</v>
      </c>
      <c r="X35" s="8">
        <f>IFERROR(W35/W444, "NA")</f>
        <v>-4.0352338703584296E-2</v>
      </c>
      <c r="Y35" s="9"/>
      <c r="Z35" s="7">
        <v>4415.99</v>
      </c>
      <c r="AA35" s="8">
        <f>IFERROR(Z35/Z444, "NA")</f>
        <v>1.0490513629871082E-2</v>
      </c>
      <c r="AB35" s="9"/>
      <c r="AC35" s="10">
        <f t="shared" si="11"/>
        <v>-2359.77</v>
      </c>
      <c r="AD35" s="8">
        <f>IFERROR(AC35/AC444, "NA")</f>
        <v>0.11093085701499215</v>
      </c>
    </row>
    <row r="36" spans="1:30" ht="16.5" customHeight="1" x14ac:dyDescent="0.45">
      <c r="A36" s="12" t="s">
        <v>36</v>
      </c>
      <c r="B36" s="7">
        <v>8718.35</v>
      </c>
      <c r="C36" s="8">
        <f>IFERROR(B36/B444, "NA")</f>
        <v>7.6708170825529096E-2</v>
      </c>
      <c r="D36" s="9"/>
      <c r="E36" s="7">
        <v>0</v>
      </c>
      <c r="F36" s="8">
        <f>IFERROR(E36/E444, "NA")</f>
        <v>0</v>
      </c>
      <c r="G36" s="9"/>
      <c r="H36" s="10">
        <f t="shared" si="8"/>
        <v>8718.35</v>
      </c>
      <c r="I36" s="8">
        <f>IFERROR(H36/H444, "NA")</f>
        <v>-0.49204397177209991</v>
      </c>
      <c r="J36" s="9"/>
      <c r="K36" s="7">
        <v>9999.66</v>
      </c>
      <c r="L36" s="8">
        <f>IFERROR(K36/K444, "NA")</f>
        <v>8.3422654225367626E-2</v>
      </c>
      <c r="M36" s="9"/>
      <c r="N36" s="10">
        <f t="shared" si="9"/>
        <v>-1281.3099999999995</v>
      </c>
      <c r="O36" s="8">
        <f>IFERROR(N36/N444, "NA")</f>
        <v>0.20628493598825368</v>
      </c>
      <c r="P36" s="9"/>
      <c r="Q36" s="7">
        <v>26789.37</v>
      </c>
      <c r="R36" s="8">
        <f>IFERROR(Q36/Q444, "NA")</f>
        <v>6.702732334638592E-2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26789.37</v>
      </c>
      <c r="X36" s="8">
        <f>IFERROR(W36/W444, "NA")</f>
        <v>-0.52572863404482018</v>
      </c>
      <c r="Y36" s="9"/>
      <c r="Z36" s="7">
        <v>36669</v>
      </c>
      <c r="AA36" s="8">
        <f>IFERROR(Z36/Z444, "NA")</f>
        <v>8.7109944608964873E-2</v>
      </c>
      <c r="AB36" s="9"/>
      <c r="AC36" s="10">
        <f t="shared" si="11"/>
        <v>-9879.630000000001</v>
      </c>
      <c r="AD36" s="8">
        <f>IFERROR(AC36/AC444, "NA")</f>
        <v>0.46443332311667113</v>
      </c>
    </row>
    <row r="37" spans="1:30" ht="16.5" customHeight="1" x14ac:dyDescent="0.45">
      <c r="A37" s="12" t="s">
        <v>37</v>
      </c>
      <c r="B37" s="7">
        <v>739.94</v>
      </c>
      <c r="C37" s="8">
        <f>IFERROR(B37/B444, "NA")</f>
        <v>6.5103424295471042E-3</v>
      </c>
      <c r="D37" s="9"/>
      <c r="E37" s="7">
        <v>0</v>
      </c>
      <c r="F37" s="8">
        <f>IFERROR(E37/E444, "NA")</f>
        <v>0</v>
      </c>
      <c r="G37" s="9"/>
      <c r="H37" s="10">
        <f t="shared" si="8"/>
        <v>739.94</v>
      </c>
      <c r="I37" s="8">
        <f>IFERROR(H37/H444, "NA")</f>
        <v>-4.1760541441103839E-2</v>
      </c>
      <c r="J37" s="9"/>
      <c r="K37" s="7">
        <v>0</v>
      </c>
      <c r="L37" s="8">
        <f>IFERROR(K37/K444, "NA")</f>
        <v>0</v>
      </c>
      <c r="M37" s="9"/>
      <c r="N37" s="10">
        <f t="shared" si="9"/>
        <v>739.94</v>
      </c>
      <c r="O37" s="8">
        <f>IFERROR(N37/N444, "NA")</f>
        <v>-0.11912689008526313</v>
      </c>
      <c r="P37" s="9"/>
      <c r="Q37" s="7">
        <v>3920.49</v>
      </c>
      <c r="R37" s="8">
        <f>IFERROR(Q37/Q444, "NA")</f>
        <v>9.8091127527923389E-3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3920.49</v>
      </c>
      <c r="X37" s="8">
        <f>IFERROR(W37/W444, "NA")</f>
        <v>-7.6937750028700833E-2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3920.49</v>
      </c>
      <c r="AD37" s="8">
        <f>IFERROR(AC37/AC444, "NA")</f>
        <v>-0.18429902728600947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886.95</v>
      </c>
      <c r="L39" s="8">
        <f>IFERROR(K39/K444, "NA")</f>
        <v>7.3994238969314775E-3</v>
      </c>
      <c r="M39" s="9"/>
      <c r="N39" s="10">
        <f t="shared" si="9"/>
        <v>-886.95</v>
      </c>
      <c r="O39" s="8">
        <f>IFERROR(N39/N444, "NA")</f>
        <v>0.14279481466216737</v>
      </c>
      <c r="P39" s="9"/>
      <c r="Q39" s="7">
        <v>0</v>
      </c>
      <c r="R39" s="8">
        <f>IFERROR(Q39/Q444, "NA")</f>
        <v>0</v>
      </c>
      <c r="S39" s="9"/>
      <c r="T39" s="7">
        <v>0</v>
      </c>
      <c r="U39" s="8">
        <f>IFERROR(T39/T444, "NA")</f>
        <v>0</v>
      </c>
      <c r="V39" s="9"/>
      <c r="W39" s="10">
        <f t="shared" si="10"/>
        <v>0</v>
      </c>
      <c r="X39" s="8">
        <f>IFERROR(W39/W444, "NA")</f>
        <v>0</v>
      </c>
      <c r="Y39" s="9"/>
      <c r="Z39" s="7">
        <v>3605.1</v>
      </c>
      <c r="AA39" s="8">
        <f>IFERROR(Z39/Z444, "NA")</f>
        <v>8.5641839512879889E-3</v>
      </c>
      <c r="AB39" s="9"/>
      <c r="AC39" s="10">
        <f t="shared" si="11"/>
        <v>-3605.1</v>
      </c>
      <c r="AD39" s="8">
        <f>IFERROR(AC39/AC444, "NA")</f>
        <v>0.16947280142757482</v>
      </c>
    </row>
    <row r="40" spans="1:30" ht="16.5" customHeight="1" x14ac:dyDescent="0.45">
      <c r="A40" s="13" t="s">
        <v>40</v>
      </c>
      <c r="B40" s="14">
        <f>IFERROR(B31+B32+B33+B34+B35+B36+B37+B38+B39, "NA")</f>
        <v>17993.87</v>
      </c>
      <c r="C40" s="15">
        <f>IFERROR(B40/B444, "NA")</f>
        <v>0.15831858709186519</v>
      </c>
      <c r="D40" s="2"/>
      <c r="E40" s="14">
        <f>IFERROR(E31+E32+E33+E34+E35+E36+E37+E38+E39, "NA")</f>
        <v>22727.83</v>
      </c>
      <c r="F40" s="15">
        <f>IFERROR(E40/E444, "NA")</f>
        <v>0.17300002618464191</v>
      </c>
      <c r="G40" s="2"/>
      <c r="H40" s="14">
        <f t="shared" si="8"/>
        <v>-4733.9600000000028</v>
      </c>
      <c r="I40" s="15">
        <f>IFERROR(H40/H444, "NA")</f>
        <v>0.26717400432538857</v>
      </c>
      <c r="J40" s="2"/>
      <c r="K40" s="14">
        <f>IFERROR(K31+K32+K33+K34+K35+K36+K37+K38+K39, "NA")</f>
        <v>19596.960000000003</v>
      </c>
      <c r="L40" s="15">
        <f>IFERROR(K40/K444, "NA")</f>
        <v>0.16348860040724988</v>
      </c>
      <c r="M40" s="2"/>
      <c r="N40" s="14">
        <f t="shared" si="9"/>
        <v>-1603.0900000000038</v>
      </c>
      <c r="O40" s="15">
        <f>IFERROR(N40/N444, "NA")</f>
        <v>0.25809001571314555</v>
      </c>
      <c r="P40" s="2"/>
      <c r="Q40" s="14">
        <f>IFERROR(Q31+Q32+Q33+Q34+Q35+Q36+Q37+Q38+Q39, "NA")</f>
        <v>70734</v>
      </c>
      <c r="R40" s="15">
        <f>IFERROR(Q40/Q444, "NA")</f>
        <v>0.17697731188091625</v>
      </c>
      <c r="S40" s="2"/>
      <c r="T40" s="14">
        <f>IFERROR(T31+T32+T33+T34+T35+T36+T37+T38+T39, "NA")</f>
        <v>77959.86</v>
      </c>
      <c r="U40" s="15">
        <f>IFERROR(T40/T444, "NA")</f>
        <v>0.17300001109545418</v>
      </c>
      <c r="V40" s="2"/>
      <c r="W40" s="14">
        <f t="shared" si="10"/>
        <v>-7225.8600000000006</v>
      </c>
      <c r="X40" s="15">
        <f>IFERROR(W40/W444, "NA")</f>
        <v>0.14180406286520006</v>
      </c>
      <c r="Y40" s="2"/>
      <c r="Z40" s="14">
        <f>IFERROR(Z31+Z32+Z33+Z34+Z35+Z36+Z37+Z38+Z39, "NA")</f>
        <v>80432.160000000003</v>
      </c>
      <c r="AA40" s="15">
        <f>IFERROR(Z40/Z444, "NA")</f>
        <v>0.19107259544518257</v>
      </c>
      <c r="AB40" s="2"/>
      <c r="AC40" s="14">
        <f t="shared" si="11"/>
        <v>-9698.1600000000035</v>
      </c>
      <c r="AD40" s="15">
        <f>IFERROR(AC40/AC444, "NA")</f>
        <v>0.45590256688936492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24961.200000000001</v>
      </c>
      <c r="F42" s="8">
        <f>IFERROR(E42/E444, "NA")</f>
        <v>0.19000002435780644</v>
      </c>
      <c r="G42" s="9"/>
      <c r="H42" s="10">
        <f>IFERROR(B42-E42, "NA")</f>
        <v>-24961.200000000001</v>
      </c>
      <c r="I42" s="8">
        <f>IFERROR(H42/H444, "NA")</f>
        <v>1.4087537192470754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85620.65</v>
      </c>
      <c r="U42" s="8">
        <f>IFERROR(T42/T444, "NA")</f>
        <v>0.18999999999999997</v>
      </c>
      <c r="V42" s="9"/>
      <c r="W42" s="10">
        <f>IFERROR(Q42-T42, "NA")</f>
        <v>-85620.65</v>
      </c>
      <c r="X42" s="8">
        <f>IFERROR(W42/W444, "NA")</f>
        <v>1.680264499334237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3581.07</v>
      </c>
      <c r="C43" s="8">
        <f>IFERROR(B43/B444, "NA")</f>
        <v>3.1507949244774236E-2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3581.07</v>
      </c>
      <c r="I43" s="8">
        <f>IFERROR(H43/H444, "NA")</f>
        <v>-0.20210749809240439</v>
      </c>
      <c r="J43" s="9"/>
      <c r="K43" s="7">
        <v>2003.65</v>
      </c>
      <c r="L43" s="8">
        <f>IFERROR(K43/K444, "NA")</f>
        <v>1.6715548442512829E-2</v>
      </c>
      <c r="M43" s="9"/>
      <c r="N43" s="10">
        <f>IFERROR(B43-K43, "NA")</f>
        <v>1577.42</v>
      </c>
      <c r="O43" s="8">
        <f>IFERROR(N43/N444, "NA")</f>
        <v>-0.25395726539759406</v>
      </c>
      <c r="P43" s="9"/>
      <c r="Q43" s="7">
        <v>10438.23</v>
      </c>
      <c r="R43" s="8">
        <f>IFERROR(Q43/Q444, "NA")</f>
        <v>2.6116575991669302E-2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10438.23</v>
      </c>
      <c r="X43" s="8">
        <f>IFERROR(W43/W444, "NA")</f>
        <v>-0.20484529497131376</v>
      </c>
      <c r="Y43" s="9"/>
      <c r="Z43" s="7">
        <v>10308.42</v>
      </c>
      <c r="AA43" s="8">
        <f>IFERROR(Z43/Z444, "NA")</f>
        <v>2.4488420606123582E-2</v>
      </c>
      <c r="AB43" s="9"/>
      <c r="AC43" s="10">
        <f>IFERROR(Q43-Z43, "NA")</f>
        <v>129.80999999999949</v>
      </c>
      <c r="AD43" s="8">
        <f>IFERROR(AC43/AC444, "NA")</f>
        <v>-6.1022618937930711E-3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14087.01</v>
      </c>
      <c r="C48" s="8">
        <f>IFERROR(B48/B444, "NA")</f>
        <v>0.12394418318844007</v>
      </c>
      <c r="D48" s="9"/>
      <c r="E48" s="7">
        <v>0</v>
      </c>
      <c r="F48" s="8">
        <f>IFERROR(E48/E444, "NA")</f>
        <v>0</v>
      </c>
      <c r="G48" s="9"/>
      <c r="H48" s="10">
        <f t="shared" si="12"/>
        <v>14087.01</v>
      </c>
      <c r="I48" s="8">
        <f>IFERROR(H48/H444, "NA")</f>
        <v>-0.79503900976598663</v>
      </c>
      <c r="J48" s="9"/>
      <c r="K48" s="7">
        <v>13640.29</v>
      </c>
      <c r="L48" s="8">
        <f>IFERROR(K48/K444, "NA")</f>
        <v>0.11379478864318784</v>
      </c>
      <c r="M48" s="9"/>
      <c r="N48" s="10">
        <f t="shared" si="13"/>
        <v>446.71999999999935</v>
      </c>
      <c r="O48" s="8">
        <f>IFERROR(N48/N444, "NA")</f>
        <v>-7.1919837201514528E-2</v>
      </c>
      <c r="P48" s="9"/>
      <c r="Q48" s="7">
        <v>57840.72</v>
      </c>
      <c r="R48" s="8">
        <f>IFERROR(Q48/Q444, "NA")</f>
        <v>0.14471817149965718</v>
      </c>
      <c r="S48" s="9"/>
      <c r="T48" s="7">
        <v>0</v>
      </c>
      <c r="U48" s="8">
        <f>IFERROR(T48/T444, "NA")</f>
        <v>0</v>
      </c>
      <c r="V48" s="9"/>
      <c r="W48" s="10">
        <f t="shared" si="14"/>
        <v>57840.72</v>
      </c>
      <c r="X48" s="8">
        <f>IFERROR(W48/W444, "NA")</f>
        <v>-1.135096596813173</v>
      </c>
      <c r="Y48" s="9"/>
      <c r="Z48" s="7">
        <v>63070.239999999998</v>
      </c>
      <c r="AA48" s="8">
        <f>IFERROR(Z48/Z444, "NA")</f>
        <v>0.14982805947460034</v>
      </c>
      <c r="AB48" s="9"/>
      <c r="AC48" s="10">
        <f t="shared" si="15"/>
        <v>-5229.5199999999968</v>
      </c>
      <c r="AD48" s="8">
        <f>IFERROR(AC48/AC444, "NA")</f>
        <v>0.24583545658137929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18.45</v>
      </c>
      <c r="L49" s="8">
        <f>IFERROR(K49/K444, "NA")</f>
        <v>1.5392003032683438E-4</v>
      </c>
      <c r="M49" s="9"/>
      <c r="N49" s="10">
        <f t="shared" si="13"/>
        <v>-18.45</v>
      </c>
      <c r="O49" s="8">
        <f>IFERROR(N49/N444, "NA")</f>
        <v>2.9703639782591891E-3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18.45</v>
      </c>
      <c r="AA49" s="8">
        <f>IFERROR(Z49/Z444, "NA")</f>
        <v>4.3829351169527441E-5</v>
      </c>
      <c r="AB49" s="9"/>
      <c r="AC49" s="10">
        <f t="shared" si="15"/>
        <v>-18.45</v>
      </c>
      <c r="AD49" s="8">
        <f>IFERROR(AC49/AC444, "NA")</f>
        <v>8.6731940482615054E-4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7800</v>
      </c>
      <c r="R52" s="8">
        <f>IFERROR(Q52/Q444, "NA")</f>
        <v>1.9515693056679204E-2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7800</v>
      </c>
      <c r="X52" s="8">
        <f>IFERROR(W52/W444, "NA")</f>
        <v>-0.15307128706459308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7800</v>
      </c>
      <c r="AD52" s="8">
        <f>IFERROR(AC52/AC444, "NA")</f>
        <v>-0.36667161830048639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11.65</v>
      </c>
      <c r="L54" s="8">
        <f>IFERROR(K54/K444, "NA")</f>
        <v>9.7190696656239596E-5</v>
      </c>
      <c r="M54" s="9"/>
      <c r="N54" s="10">
        <f t="shared" si="13"/>
        <v>-11.65</v>
      </c>
      <c r="O54" s="8">
        <f>IFERROR(N54/N444, "NA")</f>
        <v>1.8755956827490275E-3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11.65</v>
      </c>
      <c r="AA54" s="8">
        <f>IFERROR(Z54/Z444, "NA")</f>
        <v>2.767544396341435E-5</v>
      </c>
      <c r="AB54" s="9"/>
      <c r="AC54" s="10">
        <f t="shared" si="15"/>
        <v>-11.65</v>
      </c>
      <c r="AD54" s="8">
        <f>IFERROR(AC54/AC444, "NA")</f>
        <v>5.4765696835905981E-4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32.799999999999997</v>
      </c>
      <c r="L56" s="8">
        <f>IFERROR(K56/K444, "NA")</f>
        <v>2.7363560946992775E-4</v>
      </c>
      <c r="M56" s="9"/>
      <c r="N56" s="10">
        <f t="shared" si="13"/>
        <v>-32.799999999999997</v>
      </c>
      <c r="O56" s="8">
        <f>IFERROR(N56/N444, "NA")</f>
        <v>5.2806470724607807E-3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32.799999999999997</v>
      </c>
      <c r="AA56" s="8">
        <f>IFERROR(Z56/Z444, "NA")</f>
        <v>7.7918846523604342E-5</v>
      </c>
      <c r="AB56" s="9"/>
      <c r="AC56" s="10">
        <f t="shared" si="15"/>
        <v>-32.799999999999997</v>
      </c>
      <c r="AD56" s="8">
        <f>IFERROR(AC56/AC444, "NA")</f>
        <v>1.5419011641353787E-3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14087.01</v>
      </c>
      <c r="C61" s="15">
        <f>IFERROR(B61/B444, "NA")</f>
        <v>0.12394418318844007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14087.01</v>
      </c>
      <c r="I61" s="15">
        <f>IFERROR(H61/H444, "NA")</f>
        <v>-0.79503900976598663</v>
      </c>
      <c r="J61" s="2"/>
      <c r="K61" s="14">
        <f>IFERROR(K46+K47+K48+K49+K50+K51+K52+K53+K54+K55+K56+K57+K58+K59+K60, "NA")</f>
        <v>13703.19</v>
      </c>
      <c r="L61" s="15">
        <f>IFERROR(K61/K444, "NA")</f>
        <v>0.11431953497964084</v>
      </c>
      <c r="M61" s="2"/>
      <c r="N61" s="14">
        <f t="shared" si="13"/>
        <v>383.81999999999971</v>
      </c>
      <c r="O61" s="15">
        <f>IFERROR(N61/N444, "NA")</f>
        <v>-6.1793230468045593E-2</v>
      </c>
      <c r="P61" s="2"/>
      <c r="Q61" s="14">
        <f>IFERROR(Q46+Q47+Q48+Q49+Q50+Q51+Q52+Q53+Q54+Q55+Q56+Q57+Q58+Q59+Q60, "NA")</f>
        <v>65640.72</v>
      </c>
      <c r="R61" s="15">
        <f>IFERROR(Q61/Q444, "NA")</f>
        <v>0.16423386455633637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65640.72</v>
      </c>
      <c r="X61" s="15">
        <f>IFERROR(W61/W444, "NA")</f>
        <v>-1.2881678838777662</v>
      </c>
      <c r="Y61" s="2"/>
      <c r="Z61" s="14">
        <f>IFERROR(Z46+Z47+Z48+Z49+Z50+Z51+Z52+Z53+Z54+Z55+Z56+Z57+Z58+Z59+Z60, "NA")</f>
        <v>63133.14</v>
      </c>
      <c r="AA61" s="15">
        <f>IFERROR(Z61/Z444, "NA")</f>
        <v>0.14997748311625689</v>
      </c>
      <c r="AB61" s="2"/>
      <c r="AC61" s="14">
        <f t="shared" si="15"/>
        <v>2507.5800000000017</v>
      </c>
      <c r="AD61" s="15">
        <f>IFERROR(AC61/AC444, "NA")</f>
        <v>-0.11787928418178646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17668.080000000002</v>
      </c>
      <c r="C62" s="15">
        <f>IFERROR(B62/B444, "NA")</f>
        <v>0.15545213243321432</v>
      </c>
      <c r="D62" s="2"/>
      <c r="E62" s="14">
        <f>IFERROR(E42+E43+E44+E46+E47+E48+E49+E50+E51+E52+E53+E54+E55+E56+E57+E58+E59+E60, "NA")</f>
        <v>24961.200000000001</v>
      </c>
      <c r="F62" s="15">
        <f>IFERROR(E62/E444, "NA")</f>
        <v>0.19000002435780644</v>
      </c>
      <c r="G62" s="2"/>
      <c r="H62" s="14">
        <f t="shared" si="12"/>
        <v>-7293.119999999999</v>
      </c>
      <c r="I62" s="15">
        <f>IFERROR(H62/H444, "NA")</f>
        <v>0.41160721138868439</v>
      </c>
      <c r="J62" s="2"/>
      <c r="K62" s="14">
        <f>IFERROR(K42+K43+K44+K46+K47+K48+K49+K50+K51+K52+K53+K54+K55+K56+K57+K58+K59+K60, "NA")</f>
        <v>15706.84</v>
      </c>
      <c r="L62" s="15">
        <f>IFERROR(K62/K444, "NA")</f>
        <v>0.13103508342215367</v>
      </c>
      <c r="M62" s="2"/>
      <c r="N62" s="14">
        <f t="shared" si="13"/>
        <v>1961.2400000000016</v>
      </c>
      <c r="O62" s="15">
        <f>IFERROR(N62/N444, "NA")</f>
        <v>-0.31575049586563997</v>
      </c>
      <c r="P62" s="2"/>
      <c r="Q62" s="14">
        <f>IFERROR(Q42+Q43+Q44+Q46+Q47+Q48+Q49+Q50+Q51+Q52+Q53+Q54+Q55+Q56+Q57+Q58+Q59+Q60, "NA")</f>
        <v>76078.95</v>
      </c>
      <c r="R62" s="15">
        <f>IFERROR(Q62/Q444, "NA")</f>
        <v>0.19035044054800568</v>
      </c>
      <c r="S62" s="2"/>
      <c r="T62" s="14">
        <f>IFERROR(T42+T43+T44+T46+T47+T48+T49+T50+T51+T52+T53+T54+T55+T56+T57+T58+T59+T60, "NA")</f>
        <v>85620.65</v>
      </c>
      <c r="U62" s="15">
        <f>IFERROR(T62/T444, "NA")</f>
        <v>0.18999999999999997</v>
      </c>
      <c r="V62" s="2"/>
      <c r="W62" s="14">
        <f t="shared" si="14"/>
        <v>-9541.6999999999971</v>
      </c>
      <c r="X62" s="15">
        <f>IFERROR(W62/W444, "NA")</f>
        <v>0.18725132048515733</v>
      </c>
      <c r="Y62" s="2"/>
      <c r="Z62" s="14">
        <f>IFERROR(Z42+Z43+Z44+Z46+Z47+Z48+Z49+Z50+Z51+Z52+Z53+Z54+Z55+Z56+Z57+Z58+Z59+Z60, "NA")</f>
        <v>73441.56</v>
      </c>
      <c r="AA62" s="15">
        <f>IFERROR(Z62/Z444, "NA")</f>
        <v>0.17446590372238047</v>
      </c>
      <c r="AB62" s="2"/>
      <c r="AC62" s="14">
        <f t="shared" si="15"/>
        <v>2637.3899999999994</v>
      </c>
      <c r="AD62" s="15">
        <f>IFERROR(AC62/AC444, "NA")</f>
        <v>-0.12398154607557944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5386.36</v>
      </c>
      <c r="F64" s="8">
        <f>IFERROR(E64/E444, "NA")</f>
        <v>4.0999973206412924E-2</v>
      </c>
      <c r="G64" s="9"/>
      <c r="H64" s="10">
        <f t="shared" ref="H64:H73" si="16">IFERROR(B64-E64, "NA")</f>
        <v>-5386.36</v>
      </c>
      <c r="I64" s="8">
        <f>IFERROR(H64/H444, "NA")</f>
        <v>0.30399398599441041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18476.03</v>
      </c>
      <c r="U64" s="8">
        <f>IFERROR(T64/T444, "NA")</f>
        <v>4.0999988904545807E-2</v>
      </c>
      <c r="V64" s="9"/>
      <c r="W64" s="10">
        <f t="shared" ref="W64:W73" si="18">IFERROR(Q64-T64, "NA")</f>
        <v>-18476.03</v>
      </c>
      <c r="X64" s="8">
        <f>IFERROR(W64/W444, "NA")</f>
        <v>0.36258329383897864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5490.45</v>
      </c>
      <c r="C65" s="8">
        <f>IFERROR(B65/B444, "NA")</f>
        <v>4.8307578441910012E-2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5490.45</v>
      </c>
      <c r="I65" s="8">
        <f>IFERROR(H65/H444, "NA")</f>
        <v>-0.30986859036585201</v>
      </c>
      <c r="J65" s="9"/>
      <c r="K65" s="7">
        <v>1634.65</v>
      </c>
      <c r="L65" s="8">
        <f>IFERROR(K65/K444, "NA")</f>
        <v>1.3637147835976143E-2</v>
      </c>
      <c r="M65" s="9"/>
      <c r="N65" s="10">
        <f t="shared" si="17"/>
        <v>3855.7999999999997</v>
      </c>
      <c r="O65" s="8">
        <f>IFERROR(N65/N444, "NA")</f>
        <v>-0.62076582262177682</v>
      </c>
      <c r="P65" s="9"/>
      <c r="Q65" s="7">
        <v>12616.31</v>
      </c>
      <c r="R65" s="8">
        <f>IFERROR(Q65/Q444, "NA")</f>
        <v>3.1566158136911847E-2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12616.31</v>
      </c>
      <c r="X65" s="8">
        <f>IFERROR(W65/W444, "NA")</f>
        <v>-0.24758907816742257</v>
      </c>
      <c r="Y65" s="9"/>
      <c r="Z65" s="7">
        <v>2601.56</v>
      </c>
      <c r="AA65" s="8">
        <f>IFERROR(Z65/Z444, "NA")</f>
        <v>6.180199828108174E-3</v>
      </c>
      <c r="AB65" s="9"/>
      <c r="AC65" s="10">
        <f t="shared" si="19"/>
        <v>10014.75</v>
      </c>
      <c r="AD65" s="8">
        <f>IFERROR(AC65/AC444, "NA")</f>
        <v>-0.47078520376599953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7267.89</v>
      </c>
      <c r="R71" s="8">
        <f>IFERROR(Q71/Q444, "NA")</f>
        <v>1.8184347488424131E-2</v>
      </c>
      <c r="S71" s="9"/>
      <c r="T71" s="7">
        <v>0</v>
      </c>
      <c r="U71" s="8">
        <f>IFERROR(T71/T444, "NA")</f>
        <v>0</v>
      </c>
      <c r="V71" s="9"/>
      <c r="W71" s="10">
        <f t="shared" si="18"/>
        <v>7267.89</v>
      </c>
      <c r="X71" s="8">
        <f>IFERROR(W71/W444, "NA")</f>
        <v>-0.14262888160819043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7267.89</v>
      </c>
      <c r="AD71" s="8">
        <f>IFERROR(AC71/AC444, "NA")</f>
        <v>-0.34165756255511825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5490.45</v>
      </c>
      <c r="C73" s="15">
        <f>IFERROR(B73/B444, "NA")</f>
        <v>4.8307578441910012E-2</v>
      </c>
      <c r="D73" s="2"/>
      <c r="E73" s="14">
        <f>IFERROR(E64+E65+E66+E67+E68+E69+E70+E71+E72, "NA")</f>
        <v>5386.36</v>
      </c>
      <c r="F73" s="15">
        <f>IFERROR(E73/E444, "NA")</f>
        <v>4.0999973206412924E-2</v>
      </c>
      <c r="G73" s="2"/>
      <c r="H73" s="14">
        <f t="shared" si="16"/>
        <v>104.09000000000015</v>
      </c>
      <c r="I73" s="15">
        <f>IFERROR(H73/H444, "NA")</f>
        <v>-5.8746043714416087E-3</v>
      </c>
      <c r="J73" s="2"/>
      <c r="K73" s="14">
        <f>IFERROR(K64+K65+K66+K67+K68+K69+K70+K71+K72, "NA")</f>
        <v>1634.65</v>
      </c>
      <c r="L73" s="15">
        <f>IFERROR(K73/K444, "NA")</f>
        <v>1.3637147835976143E-2</v>
      </c>
      <c r="M73" s="2"/>
      <c r="N73" s="14">
        <f t="shared" si="17"/>
        <v>3855.7999999999997</v>
      </c>
      <c r="O73" s="15">
        <f>IFERROR(N73/N444, "NA")</f>
        <v>-0.62076582262177682</v>
      </c>
      <c r="P73" s="2"/>
      <c r="Q73" s="14">
        <f>IFERROR(Q64+Q65+Q66+Q67+Q68+Q69+Q70+Q71+Q72, "NA")</f>
        <v>19884.2</v>
      </c>
      <c r="R73" s="15">
        <f>IFERROR(Q73/Q444, "NA")</f>
        <v>4.9750505625335978E-2</v>
      </c>
      <c r="S73" s="2"/>
      <c r="T73" s="14">
        <f>IFERROR(T64+T65+T66+T67+T68+T69+T70+T71+T72, "NA")</f>
        <v>18476.03</v>
      </c>
      <c r="U73" s="15">
        <f>IFERROR(T73/T444, "NA")</f>
        <v>4.0999988904545807E-2</v>
      </c>
      <c r="V73" s="2"/>
      <c r="W73" s="14">
        <f t="shared" si="18"/>
        <v>1408.1700000000019</v>
      </c>
      <c r="X73" s="15">
        <f>IFERROR(W73/W444, "NA")</f>
        <v>-2.7634665936634398E-2</v>
      </c>
      <c r="Y73" s="2"/>
      <c r="Z73" s="14">
        <f>IFERROR(Z64+Z65+Z66+Z67+Z68+Z69+Z70+Z71+Z72, "NA")</f>
        <v>2601.56</v>
      </c>
      <c r="AA73" s="15">
        <f>IFERROR(Z73/Z444, "NA")</f>
        <v>6.180199828108174E-3</v>
      </c>
      <c r="AB73" s="2"/>
      <c r="AC73" s="14">
        <f t="shared" si="19"/>
        <v>17282.64</v>
      </c>
      <c r="AD73" s="15">
        <f>IFERROR(AC73/AC444, "NA")</f>
        <v>-0.81244276632111767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1839.25</v>
      </c>
      <c r="F75" s="8">
        <f>IFERROR(E75/E444, "NA")</f>
        <v>1.4000029838312882E-2</v>
      </c>
      <c r="G75" s="9"/>
      <c r="H75" s="10">
        <f t="shared" ref="H75:H92" si="20">IFERROR(B75-E75, "NA")</f>
        <v>-1839.25</v>
      </c>
      <c r="I75" s="8">
        <f>IFERROR(H75/H444, "NA")</f>
        <v>0.10380311355724819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6308.89</v>
      </c>
      <c r="U75" s="8">
        <f>IFERROR(T75/T444, "NA")</f>
        <v>1.4E-2</v>
      </c>
      <c r="V75" s="9"/>
      <c r="W75" s="10">
        <f t="shared" ref="W75:W92" si="22">IFERROR(Q75-T75, "NA")</f>
        <v>-6308.89</v>
      </c>
      <c r="X75" s="8">
        <f>IFERROR(W75/W444, "NA")</f>
        <v>0.12380896310883854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289.69</v>
      </c>
      <c r="C77" s="8">
        <f>IFERROR(B77/B444, "NA")</f>
        <v>2.5488297678399607E-3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289.69</v>
      </c>
      <c r="I77" s="8">
        <f>IFERROR(H77/H444, "NA")</f>
        <v>-1.6349448941905247E-2</v>
      </c>
      <c r="J77" s="9"/>
      <c r="K77" s="7">
        <v>268.74</v>
      </c>
      <c r="L77" s="8">
        <f>IFERROR(K77/K444, "NA")</f>
        <v>2.2419766368581826E-3</v>
      </c>
      <c r="M77" s="9"/>
      <c r="N77" s="10">
        <f t="shared" si="21"/>
        <v>20.949999999999989</v>
      </c>
      <c r="O77" s="8">
        <f>IFERROR(N77/N444, "NA")</f>
        <v>-3.3728523221967471E-3</v>
      </c>
      <c r="P77" s="9"/>
      <c r="Q77" s="7">
        <v>813.26</v>
      </c>
      <c r="R77" s="8">
        <f>IFERROR(Q77/Q444, "NA")</f>
        <v>2.0347862224711446E-3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813.26</v>
      </c>
      <c r="X77" s="8">
        <f>IFERROR(W77/W444, "NA")</f>
        <v>-1.5959840374121917E-2</v>
      </c>
      <c r="Y77" s="9"/>
      <c r="Z77" s="7">
        <v>1177.27</v>
      </c>
      <c r="AA77" s="8">
        <f>IFERROR(Z77/Z444, "NA")</f>
        <v>2.7966926965501122E-3</v>
      </c>
      <c r="AB77" s="9"/>
      <c r="AC77" s="10">
        <f t="shared" si="23"/>
        <v>-364.01</v>
      </c>
      <c r="AD77" s="8">
        <f>IFERROR(AC77/AC444, "NA")</f>
        <v>1.7111812279174365E-2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1515.93</v>
      </c>
      <c r="C80" s="8">
        <f>IFERROR(B80/B444, "NA")</f>
        <v>1.3337869826233669E-2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1515.93</v>
      </c>
      <c r="I80" s="8">
        <f>IFERROR(H80/H444, "NA")</f>
        <v>-8.5555663414347838E-2</v>
      </c>
      <c r="J80" s="9"/>
      <c r="K80" s="7">
        <v>1413.65</v>
      </c>
      <c r="L80" s="8">
        <f>IFERROR(K80/K444, "NA")</f>
        <v>1.1793444491681812E-2</v>
      </c>
      <c r="M80" s="9"/>
      <c r="N80" s="10">
        <f t="shared" si="21"/>
        <v>102.27999999999997</v>
      </c>
      <c r="O80" s="8">
        <f>IFERROR(N80/N444, "NA")</f>
        <v>-1.6466603127173431E-2</v>
      </c>
      <c r="P80" s="9"/>
      <c r="Q80" s="7">
        <v>5662.82</v>
      </c>
      <c r="R80" s="8">
        <f>IFERROR(Q80/Q444, "NA")</f>
        <v>1.4168443199387707E-2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5662.82</v>
      </c>
      <c r="X80" s="8">
        <f>IFERROR(W80/W444, "NA")</f>
        <v>-0.11113014689937421</v>
      </c>
      <c r="Y80" s="9"/>
      <c r="Z80" s="7">
        <v>5339.29</v>
      </c>
      <c r="AA80" s="8">
        <f>IFERROR(Z80/Z444, "NA")</f>
        <v>1.2683881648018763E-2</v>
      </c>
      <c r="AB80" s="9"/>
      <c r="AC80" s="10">
        <f t="shared" si="23"/>
        <v>323.52999999999975</v>
      </c>
      <c r="AD80" s="8">
        <f>IFERROR(AC80/AC444, "NA")</f>
        <v>-1.5208880598558497E-2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1805.6200000000001</v>
      </c>
      <c r="C88" s="15">
        <f>IFERROR(B88/B444, "NA")</f>
        <v>1.5886699594073631E-2</v>
      </c>
      <c r="D88" s="2"/>
      <c r="E88" s="14">
        <f>IFERROR(E75+E76+E77+E78+E79+E80+E81+E82+E83+E84+E85+E86+E87, "NA")</f>
        <v>1839.25</v>
      </c>
      <c r="F88" s="15">
        <f>IFERROR(E88/E444, "NA")</f>
        <v>1.4000029838312882E-2</v>
      </c>
      <c r="G88" s="2"/>
      <c r="H88" s="14">
        <f t="shared" si="20"/>
        <v>-33.629999999999882</v>
      </c>
      <c r="I88" s="15">
        <f>IFERROR(H88/H444, "NA")</f>
        <v>1.8980012009951037E-3</v>
      </c>
      <c r="J88" s="2"/>
      <c r="K88" s="14">
        <f>IFERROR(K75+K76+K77+K78+K79+K80+K81+K82+K83+K84+K85+K86+K87, "NA")</f>
        <v>1682.39</v>
      </c>
      <c r="L88" s="15">
        <f>IFERROR(K88/K444, "NA")</f>
        <v>1.4035421128539994E-2</v>
      </c>
      <c r="M88" s="2"/>
      <c r="N88" s="14">
        <f t="shared" si="21"/>
        <v>123.23000000000002</v>
      </c>
      <c r="O88" s="15">
        <f>IFERROR(N88/N444, "NA")</f>
        <v>-1.9839455449370186E-2</v>
      </c>
      <c r="P88" s="2"/>
      <c r="Q88" s="14">
        <f>IFERROR(Q75+Q76+Q77+Q78+Q79+Q80+Q81+Q82+Q83+Q84+Q85+Q86+Q87, "NA")</f>
        <v>6476.08</v>
      </c>
      <c r="R88" s="15">
        <f>IFERROR(Q88/Q444, "NA")</f>
        <v>1.6203229421858853E-2</v>
      </c>
      <c r="S88" s="2"/>
      <c r="T88" s="14">
        <f>IFERROR(T75+T76+T77+T78+T79+T80+T81+T82+T83+T84+T85+T86+T87, "NA")</f>
        <v>6308.89</v>
      </c>
      <c r="U88" s="15">
        <f>IFERROR(T88/T444, "NA")</f>
        <v>1.4E-2</v>
      </c>
      <c r="V88" s="2"/>
      <c r="W88" s="14">
        <f t="shared" si="22"/>
        <v>167.1899999999996</v>
      </c>
      <c r="X88" s="15">
        <f>IFERROR(W88/W444, "NA")</f>
        <v>-3.2810241646575966E-3</v>
      </c>
      <c r="Y88" s="2"/>
      <c r="Z88" s="14">
        <f>IFERROR(Z75+Z76+Z77+Z78+Z79+Z80+Z81+Z82+Z83+Z84+Z85+Z86+Z87, "NA")</f>
        <v>6516.5599999999995</v>
      </c>
      <c r="AA88" s="15">
        <f>IFERROR(Z88/Z444, "NA")</f>
        <v>1.5480574344568874E-2</v>
      </c>
      <c r="AB88" s="2"/>
      <c r="AC88" s="14">
        <f t="shared" si="23"/>
        <v>-40.479999999999563</v>
      </c>
      <c r="AD88" s="15">
        <f>IFERROR(AC88/AC444, "NA")</f>
        <v>1.9029316806158372E-3</v>
      </c>
    </row>
    <row r="89" spans="1:30" ht="16.5" customHeight="1" x14ac:dyDescent="0.45">
      <c r="A89" s="6" t="s">
        <v>85</v>
      </c>
      <c r="B89" s="7">
        <v>-47.43</v>
      </c>
      <c r="C89" s="8">
        <f>IFERROR(B89/B444, "NA")</f>
        <v>-4.1731159476906117E-4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-47.43</v>
      </c>
      <c r="I89" s="8">
        <f>IFERROR(H89/H444, "NA")</f>
        <v>2.6768420149627737E-3</v>
      </c>
      <c r="J89" s="9"/>
      <c r="K89" s="7">
        <v>219.95</v>
      </c>
      <c r="L89" s="8">
        <f>IFERROR(K89/K444, "NA")</f>
        <v>1.8349436677716649E-3</v>
      </c>
      <c r="M89" s="9"/>
      <c r="N89" s="10">
        <f t="shared" si="21"/>
        <v>-267.38</v>
      </c>
      <c r="O89" s="8">
        <f>IFERROR(N89/N444, "NA")</f>
        <v>4.3046933360809864E-2</v>
      </c>
      <c r="P89" s="9"/>
      <c r="Q89" s="7">
        <v>-62.43</v>
      </c>
      <c r="R89" s="8">
        <f>IFERROR(Q89/Q444, "NA")</f>
        <v>-1.5620060481134394E-4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-62.43</v>
      </c>
      <c r="X89" s="8">
        <f>IFERROR(W89/W444, "NA")</f>
        <v>1.2251590322362239E-3</v>
      </c>
      <c r="Y89" s="9"/>
      <c r="Z89" s="7">
        <v>178.9</v>
      </c>
      <c r="AA89" s="8">
        <f>IFERROR(Z89/Z444, "NA")</f>
        <v>4.2499029399612246E-4</v>
      </c>
      <c r="AB89" s="9"/>
      <c r="AC89" s="10">
        <f t="shared" si="23"/>
        <v>-241.33</v>
      </c>
      <c r="AD89" s="8">
        <f>IFERROR(AC89/AC444, "NA")</f>
        <v>1.1344725851853383E-2</v>
      </c>
    </row>
    <row r="90" spans="1:30" ht="16.5" customHeight="1" x14ac:dyDescent="0.45">
      <c r="A90" s="6" t="s">
        <v>86</v>
      </c>
      <c r="B90" s="7">
        <v>-48.4</v>
      </c>
      <c r="C90" s="8">
        <f>IFERROR(B90/B444, "NA")</f>
        <v>-4.2584611399583725E-4</v>
      </c>
      <c r="D90" s="9"/>
      <c r="E90" s="7">
        <v>0</v>
      </c>
      <c r="F90" s="8">
        <f>IFERROR(E90/E444, "NA")</f>
        <v>0</v>
      </c>
      <c r="G90" s="9"/>
      <c r="H90" s="10">
        <f t="shared" si="20"/>
        <v>-48.4</v>
      </c>
      <c r="I90" s="8">
        <f>IFERROR(H90/H444, "NA")</f>
        <v>2.7315866229010804E-3</v>
      </c>
      <c r="J90" s="9"/>
      <c r="K90" s="7">
        <v>0</v>
      </c>
      <c r="L90" s="8">
        <f>IFERROR(K90/K444, "NA")</f>
        <v>0</v>
      </c>
      <c r="M90" s="9"/>
      <c r="N90" s="10">
        <f t="shared" si="21"/>
        <v>-48.4</v>
      </c>
      <c r="O90" s="8">
        <f>IFERROR(N90/N444, "NA")</f>
        <v>7.7921743386311524E-3</v>
      </c>
      <c r="P90" s="9"/>
      <c r="Q90" s="7">
        <v>-354.62</v>
      </c>
      <c r="R90" s="8">
        <f>IFERROR(Q90/Q444, "NA")</f>
        <v>-8.8726347073840757E-4</v>
      </c>
      <c r="S90" s="9"/>
      <c r="T90" s="7">
        <v>0</v>
      </c>
      <c r="U90" s="8">
        <f>IFERROR(T90/T444, "NA")</f>
        <v>0</v>
      </c>
      <c r="V90" s="9"/>
      <c r="W90" s="10">
        <f t="shared" si="22"/>
        <v>-354.62</v>
      </c>
      <c r="X90" s="8">
        <f>IFERROR(W90/W444, "NA")</f>
        <v>6.9592486947238456E-3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-354.62</v>
      </c>
      <c r="AD90" s="8">
        <f>IFERROR(AC90/AC444, "NA")</f>
        <v>1.6670396061758783E-2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-8145.23</v>
      </c>
      <c r="F94" s="8">
        <f>IFERROR(E94/E444, "NA")</f>
        <v>-6.1999979904809689E-2</v>
      </c>
      <c r="G94" s="9"/>
      <c r="H94" s="10">
        <f t="shared" ref="H94:H124" si="24">IFERROR(B94-E94, "NA")</f>
        <v>8145.23</v>
      </c>
      <c r="I94" s="8">
        <f>IFERROR(H94/H444, "NA")</f>
        <v>-0.45969837414158199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-27939.37</v>
      </c>
      <c r="U94" s="8">
        <f>IFERROR(T94/T444, "NA")</f>
        <v>-6.2E-2</v>
      </c>
      <c r="V94" s="9"/>
      <c r="W94" s="10">
        <f t="shared" ref="W94:W124" si="26">IFERROR(Q94-T94, "NA")</f>
        <v>27939.37</v>
      </c>
      <c r="X94" s="8">
        <f>IFERROR(W94/W444, "NA")</f>
        <v>-0.5482968366248564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-1113.8800000000001</v>
      </c>
      <c r="C96" s="8">
        <f>IFERROR(B96/B444, "NA")</f>
        <v>-9.8004435838364313E-3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-1113.8800000000001</v>
      </c>
      <c r="I96" s="8">
        <f>IFERROR(H96/H444, "NA")</f>
        <v>6.2864869990021818E-2</v>
      </c>
      <c r="J96" s="9"/>
      <c r="K96" s="7">
        <v>-1558.65</v>
      </c>
      <c r="L96" s="8">
        <f>IFERROR(K96/K444, "NA")</f>
        <v>-1.3003114106716554E-2</v>
      </c>
      <c r="M96" s="9"/>
      <c r="N96" s="10">
        <f t="shared" si="25"/>
        <v>444.77</v>
      </c>
      <c r="O96" s="8">
        <f>IFERROR(N96/N444, "NA")</f>
        <v>-7.1605896293243335E-2</v>
      </c>
      <c r="P96" s="9"/>
      <c r="Q96" s="7">
        <v>-3836.39</v>
      </c>
      <c r="R96" s="8">
        <f>IFERROR(Q96/Q444, "NA")</f>
        <v>-9.5986935494504523E-3</v>
      </c>
      <c r="S96" s="9"/>
      <c r="T96" s="7">
        <v>0</v>
      </c>
      <c r="U96" s="8">
        <f>IFERROR(T96/T444, "NA")</f>
        <v>0</v>
      </c>
      <c r="V96" s="9"/>
      <c r="W96" s="10">
        <f t="shared" si="26"/>
        <v>-3836.39</v>
      </c>
      <c r="X96" s="8">
        <f>IFERROR(W96/W444, "NA")</f>
        <v>7.5287327561760792E-2</v>
      </c>
      <c r="Y96" s="9"/>
      <c r="Z96" s="7">
        <v>-5680.57</v>
      </c>
      <c r="AA96" s="8">
        <f>IFERROR(Z96/Z444, "NA")</f>
        <v>-1.3494617743798509E-2</v>
      </c>
      <c r="AB96" s="9"/>
      <c r="AC96" s="10">
        <f t="shared" si="27"/>
        <v>1844.1799999999998</v>
      </c>
      <c r="AD96" s="8">
        <f>IFERROR(AC96/AC444, "NA")</f>
        <v>-8.6693392953511667E-2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-1072.8</v>
      </c>
      <c r="C98" s="8">
        <f>IFERROR(B98/B444, "NA")</f>
        <v>-9.439002295345748E-3</v>
      </c>
      <c r="D98" s="9"/>
      <c r="E98" s="7">
        <v>0</v>
      </c>
      <c r="F98" s="8">
        <f>IFERROR(E98/E444, "NA")</f>
        <v>0</v>
      </c>
      <c r="G98" s="9"/>
      <c r="H98" s="10">
        <f t="shared" si="24"/>
        <v>-1072.8</v>
      </c>
      <c r="I98" s="8">
        <f>IFERROR(H98/H444, "NA")</f>
        <v>6.0546407624964445E-2</v>
      </c>
      <c r="J98" s="9"/>
      <c r="K98" s="7">
        <v>-2096.58</v>
      </c>
      <c r="L98" s="8">
        <f>IFERROR(K98/K444, "NA")</f>
        <v>-1.749082152751406E-2</v>
      </c>
      <c r="M98" s="9"/>
      <c r="N98" s="10">
        <f t="shared" si="25"/>
        <v>1023.78</v>
      </c>
      <c r="O98" s="8">
        <f>IFERROR(N98/N444, "NA")</f>
        <v>-0.16482380670255786</v>
      </c>
      <c r="P98" s="9"/>
      <c r="Q98" s="7">
        <v>-5193.1400000000003</v>
      </c>
      <c r="R98" s="8">
        <f>IFERROR(Q98/Q444, "NA")</f>
        <v>-1.299329823594398E-2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-5193.1400000000003</v>
      </c>
      <c r="X98" s="8">
        <f>IFERROR(W98/W444, "NA")</f>
        <v>0.1019129004752078</v>
      </c>
      <c r="Y98" s="9"/>
      <c r="Z98" s="7">
        <v>-8114.82</v>
      </c>
      <c r="AA98" s="8">
        <f>IFERROR(Z98/Z444, "NA")</f>
        <v>-1.9277360187398628E-2</v>
      </c>
      <c r="AB98" s="9"/>
      <c r="AC98" s="10">
        <f t="shared" si="27"/>
        <v>2921.6799999999994</v>
      </c>
      <c r="AD98" s="8">
        <f>IFERROR(AC98/AC444, "NA")</f>
        <v>-0.1373457863789955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-74.66</v>
      </c>
      <c r="C100" s="8">
        <f>IFERROR(B100/B444, "NA")</f>
        <v>-6.568940262588679E-4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-74.66</v>
      </c>
      <c r="I100" s="8">
        <f>IFERROR(H100/H444, "NA")</f>
        <v>4.213641679045344E-3</v>
      </c>
      <c r="J100" s="9"/>
      <c r="K100" s="7">
        <v>-6.77</v>
      </c>
      <c r="L100" s="8">
        <f>IFERROR(K100/K444, "NA")</f>
        <v>-5.6479057198518626E-5</v>
      </c>
      <c r="M100" s="9"/>
      <c r="N100" s="10">
        <f t="shared" si="25"/>
        <v>-67.89</v>
      </c>
      <c r="O100" s="8">
        <f>IFERROR(N100/N444, "NA")</f>
        <v>1.0929973467968366E-2</v>
      </c>
      <c r="P100" s="9"/>
      <c r="Q100" s="7">
        <v>-101.27</v>
      </c>
      <c r="R100" s="8">
        <f>IFERROR(Q100/Q444, "NA")</f>
        <v>-2.53378748185885E-4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-101.27</v>
      </c>
      <c r="X100" s="8">
        <f>IFERROR(W100/W444, "NA")</f>
        <v>1.9873755437219667E-3</v>
      </c>
      <c r="Y100" s="9"/>
      <c r="Z100" s="7">
        <v>-592.38</v>
      </c>
      <c r="AA100" s="8">
        <f>IFERROR(Z100/Z444, "NA")</f>
        <v>-1.407242875111364E-3</v>
      </c>
      <c r="AB100" s="9"/>
      <c r="AC100" s="10">
        <f t="shared" si="27"/>
        <v>491.11</v>
      </c>
      <c r="AD100" s="8">
        <f>IFERROR(AC100/AC444, "NA")</f>
        <v>-2.3086679290198961E-2</v>
      </c>
    </row>
    <row r="101" spans="1:30" ht="16.5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-89.09</v>
      </c>
      <c r="R101" s="8">
        <f>IFERROR(Q101/Q444, "NA")</f>
        <v>-2.2290424287430132E-4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-89.09</v>
      </c>
      <c r="X101" s="8">
        <f>IFERROR(W101/W444, "NA")</f>
        <v>1.7483488416134099E-3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-89.09</v>
      </c>
      <c r="AD101" s="8">
        <f>IFERROR(AC101/AC444, "NA")</f>
        <v>4.1880480095372223E-3</v>
      </c>
    </row>
    <row r="102" spans="1:30" ht="16.5" customHeight="1" x14ac:dyDescent="0.45">
      <c r="A102" s="12" t="s">
        <v>97</v>
      </c>
      <c r="B102" s="7">
        <v>-709.05</v>
      </c>
      <c r="C102" s="8">
        <f>IFERROR(B102/B444, "NA")</f>
        <v>-6.2385575853047184E-3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-709.05</v>
      </c>
      <c r="I102" s="8">
        <f>IFERROR(H102/H444, "NA")</f>
        <v>4.00171796480994E-2</v>
      </c>
      <c r="J102" s="9"/>
      <c r="K102" s="7">
        <v>-1415.22</v>
      </c>
      <c r="L102" s="8">
        <f>IFERROR(K102/K444, "NA")</f>
        <v>-1.1806542293720463E-2</v>
      </c>
      <c r="M102" s="9"/>
      <c r="N102" s="10">
        <f t="shared" si="25"/>
        <v>706.17000000000007</v>
      </c>
      <c r="O102" s="8">
        <f>IFERROR(N102/N444, "NA")</f>
        <v>-0.11369007753535458</v>
      </c>
      <c r="P102" s="9"/>
      <c r="Q102" s="7">
        <v>-2913.47</v>
      </c>
      <c r="R102" s="8">
        <f>IFERROR(Q102/Q444, "NA")</f>
        <v>-7.2895366986978401E-3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-2913.47</v>
      </c>
      <c r="X102" s="8">
        <f>IFERROR(W102/W444, "NA")</f>
        <v>5.7175461887702554E-2</v>
      </c>
      <c r="Y102" s="9"/>
      <c r="Z102" s="7">
        <v>-6716.38</v>
      </c>
      <c r="AA102" s="8">
        <f>IFERROR(Z102/Z444, "NA")</f>
        <v>-1.5955261658969686E-2</v>
      </c>
      <c r="AB102" s="9"/>
      <c r="AC102" s="10">
        <f t="shared" si="27"/>
        <v>3802.9100000000003</v>
      </c>
      <c r="AD102" s="8">
        <f>IFERROR(AC102/AC444, "NA")</f>
        <v>-0.17877168768603882</v>
      </c>
    </row>
    <row r="103" spans="1:30" ht="16.5" customHeight="1" x14ac:dyDescent="0.45">
      <c r="A103" s="12" t="s">
        <v>98</v>
      </c>
      <c r="B103" s="7">
        <v>-7</v>
      </c>
      <c r="C103" s="8">
        <f>IFERROR(B103/B444, "NA")</f>
        <v>-6.1589314007662411E-5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-7</v>
      </c>
      <c r="I103" s="8">
        <f>IFERROR(H103/H444, "NA")</f>
        <v>3.9506418099809014E-4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-7</v>
      </c>
      <c r="O103" s="8">
        <f>IFERROR(N103/N444, "NA")</f>
        <v>1.1269673630251668E-3</v>
      </c>
      <c r="P103" s="9"/>
      <c r="Q103" s="7">
        <v>-40</v>
      </c>
      <c r="R103" s="8">
        <f>IFERROR(Q103/Q444, "NA")</f>
        <v>-1.000804772137395E-4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-40</v>
      </c>
      <c r="X103" s="8">
        <f>IFERROR(W103/W444, "NA")</f>
        <v>7.8498095930560545E-4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-40</v>
      </c>
      <c r="AD103" s="8">
        <f>IFERROR(AC103/AC444, "NA")</f>
        <v>1.8803672733358277E-3</v>
      </c>
    </row>
    <row r="104" spans="1:30" ht="16.5" customHeight="1" x14ac:dyDescent="0.45">
      <c r="A104" s="12" t="s">
        <v>99</v>
      </c>
      <c r="B104" s="7">
        <v>-748.71</v>
      </c>
      <c r="C104" s="8">
        <f>IFERROR(B104/B444, "NA")</f>
        <v>-6.5875050415252758E-3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-748.71</v>
      </c>
      <c r="I104" s="8">
        <f>IFERROR(H104/H444, "NA")</f>
        <v>4.2255500422154299E-2</v>
      </c>
      <c r="J104" s="9"/>
      <c r="K104" s="7">
        <v>-1451.2</v>
      </c>
      <c r="L104" s="8">
        <f>IFERROR(K104/K444, "NA")</f>
        <v>-1.2106707209230464E-2</v>
      </c>
      <c r="M104" s="9"/>
      <c r="N104" s="10">
        <f t="shared" si="25"/>
        <v>702.49</v>
      </c>
      <c r="O104" s="8">
        <f>IFERROR(N104/N444, "NA")</f>
        <v>-0.11309761469307848</v>
      </c>
      <c r="P104" s="9"/>
      <c r="Q104" s="7">
        <v>-2519.79</v>
      </c>
      <c r="R104" s="8">
        <f>IFERROR(Q104/Q444, "NA")</f>
        <v>-6.3045446419602164E-3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-2519.79</v>
      </c>
      <c r="X104" s="8">
        <f>IFERROR(W104/W444, "NA")</f>
        <v>4.944967928621679E-2</v>
      </c>
      <c r="Y104" s="9"/>
      <c r="Z104" s="7">
        <v>-4331.17</v>
      </c>
      <c r="AA104" s="8">
        <f>IFERROR(Z104/Z444, "NA")</f>
        <v>-1.0289017393220714E-2</v>
      </c>
      <c r="AB104" s="9"/>
      <c r="AC104" s="10">
        <f t="shared" si="27"/>
        <v>1811.38</v>
      </c>
      <c r="AD104" s="8">
        <f>IFERROR(AC104/AC444, "NA")</f>
        <v>-8.5151491789376296E-2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-203.48</v>
      </c>
      <c r="R106" s="8">
        <f>IFERROR(Q106/Q444, "NA")</f>
        <v>-5.0910938758629281E-4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-203.48</v>
      </c>
      <c r="X106" s="8">
        <f>IFERROR(W106/W444, "NA")</f>
        <v>3.9931981399876151E-3</v>
      </c>
      <c r="Y106" s="9"/>
      <c r="Z106" s="7">
        <v>-844.74</v>
      </c>
      <c r="AA106" s="8">
        <f>IFERROR(Z106/Z444, "NA")</f>
        <v>-2.0067428784252906E-3</v>
      </c>
      <c r="AB106" s="9"/>
      <c r="AC106" s="10">
        <f t="shared" si="27"/>
        <v>641.26</v>
      </c>
      <c r="AD106" s="8">
        <f>IFERROR(AC106/AC444, "NA")</f>
        <v>-3.0145107942483321E-2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-3726.1000000000004</v>
      </c>
      <c r="C118" s="15">
        <f>IFERROR(B118/B444, "NA")</f>
        <v>-3.2783991846278705E-2</v>
      </c>
      <c r="D118" s="2"/>
      <c r="E118" s="14">
        <f>IFERROR(E94+E95+E96+E97+E98+E99+E100+E101+E102+E103+E104+E105+E106+E107+E108+E109+E110+E111+E112+E113+E114+E115+E116+E117, "NA")</f>
        <v>-8145.23</v>
      </c>
      <c r="F118" s="15">
        <f>IFERROR(E118/E444, "NA")</f>
        <v>-6.1999979904809689E-2</v>
      </c>
      <c r="G118" s="2"/>
      <c r="H118" s="14">
        <f t="shared" si="24"/>
        <v>4419.1299999999992</v>
      </c>
      <c r="I118" s="15">
        <f>IFERROR(H118/H444, "NA")</f>
        <v>-0.24940571059629854</v>
      </c>
      <c r="J118" s="2"/>
      <c r="K118" s="14">
        <f>IFERROR(K94+K95+K96+K97+K98+K99+K100+K101+K102+K103+K104+K105+K106+K107+K108+K109+K110+K111+K112+K113+K114+K115+K116+K117, "NA")</f>
        <v>-6528.42</v>
      </c>
      <c r="L118" s="15">
        <f>IFERROR(K118/K444, "NA")</f>
        <v>-5.4463664194380056E-2</v>
      </c>
      <c r="M118" s="2"/>
      <c r="N118" s="14">
        <f t="shared" si="25"/>
        <v>2802.3199999999997</v>
      </c>
      <c r="O118" s="15">
        <f>IFERROR(N118/N444, "NA")</f>
        <v>-0.45116045439324071</v>
      </c>
      <c r="P118" s="2"/>
      <c r="Q118" s="14">
        <f>IFERROR(Q94+Q95+Q96+Q97+Q98+Q99+Q100+Q101+Q102+Q103+Q104+Q105+Q106+Q107+Q108+Q109+Q110+Q111+Q112+Q113+Q114+Q115+Q116+Q117, "NA")</f>
        <v>-14896.630000000001</v>
      </c>
      <c r="R118" s="15">
        <f>IFERROR(Q118/Q444, "NA")</f>
        <v>-3.7271545981912707E-2</v>
      </c>
      <c r="S118" s="2"/>
      <c r="T118" s="14">
        <f>IFERROR(T94+T95+T96+T97+T98+T99+T100+T101+T102+T103+T104+T105+T106+T107+T108+T109+T110+T111+T112+T113+T114+T115+T116+T117, "NA")</f>
        <v>-27939.37</v>
      </c>
      <c r="U118" s="15">
        <f>IFERROR(T118/T444, "NA")</f>
        <v>-6.2E-2</v>
      </c>
      <c r="V118" s="2"/>
      <c r="W118" s="14">
        <f t="shared" si="26"/>
        <v>13042.739999999998</v>
      </c>
      <c r="X118" s="15">
        <f>IFERROR(W118/W444, "NA")</f>
        <v>-0.25595756392933977</v>
      </c>
      <c r="Y118" s="2"/>
      <c r="Z118" s="14">
        <f>IFERROR(Z94+Z95+Z96+Z97+Z98+Z99+Z100+Z101+Z102+Z103+Z104+Z105+Z106+Z107+Z108+Z109+Z110+Z111+Z112+Z113+Z114+Z115+Z116+Z117, "NA")</f>
        <v>-26280.06</v>
      </c>
      <c r="AA118" s="15">
        <f>IFERROR(Z118/Z444, "NA")</f>
        <v>-6.2430242736924199E-2</v>
      </c>
      <c r="AB118" s="2"/>
      <c r="AC118" s="14">
        <f t="shared" si="27"/>
        <v>11383.43</v>
      </c>
      <c r="AD118" s="15">
        <f>IFERROR(AC118/AC444, "NA")</f>
        <v>-0.53512573075773151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113656.07999999999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131374.71999999997</v>
      </c>
      <c r="F122" s="15">
        <f>IFERROR(E122/E444, "NA")</f>
        <v>0.99999999999999978</v>
      </c>
      <c r="G122" s="2"/>
      <c r="H122" s="14">
        <f t="shared" si="24"/>
        <v>-17718.639999999985</v>
      </c>
      <c r="I122" s="15">
        <f>IFERROR(H122/H444, "NA")</f>
        <v>0.99999999999999922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119867.43999999999</v>
      </c>
      <c r="L122" s="15">
        <f>IFERROR(K122/K444, "NA")</f>
        <v>0.99999999999999989</v>
      </c>
      <c r="M122" s="2"/>
      <c r="N122" s="14">
        <f t="shared" si="25"/>
        <v>-6211.3600000000006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399678.35000000003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450635</v>
      </c>
      <c r="U122" s="15">
        <f>IFERROR(T122/T444, "NA")</f>
        <v>1</v>
      </c>
      <c r="V122" s="2"/>
      <c r="W122" s="14">
        <f t="shared" si="26"/>
        <v>-50956.649999999965</v>
      </c>
      <c r="X122" s="15">
        <f>IFERROR(W122/W444, "NA")</f>
        <v>0.99999999999999889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420950.79</v>
      </c>
      <c r="AA122" s="15">
        <f>IFERROR(Z122/Z444, "NA")</f>
        <v>1</v>
      </c>
      <c r="AB122" s="2"/>
      <c r="AC122" s="14">
        <f t="shared" si="27"/>
        <v>-21272.439999999944</v>
      </c>
      <c r="AD122" s="15">
        <f>IFERROR(AC122/AC444, "NA")</f>
        <v>0.99999999999999722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113656.07999999999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131374.71999999997</v>
      </c>
      <c r="F124" s="15">
        <f>IFERROR(E124/E444, "NA")</f>
        <v>0.99999999999999978</v>
      </c>
      <c r="G124" s="2"/>
      <c r="H124" s="14">
        <f t="shared" si="24"/>
        <v>-17718.639999999985</v>
      </c>
      <c r="I124" s="15">
        <f>IFERROR(H124/H444, "NA")</f>
        <v>0.99999999999999922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119867.43999999999</v>
      </c>
      <c r="L124" s="15">
        <f>IFERROR(K124/K444, "NA")</f>
        <v>0.99999999999999989</v>
      </c>
      <c r="M124" s="2"/>
      <c r="N124" s="14">
        <f t="shared" si="25"/>
        <v>-6211.3600000000006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399678.35000000003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450635</v>
      </c>
      <c r="U124" s="15">
        <f>IFERROR(T124/T444, "NA")</f>
        <v>1</v>
      </c>
      <c r="V124" s="2"/>
      <c r="W124" s="14">
        <f t="shared" si="26"/>
        <v>-50956.649999999965</v>
      </c>
      <c r="X124" s="15">
        <f>IFERROR(W124/W444, "NA")</f>
        <v>0.99999999999999889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420950.79</v>
      </c>
      <c r="AA124" s="15">
        <f>IFERROR(Z124/Z444, "NA")</f>
        <v>1</v>
      </c>
      <c r="AB124" s="2"/>
      <c r="AC124" s="14">
        <f t="shared" si="27"/>
        <v>-21272.439999999944</v>
      </c>
      <c r="AD124" s="15">
        <f>IFERROR(AC124/AC444, "NA")</f>
        <v>0.99999999999999722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28114.19</v>
      </c>
      <c r="F129" s="8">
        <f>IFERROR(E129/E444, "NA")</f>
        <v>0.21399999939105482</v>
      </c>
      <c r="G129" s="9"/>
      <c r="H129" s="10">
        <f t="shared" ref="H129:H141" si="28">IFERROR(-(B129-E129), "NA")</f>
        <v>28114.19</v>
      </c>
      <c r="I129" s="8">
        <f>IFERROR(H129/H444, "NA")</f>
        <v>-1.5867013495392424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97268.09</v>
      </c>
      <c r="U129" s="8">
        <f>IFERROR(T129/T444, "NA")</f>
        <v>0.21584672739578595</v>
      </c>
      <c r="V129" s="9"/>
      <c r="W129" s="10">
        <f t="shared" ref="W129:W141" si="30">IFERROR(-(Q129-T129), "NA")</f>
        <v>97268.09</v>
      </c>
      <c r="X129" s="8">
        <f>IFERROR(W129/W444, "NA")</f>
        <v>-1.9088399649505992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5767.01</v>
      </c>
      <c r="C130" s="8">
        <f>IFERROR(B130/B444, "NA")</f>
        <v>5.074088425361846E-2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-5767.01</v>
      </c>
      <c r="I130" s="8">
        <f>IFERROR(H130/H444, "NA")</f>
        <v>0.32547701177968513</v>
      </c>
      <c r="J130" s="9"/>
      <c r="K130" s="7">
        <v>7559.58</v>
      </c>
      <c r="L130" s="8">
        <f>IFERROR(K130/K444, "NA")</f>
        <v>6.3066167092581601E-2</v>
      </c>
      <c r="M130" s="9"/>
      <c r="N130" s="10">
        <f t="shared" si="29"/>
        <v>1792.5699999999997</v>
      </c>
      <c r="O130" s="8">
        <f>IFERROR(N130/N444, "NA")</f>
        <v>-0.28859541227686036</v>
      </c>
      <c r="P130" s="9"/>
      <c r="Q130" s="7">
        <v>20440.189999999999</v>
      </c>
      <c r="R130" s="8">
        <f>IFERROR(Q130/Q444, "NA")</f>
        <v>5.1141599238487649E-2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-20440.189999999999</v>
      </c>
      <c r="X130" s="8">
        <f>IFERROR(W130/W444, "NA")</f>
        <v>0.40112899886472109</v>
      </c>
      <c r="Y130" s="9"/>
      <c r="Z130" s="7">
        <v>24948.18</v>
      </c>
      <c r="AA130" s="8">
        <f>IFERROR(Z130/Z444, "NA")</f>
        <v>5.9266262453148033E-2</v>
      </c>
      <c r="AB130" s="9"/>
      <c r="AC130" s="10">
        <f t="shared" si="31"/>
        <v>4507.9900000000016</v>
      </c>
      <c r="AD130" s="8">
        <f>IFERROR(AC130/AC444, "NA")</f>
        <v>-0.21191692161312953</v>
      </c>
    </row>
    <row r="131" spans="1:30" ht="16.5" customHeight="1" x14ac:dyDescent="0.45">
      <c r="A131" s="12" t="s">
        <v>123</v>
      </c>
      <c r="B131" s="7">
        <v>3339.06</v>
      </c>
      <c r="C131" s="8">
        <f>IFERROR(B131/B444, "NA")</f>
        <v>2.9378630690060751E-2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-3339.06</v>
      </c>
      <c r="I131" s="8">
        <f>IFERROR(H131/H444, "NA")</f>
        <v>0.18844900060049755</v>
      </c>
      <c r="J131" s="9"/>
      <c r="K131" s="7">
        <v>4304.6099999999997</v>
      </c>
      <c r="L131" s="8">
        <f>IFERROR(K131/K444, "NA")</f>
        <v>3.5911420148791028E-2</v>
      </c>
      <c r="M131" s="9"/>
      <c r="N131" s="10">
        <f t="shared" si="29"/>
        <v>965.54999999999973</v>
      </c>
      <c r="O131" s="8">
        <f>IFERROR(N131/N444, "NA")</f>
        <v>-0.15544904819556421</v>
      </c>
      <c r="P131" s="9"/>
      <c r="Q131" s="7">
        <v>11712.12</v>
      </c>
      <c r="R131" s="8">
        <f>IFERROR(Q131/Q444, "NA")</f>
        <v>2.9303863969614569E-2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-11712.12</v>
      </c>
      <c r="X131" s="8">
        <f>IFERROR(W131/W444, "NA")</f>
        <v>0.22984477982755921</v>
      </c>
      <c r="Y131" s="9"/>
      <c r="Z131" s="7">
        <v>14725.23</v>
      </c>
      <c r="AA131" s="8">
        <f>IFERROR(Z131/Z444, "NA")</f>
        <v>3.4980882207157754E-2</v>
      </c>
      <c r="AB131" s="9"/>
      <c r="AC131" s="10">
        <f t="shared" si="31"/>
        <v>3013.1099999999988</v>
      </c>
      <c r="AD131" s="8">
        <f>IFERROR(AC131/AC444, "NA")</f>
        <v>-0.14164383587402285</v>
      </c>
    </row>
    <row r="132" spans="1:30" ht="16.5" customHeight="1" x14ac:dyDescent="0.45">
      <c r="A132" s="12" t="s">
        <v>124</v>
      </c>
      <c r="B132" s="7">
        <v>4798.13</v>
      </c>
      <c r="C132" s="8">
        <f>IFERROR(B132/B444, "NA")</f>
        <v>4.2216219317083609E-2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-4798.13</v>
      </c>
      <c r="I132" s="8">
        <f>IFERROR(H132/H444, "NA")</f>
        <v>0.27079561411033803</v>
      </c>
      <c r="J132" s="9"/>
      <c r="K132" s="7">
        <v>5450.74</v>
      </c>
      <c r="L132" s="8">
        <f>IFERROR(K132/K444, "NA")</f>
        <v>4.5473065913479084E-2</v>
      </c>
      <c r="M132" s="9"/>
      <c r="N132" s="10">
        <f t="shared" si="29"/>
        <v>652.60999999999967</v>
      </c>
      <c r="O132" s="8">
        <f>IFERROR(N132/N444, "NA")</f>
        <v>-0.10506716725483624</v>
      </c>
      <c r="P132" s="9"/>
      <c r="Q132" s="7">
        <v>14639.36</v>
      </c>
      <c r="R132" s="8">
        <f>IFERROR(Q132/Q444, "NA")</f>
        <v>3.6627853372593243E-2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-14639.36</v>
      </c>
      <c r="X132" s="8">
        <f>IFERROR(W132/W444, "NA")</f>
        <v>0.28729047141050273</v>
      </c>
      <c r="Y132" s="9"/>
      <c r="Z132" s="7">
        <v>16926.52</v>
      </c>
      <c r="AA132" s="8">
        <f>IFERROR(Z132/Z444, "NA")</f>
        <v>4.021021079447315E-2</v>
      </c>
      <c r="AB132" s="9"/>
      <c r="AC132" s="10">
        <f t="shared" si="31"/>
        <v>2287.16</v>
      </c>
      <c r="AD132" s="8">
        <f>IFERROR(AC132/AC444, "NA")</f>
        <v>-0.10751752032206929</v>
      </c>
    </row>
    <row r="133" spans="1:30" ht="16.5" customHeight="1" x14ac:dyDescent="0.45">
      <c r="A133" s="12" t="s">
        <v>125</v>
      </c>
      <c r="B133" s="7">
        <v>2632.12</v>
      </c>
      <c r="C133" s="8">
        <f>IFERROR(B133/B444, "NA")</f>
        <v>2.3158637883692625E-2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-2632.12</v>
      </c>
      <c r="I133" s="8">
        <f>IFERROR(H133/H444, "NA")</f>
        <v>0.148550904584099</v>
      </c>
      <c r="J133" s="9"/>
      <c r="K133" s="7">
        <v>3221.17</v>
      </c>
      <c r="L133" s="8">
        <f>IFERROR(K133/K444, "NA")</f>
        <v>2.6872768785251442E-2</v>
      </c>
      <c r="M133" s="9"/>
      <c r="N133" s="10">
        <f t="shared" si="29"/>
        <v>589.05000000000018</v>
      </c>
      <c r="O133" s="8">
        <f>IFERROR(N133/N444, "NA")</f>
        <v>-9.4834303598567801E-2</v>
      </c>
      <c r="P133" s="9"/>
      <c r="Q133" s="7">
        <v>9453.7800000000007</v>
      </c>
      <c r="R133" s="8">
        <f>IFERROR(Q133/Q444, "NA")</f>
        <v>2.3653470346842658E-2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-9453.7800000000007</v>
      </c>
      <c r="X133" s="8">
        <f>IFERROR(W133/W444, "NA")</f>
        <v>0.18552593233660369</v>
      </c>
      <c r="Y133" s="9"/>
      <c r="Z133" s="7">
        <v>10852.47</v>
      </c>
      <c r="AA133" s="8">
        <f>IFERROR(Z133/Z444, "NA")</f>
        <v>2.5780851961342083E-2</v>
      </c>
      <c r="AB133" s="9"/>
      <c r="AC133" s="10">
        <f t="shared" si="31"/>
        <v>1398.6899999999987</v>
      </c>
      <c r="AD133" s="8">
        <f>IFERROR(AC133/AC444, "NA")</f>
        <v>-6.5751272538552161E-2</v>
      </c>
    </row>
    <row r="134" spans="1:30" ht="16.5" customHeight="1" x14ac:dyDescent="0.45">
      <c r="A134" s="12" t="s">
        <v>126</v>
      </c>
      <c r="B134" s="7">
        <v>1326.94</v>
      </c>
      <c r="C134" s="8">
        <f>IFERROR(B134/B444, "NA")</f>
        <v>1.1675046332761081E-2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-1326.94</v>
      </c>
      <c r="I134" s="8">
        <f>IFERROR(H134/H444, "NA")</f>
        <v>7.4889494904800832E-2</v>
      </c>
      <c r="J134" s="9"/>
      <c r="K134" s="7">
        <v>971.89</v>
      </c>
      <c r="L134" s="8">
        <f>IFERROR(K134/K444, "NA")</f>
        <v>8.1080400148697586E-3</v>
      </c>
      <c r="M134" s="9"/>
      <c r="N134" s="10">
        <f t="shared" si="29"/>
        <v>-355.05000000000007</v>
      </c>
      <c r="O134" s="8">
        <f>IFERROR(N134/N444, "NA")</f>
        <v>5.7161394606012217E-2</v>
      </c>
      <c r="P134" s="9"/>
      <c r="Q134" s="7">
        <v>4599.1099999999997</v>
      </c>
      <c r="R134" s="8">
        <f>IFERROR(Q134/Q444, "NA")</f>
        <v>1.1507028088962036E-2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-4599.1099999999997</v>
      </c>
      <c r="X134" s="8">
        <f>IFERROR(W134/W444, "NA")</f>
        <v>9.0255344493800072E-2</v>
      </c>
      <c r="Y134" s="9"/>
      <c r="Z134" s="7">
        <v>3377.27</v>
      </c>
      <c r="AA134" s="8">
        <f>IFERROR(Z134/Z444, "NA")</f>
        <v>8.0229567926455251E-3</v>
      </c>
      <c r="AB134" s="9"/>
      <c r="AC134" s="10">
        <f t="shared" si="31"/>
        <v>-1221.8399999999997</v>
      </c>
      <c r="AD134" s="8">
        <f>IFERROR(AC134/AC444, "NA")</f>
        <v>5.7437698731316177E-2</v>
      </c>
    </row>
    <row r="135" spans="1:30" ht="16.5" customHeight="1" x14ac:dyDescent="0.45">
      <c r="A135" s="12" t="s">
        <v>127</v>
      </c>
      <c r="B135" s="7">
        <v>870.15</v>
      </c>
      <c r="C135" s="8">
        <f>IFERROR(B135/B444, "NA")</f>
        <v>7.6559916548239208E-3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-870.15</v>
      </c>
      <c r="I135" s="8">
        <f>IFERROR(H135/H444, "NA")</f>
        <v>4.9109299585069738E-2</v>
      </c>
      <c r="J135" s="9"/>
      <c r="K135" s="7">
        <v>821.53</v>
      </c>
      <c r="L135" s="8">
        <f>IFERROR(K135/K444, "NA")</f>
        <v>6.853654336824078E-3</v>
      </c>
      <c r="M135" s="9"/>
      <c r="N135" s="10">
        <f t="shared" si="29"/>
        <v>-48.620000000000005</v>
      </c>
      <c r="O135" s="8">
        <f>IFERROR(N135/N444, "NA")</f>
        <v>7.8275933128976582E-3</v>
      </c>
      <c r="P135" s="9"/>
      <c r="Q135" s="7">
        <v>2830.85</v>
      </c>
      <c r="R135" s="8">
        <f>IFERROR(Q135/Q444, "NA")</f>
        <v>7.0828204730128616E-3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-2830.85</v>
      </c>
      <c r="X135" s="8">
        <f>IFERROR(W135/W444, "NA")</f>
        <v>5.5554083716256829E-2</v>
      </c>
      <c r="Y135" s="9"/>
      <c r="Z135" s="7">
        <v>3063.5</v>
      </c>
      <c r="AA135" s="8">
        <f>IFERROR(Z135/Z444, "NA")</f>
        <v>7.2775727538128632E-3</v>
      </c>
      <c r="AB135" s="9"/>
      <c r="AC135" s="10">
        <f t="shared" si="31"/>
        <v>232.65000000000009</v>
      </c>
      <c r="AD135" s="8">
        <f>IFERROR(AC135/AC444, "NA")</f>
        <v>-1.0936686153539512E-2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1355.13</v>
      </c>
      <c r="L136" s="8">
        <f>IFERROR(K136/K444, "NA")</f>
        <v>1.1305238520151929E-2</v>
      </c>
      <c r="M136" s="9"/>
      <c r="N136" s="10">
        <f t="shared" si="29"/>
        <v>1355.13</v>
      </c>
      <c r="O136" s="8">
        <f>IFERROR(N136/N444, "NA")</f>
        <v>-0.21816961180804204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3698.11</v>
      </c>
      <c r="AA136" s="8">
        <f>IFERROR(Z136/Z444, "NA")</f>
        <v>8.7851361438233671E-3</v>
      </c>
      <c r="AB136" s="9"/>
      <c r="AC136" s="10">
        <f t="shared" si="31"/>
        <v>3698.11</v>
      </c>
      <c r="AD136" s="8">
        <f>IFERROR(AC136/AC444, "NA")</f>
        <v>-0.17384512542989897</v>
      </c>
    </row>
    <row r="137" spans="1:30" ht="16.5" customHeight="1" x14ac:dyDescent="0.45">
      <c r="A137" s="12" t="s">
        <v>129</v>
      </c>
      <c r="B137" s="7">
        <v>535.01</v>
      </c>
      <c r="C137" s="8">
        <f>IFERROR(B137/B444, "NA")</f>
        <v>4.707271269605638E-3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-535.01</v>
      </c>
      <c r="I137" s="8">
        <f>IFERROR(H137/H444, "NA")</f>
        <v>3.019475535368403E-2</v>
      </c>
      <c r="J137" s="9"/>
      <c r="K137" s="7">
        <v>922.39</v>
      </c>
      <c r="L137" s="8">
        <f>IFERROR(K137/K444, "NA")</f>
        <v>7.6950838359441057E-3</v>
      </c>
      <c r="M137" s="9"/>
      <c r="N137" s="10">
        <f t="shared" si="29"/>
        <v>387.38</v>
      </c>
      <c r="O137" s="8">
        <f>IFERROR(N137/N444, "NA")</f>
        <v>-6.2366373869812725E-2</v>
      </c>
      <c r="P137" s="9"/>
      <c r="Q137" s="7">
        <v>2068.4499999999998</v>
      </c>
      <c r="R137" s="8">
        <f>IFERROR(Q137/Q444, "NA")</f>
        <v>5.1752865773189863E-3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-2068.4499999999998</v>
      </c>
      <c r="X137" s="8">
        <f>IFERROR(W137/W444, "NA")</f>
        <v>4.0592346631891991E-2</v>
      </c>
      <c r="Y137" s="9"/>
      <c r="Z137" s="7">
        <v>2711.91</v>
      </c>
      <c r="AA137" s="8">
        <f>IFERROR(Z137/Z444, "NA")</f>
        <v>6.4423444840191416E-3</v>
      </c>
      <c r="AB137" s="9"/>
      <c r="AC137" s="10">
        <f t="shared" si="31"/>
        <v>643.46</v>
      </c>
      <c r="AD137" s="8">
        <f>IFERROR(AC137/AC444, "NA")</f>
        <v>-3.0248528142516794E-2</v>
      </c>
    </row>
    <row r="138" spans="1:30" ht="16.5" customHeight="1" x14ac:dyDescent="0.45">
      <c r="A138" s="12" t="s">
        <v>130</v>
      </c>
      <c r="B138" s="7">
        <v>7871.1</v>
      </c>
      <c r="C138" s="8">
        <f>IFERROR(B138/B444, "NA")</f>
        <v>6.925366421224452E-2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-7871.1</v>
      </c>
      <c r="I138" s="8">
        <f>IFERROR(H138/H444, "NA")</f>
        <v>0.44422709643629538</v>
      </c>
      <c r="J138" s="9"/>
      <c r="K138" s="7">
        <v>7467.91</v>
      </c>
      <c r="L138" s="8">
        <f>IFERROR(K138/K444, "NA")</f>
        <v>6.2301405619407571E-2</v>
      </c>
      <c r="M138" s="9"/>
      <c r="N138" s="10">
        <f t="shared" si="29"/>
        <v>-403.19000000000051</v>
      </c>
      <c r="O138" s="8">
        <f>IFERROR(N138/N444, "NA")</f>
        <v>6.4911710156873928E-2</v>
      </c>
      <c r="P138" s="9"/>
      <c r="Q138" s="7">
        <v>27400.94</v>
      </c>
      <c r="R138" s="8">
        <f>IFERROR(Q138/Q444, "NA")</f>
        <v>6.855747878262608E-2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-27400.94</v>
      </c>
      <c r="X138" s="8">
        <f>IFERROR(W138/W444, "NA")</f>
        <v>0.53773040417688345</v>
      </c>
      <c r="Y138" s="9"/>
      <c r="Z138" s="7">
        <v>25266.25</v>
      </c>
      <c r="AA138" s="8">
        <f>IFERROR(Z138/Z444, "NA")</f>
        <v>6.0021861462713967E-2</v>
      </c>
      <c r="AB138" s="9"/>
      <c r="AC138" s="10">
        <f t="shared" si="31"/>
        <v>-2134.6899999999987</v>
      </c>
      <c r="AD138" s="8">
        <f>IFERROR(AC138/AC444, "NA")</f>
        <v>0.10035003036793139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27139.519999999997</v>
      </c>
      <c r="C141" s="15">
        <f>IFERROR(B141/B444, "NA")</f>
        <v>0.23878634561389059</v>
      </c>
      <c r="D141" s="2"/>
      <c r="E141" s="14">
        <f>IFERROR(E129+E130+E131+E132+E133+E134+E135+E136+E137+E138+E139+E140, "NA")</f>
        <v>28114.19</v>
      </c>
      <c r="F141" s="15">
        <f>IFERROR(E141/E444, "NA")</f>
        <v>0.21399999939105482</v>
      </c>
      <c r="G141" s="2"/>
      <c r="H141" s="14">
        <f t="shared" si="28"/>
        <v>974.67000000000189</v>
      </c>
      <c r="I141" s="15">
        <f>IFERROR(H141/H444, "NA")</f>
        <v>-5.5008172184772754E-2</v>
      </c>
      <c r="J141" s="2"/>
      <c r="K141" s="14">
        <f>IFERROR(K129+K130+K131+K132+K133+K134+K135+K136+K137+K138+K139+K140, "NA")</f>
        <v>32074.949999999997</v>
      </c>
      <c r="L141" s="15">
        <f>IFERROR(K141/K444, "NA")</f>
        <v>0.26758684426730056</v>
      </c>
      <c r="M141" s="2"/>
      <c r="N141" s="14">
        <f t="shared" si="29"/>
        <v>4935.43</v>
      </c>
      <c r="O141" s="15">
        <f>IFERROR(N141/N444, "NA")</f>
        <v>-0.79458121892789979</v>
      </c>
      <c r="P141" s="2"/>
      <c r="Q141" s="14">
        <f>IFERROR(Q129+Q130+Q131+Q132+Q133+Q134+Q135+Q136+Q137+Q138+Q139+Q140, "NA")</f>
        <v>93144.8</v>
      </c>
      <c r="R141" s="15">
        <f>IFERROR(Q141/Q444, "NA")</f>
        <v>0.2330494008494581</v>
      </c>
      <c r="S141" s="2"/>
      <c r="T141" s="14">
        <f>IFERROR(T129+T130+T131+T132+T133+T134+T135+T136+T137+T138+T139+T140, "NA")</f>
        <v>97268.09</v>
      </c>
      <c r="U141" s="15">
        <f>IFERROR(T141/T444, "NA")</f>
        <v>0.21584672739578595</v>
      </c>
      <c r="V141" s="2"/>
      <c r="W141" s="14">
        <f t="shared" si="30"/>
        <v>4123.2899999999936</v>
      </c>
      <c r="X141" s="15">
        <f>IFERROR(W141/W444, "NA")</f>
        <v>-8.0917603492380127E-2</v>
      </c>
      <c r="Y141" s="2"/>
      <c r="Z141" s="14">
        <f>IFERROR(Z129+Z130+Z131+Z132+Z133+Z134+Z135+Z136+Z137+Z138+Z139+Z140, "NA")</f>
        <v>105569.44000000002</v>
      </c>
      <c r="AA141" s="15">
        <f>IFERROR(Z141/Z444, "NA")</f>
        <v>0.25078807905313594</v>
      </c>
      <c r="AB141" s="2"/>
      <c r="AC141" s="14">
        <f t="shared" si="31"/>
        <v>12424.640000000014</v>
      </c>
      <c r="AD141" s="15">
        <f>IFERROR(AC141/AC444, "NA")</f>
        <v>-0.58407216097448211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1445.12</v>
      </c>
      <c r="F143" s="8">
        <f>IFERROR(E143/E444, "NA")</f>
        <v>1.0999985385316139E-2</v>
      </c>
      <c r="G143" s="9"/>
      <c r="H143" s="10">
        <f t="shared" ref="H143:H149" si="32">IFERROR(-(B143-E143), "NA")</f>
        <v>1445.12</v>
      </c>
      <c r="I143" s="8">
        <f>IFERROR(H143/H444, "NA")</f>
        <v>-8.1559307034851425E-2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4956.99</v>
      </c>
      <c r="U143" s="8">
        <f>IFERROR(T143/T444, "NA")</f>
        <v>1.1000011095454192E-2</v>
      </c>
      <c r="V143" s="9"/>
      <c r="W143" s="10">
        <f t="shared" ref="W143:W149" si="34">IFERROR(-(Q143-T143), "NA")</f>
        <v>4956.99</v>
      </c>
      <c r="X143" s="8">
        <f>IFERROR(W143/W444, "NA")</f>
        <v>-9.7278569136707335E-2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1646.47</v>
      </c>
      <c r="C144" s="8">
        <f>IFERROR(B144/B444, "NA")</f>
        <v>1.4486422547742276E-2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-1646.47</v>
      </c>
      <c r="I144" s="8">
        <f>IFERROR(H144/H444, "NA")</f>
        <v>9.2923046012560795E-2</v>
      </c>
      <c r="J144" s="9"/>
      <c r="K144" s="7">
        <v>1657.81</v>
      </c>
      <c r="L144" s="8">
        <f>IFERROR(K144/K444, "NA")</f>
        <v>1.3830361272418932E-2</v>
      </c>
      <c r="M144" s="9"/>
      <c r="N144" s="10">
        <f t="shared" si="33"/>
        <v>11.339999999999918</v>
      </c>
      <c r="O144" s="8">
        <f>IFERROR(N144/N444, "NA")</f>
        <v>-1.8256871281007569E-3</v>
      </c>
      <c r="P144" s="9"/>
      <c r="Q144" s="7">
        <v>4899.51</v>
      </c>
      <c r="R144" s="8">
        <f>IFERROR(Q144/Q444, "NA")</f>
        <v>1.2258632472837221E-2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-4899.51</v>
      </c>
      <c r="X144" s="8">
        <f>IFERROR(W144/W444, "NA")</f>
        <v>9.6150551498185188E-2</v>
      </c>
      <c r="Y144" s="9"/>
      <c r="Z144" s="7">
        <v>5463.52</v>
      </c>
      <c r="AA144" s="8">
        <f>IFERROR(Z144/Z444, "NA")</f>
        <v>1.2978999279226916E-2</v>
      </c>
      <c r="AB144" s="9"/>
      <c r="AC144" s="10">
        <f t="shared" si="35"/>
        <v>564.01000000000022</v>
      </c>
      <c r="AD144" s="8">
        <f>IFERROR(AC144/AC444, "NA")</f>
        <v>-2.6513648645853514E-2</v>
      </c>
    </row>
    <row r="145" spans="1:30" ht="16.5" customHeight="1" x14ac:dyDescent="0.45">
      <c r="A145" s="12" t="s">
        <v>136</v>
      </c>
      <c r="B145" s="7">
        <v>31.67</v>
      </c>
      <c r="C145" s="8">
        <f>IFERROR(B145/B444, "NA")</f>
        <v>2.7864765351752409E-4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-31.67</v>
      </c>
      <c r="I145" s="8">
        <f>IFERROR(H145/H444, "NA")</f>
        <v>1.7873832303156451E-3</v>
      </c>
      <c r="J145" s="9"/>
      <c r="K145" s="7">
        <v>184.56</v>
      </c>
      <c r="L145" s="8">
        <f>IFERROR(K145/K444, "NA")</f>
        <v>1.5397008562124961E-3</v>
      </c>
      <c r="M145" s="9"/>
      <c r="N145" s="10">
        <f t="shared" si="33"/>
        <v>152.88999999999999</v>
      </c>
      <c r="O145" s="8">
        <f>IFERROR(N145/N444, "NA")</f>
        <v>-2.461457716184539E-2</v>
      </c>
      <c r="P145" s="9"/>
      <c r="Q145" s="7">
        <v>136.08000000000001</v>
      </c>
      <c r="R145" s="8">
        <f>IFERROR(Q145/Q444, "NA")</f>
        <v>3.4047378348114183E-4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-136.08000000000001</v>
      </c>
      <c r="X145" s="8">
        <f>IFERROR(W145/W444, "NA")</f>
        <v>2.6705052235576703E-3</v>
      </c>
      <c r="Y145" s="9"/>
      <c r="Z145" s="7">
        <v>327.27</v>
      </c>
      <c r="AA145" s="8">
        <f>IFERROR(Z145/Z444, "NA")</f>
        <v>7.7745429578597537E-4</v>
      </c>
      <c r="AB145" s="9"/>
      <c r="AC145" s="10">
        <f t="shared" si="35"/>
        <v>191.18999999999997</v>
      </c>
      <c r="AD145" s="8">
        <f>IFERROR(AC145/AC444, "NA")</f>
        <v>-8.9876854747269214E-3</v>
      </c>
    </row>
    <row r="146" spans="1:30" ht="16.5" customHeight="1" x14ac:dyDescent="0.45">
      <c r="A146" s="12" t="s">
        <v>137</v>
      </c>
      <c r="B146" s="7">
        <v>0</v>
      </c>
      <c r="C146" s="8">
        <f>IFERROR(B146/B444, "NA")</f>
        <v>0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0</v>
      </c>
      <c r="I146" s="8">
        <f>IFERROR(H146/H444, "NA")</f>
        <v>0</v>
      </c>
      <c r="J146" s="9"/>
      <c r="K146" s="7">
        <v>274.85000000000002</v>
      </c>
      <c r="L146" s="8">
        <f>IFERROR(K146/K444, "NA")</f>
        <v>2.2929496116710262E-3</v>
      </c>
      <c r="M146" s="9"/>
      <c r="N146" s="10">
        <f t="shared" si="33"/>
        <v>274.85000000000002</v>
      </c>
      <c r="O146" s="8">
        <f>IFERROR(N146/N444, "NA")</f>
        <v>-4.4249568532495301E-2</v>
      </c>
      <c r="P146" s="9"/>
      <c r="Q146" s="7">
        <v>29.9</v>
      </c>
      <c r="R146" s="8">
        <f>IFERROR(Q146/Q444, "NA")</f>
        <v>7.4810156717270275E-5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-29.9</v>
      </c>
      <c r="X146" s="8">
        <f>IFERROR(W146/W444, "NA")</f>
        <v>5.8677326708094012E-4</v>
      </c>
      <c r="Y146" s="9"/>
      <c r="Z146" s="7">
        <v>602.03</v>
      </c>
      <c r="AA146" s="8">
        <f>IFERROR(Z146/Z444, "NA")</f>
        <v>1.4301671698965098E-3</v>
      </c>
      <c r="AB146" s="9"/>
      <c r="AC146" s="10">
        <f t="shared" si="35"/>
        <v>572.13</v>
      </c>
      <c r="AD146" s="8">
        <f>IFERROR(AC146/AC444, "NA")</f>
        <v>-2.6895363202340677E-2</v>
      </c>
    </row>
    <row r="147" spans="1:30" ht="16.5" customHeight="1" x14ac:dyDescent="0.45">
      <c r="A147" s="12" t="s">
        <v>138</v>
      </c>
      <c r="B147" s="7">
        <v>0</v>
      </c>
      <c r="C147" s="8">
        <f>IFERROR(B147/B444, "NA")</f>
        <v>0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0</v>
      </c>
      <c r="I147" s="8">
        <f>IFERROR(H147/H444, "NA")</f>
        <v>0</v>
      </c>
      <c r="J147" s="9"/>
      <c r="K147" s="7">
        <v>230.78</v>
      </c>
      <c r="L147" s="8">
        <f>IFERROR(K147/K444, "NA")</f>
        <v>1.9252934741911564E-3</v>
      </c>
      <c r="M147" s="9"/>
      <c r="N147" s="10">
        <f t="shared" si="33"/>
        <v>230.78</v>
      </c>
      <c r="O147" s="8">
        <f>IFERROR(N147/N444, "NA")</f>
        <v>-3.7154504005563999E-2</v>
      </c>
      <c r="P147" s="9"/>
      <c r="Q147" s="7">
        <v>72.819999999999993</v>
      </c>
      <c r="R147" s="8">
        <f>IFERROR(Q147/Q444, "NA")</f>
        <v>1.8219650876761276E-4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-72.819999999999993</v>
      </c>
      <c r="X147" s="8">
        <f>IFERROR(W147/W444, "NA")</f>
        <v>1.4290578364158546E-3</v>
      </c>
      <c r="Y147" s="9"/>
      <c r="Z147" s="7">
        <v>252.15</v>
      </c>
      <c r="AA147" s="8">
        <f>IFERROR(Z147/Z444, "NA")</f>
        <v>5.9900113265020836E-4</v>
      </c>
      <c r="AB147" s="9"/>
      <c r="AC147" s="10">
        <f t="shared" si="35"/>
        <v>179.33</v>
      </c>
      <c r="AD147" s="8">
        <f>IFERROR(AC147/AC444, "NA")</f>
        <v>-8.43015657818285E-3</v>
      </c>
    </row>
    <row r="148" spans="1:30" ht="16.5" customHeight="1" x14ac:dyDescent="0.45">
      <c r="A148" s="13" t="s">
        <v>139</v>
      </c>
      <c r="B148" s="14">
        <f>IFERROR(B143+B144+B145+B146+B147, "NA")</f>
        <v>1678.14</v>
      </c>
      <c r="C148" s="15">
        <f>IFERROR(B148/B444, "NA")</f>
        <v>1.47650702012598E-2</v>
      </c>
      <c r="D148" s="2"/>
      <c r="E148" s="14">
        <f>IFERROR(E143+E144+E145+E146+E147, "NA")</f>
        <v>1445.12</v>
      </c>
      <c r="F148" s="15">
        <f>IFERROR(E148/E444, "NA")</f>
        <v>1.0999985385316139E-2</v>
      </c>
      <c r="G148" s="2"/>
      <c r="H148" s="14">
        <f t="shared" si="32"/>
        <v>-233.02000000000021</v>
      </c>
      <c r="I148" s="15">
        <f>IFERROR(H148/H444, "NA")</f>
        <v>1.3151122208025008E-2</v>
      </c>
      <c r="J148" s="2"/>
      <c r="K148" s="14">
        <f>IFERROR(K143+K144+K145+K146+K147, "NA")</f>
        <v>2348</v>
      </c>
      <c r="L148" s="15">
        <f>IFERROR(K148/K444, "NA")</f>
        <v>1.9588305214493611E-2</v>
      </c>
      <c r="M148" s="2"/>
      <c r="N148" s="14">
        <f t="shared" si="33"/>
        <v>669.8599999999999</v>
      </c>
      <c r="O148" s="15">
        <f>IFERROR(N148/N444, "NA")</f>
        <v>-0.10784433682800544</v>
      </c>
      <c r="P148" s="2"/>
      <c r="Q148" s="14">
        <f>IFERROR(Q143+Q144+Q145+Q146+Q147, "NA")</f>
        <v>5138.3099999999995</v>
      </c>
      <c r="R148" s="15">
        <f>IFERROR(Q148/Q444, "NA")</f>
        <v>1.2856112921803244E-2</v>
      </c>
      <c r="S148" s="2"/>
      <c r="T148" s="14">
        <f>IFERROR(T143+T144+T145+T146+T147, "NA")</f>
        <v>4956.99</v>
      </c>
      <c r="U148" s="15">
        <f>IFERROR(T148/T444, "NA")</f>
        <v>1.1000011095454192E-2</v>
      </c>
      <c r="V148" s="2"/>
      <c r="W148" s="14">
        <f t="shared" si="34"/>
        <v>-181.31999999999971</v>
      </c>
      <c r="X148" s="15">
        <f>IFERROR(W148/W444, "NA")</f>
        <v>3.5583186885323041E-3</v>
      </c>
      <c r="Y148" s="2"/>
      <c r="Z148" s="14">
        <f>IFERROR(Z143+Z144+Z145+Z146+Z147, "NA")</f>
        <v>6644.97</v>
      </c>
      <c r="AA148" s="15">
        <f>IFERROR(Z148/Z444, "NA")</f>
        <v>1.5785621877559608E-2</v>
      </c>
      <c r="AB148" s="2"/>
      <c r="AC148" s="14">
        <f t="shared" si="35"/>
        <v>1506.6600000000008</v>
      </c>
      <c r="AD148" s="15">
        <f>IFERROR(AC148/AC444, "NA")</f>
        <v>-7.0826853901103992E-2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28817.659999999996</v>
      </c>
      <c r="C149" s="15">
        <f>IFERROR(B149/B444, "NA")</f>
        <v>0.25355141581515039</v>
      </c>
      <c r="D149" s="2"/>
      <c r="E149" s="14">
        <f>IFERROR(E127+E129+E130+E131+E132+E133+E134+E135+E136+E137+E138+E139+E140+E143+E144+E145+E146+E147, "NA")</f>
        <v>29559.309999999998</v>
      </c>
      <c r="F149" s="15">
        <f>IFERROR(E149/E444, "NA")</f>
        <v>0.22499998477637095</v>
      </c>
      <c r="G149" s="2"/>
      <c r="H149" s="14">
        <f t="shared" si="32"/>
        <v>741.65000000000146</v>
      </c>
      <c r="I149" s="15">
        <f>IFERROR(H149/H444, "NA")</f>
        <v>-4.1857049976747732E-2</v>
      </c>
      <c r="J149" s="2"/>
      <c r="K149" s="14">
        <f>IFERROR(K127+K129+K130+K131+K132+K133+K134+K135+K136+K137+K138+K139+K140+K143+K144+K145+K146+K147, "NA")</f>
        <v>34422.94999999999</v>
      </c>
      <c r="L149" s="15">
        <f>IFERROR(K149/K444, "NA")</f>
        <v>0.28717514948179412</v>
      </c>
      <c r="M149" s="2"/>
      <c r="N149" s="14">
        <f t="shared" si="33"/>
        <v>5605.2899999999936</v>
      </c>
      <c r="O149" s="15">
        <f>IFERROR(N149/N444, "NA")</f>
        <v>-0.90242555575590422</v>
      </c>
      <c r="P149" s="2"/>
      <c r="Q149" s="14">
        <f>IFERROR(Q127+Q129+Q130+Q131+Q132+Q133+Q134+Q135+Q136+Q137+Q138+Q139+Q140+Q143+Q144+Q145+Q146+Q147, "NA")</f>
        <v>98283.11</v>
      </c>
      <c r="R149" s="15">
        <f>IFERROR(Q149/Q444, "NA")</f>
        <v>0.24590551377126132</v>
      </c>
      <c r="S149" s="2"/>
      <c r="T149" s="14">
        <f>IFERROR(T127+T129+T130+T131+T132+T133+T134+T135+T136+T137+T138+T139+T140+T143+T144+T145+T146+T147, "NA")</f>
        <v>102225.08</v>
      </c>
      <c r="U149" s="15">
        <f>IFERROR(T149/T444, "NA")</f>
        <v>0.22684673849124015</v>
      </c>
      <c r="V149" s="2"/>
      <c r="W149" s="14">
        <f t="shared" si="34"/>
        <v>3941.9700000000012</v>
      </c>
      <c r="X149" s="15">
        <f>IFERROR(W149/W444, "NA")</f>
        <v>-7.7359284803847961E-2</v>
      </c>
      <c r="Y149" s="2"/>
      <c r="Z149" s="14">
        <f>IFERROR(Z127+Z129+Z130+Z131+Z132+Z133+Z134+Z135+Z136+Z137+Z138+Z139+Z140+Z143+Z144+Z145+Z146+Z147, "NA")</f>
        <v>112214.41000000002</v>
      </c>
      <c r="AA149" s="15">
        <f>IFERROR(Z149/Z444, "NA")</f>
        <v>0.26657370093069555</v>
      </c>
      <c r="AB149" s="2"/>
      <c r="AC149" s="14">
        <f t="shared" si="35"/>
        <v>13931.300000000017</v>
      </c>
      <c r="AD149" s="15">
        <f>IFERROR(AC149/AC444, "NA")</f>
        <v>-0.65489901487558622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5517.74</v>
      </c>
      <c r="F153" s="8">
        <f>IFERROR(E153/E444, "NA")</f>
        <v>4.2000013396793538E-2</v>
      </c>
      <c r="G153" s="9"/>
      <c r="H153" s="10">
        <f t="shared" ref="H153:H158" si="36">IFERROR(-(B153-E153), "NA")</f>
        <v>5517.74</v>
      </c>
      <c r="I153" s="8">
        <f>IFERROR(H153/H444, "NA")</f>
        <v>-0.3114087762943431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18926.68</v>
      </c>
      <c r="U153" s="8">
        <f>IFERROR(T153/T444, "NA")</f>
        <v>4.2000022190908384E-2</v>
      </c>
      <c r="V153" s="9"/>
      <c r="W153" s="10">
        <f t="shared" ref="W153:W158" si="38">IFERROR(-(Q153-T153), "NA")</f>
        <v>18926.68</v>
      </c>
      <c r="X153" s="8">
        <f>IFERROR(W153/W444, "NA")</f>
        <v>-0.37142708557175541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3306.53</v>
      </c>
      <c r="C154" s="8">
        <f>IFERROR(B154/B444, "NA")</f>
        <v>2.9092416349393715E-2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-3306.53</v>
      </c>
      <c r="I154" s="8">
        <f>IFERROR(H154/H444, "NA")</f>
        <v>0.1866130809136593</v>
      </c>
      <c r="J154" s="9"/>
      <c r="K154" s="7">
        <v>4286.3599999999997</v>
      </c>
      <c r="L154" s="8">
        <f>IFERROR(K154/K444, "NA")</f>
        <v>3.5759168628278035E-2</v>
      </c>
      <c r="M154" s="9"/>
      <c r="N154" s="10">
        <f t="shared" si="37"/>
        <v>979.82999999999947</v>
      </c>
      <c r="O154" s="8">
        <f>IFERROR(N154/N444, "NA")</f>
        <v>-0.1577480616161355</v>
      </c>
      <c r="P154" s="9"/>
      <c r="Q154" s="7">
        <v>12238.27</v>
      </c>
      <c r="R154" s="8">
        <f>IFERROR(Q154/Q444, "NA")</f>
        <v>3.0620297546764794E-2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-12238.27</v>
      </c>
      <c r="X154" s="8">
        <f>IFERROR(W154/W444, "NA")</f>
        <v>0.24017022312102532</v>
      </c>
      <c r="Y154" s="9"/>
      <c r="Z154" s="7">
        <v>14635.71</v>
      </c>
      <c r="AA154" s="8">
        <f>IFERROR(Z154/Z444, "NA")</f>
        <v>3.4768220769938456E-2</v>
      </c>
      <c r="AB154" s="9"/>
      <c r="AC154" s="10">
        <f t="shared" si="39"/>
        <v>2397.4399999999987</v>
      </c>
      <c r="AD154" s="8">
        <f>IFERROR(AC154/AC444, "NA")</f>
        <v>-0.11270169289465611</v>
      </c>
    </row>
    <row r="155" spans="1:30" ht="16.5" customHeight="1" x14ac:dyDescent="0.45">
      <c r="A155" s="12" t="s">
        <v>144</v>
      </c>
      <c r="B155" s="7">
        <v>1347.37</v>
      </c>
      <c r="C155" s="8">
        <f>IFERROR(B155/B444, "NA")</f>
        <v>1.1854799144929156E-2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-1347.37</v>
      </c>
      <c r="I155" s="8">
        <f>IFERROR(H155/H444, "NA")</f>
        <v>7.6042517935913809E-2</v>
      </c>
      <c r="J155" s="9"/>
      <c r="K155" s="7">
        <v>1169.53</v>
      </c>
      <c r="L155" s="8">
        <f>IFERROR(K155/K444, "NA")</f>
        <v>9.7568614129074586E-3</v>
      </c>
      <c r="M155" s="9"/>
      <c r="N155" s="10">
        <f t="shared" si="37"/>
        <v>-177.83999999999992</v>
      </c>
      <c r="O155" s="8">
        <f>IFERROR(N155/N444, "NA")</f>
        <v>2.8631410834342223E-2</v>
      </c>
      <c r="P155" s="9"/>
      <c r="Q155" s="7">
        <v>4851.51</v>
      </c>
      <c r="R155" s="8">
        <f>IFERROR(Q155/Q444, "NA")</f>
        <v>1.2138535900180734E-2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-4851.51</v>
      </c>
      <c r="X155" s="8">
        <f>IFERROR(W155/W444, "NA")</f>
        <v>9.520857434701846E-2</v>
      </c>
      <c r="Y155" s="9"/>
      <c r="Z155" s="7">
        <v>4556.8500000000004</v>
      </c>
      <c r="AA155" s="8">
        <f>IFERROR(Z155/Z444, "NA")</f>
        <v>1.0825137066496539E-2</v>
      </c>
      <c r="AB155" s="9"/>
      <c r="AC155" s="10">
        <f t="shared" si="39"/>
        <v>-294.65999999999985</v>
      </c>
      <c r="AD155" s="8">
        <f>IFERROR(AC155/AC444, "NA")</f>
        <v>1.3851725519028368E-2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20.6</v>
      </c>
      <c r="R156" s="8">
        <f>IFERROR(Q156/Q444, "NA")</f>
        <v>5.1541445765075846E-5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-20.6</v>
      </c>
      <c r="X156" s="8">
        <f>IFERROR(W156/W444, "NA")</f>
        <v>4.0426519404238687E-4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-20.6</v>
      </c>
      <c r="AD156" s="8">
        <f>IFERROR(AC156/AC444, "NA")</f>
        <v>9.6838914576795137E-4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4653.8999999999996</v>
      </c>
      <c r="C158" s="15">
        <f>IFERROR(B158/B444, "NA")</f>
        <v>4.0947215494322869E-2</v>
      </c>
      <c r="D158" s="2"/>
      <c r="E158" s="14">
        <f>IFERROR(E153+E154+E155+E156+E157, "NA")</f>
        <v>5517.74</v>
      </c>
      <c r="F158" s="15">
        <f>IFERROR(E158/E444, "NA")</f>
        <v>4.2000013396793538E-2</v>
      </c>
      <c r="G158" s="2"/>
      <c r="H158" s="14">
        <f t="shared" si="36"/>
        <v>863.84000000000015</v>
      </c>
      <c r="I158" s="15">
        <f>IFERROR(H158/H444, "NA")</f>
        <v>-4.8753177444770035E-2</v>
      </c>
      <c r="J158" s="2"/>
      <c r="K158" s="14">
        <f>IFERROR(K153+K154+K155+K156+K157, "NA")</f>
        <v>5455.8899999999994</v>
      </c>
      <c r="L158" s="15">
        <f>IFERROR(K158/K444, "NA")</f>
        <v>4.5516030041185492E-2</v>
      </c>
      <c r="M158" s="2"/>
      <c r="N158" s="14">
        <f t="shared" si="37"/>
        <v>801.98999999999978</v>
      </c>
      <c r="O158" s="15">
        <f>IFERROR(N158/N444, "NA")</f>
        <v>-0.12911665078179332</v>
      </c>
      <c r="P158" s="2"/>
      <c r="Q158" s="14">
        <f>IFERROR(Q153+Q154+Q155+Q156+Q157, "NA")</f>
        <v>17110.379999999997</v>
      </c>
      <c r="R158" s="15">
        <f>IFERROR(Q158/Q444, "NA")</f>
        <v>4.2810374892710598E-2</v>
      </c>
      <c r="S158" s="2"/>
      <c r="T158" s="14">
        <f>IFERROR(T153+T154+T155+T156+T157, "NA")</f>
        <v>18926.68</v>
      </c>
      <c r="U158" s="15">
        <f>IFERROR(T158/T444, "NA")</f>
        <v>4.2000022190908384E-2</v>
      </c>
      <c r="V158" s="2"/>
      <c r="W158" s="14">
        <f t="shared" si="38"/>
        <v>1816.3000000000029</v>
      </c>
      <c r="X158" s="15">
        <f>IFERROR(W158/W444, "NA")</f>
        <v>-3.5644022909669337E-2</v>
      </c>
      <c r="Y158" s="2"/>
      <c r="Z158" s="14">
        <f>IFERROR(Z153+Z154+Z155+Z156+Z157, "NA")</f>
        <v>19192.559999999998</v>
      </c>
      <c r="AA158" s="15">
        <f>IFERROR(Z158/Z444, "NA")</f>
        <v>4.5593357836434985E-2</v>
      </c>
      <c r="AB158" s="2"/>
      <c r="AC158" s="14">
        <f t="shared" si="39"/>
        <v>2082.1800000000003</v>
      </c>
      <c r="AD158" s="15">
        <f>IFERROR(AC158/AC444, "NA")</f>
        <v>-9.7881578229859864E-2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376.38</v>
      </c>
      <c r="C161" s="8">
        <f>IFERROR(B161/B444, "NA")</f>
        <v>3.3115694294577115E-3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-376.38</v>
      </c>
      <c r="I161" s="8">
        <f>IFERROR(H161/H444, "NA")</f>
        <v>2.1242036634865881E-2</v>
      </c>
      <c r="J161" s="9"/>
      <c r="K161" s="7">
        <v>350.78</v>
      </c>
      <c r="L161" s="8">
        <f>IFERROR(K161/K444, "NA")</f>
        <v>2.92639936249577E-3</v>
      </c>
      <c r="M161" s="9"/>
      <c r="N161" s="10">
        <f t="shared" si="41"/>
        <v>-25.600000000000023</v>
      </c>
      <c r="O161" s="8">
        <f>IFERROR(N161/N444, "NA")</f>
        <v>4.1214806419206133E-3</v>
      </c>
      <c r="P161" s="9"/>
      <c r="Q161" s="7">
        <v>1253.7</v>
      </c>
      <c r="R161" s="8">
        <f>IFERROR(Q161/Q444, "NA")</f>
        <v>3.1367723570716304E-3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-1253.7</v>
      </c>
      <c r="X161" s="8">
        <f>IFERROR(W161/W444, "NA")</f>
        <v>2.460326571703594E-2</v>
      </c>
      <c r="Y161" s="9"/>
      <c r="Z161" s="7">
        <v>1563.66</v>
      </c>
      <c r="AA161" s="8">
        <f>IFERROR(Z161/Z444, "NA")</f>
        <v>3.7145909620457064E-3</v>
      </c>
      <c r="AB161" s="9"/>
      <c r="AC161" s="10">
        <f t="shared" si="43"/>
        <v>309.96000000000004</v>
      </c>
      <c r="AD161" s="8">
        <f>IFERROR(AC161/AC444, "NA")</f>
        <v>-1.4570966001079331E-2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376.38</v>
      </c>
      <c r="C166" s="15">
        <f>IFERROR(B166/B444, "NA")</f>
        <v>3.3115694294577115E-3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-376.38</v>
      </c>
      <c r="I166" s="15">
        <f>IFERROR(H166/H444, "NA")</f>
        <v>2.1242036634865881E-2</v>
      </c>
      <c r="J166" s="2"/>
      <c r="K166" s="14">
        <f>IFERROR(K160+K161+K162+K163+K164+K165, "NA")</f>
        <v>350.78</v>
      </c>
      <c r="L166" s="15">
        <f>IFERROR(K166/K444, "NA")</f>
        <v>2.92639936249577E-3</v>
      </c>
      <c r="M166" s="2"/>
      <c r="N166" s="14">
        <f t="shared" si="41"/>
        <v>-25.600000000000023</v>
      </c>
      <c r="O166" s="15">
        <f>IFERROR(N166/N444, "NA")</f>
        <v>4.1214806419206133E-3</v>
      </c>
      <c r="P166" s="2"/>
      <c r="Q166" s="14">
        <f>IFERROR(Q160+Q161+Q162+Q163+Q164+Q165, "NA")</f>
        <v>1253.7</v>
      </c>
      <c r="R166" s="15">
        <f>IFERROR(Q166/Q444, "NA")</f>
        <v>3.1367723570716304E-3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-1253.7</v>
      </c>
      <c r="X166" s="15">
        <f>IFERROR(W166/W444, "NA")</f>
        <v>2.460326571703594E-2</v>
      </c>
      <c r="Y166" s="2"/>
      <c r="Z166" s="14">
        <f>IFERROR(Z160+Z161+Z162+Z163+Z164+Z165, "NA")</f>
        <v>1563.66</v>
      </c>
      <c r="AA166" s="15">
        <f>IFERROR(Z166/Z444, "NA")</f>
        <v>3.7145909620457064E-3</v>
      </c>
      <c r="AB166" s="2"/>
      <c r="AC166" s="14">
        <f t="shared" si="43"/>
        <v>309.96000000000004</v>
      </c>
      <c r="AD166" s="15">
        <f>IFERROR(AC166/AC444, "NA")</f>
        <v>-1.4570966001079331E-2</v>
      </c>
    </row>
    <row r="167" spans="1:30" ht="16.5" customHeight="1" x14ac:dyDescent="0.45">
      <c r="A167" s="6" t="s">
        <v>155</v>
      </c>
      <c r="B167" s="7">
        <v>122.2</v>
      </c>
      <c r="C167" s="8">
        <f>IFERROR(B167/B444, "NA")</f>
        <v>1.0751734531051925E-3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-122.2</v>
      </c>
      <c r="I167" s="8">
        <f>IFERROR(H167/H444, "NA")</f>
        <v>6.8966918454238029E-3</v>
      </c>
      <c r="J167" s="9"/>
      <c r="K167" s="7">
        <v>131.94999999999999</v>
      </c>
      <c r="L167" s="8">
        <f>IFERROR(K167/K444, "NA")</f>
        <v>1.1007993496816148E-3</v>
      </c>
      <c r="M167" s="9"/>
      <c r="N167" s="10">
        <f t="shared" si="41"/>
        <v>9.7499999999999858</v>
      </c>
      <c r="O167" s="8">
        <f>IFERROR(N167/N444, "NA")</f>
        <v>-1.5697045413564799E-3</v>
      </c>
      <c r="P167" s="9"/>
      <c r="Q167" s="7">
        <v>497.02</v>
      </c>
      <c r="R167" s="8">
        <f>IFERROR(Q167/Q444, "NA")</f>
        <v>1.2435499696193202E-3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-497.02</v>
      </c>
      <c r="X167" s="8">
        <f>IFERROR(W167/W444, "NA")</f>
        <v>9.7537809098517999E-3</v>
      </c>
      <c r="Y167" s="9"/>
      <c r="Z167" s="7">
        <v>517.11</v>
      </c>
      <c r="AA167" s="8">
        <f>IFERROR(Z167/Z444, "NA")</f>
        <v>1.228433375787227E-3</v>
      </c>
      <c r="AB167" s="9"/>
      <c r="AC167" s="10">
        <f t="shared" si="43"/>
        <v>20.090000000000032</v>
      </c>
      <c r="AD167" s="8">
        <f>IFERROR(AC167/AC444, "NA")</f>
        <v>-9.4441446303292101E-4</v>
      </c>
    </row>
    <row r="168" spans="1:30" ht="16.5" customHeight="1" x14ac:dyDescent="0.45">
      <c r="A168" s="6" t="s">
        <v>156</v>
      </c>
      <c r="B168" s="7">
        <v>120.81</v>
      </c>
      <c r="C168" s="8">
        <f>IFERROR(B168/B444, "NA")</f>
        <v>1.0629435750379567E-3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-120.81</v>
      </c>
      <c r="I168" s="8">
        <f>IFERROR(H168/H444, "NA")</f>
        <v>6.8182433866256107E-3</v>
      </c>
      <c r="J168" s="9"/>
      <c r="K168" s="7">
        <v>44.6</v>
      </c>
      <c r="L168" s="8">
        <f>IFERROR(K168/K444, "NA")</f>
        <v>3.7207768848654816E-4</v>
      </c>
      <c r="M168" s="9"/>
      <c r="N168" s="10">
        <f t="shared" si="41"/>
        <v>-76.210000000000008</v>
      </c>
      <c r="O168" s="8">
        <f>IFERROR(N168/N444, "NA")</f>
        <v>1.2269454676592566E-2</v>
      </c>
      <c r="P168" s="9"/>
      <c r="Q168" s="7">
        <v>367.26</v>
      </c>
      <c r="R168" s="8">
        <f>IFERROR(Q168/Q444, "NA")</f>
        <v>9.1888890153794919E-4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-367.26</v>
      </c>
      <c r="X168" s="8">
        <f>IFERROR(W168/W444, "NA")</f>
        <v>7.207302677864417E-3</v>
      </c>
      <c r="Y168" s="9"/>
      <c r="Z168" s="7">
        <v>184.6</v>
      </c>
      <c r="AA168" s="8">
        <f>IFERROR(Z168/Z444, "NA")</f>
        <v>4.3853106915418784E-4</v>
      </c>
      <c r="AB168" s="9"/>
      <c r="AC168" s="10">
        <f t="shared" si="43"/>
        <v>-182.66</v>
      </c>
      <c r="AD168" s="8">
        <f>IFERROR(AC168/AC444, "NA")</f>
        <v>8.5866971536880578E-3</v>
      </c>
    </row>
    <row r="169" spans="1:30" ht="16.5" customHeight="1" x14ac:dyDescent="0.45">
      <c r="A169" s="6" t="s">
        <v>157</v>
      </c>
      <c r="B169" s="7">
        <v>-916.46</v>
      </c>
      <c r="C169" s="8">
        <f>IFERROR(B169/B444, "NA")</f>
        <v>-8.0634489593517569E-3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916.46</v>
      </c>
      <c r="I169" s="8">
        <f>IFERROR(H169/H444, "NA")</f>
        <v>-5.1722931331072815E-2</v>
      </c>
      <c r="J169" s="9"/>
      <c r="K169" s="7">
        <v>-1632.11</v>
      </c>
      <c r="L169" s="8">
        <f>IFERROR(K169/K444, "NA")</f>
        <v>-1.361595776134036E-2</v>
      </c>
      <c r="M169" s="9"/>
      <c r="N169" s="10">
        <f t="shared" si="41"/>
        <v>-715.64999999999986</v>
      </c>
      <c r="O169" s="8">
        <f>IFERROR(N169/N444, "NA")</f>
        <v>0.11521631333556577</v>
      </c>
      <c r="P169" s="9"/>
      <c r="Q169" s="7">
        <v>-3678.58</v>
      </c>
      <c r="R169" s="8">
        <f>IFERROR(Q169/Q444, "NA")</f>
        <v>-9.2038510467229457E-3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3678.58</v>
      </c>
      <c r="X169" s="8">
        <f>IFERROR(W169/W444, "NA")</f>
        <v>-7.2190381432060358E-2</v>
      </c>
      <c r="Y169" s="9"/>
      <c r="Z169" s="7">
        <v>-9671.26</v>
      </c>
      <c r="AA169" s="8">
        <f>IFERROR(Z169/Z444, "NA")</f>
        <v>-2.2974799500910786E-2</v>
      </c>
      <c r="AB169" s="9"/>
      <c r="AC169" s="10">
        <f t="shared" si="43"/>
        <v>-5992.68</v>
      </c>
      <c r="AD169" s="8">
        <f>IFERROR(AC169/AC444, "NA")</f>
        <v>0.28171098378935372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4356.83</v>
      </c>
      <c r="C170" s="15">
        <f>IFERROR(B170/B444, "NA")</f>
        <v>3.8333452992571973E-2</v>
      </c>
      <c r="D170" s="2"/>
      <c r="E170" s="14">
        <f>IFERROR(E151+E153+E154+E155+E156+E157+E160+E161+E162+E163+E164+E165+E167+E168+E169, "NA")</f>
        <v>5517.74</v>
      </c>
      <c r="F170" s="15">
        <f>IFERROR(E170/E444, "NA")</f>
        <v>4.2000013396793538E-2</v>
      </c>
      <c r="G170" s="2"/>
      <c r="H170" s="14">
        <f t="shared" si="40"/>
        <v>1160.9099999999999</v>
      </c>
      <c r="I170" s="15">
        <f>IFERROR(H170/H444, "NA")</f>
        <v>-6.5519136908927536E-2</v>
      </c>
      <c r="J170" s="2"/>
      <c r="K170" s="14">
        <f>IFERROR(K151+K153+K154+K155+K156+K157+K160+K161+K162+K163+K164+K165+K167+K168+K169, "NA")</f>
        <v>4351.1099999999997</v>
      </c>
      <c r="L170" s="15">
        <f>IFERROR(K170/K444, "NA")</f>
        <v>3.6299348680509068E-2</v>
      </c>
      <c r="M170" s="2"/>
      <c r="N170" s="14">
        <f t="shared" si="41"/>
        <v>-5.7200000000002547</v>
      </c>
      <c r="O170" s="15">
        <f>IFERROR(N170/N444, "NA")</f>
        <v>9.2089333092917718E-4</v>
      </c>
      <c r="P170" s="2"/>
      <c r="Q170" s="14">
        <f>IFERROR(Q151+Q153+Q154+Q155+Q156+Q157+Q160+Q161+Q162+Q163+Q164+Q165+Q167+Q168+Q169, "NA")</f>
        <v>15549.779999999997</v>
      </c>
      <c r="R170" s="15">
        <f>IFERROR(Q170/Q444, "NA")</f>
        <v>3.8905735074216546E-2</v>
      </c>
      <c r="S170" s="2"/>
      <c r="T170" s="14">
        <f>IFERROR(T151+T153+T154+T155+T156+T157+T160+T161+T162+T163+T164+T165+T167+T168+T169, "NA")</f>
        <v>18926.68</v>
      </c>
      <c r="U170" s="15">
        <f>IFERROR(T170/T444, "NA")</f>
        <v>4.2000022190908384E-2</v>
      </c>
      <c r="V170" s="2"/>
      <c r="W170" s="14">
        <f t="shared" si="42"/>
        <v>3376.9000000000033</v>
      </c>
      <c r="X170" s="15">
        <f>IFERROR(W170/W444, "NA")</f>
        <v>-6.627005503697754E-2</v>
      </c>
      <c r="Y170" s="2"/>
      <c r="Z170" s="14">
        <f>IFERROR(Z151+Z153+Z154+Z155+Z156+Z157+Z160+Z161+Z162+Z163+Z164+Z165+Z167+Z168+Z169, "NA")</f>
        <v>11786.669999999996</v>
      </c>
      <c r="AA170" s="15">
        <f>IFERROR(Z170/Z444, "NA")</f>
        <v>2.800011374251132E-2</v>
      </c>
      <c r="AB170" s="2"/>
      <c r="AC170" s="14">
        <f t="shared" si="43"/>
        <v>-3763.1100000000006</v>
      </c>
      <c r="AD170" s="15">
        <f>IFERROR(AC170/AC444, "NA")</f>
        <v>0.17690072224906969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33174.489999999991</v>
      </c>
      <c r="C171" s="15">
        <f>IFERROR(B171/B444, "NA")</f>
        <v>0.2918848688077223</v>
      </c>
      <c r="D171" s="2"/>
      <c r="E171" s="14">
        <f>IFERROR(E127+E129+E130+E131+E132+E133+E134+E135+E136+E137+E138+E139+E140+E143+E144+E145+E146+E147+E151+E153+E154+E155+E156+E157+E160+E161+E162+E163+E164+E165+E167+E168+E169, "NA")</f>
        <v>35077.049999999996</v>
      </c>
      <c r="F171" s="15">
        <f>IFERROR(E171/E444, "NA")</f>
        <v>0.2669999981731645</v>
      </c>
      <c r="G171" s="2"/>
      <c r="H171" s="14">
        <f t="shared" si="40"/>
        <v>1902.5600000000049</v>
      </c>
      <c r="I171" s="15">
        <f>IFERROR(H171/H444, "NA")</f>
        <v>-0.10737618688567548</v>
      </c>
      <c r="J171" s="2"/>
      <c r="K171" s="14">
        <f>IFERROR(K127+K129+K130+K131+K132+K133+K134+K135+K136+K137+K138+K139+K140+K143+K144+K145+K146+K147+K151+K153+K154+K155+K156+K157+K160+K161+K162+K163+K164+K165+K167+K168+K169, "NA")</f>
        <v>38774.059999999983</v>
      </c>
      <c r="L171" s="15">
        <f>IFERROR(K171/K444, "NA")</f>
        <v>0.32347449816230317</v>
      </c>
      <c r="M171" s="2"/>
      <c r="N171" s="14">
        <f t="shared" si="41"/>
        <v>5599.5699999999924</v>
      </c>
      <c r="O171" s="15">
        <f>IFERROR(N171/N444, "NA")</f>
        <v>-0.90150466242497485</v>
      </c>
      <c r="P171" s="2"/>
      <c r="Q171" s="14">
        <f>IFERROR(Q127+Q129+Q130+Q131+Q132+Q133+Q134+Q135+Q136+Q137+Q138+Q139+Q140+Q143+Q144+Q145+Q146+Q147+Q151+Q153+Q154+Q155+Q156+Q157+Q160+Q161+Q162+Q163+Q164+Q165+Q167+Q168+Q169, "NA")</f>
        <v>113832.89</v>
      </c>
      <c r="R171" s="15">
        <f>IFERROR(Q171/Q444, "NA")</f>
        <v>0.28481124884547787</v>
      </c>
      <c r="S171" s="2"/>
      <c r="T171" s="14">
        <f>IFERROR(T127+T129+T130+T131+T132+T133+T134+T135+T136+T137+T138+T139+T140+T143+T144+T145+T146+T147+T151+T153+T154+T155+T156+T157+T160+T161+T162+T163+T164+T165+T167+T168+T169, "NA")</f>
        <v>121151.76000000001</v>
      </c>
      <c r="U171" s="15">
        <f>IFERROR(T171/T444, "NA")</f>
        <v>0.26884676068214852</v>
      </c>
      <c r="V171" s="2"/>
      <c r="W171" s="14">
        <f t="shared" si="42"/>
        <v>7318.8700000000099</v>
      </c>
      <c r="X171" s="15">
        <f>IFERROR(W171/W444, "NA")</f>
        <v>-0.14362933984082563</v>
      </c>
      <c r="Y171" s="2"/>
      <c r="Z171" s="14">
        <f>IFERROR(Z127+Z129+Z130+Z131+Z132+Z133+Z134+Z135+Z136+Z137+Z138+Z139+Z140+Z143+Z144+Z145+Z146+Z147+Z151+Z153+Z154+Z155+Z156+Z157+Z160+Z161+Z162+Z163+Z164+Z165+Z167+Z168+Z169, "NA")</f>
        <v>124001.08000000003</v>
      </c>
      <c r="AA171" s="15">
        <f>IFERROR(Z171/Z444, "NA")</f>
        <v>0.29457381467320692</v>
      </c>
      <c r="AB171" s="2"/>
      <c r="AC171" s="14">
        <f t="shared" si="43"/>
        <v>10168.190000000031</v>
      </c>
      <c r="AD171" s="15">
        <f>IFERROR(AC171/AC444, "NA")</f>
        <v>-0.47799829262651722</v>
      </c>
    </row>
    <row r="172" spans="1:30" ht="16.5" customHeight="1" x14ac:dyDescent="0.45">
      <c r="A172" s="22" t="s">
        <v>160</v>
      </c>
      <c r="B172" s="23">
        <f>IFERROR(B124-B171, "NA")</f>
        <v>80481.59</v>
      </c>
      <c r="C172" s="24">
        <f>IFERROR(B172/B444, "NA")</f>
        <v>0.70811513119227754</v>
      </c>
      <c r="D172" s="25"/>
      <c r="E172" s="23">
        <f>IFERROR(E124-E171, "NA")</f>
        <v>96297.669999999984</v>
      </c>
      <c r="F172" s="24">
        <f>IFERROR(E172/E444, "NA")</f>
        <v>0.73300000182683533</v>
      </c>
      <c r="G172" s="25"/>
      <c r="H172" s="23">
        <f>IFERROR(B172-E172, "NA")</f>
        <v>-15816.079999999987</v>
      </c>
      <c r="I172" s="24">
        <f>IFERROR(H172/H444, "NA")</f>
        <v>0.89262381311432415</v>
      </c>
      <c r="J172" s="25"/>
      <c r="K172" s="23">
        <f>IFERROR(K124-K171, "NA")</f>
        <v>81093.38</v>
      </c>
      <c r="L172" s="24">
        <f>IFERROR(K172/K444, "NA")</f>
        <v>0.67652550183769677</v>
      </c>
      <c r="M172" s="25"/>
      <c r="N172" s="23">
        <f>IFERROR(B172-K172, "NA")</f>
        <v>-611.79000000000815</v>
      </c>
      <c r="O172" s="24">
        <f>IFERROR(N172/N444, "NA")</f>
        <v>9.8495337575025127E-2</v>
      </c>
      <c r="P172" s="25"/>
      <c r="Q172" s="23">
        <f>IFERROR(Q124-Q171, "NA")</f>
        <v>285845.46000000002</v>
      </c>
      <c r="R172" s="24">
        <f>IFERROR(Q172/Q444, "NA")</f>
        <v>0.71518875115452218</v>
      </c>
      <c r="S172" s="25"/>
      <c r="T172" s="23">
        <f>IFERROR(T124-T171, "NA")</f>
        <v>329483.24</v>
      </c>
      <c r="U172" s="24">
        <f>IFERROR(T172/T444, "NA")</f>
        <v>0.73115323931785148</v>
      </c>
      <c r="V172" s="25"/>
      <c r="W172" s="23">
        <f>IFERROR(Q172-T172, "NA")</f>
        <v>-43637.77999999997</v>
      </c>
      <c r="X172" s="24">
        <f>IFERROR(W172/W444, "NA")</f>
        <v>0.85637066015917351</v>
      </c>
      <c r="Y172" s="25"/>
      <c r="Z172" s="23">
        <f>IFERROR(Z124-Z171, "NA")</f>
        <v>296949.70999999996</v>
      </c>
      <c r="AA172" s="24">
        <f>IFERROR(Z172/Z444, "NA")</f>
        <v>0.70542618532679313</v>
      </c>
      <c r="AB172" s="25"/>
      <c r="AC172" s="23">
        <f>IFERROR(Q172-Z172, "NA")</f>
        <v>-11104.249999999942</v>
      </c>
      <c r="AD172" s="24">
        <f>IFERROR(AC172/AC444, "NA")</f>
        <v>0.52200170737348139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5846.16</v>
      </c>
      <c r="C178" s="8">
        <f>IFERROR(B178/B444, "NA")</f>
        <v>5.1437283425576526E-2</v>
      </c>
      <c r="D178" s="9"/>
      <c r="E178" s="7">
        <v>5846.16</v>
      </c>
      <c r="F178" s="8">
        <f>IFERROR(E178/E444, "NA")</f>
        <v>4.4499885518309759E-2</v>
      </c>
      <c r="G178" s="9"/>
      <c r="H178" s="10">
        <f t="shared" si="44"/>
        <v>0</v>
      </c>
      <c r="I178" s="8">
        <f>IFERROR(H178/H444, "NA")</f>
        <v>0</v>
      </c>
      <c r="J178" s="9"/>
      <c r="K178" s="7">
        <v>5846.16</v>
      </c>
      <c r="L178" s="8">
        <f>IFERROR(K178/K444, "NA")</f>
        <v>4.8771876666424172E-2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24846.18</v>
      </c>
      <c r="R178" s="8">
        <f>IFERROR(Q178/Q444, "NA")</f>
        <v>6.2165438783461757E-2</v>
      </c>
      <c r="S178" s="9"/>
      <c r="T178" s="7">
        <v>24846.18</v>
      </c>
      <c r="U178" s="8">
        <f>IFERROR(T178/T444, "NA")</f>
        <v>5.5135930409311307E-2</v>
      </c>
      <c r="V178" s="9"/>
      <c r="W178" s="10">
        <f t="shared" si="46"/>
        <v>0</v>
      </c>
      <c r="X178" s="8">
        <f>IFERROR(W178/W444, "NA")</f>
        <v>0</v>
      </c>
      <c r="Y178" s="9"/>
      <c r="Z178" s="7">
        <v>24846.18</v>
      </c>
      <c r="AA178" s="8">
        <f>IFERROR(Z178/Z444, "NA")</f>
        <v>5.9023953845056334E-2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19247.54</v>
      </c>
      <c r="C180" s="8">
        <f>IFERROR(B180/B444, "NA")</f>
        <v>0.16934896927643467</v>
      </c>
      <c r="D180" s="9"/>
      <c r="E180" s="7">
        <v>24567.07</v>
      </c>
      <c r="F180" s="8">
        <f>IFERROR(E180/E444, "NA")</f>
        <v>0.18699997990480968</v>
      </c>
      <c r="G180" s="9"/>
      <c r="H180" s="10">
        <f t="shared" si="44"/>
        <v>5319.5299999999988</v>
      </c>
      <c r="I180" s="8">
        <f>IFERROR(H180/H444, "NA")</f>
        <v>-0.30022225182068146</v>
      </c>
      <c r="J180" s="9"/>
      <c r="K180" s="7">
        <v>22419.03</v>
      </c>
      <c r="L180" s="8">
        <f>IFERROR(K180/K444, "NA")</f>
        <v>0.18703185785898155</v>
      </c>
      <c r="M180" s="9"/>
      <c r="N180" s="10">
        <f t="shared" si="45"/>
        <v>3171.489999999998</v>
      </c>
      <c r="O180" s="8">
        <f>IFERROR(N180/N444, "NA")</f>
        <v>-0.51059510316581191</v>
      </c>
      <c r="P180" s="9"/>
      <c r="Q180" s="7">
        <v>71481.37</v>
      </c>
      <c r="R180" s="8">
        <f>IFERROR(Q180/Q444, "NA")</f>
        <v>0.17884724053729706</v>
      </c>
      <c r="S180" s="9"/>
      <c r="T180" s="7">
        <v>83051.179999999993</v>
      </c>
      <c r="U180" s="8">
        <f>IFERROR(T180/T444, "NA")</f>
        <v>0.18429811266324186</v>
      </c>
      <c r="V180" s="9"/>
      <c r="W180" s="10">
        <f t="shared" si="46"/>
        <v>11569.809999999998</v>
      </c>
      <c r="X180" s="8">
        <f>IFERROR(W180/W444, "NA")</f>
        <v>-0.22705201381958964</v>
      </c>
      <c r="Y180" s="9"/>
      <c r="Z180" s="7">
        <v>79255.16</v>
      </c>
      <c r="AA180" s="8">
        <f>IFERROR(Z180/Z444, "NA")</f>
        <v>0.18827654415377154</v>
      </c>
      <c r="AB180" s="9"/>
      <c r="AC180" s="10">
        <f t="shared" si="47"/>
        <v>7773.7900000000081</v>
      </c>
      <c r="AD180" s="8">
        <f>IFERROR(AC180/AC444, "NA")</f>
        <v>-0.36543950764463351</v>
      </c>
    </row>
    <row r="181" spans="1:30" ht="16.5" customHeight="1" x14ac:dyDescent="0.45">
      <c r="A181" s="12" t="s">
        <v>166</v>
      </c>
      <c r="B181" s="7">
        <v>202.02</v>
      </c>
      <c r="C181" s="8">
        <f>IFERROR(B181/B444, "NA")</f>
        <v>1.7774676022611373E-3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-202.02</v>
      </c>
      <c r="I181" s="8">
        <f>IFERROR(H181/H444, "NA")</f>
        <v>1.1401552263604883E-2</v>
      </c>
      <c r="J181" s="9"/>
      <c r="K181" s="7">
        <v>277.94</v>
      </c>
      <c r="L181" s="8">
        <f>IFERROR(K181/K444, "NA")</f>
        <v>2.3187280882948696E-3</v>
      </c>
      <c r="M181" s="9"/>
      <c r="N181" s="10">
        <f t="shared" si="45"/>
        <v>75.919999999999987</v>
      </c>
      <c r="O181" s="8">
        <f>IFERROR(N181/N444, "NA")</f>
        <v>-1.2222766028695806E-2</v>
      </c>
      <c r="P181" s="9"/>
      <c r="Q181" s="7">
        <v>877.69</v>
      </c>
      <c r="R181" s="8">
        <f>IFERROR(Q181/Q444, "NA")</f>
        <v>2.1959908511431756E-3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-877.69</v>
      </c>
      <c r="X181" s="8">
        <f>IFERROR(W181/W444, "NA")</f>
        <v>1.7224248454323424E-2</v>
      </c>
      <c r="Y181" s="9"/>
      <c r="Z181" s="7">
        <v>392.46</v>
      </c>
      <c r="AA181" s="8">
        <f>IFERROR(Z181/Z444, "NA")</f>
        <v>9.3231800325163899E-4</v>
      </c>
      <c r="AB181" s="9"/>
      <c r="AC181" s="10">
        <f t="shared" si="47"/>
        <v>-485.23000000000008</v>
      </c>
      <c r="AD181" s="8">
        <f>IFERROR(AC181/AC444, "NA")</f>
        <v>2.2810265301018595E-2</v>
      </c>
    </row>
    <row r="182" spans="1:30" ht="16.5" customHeight="1" x14ac:dyDescent="0.45">
      <c r="A182" s="13" t="s">
        <v>167</v>
      </c>
      <c r="B182" s="14">
        <f>IFERROR(B177+B178+B179+B180+B181, "NA")</f>
        <v>25295.72</v>
      </c>
      <c r="C182" s="15">
        <f>IFERROR(B182/B444, "NA")</f>
        <v>0.22256372030427232</v>
      </c>
      <c r="D182" s="2"/>
      <c r="E182" s="14">
        <f>IFERROR(E177+E178+E179+E180+E181, "NA")</f>
        <v>30413.23</v>
      </c>
      <c r="F182" s="15">
        <f>IFERROR(E182/E444, "NA")</f>
        <v>0.23149986542311946</v>
      </c>
      <c r="G182" s="2"/>
      <c r="H182" s="14">
        <f t="shared" si="44"/>
        <v>5117.5099999999984</v>
      </c>
      <c r="I182" s="15">
        <f>IFERROR(H182/H444, "NA")</f>
        <v>-0.28882069955707651</v>
      </c>
      <c r="J182" s="2"/>
      <c r="K182" s="14">
        <f>IFERROR(K177+K178+K179+K180+K181, "NA")</f>
        <v>28543.129999999997</v>
      </c>
      <c r="L182" s="15">
        <f>IFERROR(K182/K444, "NA")</f>
        <v>0.23812246261370057</v>
      </c>
      <c r="M182" s="2"/>
      <c r="N182" s="14">
        <f t="shared" si="45"/>
        <v>3247.4099999999962</v>
      </c>
      <c r="O182" s="15">
        <f>IFERROR(N182/N444, "NA")</f>
        <v>-0.52281786919450746</v>
      </c>
      <c r="P182" s="2"/>
      <c r="Q182" s="14">
        <f>IFERROR(Q177+Q178+Q179+Q180+Q181, "NA")</f>
        <v>97205.239999999991</v>
      </c>
      <c r="R182" s="15">
        <f>IFERROR(Q182/Q444, "NA")</f>
        <v>0.24320867017190198</v>
      </c>
      <c r="S182" s="2"/>
      <c r="T182" s="14">
        <f>IFERROR(T177+T178+T179+T180+T181, "NA")</f>
        <v>107897.35999999999</v>
      </c>
      <c r="U182" s="15">
        <f>IFERROR(T182/T444, "NA")</f>
        <v>0.23943404307255314</v>
      </c>
      <c r="V182" s="2"/>
      <c r="W182" s="14">
        <f t="shared" si="46"/>
        <v>10692.119999999995</v>
      </c>
      <c r="X182" s="15">
        <f>IFERROR(W182/W444, "NA")</f>
        <v>-0.20982776536526618</v>
      </c>
      <c r="Y182" s="2"/>
      <c r="Z182" s="14">
        <f>IFERROR(Z177+Z178+Z179+Z180+Z181, "NA")</f>
        <v>104493.8</v>
      </c>
      <c r="AA182" s="15">
        <f>IFERROR(Z182/Z444, "NA")</f>
        <v>0.2482328160020795</v>
      </c>
      <c r="AB182" s="2"/>
      <c r="AC182" s="14">
        <f t="shared" si="47"/>
        <v>7288.5600000000122</v>
      </c>
      <c r="AD182" s="15">
        <f>IFERROR(AC182/AC444, "NA")</f>
        <v>-0.34262924234361508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350</v>
      </c>
      <c r="C184" s="8">
        <f>IFERROR(B184/B444, "NA")</f>
        <v>3.0794657003831208E-3</v>
      </c>
      <c r="D184" s="9"/>
      <c r="E184" s="7">
        <v>350</v>
      </c>
      <c r="F184" s="8">
        <f>IFERROR(E184/E444, "NA")</f>
        <v>2.6641350786513569E-3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500</v>
      </c>
      <c r="L184" s="8">
        <f>IFERROR(K184/K444, "NA")</f>
        <v>4.1712745346025575E-3</v>
      </c>
      <c r="M184" s="9"/>
      <c r="N184" s="10">
        <f t="shared" si="45"/>
        <v>150</v>
      </c>
      <c r="O184" s="8">
        <f>IFERROR(N184/N444, "NA")</f>
        <v>-2.4149300636253573E-2</v>
      </c>
      <c r="P184" s="9"/>
      <c r="Q184" s="7">
        <v>75</v>
      </c>
      <c r="R184" s="8">
        <f>IFERROR(Q184/Q444, "NA")</f>
        <v>1.8765089477576158E-4</v>
      </c>
      <c r="S184" s="9"/>
      <c r="T184" s="7">
        <v>1575</v>
      </c>
      <c r="U184" s="8">
        <f>IFERROR(T184/T444, "NA")</f>
        <v>3.4950680706114703E-3</v>
      </c>
      <c r="V184" s="9"/>
      <c r="W184" s="10">
        <f t="shared" si="46"/>
        <v>1500</v>
      </c>
      <c r="X184" s="8">
        <f>IFERROR(W184/W444, "NA")</f>
        <v>-2.9436785973960204E-2</v>
      </c>
      <c r="Y184" s="9"/>
      <c r="Z184" s="7">
        <v>2000</v>
      </c>
      <c r="AA184" s="8">
        <f>IFERROR(Z184/Z444, "NA")</f>
        <v>4.7511491782685576E-3</v>
      </c>
      <c r="AB184" s="9"/>
      <c r="AC184" s="10">
        <f t="shared" si="47"/>
        <v>1925</v>
      </c>
      <c r="AD184" s="8">
        <f>IFERROR(AC184/AC444, "NA")</f>
        <v>-9.0492675029286707E-2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2230.71</v>
      </c>
      <c r="C186" s="8">
        <f>IFERROR(B186/B444, "NA")</f>
        <v>1.9626842664290375E-2</v>
      </c>
      <c r="D186" s="9"/>
      <c r="E186" s="7">
        <v>3442.77</v>
      </c>
      <c r="F186" s="8">
        <f>IFERROR(E186/E444, "NA")</f>
        <v>2.6205726642081522E-2</v>
      </c>
      <c r="G186" s="9"/>
      <c r="H186" s="10">
        <f t="shared" ref="H186:H197" si="48">IFERROR(-(B186-E186), "NA")</f>
        <v>1212.06</v>
      </c>
      <c r="I186" s="8">
        <f>IFERROR(H186/H444, "NA")</f>
        <v>-6.8405927317220727E-2</v>
      </c>
      <c r="J186" s="9"/>
      <c r="K186" s="7">
        <v>3141.21</v>
      </c>
      <c r="L186" s="8">
        <f>IFERROR(K186/K444, "NA")</f>
        <v>2.6205698561677801E-2</v>
      </c>
      <c r="M186" s="9"/>
      <c r="N186" s="10">
        <f t="shared" ref="N186:N197" si="49">IFERROR(-(B186-K186), "NA")</f>
        <v>910.5</v>
      </c>
      <c r="O186" s="8">
        <f>IFERROR(N186/N444, "NA")</f>
        <v>-0.14658625486205917</v>
      </c>
      <c r="P186" s="9"/>
      <c r="Q186" s="7">
        <v>8742.23</v>
      </c>
      <c r="R186" s="8">
        <f>IFERROR(Q186/Q444, "NA")</f>
        <v>2.1873163757806745E-2</v>
      </c>
      <c r="S186" s="9"/>
      <c r="T186" s="7">
        <v>12858.4</v>
      </c>
      <c r="U186" s="8">
        <f>IFERROR(T186/T444, "NA")</f>
        <v>2.8533957637555892E-2</v>
      </c>
      <c r="V186" s="9"/>
      <c r="W186" s="10">
        <f t="shared" ref="W186:W197" si="50">IFERROR(-(Q186-T186), "NA")</f>
        <v>4116.17</v>
      </c>
      <c r="X186" s="8">
        <f>IFERROR(W186/W444, "NA")</f>
        <v>-8.0777876881623856E-2</v>
      </c>
      <c r="Y186" s="9"/>
      <c r="Z186" s="7">
        <v>12037.59</v>
      </c>
      <c r="AA186" s="8">
        <f>IFERROR(Z186/Z444, "NA")</f>
        <v>2.8596192918416901E-2</v>
      </c>
      <c r="AB186" s="9"/>
      <c r="AC186" s="10">
        <f t="shared" ref="AC186:AC197" si="51">IFERROR(-(Q186-Z186), "NA")</f>
        <v>3295.3600000000006</v>
      </c>
      <c r="AD186" s="8">
        <f>IFERROR(AC186/AC444, "NA")</f>
        <v>-0.15491217744649885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2230.71</v>
      </c>
      <c r="C193" s="15">
        <f>IFERROR(B193/B444, "NA")</f>
        <v>1.9626842664290375E-2</v>
      </c>
      <c r="D193" s="2"/>
      <c r="E193" s="14">
        <f>IFERROR(E186+E187+E188+E189+E190+E191+E192, "NA")</f>
        <v>3442.77</v>
      </c>
      <c r="F193" s="15">
        <f>IFERROR(E193/E444, "NA")</f>
        <v>2.6205726642081522E-2</v>
      </c>
      <c r="G193" s="2"/>
      <c r="H193" s="14">
        <f t="shared" si="48"/>
        <v>1212.06</v>
      </c>
      <c r="I193" s="15">
        <f>IFERROR(H193/H444, "NA")</f>
        <v>-6.8405927317220727E-2</v>
      </c>
      <c r="J193" s="2"/>
      <c r="K193" s="14">
        <f>IFERROR(K186+K187+K188+K189+K190+K191+K192, "NA")</f>
        <v>3141.21</v>
      </c>
      <c r="L193" s="15">
        <f>IFERROR(K193/K444, "NA")</f>
        <v>2.6205698561677801E-2</v>
      </c>
      <c r="M193" s="2"/>
      <c r="N193" s="14">
        <f t="shared" si="49"/>
        <v>910.5</v>
      </c>
      <c r="O193" s="15">
        <f>IFERROR(N193/N444, "NA")</f>
        <v>-0.14658625486205917</v>
      </c>
      <c r="P193" s="2"/>
      <c r="Q193" s="14">
        <f>IFERROR(Q186+Q187+Q188+Q189+Q190+Q191+Q192, "NA")</f>
        <v>8742.23</v>
      </c>
      <c r="R193" s="15">
        <f>IFERROR(Q193/Q444, "NA")</f>
        <v>2.1873163757806745E-2</v>
      </c>
      <c r="S193" s="2"/>
      <c r="T193" s="14">
        <f>IFERROR(T186+T187+T188+T189+T190+T191+T192, "NA")</f>
        <v>12858.4</v>
      </c>
      <c r="U193" s="15">
        <f>IFERROR(T193/T444, "NA")</f>
        <v>2.8533957637555892E-2</v>
      </c>
      <c r="V193" s="2"/>
      <c r="W193" s="14">
        <f t="shared" si="50"/>
        <v>4116.17</v>
      </c>
      <c r="X193" s="15">
        <f>IFERROR(W193/W444, "NA")</f>
        <v>-8.0777876881623856E-2</v>
      </c>
      <c r="Y193" s="2"/>
      <c r="Z193" s="14">
        <f>IFERROR(Z186+Z187+Z188+Z189+Z190+Z191+Z192, "NA")</f>
        <v>12037.59</v>
      </c>
      <c r="AA193" s="15">
        <f>IFERROR(Z193/Z444, "NA")</f>
        <v>2.8596192918416901E-2</v>
      </c>
      <c r="AB193" s="2"/>
      <c r="AC193" s="14">
        <f t="shared" si="51"/>
        <v>3295.3600000000006</v>
      </c>
      <c r="AD193" s="15">
        <f>IFERROR(AC193/AC444, "NA")</f>
        <v>-0.15491217744649885</v>
      </c>
    </row>
    <row r="194" spans="1:30" ht="16.5" customHeight="1" x14ac:dyDescent="0.45">
      <c r="A194" s="6" t="s">
        <v>178</v>
      </c>
      <c r="B194" s="7">
        <v>199.92</v>
      </c>
      <c r="C194" s="8">
        <f>IFERROR(B194/B444, "NA")</f>
        <v>1.7589908080588384E-3</v>
      </c>
      <c r="D194" s="9"/>
      <c r="E194" s="7">
        <v>246.11</v>
      </c>
      <c r="F194" s="8">
        <f>IFERROR(E194/E444, "NA")</f>
        <v>1.87334366916253E-3</v>
      </c>
      <c r="G194" s="9"/>
      <c r="H194" s="10">
        <f t="shared" si="48"/>
        <v>46.190000000000026</v>
      </c>
      <c r="I194" s="8">
        <f>IFERROR(H194/H444, "NA")</f>
        <v>-2.6068592171859706E-3</v>
      </c>
      <c r="J194" s="9"/>
      <c r="K194" s="7">
        <v>212</v>
      </c>
      <c r="L194" s="8">
        <f>IFERROR(K194/K444, "NA")</f>
        <v>1.7686204026714843E-3</v>
      </c>
      <c r="M194" s="9"/>
      <c r="N194" s="10">
        <f t="shared" si="49"/>
        <v>12.080000000000013</v>
      </c>
      <c r="O194" s="8">
        <f>IFERROR(N194/N444, "NA")</f>
        <v>-1.9448236779062897E-3</v>
      </c>
      <c r="P194" s="9"/>
      <c r="Q194" s="7">
        <v>917.18</v>
      </c>
      <c r="R194" s="8">
        <f>IFERROR(Q194/Q444, "NA")</f>
        <v>2.2947953022724398E-3</v>
      </c>
      <c r="S194" s="9"/>
      <c r="T194" s="7">
        <v>875.78</v>
      </c>
      <c r="U194" s="8">
        <f>IFERROR(T194/T444, "NA")</f>
        <v>1.9434353745270562E-3</v>
      </c>
      <c r="V194" s="9"/>
      <c r="W194" s="10">
        <f t="shared" si="50"/>
        <v>-41.399999999999977</v>
      </c>
      <c r="X194" s="8">
        <f>IFERROR(W194/W444, "NA")</f>
        <v>8.1245529288130126E-4</v>
      </c>
      <c r="Y194" s="9"/>
      <c r="Z194" s="7">
        <v>916</v>
      </c>
      <c r="AA194" s="8">
        <f>IFERROR(Z194/Z444, "NA")</f>
        <v>2.1760263236469991E-3</v>
      </c>
      <c r="AB194" s="9"/>
      <c r="AC194" s="10">
        <f t="shared" si="51"/>
        <v>-1.17999999999995</v>
      </c>
      <c r="AD194" s="8">
        <f>IFERROR(AC194/AC444, "NA")</f>
        <v>5.5470834563404565E-5</v>
      </c>
    </row>
    <row r="195" spans="1:30" ht="16.5" customHeight="1" x14ac:dyDescent="0.45">
      <c r="A195" s="6" t="s">
        <v>179</v>
      </c>
      <c r="B195" s="7">
        <v>1679.71</v>
      </c>
      <c r="C195" s="8">
        <f>IFERROR(B195/B444, "NA")</f>
        <v>1.4778883804544377E-2</v>
      </c>
      <c r="D195" s="9"/>
      <c r="E195" s="7">
        <v>227</v>
      </c>
      <c r="F195" s="8">
        <f>IFERROR(E195/E444, "NA")</f>
        <v>1.7278818938681658E-3</v>
      </c>
      <c r="G195" s="9"/>
      <c r="H195" s="10">
        <f t="shared" si="48"/>
        <v>-1452.71</v>
      </c>
      <c r="I195" s="8">
        <f>IFERROR(H195/H444, "NA")</f>
        <v>8.1987669482533651E-2</v>
      </c>
      <c r="J195" s="9"/>
      <c r="K195" s="7">
        <v>290.48</v>
      </c>
      <c r="L195" s="8">
        <f>IFERROR(K195/K444, "NA")</f>
        <v>2.4233436536227021E-3</v>
      </c>
      <c r="M195" s="9"/>
      <c r="N195" s="10">
        <f t="shared" si="49"/>
        <v>-1389.23</v>
      </c>
      <c r="O195" s="8">
        <f>IFERROR(N195/N444, "NA")</f>
        <v>0.22365955281935032</v>
      </c>
      <c r="P195" s="9"/>
      <c r="Q195" s="7">
        <v>6404.27</v>
      </c>
      <c r="R195" s="8">
        <f>IFERROR(Q195/Q444, "NA")</f>
        <v>1.6023559945140889E-2</v>
      </c>
      <c r="S195" s="9"/>
      <c r="T195" s="7">
        <v>1168.96</v>
      </c>
      <c r="U195" s="8">
        <f>IFERROR(T195/T444, "NA")</f>
        <v>2.5940284265536409E-3</v>
      </c>
      <c r="V195" s="9"/>
      <c r="W195" s="10">
        <f t="shared" si="50"/>
        <v>-5235.3100000000004</v>
      </c>
      <c r="X195" s="8">
        <f>IFERROR(W195/W444, "NA")</f>
        <v>0.10274046665155574</v>
      </c>
      <c r="Y195" s="9"/>
      <c r="Z195" s="7">
        <v>1250.08</v>
      </c>
      <c r="AA195" s="8">
        <f>IFERROR(Z195/Z444, "NA")</f>
        <v>2.9696582823849791E-3</v>
      </c>
      <c r="AB195" s="9"/>
      <c r="AC195" s="10">
        <f t="shared" si="51"/>
        <v>-5154.1900000000005</v>
      </c>
      <c r="AD195" s="8">
        <f>IFERROR(AC195/AC444, "NA")</f>
        <v>0.24229425491386977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29756.059999999998</v>
      </c>
      <c r="C196" s="15">
        <f>IFERROR(B196/B444, "NA")</f>
        <v>0.26180790328154901</v>
      </c>
      <c r="D196" s="2"/>
      <c r="E196" s="14">
        <f>IFERROR(E175+E177+E178+E179+E180+E181+E183+E184+E186+E187+E188+E189+E190+E191+E192+E194+E195, "NA")</f>
        <v>34679.11</v>
      </c>
      <c r="F196" s="15">
        <f>IFERROR(E196/E444, "NA")</f>
        <v>0.26397095270688303</v>
      </c>
      <c r="G196" s="2"/>
      <c r="H196" s="14">
        <f t="shared" si="48"/>
        <v>4923.0500000000029</v>
      </c>
      <c r="I196" s="15">
        <f>IFERROR(H196/H444, "NA")</f>
        <v>-0.27784581660894986</v>
      </c>
      <c r="J196" s="2"/>
      <c r="K196" s="14">
        <f>IFERROR(K175+K177+K178+K179+K180+K181+K183+K184+K186+K187+K188+K189+K190+K191+K192+K194+K195, "NA")</f>
        <v>32686.819999999996</v>
      </c>
      <c r="L196" s="15">
        <f>IFERROR(K196/K444, "NA")</f>
        <v>0.2726913997662751</v>
      </c>
      <c r="M196" s="2"/>
      <c r="N196" s="14">
        <f t="shared" si="49"/>
        <v>2930.7599999999984</v>
      </c>
      <c r="O196" s="15">
        <f>IFERROR(N196/N444, "NA")</f>
        <v>-0.47183869555137653</v>
      </c>
      <c r="P196" s="2"/>
      <c r="Q196" s="14">
        <f>IFERROR(Q175+Q177+Q178+Q179+Q180+Q181+Q183+Q184+Q186+Q187+Q188+Q189+Q190+Q191+Q192+Q194+Q195, "NA")</f>
        <v>113343.91999999998</v>
      </c>
      <c r="R196" s="15">
        <f>IFERROR(Q196/Q444, "NA")</f>
        <v>0.2835878400718978</v>
      </c>
      <c r="S196" s="2"/>
      <c r="T196" s="14">
        <f>IFERROR(T175+T177+T178+T179+T180+T181+T183+T184+T186+T187+T188+T189+T190+T191+T192+T194+T195, "NA")</f>
        <v>124375.49999999999</v>
      </c>
      <c r="U196" s="15">
        <f>IFERROR(T196/T444, "NA")</f>
        <v>0.27600053258180118</v>
      </c>
      <c r="V196" s="2"/>
      <c r="W196" s="14">
        <f t="shared" si="50"/>
        <v>11031.580000000002</v>
      </c>
      <c r="X196" s="15">
        <f>IFERROR(W196/W444, "NA")</f>
        <v>-0.21648950627641331</v>
      </c>
      <c r="Y196" s="2"/>
      <c r="Z196" s="14">
        <f>IFERROR(Z175+Z177+Z178+Z179+Z180+Z181+Z183+Z184+Z186+Z187+Z188+Z189+Z190+Z191+Z192+Z194+Z195, "NA")</f>
        <v>120697.47</v>
      </c>
      <c r="AA196" s="15">
        <f>IFERROR(Z196/Z444, "NA")</f>
        <v>0.28672584270479695</v>
      </c>
      <c r="AB196" s="2"/>
      <c r="AC196" s="14">
        <f t="shared" si="51"/>
        <v>7353.5500000000175</v>
      </c>
      <c r="AD196" s="15">
        <f>IFERROR(AC196/AC444, "NA")</f>
        <v>-0.34568436907096772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29756.059999999998</v>
      </c>
      <c r="C197" s="15">
        <f>IFERROR(B197/B444, "NA")</f>
        <v>0.26180790328154901</v>
      </c>
      <c r="D197" s="2"/>
      <c r="E197" s="14">
        <f>IFERROR(E175+E177+E178+E179+E180+E181+E183+E184+E186+E187+E188+E189+E190+E191+E192+E194+E195, "NA")</f>
        <v>34679.11</v>
      </c>
      <c r="F197" s="15">
        <f>IFERROR(E197/E444, "NA")</f>
        <v>0.26397095270688303</v>
      </c>
      <c r="G197" s="2"/>
      <c r="H197" s="14">
        <f t="shared" si="48"/>
        <v>4923.0500000000029</v>
      </c>
      <c r="I197" s="15">
        <f>IFERROR(H197/H444, "NA")</f>
        <v>-0.27784581660894986</v>
      </c>
      <c r="J197" s="2"/>
      <c r="K197" s="14">
        <f>IFERROR(K175+K177+K178+K179+K180+K181+K183+K184+K186+K187+K188+K189+K190+K191+K192+K194+K195, "NA")</f>
        <v>32686.819999999996</v>
      </c>
      <c r="L197" s="15">
        <f>IFERROR(K197/K444, "NA")</f>
        <v>0.2726913997662751</v>
      </c>
      <c r="M197" s="2"/>
      <c r="N197" s="14">
        <f t="shared" si="49"/>
        <v>2930.7599999999984</v>
      </c>
      <c r="O197" s="15">
        <f>IFERROR(N197/N444, "NA")</f>
        <v>-0.47183869555137653</v>
      </c>
      <c r="P197" s="2"/>
      <c r="Q197" s="14">
        <f>IFERROR(Q175+Q177+Q178+Q179+Q180+Q181+Q183+Q184+Q186+Q187+Q188+Q189+Q190+Q191+Q192+Q194+Q195, "NA")</f>
        <v>113343.91999999998</v>
      </c>
      <c r="R197" s="15">
        <f>IFERROR(Q197/Q444, "NA")</f>
        <v>0.2835878400718978</v>
      </c>
      <c r="S197" s="2"/>
      <c r="T197" s="14">
        <f>IFERROR(T175+T177+T178+T179+T180+T181+T183+T184+T186+T187+T188+T189+T190+T191+T192+T194+T195, "NA")</f>
        <v>124375.49999999999</v>
      </c>
      <c r="U197" s="15">
        <f>IFERROR(T197/T444, "NA")</f>
        <v>0.27600053258180118</v>
      </c>
      <c r="V197" s="2"/>
      <c r="W197" s="14">
        <f t="shared" si="50"/>
        <v>11031.580000000002</v>
      </c>
      <c r="X197" s="15">
        <f>IFERROR(W197/W444, "NA")</f>
        <v>-0.21648950627641331</v>
      </c>
      <c r="Y197" s="2"/>
      <c r="Z197" s="14">
        <f>IFERROR(Z175+Z177+Z178+Z179+Z180+Z181+Z183+Z184+Z186+Z187+Z188+Z189+Z190+Z191+Z192+Z194+Z195, "NA")</f>
        <v>120697.47</v>
      </c>
      <c r="AA197" s="15">
        <f>IFERROR(Z197/Z444, "NA")</f>
        <v>0.28672584270479695</v>
      </c>
      <c r="AB197" s="2"/>
      <c r="AC197" s="14">
        <f t="shared" si="51"/>
        <v>7353.5500000000175</v>
      </c>
      <c r="AD197" s="15">
        <f>IFERROR(AC197/AC444, "NA")</f>
        <v>-0.34568436907096772</v>
      </c>
    </row>
    <row r="198" spans="1:30" ht="16.5" customHeight="1" x14ac:dyDescent="0.45">
      <c r="A198" s="22" t="s">
        <v>181</v>
      </c>
      <c r="B198" s="23">
        <f>IFERROR(B172-B197, "NA")</f>
        <v>50725.53</v>
      </c>
      <c r="C198" s="24">
        <f>IFERROR(B198/B444, "NA")</f>
        <v>0.44630722791072858</v>
      </c>
      <c r="D198" s="25"/>
      <c r="E198" s="23">
        <f>IFERROR(E172-E197, "NA")</f>
        <v>61618.559999999983</v>
      </c>
      <c r="F198" s="24">
        <f>IFERROR(E198/E444, "NA")</f>
        <v>0.4690290491199523</v>
      </c>
      <c r="G198" s="25"/>
      <c r="H198" s="23">
        <f>IFERROR(B198-E198, "NA")</f>
        <v>-10893.029999999984</v>
      </c>
      <c r="I198" s="24">
        <f>IFERROR(H198/H444, "NA")</f>
        <v>0.61477799650537424</v>
      </c>
      <c r="J198" s="25"/>
      <c r="K198" s="23">
        <f>IFERROR(K172-K197, "NA")</f>
        <v>48406.560000000012</v>
      </c>
      <c r="L198" s="24">
        <f>IFERROR(K198/K444, "NA")</f>
        <v>0.40383410207142167</v>
      </c>
      <c r="M198" s="25"/>
      <c r="N198" s="23">
        <f>IFERROR(B198-K198, "NA")</f>
        <v>2318.9699999999866</v>
      </c>
      <c r="O198" s="24">
        <f>IFERROR(N198/N444, "NA")</f>
        <v>-0.37334335797635082</v>
      </c>
      <c r="P198" s="25"/>
      <c r="Q198" s="23">
        <f>IFERROR(Q172-Q197, "NA")</f>
        <v>172501.54000000004</v>
      </c>
      <c r="R198" s="24">
        <f>IFERROR(Q198/Q444, "NA")</f>
        <v>0.43160091108262444</v>
      </c>
      <c r="S198" s="25"/>
      <c r="T198" s="23">
        <f>IFERROR(T172-T197, "NA")</f>
        <v>205107.74</v>
      </c>
      <c r="U198" s="24">
        <f>IFERROR(T198/T444, "NA")</f>
        <v>0.45515270673605024</v>
      </c>
      <c r="V198" s="25"/>
      <c r="W198" s="23">
        <f>IFERROR(Q198-T198, "NA")</f>
        <v>-32606.199999999953</v>
      </c>
      <c r="X198" s="24">
        <f>IFERROR(W198/W444, "NA")</f>
        <v>0.6398811538827599</v>
      </c>
      <c r="Y198" s="25"/>
      <c r="Z198" s="23">
        <f>IFERROR(Z172-Z197, "NA")</f>
        <v>176252.23999999996</v>
      </c>
      <c r="AA198" s="24">
        <f>IFERROR(Z198/Z444, "NA")</f>
        <v>0.41870034262199618</v>
      </c>
      <c r="AB198" s="25"/>
      <c r="AC198" s="23">
        <f>IFERROR(Q198-Z198, "NA")</f>
        <v>-3750.6999999999243</v>
      </c>
      <c r="AD198" s="24">
        <f>IFERROR(AC198/AC444, "NA")</f>
        <v>0.17631733830251367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1317.23</v>
      </c>
      <c r="C202" s="8">
        <f>IFERROR(B202/B444, "NA")</f>
        <v>1.1589613155759022E-2</v>
      </c>
      <c r="D202" s="9"/>
      <c r="E202" s="7">
        <v>1182.3699999999999</v>
      </c>
      <c r="F202" s="8">
        <f>IFERROR(E202/E444, "NA")</f>
        <v>8.999981122700014E-3</v>
      </c>
      <c r="G202" s="9"/>
      <c r="H202" s="10">
        <f t="shared" si="52"/>
        <v>-134.86000000000013</v>
      </c>
      <c r="I202" s="8">
        <f>IFERROR(H202/H444, "NA")</f>
        <v>7.6111936356289267E-3</v>
      </c>
      <c r="J202" s="9"/>
      <c r="K202" s="7">
        <v>1275.08</v>
      </c>
      <c r="L202" s="8">
        <f>IFERROR(K202/K444, "NA")</f>
        <v>1.0637417467162057E-2</v>
      </c>
      <c r="M202" s="9"/>
      <c r="N202" s="10">
        <f t="shared" si="53"/>
        <v>-42.150000000000091</v>
      </c>
      <c r="O202" s="8">
        <f>IFERROR(N202/N444, "NA")</f>
        <v>6.7859534787872685E-3</v>
      </c>
      <c r="P202" s="9"/>
      <c r="Q202" s="7">
        <v>5503.96</v>
      </c>
      <c r="R202" s="8">
        <f>IFERROR(Q202/Q444, "NA")</f>
        <v>1.3770973584133343E-2</v>
      </c>
      <c r="S202" s="9"/>
      <c r="T202" s="7">
        <v>4055.72</v>
      </c>
      <c r="U202" s="8">
        <f>IFERROR(T202/T444, "NA")</f>
        <v>9.0000110954541919E-3</v>
      </c>
      <c r="V202" s="9"/>
      <c r="W202" s="10">
        <f t="shared" si="54"/>
        <v>-1448.2400000000002</v>
      </c>
      <c r="X202" s="8">
        <f>IFERROR(W202/W444, "NA")</f>
        <v>2.8421020612618756E-2</v>
      </c>
      <c r="Y202" s="9"/>
      <c r="Z202" s="7">
        <v>6634.15</v>
      </c>
      <c r="AA202" s="8">
        <f>IFERROR(Z202/Z444, "NA")</f>
        <v>1.5759918160505173E-2</v>
      </c>
      <c r="AB202" s="9"/>
      <c r="AC202" s="10">
        <f t="shared" si="55"/>
        <v>1130.1899999999996</v>
      </c>
      <c r="AD202" s="8">
        <f>IFERROR(AC202/AC444, "NA")</f>
        <v>-5.3129307216285462E-2</v>
      </c>
    </row>
    <row r="203" spans="1:30" ht="16.5" customHeight="1" x14ac:dyDescent="0.45">
      <c r="A203" s="6" t="s">
        <v>185</v>
      </c>
      <c r="B203" s="7">
        <v>615.35</v>
      </c>
      <c r="C203" s="8">
        <f>IFERROR(B203/B444, "NA")</f>
        <v>5.4141406249450094E-3</v>
      </c>
      <c r="D203" s="9"/>
      <c r="E203" s="7">
        <v>788.25</v>
      </c>
      <c r="F203" s="8">
        <f>IFERROR(E203/E444, "NA")</f>
        <v>6.0000127878483776E-3</v>
      </c>
      <c r="G203" s="9"/>
      <c r="H203" s="10">
        <f t="shared" si="52"/>
        <v>172.89999999999998</v>
      </c>
      <c r="I203" s="8">
        <f>IFERROR(H203/H444, "NA")</f>
        <v>-9.7580852706528262E-3</v>
      </c>
      <c r="J203" s="9"/>
      <c r="K203" s="7">
        <v>1512.88</v>
      </c>
      <c r="L203" s="8">
        <f>IFERROR(K203/K444, "NA")</f>
        <v>1.2621275635819036E-2</v>
      </c>
      <c r="M203" s="9"/>
      <c r="N203" s="10">
        <f t="shared" si="53"/>
        <v>897.53000000000009</v>
      </c>
      <c r="O203" s="8">
        <f>IFERROR(N203/N444, "NA")</f>
        <v>-0.14449814533371114</v>
      </c>
      <c r="P203" s="9"/>
      <c r="Q203" s="7">
        <v>2349.6</v>
      </c>
      <c r="R203" s="8">
        <f>IFERROR(Q203/Q444, "NA")</f>
        <v>5.8787272315350579E-3</v>
      </c>
      <c r="S203" s="9"/>
      <c r="T203" s="7">
        <v>2703.81</v>
      </c>
      <c r="U203" s="8">
        <f>IFERROR(T203/T444, "NA")</f>
        <v>6.0000000000000001E-3</v>
      </c>
      <c r="V203" s="9"/>
      <c r="W203" s="10">
        <f t="shared" si="54"/>
        <v>354.21000000000004</v>
      </c>
      <c r="X203" s="8">
        <f>IFERROR(W203/W444, "NA")</f>
        <v>-6.9512026398909641E-3</v>
      </c>
      <c r="Y203" s="9"/>
      <c r="Z203" s="7">
        <v>3340.58</v>
      </c>
      <c r="AA203" s="8">
        <f>IFERROR(Z203/Z444, "NA")</f>
        <v>7.935796960970189E-3</v>
      </c>
      <c r="AB203" s="9"/>
      <c r="AC203" s="10">
        <f t="shared" si="55"/>
        <v>990.98</v>
      </c>
      <c r="AD203" s="8">
        <f>IFERROR(AC203/AC444, "NA")</f>
        <v>-4.6585159013258465E-2</v>
      </c>
    </row>
    <row r="204" spans="1:30" ht="16.5" customHeight="1" x14ac:dyDescent="0.45">
      <c r="A204" s="6" t="s">
        <v>186</v>
      </c>
      <c r="B204" s="7">
        <v>133.41999999999999</v>
      </c>
      <c r="C204" s="8">
        <f>IFERROR(B204/B444, "NA")</f>
        <v>1.1738923249860454E-3</v>
      </c>
      <c r="D204" s="9"/>
      <c r="E204" s="7">
        <v>262.75</v>
      </c>
      <c r="F204" s="8">
        <f>IFERROR(E204/E444, "NA")</f>
        <v>2.000004262616126E-3</v>
      </c>
      <c r="G204" s="9"/>
      <c r="H204" s="10">
        <f t="shared" si="52"/>
        <v>129.33000000000001</v>
      </c>
      <c r="I204" s="8">
        <f>IFERROR(H204/H444, "NA")</f>
        <v>-7.2990929326404294E-3</v>
      </c>
      <c r="J204" s="9"/>
      <c r="K204" s="7">
        <v>294.38</v>
      </c>
      <c r="L204" s="8">
        <f>IFERROR(K204/K444, "NA")</f>
        <v>2.4558795949926019E-3</v>
      </c>
      <c r="M204" s="9"/>
      <c r="N204" s="10">
        <f t="shared" si="53"/>
        <v>160.96</v>
      </c>
      <c r="O204" s="8">
        <f>IFERROR(N204/N444, "NA")</f>
        <v>-2.5913809536075832E-2</v>
      </c>
      <c r="P204" s="9"/>
      <c r="Q204" s="7">
        <v>610.67999999999995</v>
      </c>
      <c r="R204" s="8">
        <f>IFERROR(Q204/Q444, "NA")</f>
        <v>1.5279286456221608E-3</v>
      </c>
      <c r="S204" s="9"/>
      <c r="T204" s="7">
        <v>901.27</v>
      </c>
      <c r="U204" s="8">
        <f>IFERROR(T204/T444, "NA")</f>
        <v>2E-3</v>
      </c>
      <c r="V204" s="9"/>
      <c r="W204" s="10">
        <f t="shared" si="54"/>
        <v>290.59000000000003</v>
      </c>
      <c r="X204" s="8">
        <f>IFERROR(W204/W444, "NA")</f>
        <v>-5.702690424115398E-3</v>
      </c>
      <c r="Y204" s="9"/>
      <c r="Z204" s="7">
        <v>617.13</v>
      </c>
      <c r="AA204" s="8">
        <f>IFERROR(Z204/Z444, "NA")</f>
        <v>1.4660383461924374E-3</v>
      </c>
      <c r="AB204" s="9"/>
      <c r="AC204" s="10">
        <f t="shared" si="55"/>
        <v>6.4500000000000455</v>
      </c>
      <c r="AD204" s="8">
        <f>IFERROR(AC204/AC444, "NA")</f>
        <v>-3.0320922282540437E-4</v>
      </c>
    </row>
    <row r="205" spans="1:30" ht="16.5" customHeight="1" x14ac:dyDescent="0.45">
      <c r="A205" s="6" t="s">
        <v>187</v>
      </c>
      <c r="B205" s="7">
        <v>246.18</v>
      </c>
      <c r="C205" s="8">
        <f>IFERROR(B205/B444, "NA")</f>
        <v>2.1660081889151904E-3</v>
      </c>
      <c r="D205" s="9"/>
      <c r="E205" s="7">
        <v>394.12</v>
      </c>
      <c r="F205" s="8">
        <f>IFERROR(E205/E444, "NA")</f>
        <v>2.9999683348516364E-3</v>
      </c>
      <c r="G205" s="9"/>
      <c r="H205" s="10">
        <f t="shared" si="52"/>
        <v>147.94</v>
      </c>
      <c r="I205" s="8">
        <f>IFERROR(H205/H444, "NA")</f>
        <v>-8.3493992766939217E-3</v>
      </c>
      <c r="J205" s="9"/>
      <c r="K205" s="7">
        <v>290.01</v>
      </c>
      <c r="L205" s="8">
        <f>IFERROR(K205/K444, "NA")</f>
        <v>2.4194226555601752E-3</v>
      </c>
      <c r="M205" s="9"/>
      <c r="N205" s="10">
        <f t="shared" si="53"/>
        <v>43.829999999999984</v>
      </c>
      <c r="O205" s="8">
        <f>IFERROR(N205/N444, "NA")</f>
        <v>-7.0564256459132915E-3</v>
      </c>
      <c r="P205" s="9"/>
      <c r="Q205" s="7">
        <v>1024.1199999999999</v>
      </c>
      <c r="R205" s="8">
        <f>IFERROR(Q205/Q444, "NA")</f>
        <v>2.5623604581033721E-3</v>
      </c>
      <c r="S205" s="9"/>
      <c r="T205" s="7">
        <v>1351.9</v>
      </c>
      <c r="U205" s="8">
        <f>IFERROR(T205/T444, "NA")</f>
        <v>2.9999889045458079E-3</v>
      </c>
      <c r="V205" s="9"/>
      <c r="W205" s="10">
        <f t="shared" si="54"/>
        <v>327.7800000000002</v>
      </c>
      <c r="X205" s="8">
        <f>IFERROR(W205/W444, "NA")</f>
        <v>-6.4325264710297881E-3</v>
      </c>
      <c r="Y205" s="9"/>
      <c r="Z205" s="7">
        <v>972.38</v>
      </c>
      <c r="AA205" s="8">
        <f>IFERROR(Z205/Z444, "NA")</f>
        <v>2.3099612189823901E-3</v>
      </c>
      <c r="AB205" s="9"/>
      <c r="AC205" s="10">
        <f t="shared" si="55"/>
        <v>-51.739999999999895</v>
      </c>
      <c r="AD205" s="8">
        <f>IFERROR(AC205/AC444, "NA")</f>
        <v>2.4322550680598884E-3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131.37</v>
      </c>
      <c r="F206" s="8">
        <f>IFERROR(E206/E444, "NA")</f>
        <v>9.9996407223551086E-4</v>
      </c>
      <c r="G206" s="9"/>
      <c r="H206" s="10">
        <f t="shared" si="52"/>
        <v>131.37</v>
      </c>
      <c r="I206" s="8">
        <f>IFERROR(H206/H444, "NA")</f>
        <v>-7.4142259225313005E-3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248.1</v>
      </c>
      <c r="R206" s="8">
        <f>IFERROR(Q206/Q444, "NA")</f>
        <v>6.2074915991821927E-4</v>
      </c>
      <c r="S206" s="9"/>
      <c r="T206" s="7">
        <v>450.63</v>
      </c>
      <c r="U206" s="8">
        <f>IFERROR(T206/T444, "NA")</f>
        <v>9.9998890454580766E-4</v>
      </c>
      <c r="V206" s="9"/>
      <c r="W206" s="10">
        <f t="shared" si="54"/>
        <v>202.53</v>
      </c>
      <c r="X206" s="8">
        <f>IFERROR(W206/W444, "NA")</f>
        <v>-3.9745548422041067E-3</v>
      </c>
      <c r="Y206" s="9"/>
      <c r="Z206" s="7">
        <v>33.049999999999997</v>
      </c>
      <c r="AA206" s="8">
        <f>IFERROR(Z206/Z444, "NA")</f>
        <v>7.8512740170887902E-5</v>
      </c>
      <c r="AB206" s="9"/>
      <c r="AC206" s="10">
        <f t="shared" si="55"/>
        <v>-215.05</v>
      </c>
      <c r="AD206" s="8">
        <f>IFERROR(AC206/AC444, "NA")</f>
        <v>1.0109324553271744E-2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100</v>
      </c>
      <c r="F207" s="8">
        <f>IFERROR(E207/E444, "NA")</f>
        <v>7.6118145104324484E-4</v>
      </c>
      <c r="G207" s="9"/>
      <c r="H207" s="10">
        <f t="shared" si="52"/>
        <v>100</v>
      </c>
      <c r="I207" s="8">
        <f>IFERROR(H207/H444, "NA")</f>
        <v>-5.6437740142584311E-3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400.98</v>
      </c>
      <c r="R207" s="8">
        <f>IFERROR(Q207/Q444, "NA")</f>
        <v>1.0032567438291316E-3</v>
      </c>
      <c r="S207" s="9"/>
      <c r="T207" s="7">
        <v>400</v>
      </c>
      <c r="U207" s="8">
        <f>IFERROR(T207/T444, "NA")</f>
        <v>8.876363353933893E-4</v>
      </c>
      <c r="V207" s="9"/>
      <c r="W207" s="10">
        <f t="shared" si="54"/>
        <v>-0.98000000000001819</v>
      </c>
      <c r="X207" s="8">
        <f>IFERROR(W207/W444, "NA")</f>
        <v>1.9232033502987692E-5</v>
      </c>
      <c r="Y207" s="9"/>
      <c r="Z207" s="7">
        <v>99.6</v>
      </c>
      <c r="AA207" s="8">
        <f>IFERROR(Z207/Z444, "NA")</f>
        <v>2.3660722907777414E-4</v>
      </c>
      <c r="AB207" s="9"/>
      <c r="AC207" s="10">
        <f t="shared" si="55"/>
        <v>-301.38</v>
      </c>
      <c r="AD207" s="8">
        <f>IFERROR(AC207/AC444, "NA")</f>
        <v>1.4167627220948794E-2</v>
      </c>
    </row>
    <row r="208" spans="1:30" ht="16.5" customHeight="1" x14ac:dyDescent="0.45">
      <c r="A208" s="6" t="s">
        <v>190</v>
      </c>
      <c r="B208" s="7">
        <v>3.79</v>
      </c>
      <c r="C208" s="8">
        <f>IFERROR(B208/B444, "NA")</f>
        <v>3.3346214298434367E-5</v>
      </c>
      <c r="D208" s="9"/>
      <c r="E208" s="7">
        <v>100</v>
      </c>
      <c r="F208" s="8">
        <f>IFERROR(E208/E444, "NA")</f>
        <v>7.6118145104324484E-4</v>
      </c>
      <c r="G208" s="9"/>
      <c r="H208" s="10">
        <f t="shared" si="52"/>
        <v>96.21</v>
      </c>
      <c r="I208" s="8">
        <f>IFERROR(H208/H444, "NA")</f>
        <v>-5.4298749791180361E-3</v>
      </c>
      <c r="J208" s="9"/>
      <c r="K208" s="7">
        <v>226.54</v>
      </c>
      <c r="L208" s="8">
        <f>IFERROR(K208/K444, "NA")</f>
        <v>1.8899210661377267E-3</v>
      </c>
      <c r="M208" s="9"/>
      <c r="N208" s="10">
        <f t="shared" si="53"/>
        <v>222.75</v>
      </c>
      <c r="O208" s="8">
        <f>IFERROR(N208/N444, "NA")</f>
        <v>-3.5861711444836554E-2</v>
      </c>
      <c r="P208" s="9"/>
      <c r="Q208" s="7">
        <v>102.84</v>
      </c>
      <c r="R208" s="8">
        <f>IFERROR(Q208/Q444, "NA")</f>
        <v>2.5730690691652425E-4</v>
      </c>
      <c r="S208" s="9"/>
      <c r="T208" s="7">
        <v>400</v>
      </c>
      <c r="U208" s="8">
        <f>IFERROR(T208/T444, "NA")</f>
        <v>8.876363353933893E-4</v>
      </c>
      <c r="V208" s="9"/>
      <c r="W208" s="10">
        <f t="shared" si="54"/>
        <v>297.15999999999997</v>
      </c>
      <c r="X208" s="8">
        <f>IFERROR(W208/W444, "NA")</f>
        <v>-5.8316235466813427E-3</v>
      </c>
      <c r="Y208" s="9"/>
      <c r="Z208" s="7">
        <v>576.95000000000005</v>
      </c>
      <c r="AA208" s="8">
        <f>IFERROR(Z208/Z444, "NA")</f>
        <v>1.3705877592010223E-3</v>
      </c>
      <c r="AB208" s="9"/>
      <c r="AC208" s="10">
        <f t="shared" si="55"/>
        <v>474.11</v>
      </c>
      <c r="AD208" s="8">
        <f>IFERROR(AC208/AC444, "NA")</f>
        <v>-2.2287523199031233E-2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2315.9699999999998</v>
      </c>
      <c r="C209" s="15">
        <f>IFERROR(B209/B444, "NA")</f>
        <v>2.03770005089037E-2</v>
      </c>
      <c r="D209" s="2"/>
      <c r="E209" s="14">
        <f>IFERROR(E201+E202+E203+E204+E205+E206+E207+E208, "NA")</f>
        <v>2958.8599999999997</v>
      </c>
      <c r="F209" s="15">
        <f>IFERROR(E209/E444, "NA")</f>
        <v>2.2522293482338151E-2</v>
      </c>
      <c r="G209" s="2"/>
      <c r="H209" s="14">
        <f t="shared" si="52"/>
        <v>642.88999999999987</v>
      </c>
      <c r="I209" s="15">
        <f>IFERROR(H209/H444, "NA")</f>
        <v>-3.6283258760266016E-2</v>
      </c>
      <c r="J209" s="2"/>
      <c r="K209" s="14">
        <f>IFERROR(K201+K202+K203+K204+K205+K206+K207+K208, "NA")</f>
        <v>3598.8900000000003</v>
      </c>
      <c r="L209" s="15">
        <f>IFERROR(K209/K444, "NA")</f>
        <v>3.0023916419671601E-2</v>
      </c>
      <c r="M209" s="2"/>
      <c r="N209" s="14">
        <f t="shared" si="53"/>
        <v>1282.9200000000005</v>
      </c>
      <c r="O209" s="15">
        <f>IFERROR(N209/N444, "NA")</f>
        <v>-0.20654413848174963</v>
      </c>
      <c r="P209" s="2"/>
      <c r="Q209" s="14">
        <f>IFERROR(Q201+Q202+Q203+Q204+Q205+Q206+Q207+Q208, "NA")</f>
        <v>10240.280000000001</v>
      </c>
      <c r="R209" s="15">
        <f>IFERROR(Q209/Q444, "NA")</f>
        <v>2.5621302730057811E-2</v>
      </c>
      <c r="S209" s="2"/>
      <c r="T209" s="14">
        <f>IFERROR(T201+T202+T203+T204+T205+T206+T207+T208, "NA")</f>
        <v>10263.329999999998</v>
      </c>
      <c r="U209" s="15">
        <f>IFERROR(T209/T444, "NA")</f>
        <v>2.2775261575332582E-2</v>
      </c>
      <c r="V209" s="2"/>
      <c r="W209" s="14">
        <f t="shared" si="54"/>
        <v>23.049999999997453</v>
      </c>
      <c r="X209" s="15">
        <f>IFERROR(W209/W444, "NA")</f>
        <v>-4.5234527779980518E-4</v>
      </c>
      <c r="Y209" s="2"/>
      <c r="Z209" s="14">
        <f>IFERROR(Z201+Z202+Z203+Z204+Z205+Z206+Z207+Z208, "NA")</f>
        <v>12273.839999999998</v>
      </c>
      <c r="AA209" s="15">
        <f>IFERROR(Z209/Z444, "NA")</f>
        <v>2.9157422415099873E-2</v>
      </c>
      <c r="AB209" s="2"/>
      <c r="AC209" s="14">
        <f t="shared" si="55"/>
        <v>2033.5599999999977</v>
      </c>
      <c r="AD209" s="15">
        <f>IFERROR(AC209/AC444, "NA")</f>
        <v>-9.559599180912004E-2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3809.87</v>
      </c>
      <c r="F213" s="8">
        <f>IFERROR(E213/E444, "NA")</f>
        <v>2.9000023748861271E-2</v>
      </c>
      <c r="G213" s="9"/>
      <c r="H213" s="10">
        <f t="shared" ref="H213:H227" si="56">IFERROR(-(B213-E213), "NA")</f>
        <v>3809.87</v>
      </c>
      <c r="I213" s="8">
        <f>IFERROR(H213/H444, "NA")</f>
        <v>-0.21502045303702769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13068.42</v>
      </c>
      <c r="U213" s="8">
        <f>IFERROR(T213/T444, "NA")</f>
        <v>2.9000011095454192E-2</v>
      </c>
      <c r="V213" s="9"/>
      <c r="W213" s="10">
        <f t="shared" ref="W213:W227" si="58">IFERROR(-(Q213-T213), "NA")</f>
        <v>13068.42</v>
      </c>
      <c r="X213" s="8">
        <f>IFERROR(W213/W444, "NA")</f>
        <v>-0.25646152170521402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733.15</v>
      </c>
      <c r="C214" s="8">
        <f>IFERROR(B214/B444, "NA")</f>
        <v>6.4506007949596709E-3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-733.15</v>
      </c>
      <c r="I214" s="8">
        <f>IFERROR(H214/H444, "NA")</f>
        <v>4.1377329185535681E-2</v>
      </c>
      <c r="J214" s="9"/>
      <c r="K214" s="7">
        <v>1780.15</v>
      </c>
      <c r="L214" s="8">
        <f>IFERROR(K214/K444, "NA")</f>
        <v>1.4850988725545486E-2</v>
      </c>
      <c r="M214" s="9"/>
      <c r="N214" s="10">
        <f t="shared" si="57"/>
        <v>1047</v>
      </c>
      <c r="O214" s="8">
        <f>IFERROR(N214/N444, "NA")</f>
        <v>-0.16856211844104993</v>
      </c>
      <c r="P214" s="9"/>
      <c r="Q214" s="7">
        <v>4552.71</v>
      </c>
      <c r="R214" s="8">
        <f>IFERROR(Q214/Q444, "NA")</f>
        <v>1.13909347353941E-2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-4552.71</v>
      </c>
      <c r="X214" s="8">
        <f>IFERROR(W214/W444, "NA")</f>
        <v>8.9344766581005583E-2</v>
      </c>
      <c r="Y214" s="9"/>
      <c r="Z214" s="7">
        <v>10510.59</v>
      </c>
      <c r="AA214" s="8">
        <f>IFERROR(Z214/Z444, "NA")</f>
        <v>2.496869052080886E-2</v>
      </c>
      <c r="AB214" s="9"/>
      <c r="AC214" s="10">
        <f t="shared" si="59"/>
        <v>5957.88</v>
      </c>
      <c r="AD214" s="8">
        <f>IFERROR(AC214/AC444, "NA")</f>
        <v>-0.28007506426155154</v>
      </c>
    </row>
    <row r="215" spans="1:30" ht="16.5" customHeight="1" x14ac:dyDescent="0.45">
      <c r="A215" s="12" t="s">
        <v>195</v>
      </c>
      <c r="B215" s="7">
        <v>409.29</v>
      </c>
      <c r="C215" s="8">
        <f>IFERROR(B215/B444, "NA")</f>
        <v>3.6011271900280215E-3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-409.29</v>
      </c>
      <c r="I215" s="8">
        <f>IFERROR(H215/H444, "NA")</f>
        <v>2.3099402662958332E-2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-409.29</v>
      </c>
      <c r="O215" s="8">
        <f>IFERROR(N215/N444, "NA")</f>
        <v>6.5893781716081498E-2</v>
      </c>
      <c r="P215" s="9"/>
      <c r="Q215" s="7">
        <v>1224</v>
      </c>
      <c r="R215" s="8">
        <f>IFERROR(Q215/Q444, "NA")</f>
        <v>3.0624626027404289E-3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-1224</v>
      </c>
      <c r="X215" s="8">
        <f>IFERROR(W215/W444, "NA")</f>
        <v>2.4020417354751529E-2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-1224</v>
      </c>
      <c r="AD215" s="8">
        <f>IFERROR(AC215/AC444, "NA")</f>
        <v>5.7539238564076327E-2</v>
      </c>
    </row>
    <row r="216" spans="1:30" ht="16.5" customHeight="1" x14ac:dyDescent="0.45">
      <c r="A216" s="12" t="s">
        <v>196</v>
      </c>
      <c r="B216" s="7">
        <v>20</v>
      </c>
      <c r="C216" s="8">
        <f>IFERROR(B216/B444, "NA")</f>
        <v>1.7596946859332118E-4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-20</v>
      </c>
      <c r="I216" s="8">
        <f>IFERROR(H216/H444, "NA")</f>
        <v>1.1287548028516862E-3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-20</v>
      </c>
      <c r="O216" s="8">
        <f>IFERROR(N216/N444, "NA")</f>
        <v>3.2199067515004762E-3</v>
      </c>
      <c r="P216" s="9"/>
      <c r="Q216" s="7">
        <v>110</v>
      </c>
      <c r="R216" s="8">
        <f>IFERROR(Q216/Q444, "NA")</f>
        <v>2.7522131233778365E-4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-110</v>
      </c>
      <c r="X216" s="8">
        <f>IFERROR(W216/W444, "NA")</f>
        <v>2.1586976380904149E-3</v>
      </c>
      <c r="Y216" s="9"/>
      <c r="Z216" s="7">
        <v>2.41</v>
      </c>
      <c r="AA216" s="8">
        <f>IFERROR(Z216/Z444, "NA")</f>
        <v>5.7251347598136124E-6</v>
      </c>
      <c r="AB216" s="9"/>
      <c r="AC216" s="10">
        <f t="shared" si="59"/>
        <v>-107.59</v>
      </c>
      <c r="AD216" s="8">
        <f>IFERROR(AC216/AC444, "NA")</f>
        <v>5.0577178734550424E-3</v>
      </c>
    </row>
    <row r="217" spans="1:30" ht="16.5" customHeight="1" x14ac:dyDescent="0.45">
      <c r="A217" s="12" t="s">
        <v>197</v>
      </c>
      <c r="B217" s="7">
        <v>2222.3000000000002</v>
      </c>
      <c r="C217" s="8">
        <f>IFERROR(B217/B444, "NA")</f>
        <v>1.9552847502746884E-2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-2222.3000000000002</v>
      </c>
      <c r="I217" s="8">
        <f>IFERROR(H217/H444, "NA")</f>
        <v>0.12542158991886512</v>
      </c>
      <c r="J217" s="9"/>
      <c r="K217" s="7">
        <v>2381.39</v>
      </c>
      <c r="L217" s="8">
        <f>IFERROR(K217/K444, "NA")</f>
        <v>1.9866862927914369E-2</v>
      </c>
      <c r="M217" s="9"/>
      <c r="N217" s="10">
        <f t="shared" si="57"/>
        <v>159.08999999999969</v>
      </c>
      <c r="O217" s="8">
        <f>IFERROR(N217/N444, "NA")</f>
        <v>-2.561274825481049E-2</v>
      </c>
      <c r="P217" s="9"/>
      <c r="Q217" s="7">
        <v>5724.5</v>
      </c>
      <c r="R217" s="8">
        <f>IFERROR(Q217/Q444, "NA")</f>
        <v>1.4322767295251294E-2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-5724.5</v>
      </c>
      <c r="X217" s="8">
        <f>IFERROR(W217/W444, "NA")</f>
        <v>0.11234058753862347</v>
      </c>
      <c r="Y217" s="9"/>
      <c r="Z217" s="7">
        <v>8347.67</v>
      </c>
      <c r="AA217" s="8">
        <f>IFERROR(Z217/Z444, "NA")</f>
        <v>1.9830512730478544E-2</v>
      </c>
      <c r="AB217" s="9"/>
      <c r="AC217" s="10">
        <f t="shared" si="59"/>
        <v>2623.17</v>
      </c>
      <c r="AD217" s="8">
        <f>IFERROR(AC217/AC444, "NA")</f>
        <v>-0.12331307550990858</v>
      </c>
    </row>
    <row r="218" spans="1:30" ht="16.5" customHeight="1" x14ac:dyDescent="0.45">
      <c r="A218" s="13" t="s">
        <v>198</v>
      </c>
      <c r="B218" s="14">
        <f>IFERROR(B213+B214+B215+B216+B217, "NA")</f>
        <v>3384.7400000000002</v>
      </c>
      <c r="C218" s="15">
        <f>IFERROR(B218/B444, "NA")</f>
        <v>2.9780544956327898E-2</v>
      </c>
      <c r="D218" s="2"/>
      <c r="E218" s="14">
        <f>IFERROR(E213+E214+E215+E216+E217, "NA")</f>
        <v>3809.87</v>
      </c>
      <c r="F218" s="15">
        <f>IFERROR(E218/E444, "NA")</f>
        <v>2.9000023748861271E-2</v>
      </c>
      <c r="G218" s="2"/>
      <c r="H218" s="14">
        <f t="shared" si="56"/>
        <v>425.12999999999965</v>
      </c>
      <c r="I218" s="15">
        <f>IFERROR(H218/H444, "NA")</f>
        <v>-2.3993376466816846E-2</v>
      </c>
      <c r="J218" s="2"/>
      <c r="K218" s="14">
        <f>IFERROR(K213+K214+K215+K216+K217, "NA")</f>
        <v>4161.54</v>
      </c>
      <c r="L218" s="15">
        <f>IFERROR(K218/K444, "NA")</f>
        <v>3.4717851653459857E-2</v>
      </c>
      <c r="M218" s="2"/>
      <c r="N218" s="14">
        <f t="shared" si="57"/>
        <v>776.79999999999973</v>
      </c>
      <c r="O218" s="15">
        <f>IFERROR(N218/N444, "NA")</f>
        <v>-0.12506117822827845</v>
      </c>
      <c r="P218" s="2"/>
      <c r="Q218" s="14">
        <f>IFERROR(Q213+Q214+Q215+Q216+Q217, "NA")</f>
        <v>11611.21</v>
      </c>
      <c r="R218" s="15">
        <f>IFERROR(Q218/Q444, "NA")</f>
        <v>2.9051385945723606E-2</v>
      </c>
      <c r="S218" s="2"/>
      <c r="T218" s="14">
        <f>IFERROR(T213+T214+T215+T216+T217, "NA")</f>
        <v>13068.42</v>
      </c>
      <c r="U218" s="15">
        <f>IFERROR(T218/T444, "NA")</f>
        <v>2.9000011095454192E-2</v>
      </c>
      <c r="V218" s="2"/>
      <c r="W218" s="14">
        <f t="shared" si="58"/>
        <v>1457.2100000000009</v>
      </c>
      <c r="X218" s="15">
        <f>IFERROR(W218/W444, "NA")</f>
        <v>-2.8597052592743054E-2</v>
      </c>
      <c r="Y218" s="2"/>
      <c r="Z218" s="14">
        <f>IFERROR(Z213+Z214+Z215+Z216+Z217, "NA")</f>
        <v>18860.669999999998</v>
      </c>
      <c r="AA218" s="15">
        <f>IFERROR(Z218/Z444, "NA")</f>
        <v>4.4804928386047216E-2</v>
      </c>
      <c r="AB218" s="2"/>
      <c r="AC218" s="14">
        <f t="shared" si="59"/>
        <v>7249.4599999999991</v>
      </c>
      <c r="AD218" s="15">
        <f>IFERROR(AC218/AC444, "NA")</f>
        <v>-0.34079118333392872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857.7</v>
      </c>
      <c r="C222" s="8">
        <f>IFERROR(B222/B444, "NA")</f>
        <v>7.546450660624579E-3</v>
      </c>
      <c r="D222" s="9"/>
      <c r="E222" s="7">
        <v>100</v>
      </c>
      <c r="F222" s="8">
        <f>IFERROR(E222/E444, "NA")</f>
        <v>7.6118145104324484E-4</v>
      </c>
      <c r="G222" s="9"/>
      <c r="H222" s="10">
        <f t="shared" si="56"/>
        <v>-757.7</v>
      </c>
      <c r="I222" s="8">
        <f>IFERROR(H222/H444, "NA")</f>
        <v>4.2762875706036131E-2</v>
      </c>
      <c r="J222" s="9"/>
      <c r="K222" s="7">
        <v>328.66</v>
      </c>
      <c r="L222" s="8">
        <f>IFERROR(K222/K444, "NA")</f>
        <v>2.7418621770849533E-3</v>
      </c>
      <c r="M222" s="9"/>
      <c r="N222" s="10">
        <f t="shared" si="57"/>
        <v>-529.04</v>
      </c>
      <c r="O222" s="8">
        <f>IFERROR(N222/N444, "NA")</f>
        <v>8.517297339069059E-2</v>
      </c>
      <c r="P222" s="9"/>
      <c r="Q222" s="7">
        <v>1743.68</v>
      </c>
      <c r="R222" s="8">
        <f>IFERROR(Q222/Q444, "NA")</f>
        <v>4.3627081627013323E-3</v>
      </c>
      <c r="S222" s="9"/>
      <c r="T222" s="7">
        <v>400</v>
      </c>
      <c r="U222" s="8">
        <f>IFERROR(T222/T444, "NA")</f>
        <v>8.876363353933893E-4</v>
      </c>
      <c r="V222" s="9"/>
      <c r="W222" s="10">
        <f t="shared" si="58"/>
        <v>-1343.68</v>
      </c>
      <c r="X222" s="8">
        <f>IFERROR(W222/W444, "NA")</f>
        <v>2.6369080384993901E-2</v>
      </c>
      <c r="Y222" s="9"/>
      <c r="Z222" s="7">
        <v>1241.26</v>
      </c>
      <c r="AA222" s="8">
        <f>IFERROR(Z222/Z444, "NA")</f>
        <v>2.9487057145088148E-3</v>
      </c>
      <c r="AB222" s="9"/>
      <c r="AC222" s="10">
        <f t="shared" si="59"/>
        <v>-502.42000000000007</v>
      </c>
      <c r="AD222" s="8">
        <f>IFERROR(AC222/AC444, "NA")</f>
        <v>2.3618353136734667E-2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4242.4400000000005</v>
      </c>
      <c r="C227" s="15">
        <f>IFERROR(B227/B444, "NA")</f>
        <v>3.7326995616952477E-2</v>
      </c>
      <c r="D227" s="2"/>
      <c r="E227" s="14">
        <f>IFERROR(E211+E213+E214+E215+E216+E217+E219+E220+E221+E222+E223+E224+E225+E226, "NA")</f>
        <v>3909.87</v>
      </c>
      <c r="F227" s="15">
        <f>IFERROR(E227/E444, "NA")</f>
        <v>2.9761205199904515E-2</v>
      </c>
      <c r="G227" s="2"/>
      <c r="H227" s="14">
        <f t="shared" si="56"/>
        <v>-332.57000000000062</v>
      </c>
      <c r="I227" s="15">
        <f>IFERROR(H227/H444, "NA")</f>
        <v>1.8769499239219299E-2</v>
      </c>
      <c r="J227" s="2"/>
      <c r="K227" s="14">
        <f>IFERROR(K211+K213+K214+K215+K216+K217+K219+K220+K221+K222+K223+K224+K225+K226, "NA")</f>
        <v>4490.2</v>
      </c>
      <c r="L227" s="15">
        <f>IFERROR(K227/K444, "NA")</f>
        <v>3.7459713830544805E-2</v>
      </c>
      <c r="M227" s="2"/>
      <c r="N227" s="14">
        <f t="shared" si="57"/>
        <v>247.75999999999931</v>
      </c>
      <c r="O227" s="15">
        <f>IFERROR(N227/N444, "NA")</f>
        <v>-3.9888204837587787E-2</v>
      </c>
      <c r="P227" s="2"/>
      <c r="Q227" s="14">
        <f>IFERROR(Q211+Q213+Q214+Q215+Q216+Q217+Q219+Q220+Q221+Q222+Q223+Q224+Q225+Q226, "NA")</f>
        <v>13354.89</v>
      </c>
      <c r="R227" s="15">
        <f>IFERROR(Q227/Q444, "NA")</f>
        <v>3.3414094108424941E-2</v>
      </c>
      <c r="S227" s="2"/>
      <c r="T227" s="14">
        <f>IFERROR(T211+T213+T214+T215+T216+T217+T219+T220+T221+T222+T223+T224+T225+T226, "NA")</f>
        <v>13468.42</v>
      </c>
      <c r="U227" s="15">
        <f>IFERROR(T227/T444, "NA")</f>
        <v>2.9887647430847583E-2</v>
      </c>
      <c r="V227" s="2"/>
      <c r="W227" s="14">
        <f t="shared" si="58"/>
        <v>113.53000000000065</v>
      </c>
      <c r="X227" s="15">
        <f>IFERROR(W227/W444, "NA")</f>
        <v>-2.2279722077491477E-3</v>
      </c>
      <c r="Y227" s="2"/>
      <c r="Z227" s="14">
        <f>IFERROR(Z211+Z213+Z214+Z215+Z216+Z217+Z219+Z220+Z221+Z222+Z223+Z224+Z225+Z226, "NA")</f>
        <v>20101.929999999997</v>
      </c>
      <c r="AA227" s="15">
        <f>IFERROR(Z227/Z444, "NA")</f>
        <v>4.7753634100556025E-2</v>
      </c>
      <c r="AB227" s="2"/>
      <c r="AC227" s="14">
        <f t="shared" si="59"/>
        <v>6747.0399999999972</v>
      </c>
      <c r="AD227" s="15">
        <f>IFERROR(AC227/AC444, "NA")</f>
        <v>-0.31717283019719394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1707.87</v>
      </c>
      <c r="F229" s="8">
        <f>IFERROR(E229/E444, "NA")</f>
        <v>1.2999989647932265E-2</v>
      </c>
      <c r="G229" s="9"/>
      <c r="H229" s="10">
        <f t="shared" ref="H229:H236" si="60">IFERROR(-(B229-E229), "NA")</f>
        <v>1707.87</v>
      </c>
      <c r="I229" s="8">
        <f>IFERROR(H229/H444, "NA")</f>
        <v>-9.6388323257315459E-2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5858.26</v>
      </c>
      <c r="U229" s="8">
        <f>IFERROR(T229/T444, "NA")</f>
        <v>1.3000011095454194E-2</v>
      </c>
      <c r="V229" s="9"/>
      <c r="W229" s="10">
        <f t="shared" ref="W229:W236" si="62">IFERROR(-(Q229-T229), "NA")</f>
        <v>5858.26</v>
      </c>
      <c r="X229" s="8">
        <f>IFERROR(W229/W444, "NA")</f>
        <v>-0.11496556386654141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182</v>
      </c>
      <c r="L231" s="8">
        <f>IFERROR(K231/K444, "NA")</f>
        <v>1.518343930595331E-3</v>
      </c>
      <c r="M231" s="9"/>
      <c r="N231" s="10">
        <f t="shared" si="61"/>
        <v>182</v>
      </c>
      <c r="O231" s="8">
        <f>IFERROR(N231/N444, "NA")</f>
        <v>-2.9301151438654333E-2</v>
      </c>
      <c r="P231" s="9"/>
      <c r="Q231" s="7">
        <v>0</v>
      </c>
      <c r="R231" s="8">
        <f>IFERROR(Q231/Q444, "NA")</f>
        <v>0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0</v>
      </c>
      <c r="X231" s="8">
        <f>IFERROR(W231/W444, "NA")</f>
        <v>0</v>
      </c>
      <c r="Y231" s="9"/>
      <c r="Z231" s="7">
        <v>654.26</v>
      </c>
      <c r="AA231" s="8">
        <f>IFERROR(Z231/Z444, "NA")</f>
        <v>1.5542434306869931E-3</v>
      </c>
      <c r="AB231" s="9"/>
      <c r="AC231" s="10">
        <f t="shared" si="63"/>
        <v>654.26</v>
      </c>
      <c r="AD231" s="8">
        <f>IFERROR(AC231/AC444, "NA")</f>
        <v>-3.0756227306317465E-2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1787.3</v>
      </c>
      <c r="C234" s="8">
        <f>IFERROR(B234/B444, "NA")</f>
        <v>1.5725511560842148E-2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-1787.3</v>
      </c>
      <c r="I234" s="8">
        <f>IFERROR(H234/H444, "NA")</f>
        <v>0.10087117295684093</v>
      </c>
      <c r="J234" s="9"/>
      <c r="K234" s="7">
        <v>1360.64</v>
      </c>
      <c r="L234" s="8">
        <f>IFERROR(K234/K444, "NA")</f>
        <v>1.1351205965523248E-2</v>
      </c>
      <c r="M234" s="9"/>
      <c r="N234" s="10">
        <f t="shared" si="61"/>
        <v>-426.65999999999985</v>
      </c>
      <c r="O234" s="8">
        <f>IFERROR(N234/N444, "NA")</f>
        <v>6.8690270729759639E-2</v>
      </c>
      <c r="P234" s="9"/>
      <c r="Q234" s="7">
        <v>5948.87</v>
      </c>
      <c r="R234" s="8">
        <f>IFERROR(Q234/Q444, "NA")</f>
        <v>1.4884143712062464E-2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-5948.87</v>
      </c>
      <c r="X234" s="8">
        <f>IFERROR(W234/W444, "NA")</f>
        <v>0.11674374198460843</v>
      </c>
      <c r="Y234" s="9"/>
      <c r="Z234" s="7">
        <v>6112.21</v>
      </c>
      <c r="AA234" s="8">
        <f>IFERROR(Z234/Z444, "NA")</f>
        <v>1.452001075945243E-2</v>
      </c>
      <c r="AB234" s="9"/>
      <c r="AC234" s="10">
        <f t="shared" si="63"/>
        <v>163.34000000000015</v>
      </c>
      <c r="AD234" s="8">
        <f>IFERROR(AC234/AC444, "NA")</f>
        <v>-7.6784797606668596E-3</v>
      </c>
    </row>
    <row r="235" spans="1:30" ht="16.5" customHeight="1" x14ac:dyDescent="0.45">
      <c r="A235" s="6" t="s">
        <v>214</v>
      </c>
      <c r="B235" s="7">
        <v>19.37</v>
      </c>
      <c r="C235" s="8">
        <f>IFERROR(B235/B444, "NA")</f>
        <v>1.7042643033263156E-4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-19.37</v>
      </c>
      <c r="I235" s="8">
        <f>IFERROR(H235/H444, "NA")</f>
        <v>1.0931990265618582E-3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-19.37</v>
      </c>
      <c r="O235" s="8">
        <f>IFERROR(N235/N444, "NA")</f>
        <v>3.1184796888282114E-3</v>
      </c>
      <c r="P235" s="9"/>
      <c r="Q235" s="7">
        <v>73.010000000000005</v>
      </c>
      <c r="R235" s="8">
        <f>IFERROR(Q235/Q444, "NA")</f>
        <v>1.8267189103437804E-4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-73.010000000000005</v>
      </c>
      <c r="X235" s="8">
        <f>IFERROR(W235/W444, "NA")</f>
        <v>1.4327864959725566E-3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-73.010000000000005</v>
      </c>
      <c r="AD235" s="8">
        <f>IFERROR(AC235/AC444, "NA")</f>
        <v>3.4321403656562199E-3</v>
      </c>
    </row>
    <row r="236" spans="1:30" ht="16.5" customHeight="1" x14ac:dyDescent="0.45">
      <c r="A236" s="19" t="s">
        <v>215</v>
      </c>
      <c r="B236" s="14">
        <f>IFERROR(B229+B230+B231+B232+B233+B234+B235, "NA")</f>
        <v>1806.6699999999998</v>
      </c>
      <c r="C236" s="15">
        <f>IFERROR(B236/B444, "NA")</f>
        <v>1.5895937991174777E-2</v>
      </c>
      <c r="D236" s="2"/>
      <c r="E236" s="14">
        <f>IFERROR(E229+E230+E231+E232+E233+E234+E235, "NA")</f>
        <v>1707.87</v>
      </c>
      <c r="F236" s="15">
        <f>IFERROR(E236/E444, "NA")</f>
        <v>1.2999989647932265E-2</v>
      </c>
      <c r="G236" s="2"/>
      <c r="H236" s="14">
        <f t="shared" si="60"/>
        <v>-98.799999999999955</v>
      </c>
      <c r="I236" s="15">
        <f>IFERROR(H236/H444, "NA")</f>
        <v>5.5760487260873275E-3</v>
      </c>
      <c r="J236" s="2"/>
      <c r="K236" s="14">
        <f>IFERROR(K229+K230+K231+K232+K233+K234+K235, "NA")</f>
        <v>1542.64</v>
      </c>
      <c r="L236" s="15">
        <f>IFERROR(K236/K444, "NA")</f>
        <v>1.286954989611858E-2</v>
      </c>
      <c r="M236" s="2"/>
      <c r="N236" s="14">
        <f t="shared" si="61"/>
        <v>-264.02999999999975</v>
      </c>
      <c r="O236" s="15">
        <f>IFERROR(N236/N444, "NA")</f>
        <v>4.2507598979933496E-2</v>
      </c>
      <c r="P236" s="2"/>
      <c r="Q236" s="14">
        <f>IFERROR(Q229+Q230+Q231+Q232+Q233+Q234+Q235, "NA")</f>
        <v>6021.88</v>
      </c>
      <c r="R236" s="15">
        <f>IFERROR(Q236/Q444, "NA")</f>
        <v>1.5066815603096841E-2</v>
      </c>
      <c r="S236" s="2"/>
      <c r="T236" s="14">
        <f>IFERROR(T229+T230+T231+T232+T233+T234+T235, "NA")</f>
        <v>5858.26</v>
      </c>
      <c r="U236" s="15">
        <f>IFERROR(T236/T444, "NA")</f>
        <v>1.3000011095454194E-2</v>
      </c>
      <c r="V236" s="2"/>
      <c r="W236" s="14">
        <f t="shared" si="62"/>
        <v>-163.61999999999989</v>
      </c>
      <c r="X236" s="15">
        <f>IFERROR(W236/W444, "NA")</f>
        <v>3.2109646140395772E-3</v>
      </c>
      <c r="Y236" s="2"/>
      <c r="Z236" s="14">
        <f>IFERROR(Z229+Z230+Z231+Z232+Z233+Z234+Z235, "NA")</f>
        <v>6766.47</v>
      </c>
      <c r="AA236" s="15">
        <f>IFERROR(Z236/Z444, "NA")</f>
        <v>1.6074254190139425E-2</v>
      </c>
      <c r="AB236" s="2"/>
      <c r="AC236" s="14">
        <f t="shared" si="63"/>
        <v>744.59000000000015</v>
      </c>
      <c r="AD236" s="15">
        <f>IFERROR(AC236/AC444, "NA")</f>
        <v>-3.5002566701328106E-2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6962.86</v>
      </c>
      <c r="F240" s="8">
        <f>IFERROR(E240/E444, "NA")</f>
        <v>5.2999998782109675E-2</v>
      </c>
      <c r="G240" s="9"/>
      <c r="H240" s="10">
        <f t="shared" ref="H240:H263" si="64">IFERROR(-(B240-E240), "NA")</f>
        <v>6962.86</v>
      </c>
      <c r="I240" s="8">
        <f>IFERROR(H240/H444, "NA")</f>
        <v>-0.39296808332919458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23883.65</v>
      </c>
      <c r="U240" s="8">
        <f>IFERROR(T240/T444, "NA")</f>
        <v>5.2999988904545811E-2</v>
      </c>
      <c r="V240" s="9"/>
      <c r="W240" s="10">
        <f t="shared" ref="W240:W263" si="66">IFERROR(-(Q240-T240), "NA")</f>
        <v>23883.65</v>
      </c>
      <c r="X240" s="8">
        <f>IFERROR(W240/W444, "NA")</f>
        <v>-0.46870526221798314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1309.8499999999999</v>
      </c>
      <c r="C242" s="8">
        <f>IFERROR(B242/B444, "NA")</f>
        <v>1.1524680421848087E-2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-1309.8499999999999</v>
      </c>
      <c r="I242" s="8">
        <f>IFERROR(H242/H444, "NA")</f>
        <v>7.3924973925764054E-2</v>
      </c>
      <c r="J242" s="9"/>
      <c r="K242" s="7">
        <v>1026.1300000000001</v>
      </c>
      <c r="L242" s="8">
        <f>IFERROR(K242/K444, "NA")</f>
        <v>8.5605398763834457E-3</v>
      </c>
      <c r="M242" s="9"/>
      <c r="N242" s="10">
        <f t="shared" si="65"/>
        <v>-283.7199999999998</v>
      </c>
      <c r="O242" s="8">
        <f>IFERROR(N242/N444, "NA")</f>
        <v>4.5677597176785725E-2</v>
      </c>
      <c r="P242" s="9"/>
      <c r="Q242" s="7">
        <v>5762.47</v>
      </c>
      <c r="R242" s="8">
        <f>IFERROR(Q242/Q444, "NA")</f>
        <v>1.4417768688246438E-2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-5762.47</v>
      </c>
      <c r="X242" s="8">
        <f>IFERROR(W242/W444, "NA")</f>
        <v>0.11308573071424431</v>
      </c>
      <c r="Y242" s="9"/>
      <c r="Z242" s="7">
        <v>4545.82</v>
      </c>
      <c r="AA242" s="8">
        <f>IFERROR(Z242/Z444, "NA")</f>
        <v>1.0798934478778386E-2</v>
      </c>
      <c r="AB242" s="9"/>
      <c r="AC242" s="10">
        <f t="shared" si="67"/>
        <v>-1216.6500000000005</v>
      </c>
      <c r="AD242" s="8">
        <f>IFERROR(AC242/AC444, "NA")</f>
        <v>5.7193721077600894E-2</v>
      </c>
    </row>
    <row r="243" spans="1:30" ht="16.5" customHeight="1" x14ac:dyDescent="0.45">
      <c r="A243" s="12" t="s">
        <v>220</v>
      </c>
      <c r="B243" s="7">
        <v>3313.84</v>
      </c>
      <c r="C243" s="8">
        <f>IFERROR(B243/B444, "NA")</f>
        <v>2.9156733190164576E-2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-3313.84</v>
      </c>
      <c r="I243" s="8">
        <f>IFERROR(H243/H444, "NA")</f>
        <v>0.18702564079410158</v>
      </c>
      <c r="J243" s="9"/>
      <c r="K243" s="7">
        <v>2351.6999999999998</v>
      </c>
      <c r="L243" s="8">
        <f>IFERROR(K243/K444, "NA")</f>
        <v>1.9619172646049669E-2</v>
      </c>
      <c r="M243" s="9"/>
      <c r="N243" s="10">
        <f t="shared" si="65"/>
        <v>-962.14000000000033</v>
      </c>
      <c r="O243" s="8">
        <f>IFERROR(N243/N444, "NA")</f>
        <v>0.15490005409443347</v>
      </c>
      <c r="P243" s="9"/>
      <c r="Q243" s="7">
        <v>10937.73</v>
      </c>
      <c r="R243" s="8">
        <f>IFERROR(Q243/Q444, "NA")</f>
        <v>2.7366330950875872E-2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-10937.73</v>
      </c>
      <c r="X243" s="8">
        <f>IFERROR(W243/W444, "NA")</f>
        <v>0.21464774470064249</v>
      </c>
      <c r="Y243" s="9"/>
      <c r="Z243" s="7">
        <v>10461.09</v>
      </c>
      <c r="AA243" s="8">
        <f>IFERROR(Z243/Z444, "NA")</f>
        <v>2.4851099578646712E-2</v>
      </c>
      <c r="AB243" s="9"/>
      <c r="AC243" s="10">
        <f t="shared" si="67"/>
        <v>-476.63999999999942</v>
      </c>
      <c r="AD243" s="8">
        <f>IFERROR(AC243/AC444, "NA")</f>
        <v>2.2406456429069695E-2</v>
      </c>
    </row>
    <row r="244" spans="1:30" ht="16.5" customHeight="1" x14ac:dyDescent="0.45">
      <c r="A244" s="12" t="s">
        <v>221</v>
      </c>
      <c r="B244" s="7">
        <v>879.82</v>
      </c>
      <c r="C244" s="8">
        <f>IFERROR(B244/B444, "NA")</f>
        <v>7.7410728928887923E-3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-879.82</v>
      </c>
      <c r="I244" s="8">
        <f>IFERROR(H244/H444, "NA")</f>
        <v>4.9655052532248528E-2</v>
      </c>
      <c r="J244" s="9"/>
      <c r="K244" s="7">
        <v>336.64</v>
      </c>
      <c r="L244" s="8">
        <f>IFERROR(K244/K444, "NA")</f>
        <v>2.8084357186572099E-3</v>
      </c>
      <c r="M244" s="9"/>
      <c r="N244" s="10">
        <f t="shared" si="65"/>
        <v>-543.18000000000006</v>
      </c>
      <c r="O244" s="8">
        <f>IFERROR(N244/N444, "NA")</f>
        <v>8.7449447464001448E-2</v>
      </c>
      <c r="P244" s="9"/>
      <c r="Q244" s="7">
        <v>2555.23</v>
      </c>
      <c r="R244" s="8">
        <f>IFERROR(Q244/Q444, "NA")</f>
        <v>6.3932159447715898E-3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-2555.23</v>
      </c>
      <c r="X244" s="8">
        <f>IFERROR(W244/W444, "NA")</f>
        <v>5.0145172416161558E-2</v>
      </c>
      <c r="Y244" s="9"/>
      <c r="Z244" s="7">
        <v>336.64</v>
      </c>
      <c r="AA244" s="8">
        <f>IFERROR(Z244/Z444, "NA")</f>
        <v>7.9971342968616357E-4</v>
      </c>
      <c r="AB244" s="9"/>
      <c r="AC244" s="10">
        <f t="shared" si="67"/>
        <v>-2218.59</v>
      </c>
      <c r="AD244" s="8">
        <f>IFERROR(AC244/AC444, "NA")</f>
        <v>0.10429410072375336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49.89</v>
      </c>
      <c r="C246" s="8">
        <f>IFERROR(B246/B444, "NA")</f>
        <v>4.3895583940603967E-4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-49.89</v>
      </c>
      <c r="I246" s="8">
        <f>IFERROR(H246/H444, "NA")</f>
        <v>2.8156788557135311E-3</v>
      </c>
      <c r="J246" s="9"/>
      <c r="K246" s="7">
        <v>292.45</v>
      </c>
      <c r="L246" s="8">
        <f>IFERROR(K246/K444, "NA")</f>
        <v>2.4397784752890356E-3</v>
      </c>
      <c r="M246" s="9"/>
      <c r="N246" s="10">
        <f t="shared" si="65"/>
        <v>242.56</v>
      </c>
      <c r="O246" s="8">
        <f>IFERROR(N246/N444, "NA")</f>
        <v>-3.9051029082197777E-2</v>
      </c>
      <c r="P246" s="9"/>
      <c r="Q246" s="7">
        <v>405.53</v>
      </c>
      <c r="R246" s="8">
        <f>IFERROR(Q246/Q444, "NA")</f>
        <v>1.0146408981121945E-3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-405.53</v>
      </c>
      <c r="X246" s="8">
        <f>IFERROR(W246/W444, "NA")</f>
        <v>7.9583332106800547E-3</v>
      </c>
      <c r="Y246" s="9"/>
      <c r="Z246" s="7">
        <v>1270.95</v>
      </c>
      <c r="AA246" s="8">
        <f>IFERROR(Z246/Z444, "NA")</f>
        <v>3.0192365240602117E-3</v>
      </c>
      <c r="AB246" s="9"/>
      <c r="AC246" s="10">
        <f t="shared" si="67"/>
        <v>865.42000000000007</v>
      </c>
      <c r="AD246" s="8">
        <f>IFERROR(AC246/AC444, "NA")</f>
        <v>-4.0682686142257306E-2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225.54</v>
      </c>
      <c r="C248" s="8">
        <f>IFERROR(B248/B444, "NA")</f>
        <v>1.984407697326883E-3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-225.54</v>
      </c>
      <c r="I248" s="8">
        <f>IFERROR(H248/H444, "NA")</f>
        <v>1.2728967911758465E-2</v>
      </c>
      <c r="J248" s="9"/>
      <c r="K248" s="7">
        <v>268.5</v>
      </c>
      <c r="L248" s="8">
        <f>IFERROR(K248/K444, "NA")</f>
        <v>2.2399744250815733E-3</v>
      </c>
      <c r="M248" s="9"/>
      <c r="N248" s="10">
        <f t="shared" si="65"/>
        <v>42.960000000000008</v>
      </c>
      <c r="O248" s="8">
        <f>IFERROR(N248/N444, "NA")</f>
        <v>-6.916359702223024E-3</v>
      </c>
      <c r="P248" s="9"/>
      <c r="Q248" s="7">
        <v>962.95</v>
      </c>
      <c r="R248" s="8">
        <f>IFERROR(Q248/Q444, "NA")</f>
        <v>2.4093123883242615E-3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-962.95</v>
      </c>
      <c r="X248" s="8">
        <f>IFERROR(W248/W444, "NA")</f>
        <v>1.889743536908332E-2</v>
      </c>
      <c r="Y248" s="9"/>
      <c r="Z248" s="7">
        <v>1107.94</v>
      </c>
      <c r="AA248" s="8">
        <f>IFERROR(Z248/Z444, "NA")</f>
        <v>2.631994110285433E-3</v>
      </c>
      <c r="AB248" s="9"/>
      <c r="AC248" s="10">
        <f t="shared" si="67"/>
        <v>144.99</v>
      </c>
      <c r="AD248" s="8">
        <f>IFERROR(AC248/AC444, "NA")</f>
        <v>-6.8158612740240425E-3</v>
      </c>
    </row>
    <row r="249" spans="1:30" ht="16.5" customHeight="1" x14ac:dyDescent="0.45">
      <c r="A249" s="12" t="s">
        <v>226</v>
      </c>
      <c r="B249" s="7">
        <v>1710.24</v>
      </c>
      <c r="C249" s="8">
        <f>IFERROR(B249/B444, "NA")</f>
        <v>1.5047501198352081E-2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-1710.24</v>
      </c>
      <c r="I249" s="8">
        <f>IFERROR(H249/H444, "NA")</f>
        <v>9.6522080701453392E-2</v>
      </c>
      <c r="J249" s="9"/>
      <c r="K249" s="7">
        <v>1259.8900000000001</v>
      </c>
      <c r="L249" s="8">
        <f>IFERROR(K249/K444, "NA")</f>
        <v>1.0510694146800833E-2</v>
      </c>
      <c r="M249" s="9"/>
      <c r="N249" s="10">
        <f t="shared" si="65"/>
        <v>-450.34999999999991</v>
      </c>
      <c r="O249" s="8">
        <f>IFERROR(N249/N444, "NA")</f>
        <v>7.2504250276911958E-2</v>
      </c>
      <c r="P249" s="9"/>
      <c r="Q249" s="7">
        <v>4998.07</v>
      </c>
      <c r="R249" s="8">
        <f>IFERROR(Q249/Q444, "NA")</f>
        <v>1.2505230768691875E-2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-4998.07</v>
      </c>
      <c r="X249" s="8">
        <f>IFERROR(W249/W444, "NA")</f>
        <v>9.8084744581914185E-2</v>
      </c>
      <c r="Y249" s="9"/>
      <c r="Z249" s="7">
        <v>4575.54</v>
      </c>
      <c r="AA249" s="8">
        <f>IFERROR(Z249/Z444, "NA")</f>
        <v>1.0869536555567457E-2</v>
      </c>
      <c r="AB249" s="9"/>
      <c r="AC249" s="10">
        <f t="shared" si="67"/>
        <v>-422.52999999999975</v>
      </c>
      <c r="AD249" s="8">
        <f>IFERROR(AC249/AC444, "NA")</f>
        <v>1.986278960006467E-2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433.71</v>
      </c>
      <c r="R261" s="8">
        <f>IFERROR(Q261/Q444, "NA")</f>
        <v>1.085147594309274E-3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-433.71</v>
      </c>
      <c r="X261" s="8">
        <f>IFERROR(W261/W444, "NA")</f>
        <v>8.5113522965108539E-3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-433.71</v>
      </c>
      <c r="AD261" s="8">
        <f>IFERROR(AC261/AC444, "NA")</f>
        <v>2.0388352252962046E-2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7489.18</v>
      </c>
      <c r="C262" s="15">
        <f>IFERROR(B262/B444, "NA")</f>
        <v>6.5893351239986464E-2</v>
      </c>
      <c r="D262" s="2"/>
      <c r="E262" s="14">
        <f>IFERROR(E240+E241+E242+E243+E244+E245+E246+E247+E248+E249+E250+E251+E252+E253+E254+E255+E256+E257+E258+E259+E260+E261, "NA")</f>
        <v>6962.86</v>
      </c>
      <c r="F262" s="15">
        <f>IFERROR(E262/E444, "NA")</f>
        <v>5.2999998782109675E-2</v>
      </c>
      <c r="G262" s="2"/>
      <c r="H262" s="14">
        <f t="shared" si="64"/>
        <v>-526.32000000000062</v>
      </c>
      <c r="I262" s="15">
        <f>IFERROR(H262/H444, "NA")</f>
        <v>2.9704311391845008E-2</v>
      </c>
      <c r="J262" s="2"/>
      <c r="K262" s="14">
        <f>IFERROR(K240+K241+K242+K243+K244+K245+K246+K247+K248+K249+K250+K251+K252+K253+K254+K255+K256+K257+K258+K259+K260+K261, "NA")</f>
        <v>5535.31</v>
      </c>
      <c r="L262" s="15">
        <f>IFERROR(K262/K444, "NA")</f>
        <v>4.6178595288261771E-2</v>
      </c>
      <c r="M262" s="2"/>
      <c r="N262" s="14">
        <f t="shared" si="65"/>
        <v>-1953.87</v>
      </c>
      <c r="O262" s="15">
        <f>IFERROR(N262/N444, "NA")</f>
        <v>0.31456396022771177</v>
      </c>
      <c r="P262" s="2"/>
      <c r="Q262" s="14">
        <f>IFERROR(Q240+Q241+Q242+Q243+Q244+Q245+Q246+Q247+Q248+Q249+Q250+Q251+Q252+Q253+Q254+Q255+Q256+Q257+Q258+Q259+Q260+Q261, "NA")</f>
        <v>26055.69</v>
      </c>
      <c r="R262" s="15">
        <f>IFERROR(Q262/Q444, "NA")</f>
        <v>6.5191647233331498E-2</v>
      </c>
      <c r="S262" s="2"/>
      <c r="T262" s="14">
        <f>IFERROR(T240+T241+T242+T243+T244+T245+T246+T247+T248+T249+T250+T251+T252+T253+T254+T255+T256+T257+T258+T259+T260+T261, "NA")</f>
        <v>23883.65</v>
      </c>
      <c r="U262" s="15">
        <f>IFERROR(T262/T444, "NA")</f>
        <v>5.2999988904545811E-2</v>
      </c>
      <c r="V262" s="2"/>
      <c r="W262" s="14">
        <f t="shared" si="66"/>
        <v>-2172.0399999999972</v>
      </c>
      <c r="X262" s="15">
        <f>IFERROR(W262/W444, "NA")</f>
        <v>4.2625251071253631E-2</v>
      </c>
      <c r="Y262" s="2"/>
      <c r="Z262" s="14">
        <f>IFERROR(Z240+Z241+Z242+Z243+Z244+Z245+Z246+Z247+Z248+Z249+Z250+Z251+Z252+Z253+Z254+Z255+Z256+Z257+Z258+Z259+Z260+Z261, "NA")</f>
        <v>22297.98</v>
      </c>
      <c r="AA262" s="15">
        <f>IFERROR(Z262/Z444, "NA")</f>
        <v>5.2970514677024363E-2</v>
      </c>
      <c r="AB262" s="2"/>
      <c r="AC262" s="14">
        <f t="shared" si="67"/>
        <v>-3757.7099999999991</v>
      </c>
      <c r="AD262" s="15">
        <f>IFERROR(AC262/AC444, "NA")</f>
        <v>0.1766468726671693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7489.18</v>
      </c>
      <c r="C263" s="15">
        <f>IFERROR(B263/B444, "NA")</f>
        <v>6.5893351239986464E-2</v>
      </c>
      <c r="D263" s="2"/>
      <c r="E263" s="14">
        <f>IFERROR(E238+E240+E241+E242+E243+E244+E245+E246+E247+E248+E249+E250+E251+E252+E253+E254+E255+E256+E257+E258+E259+E260+E261, "NA")</f>
        <v>6962.86</v>
      </c>
      <c r="F263" s="15">
        <f>IFERROR(E263/E444, "NA")</f>
        <v>5.2999998782109675E-2</v>
      </c>
      <c r="G263" s="2"/>
      <c r="H263" s="14">
        <f t="shared" si="64"/>
        <v>-526.32000000000062</v>
      </c>
      <c r="I263" s="15">
        <f>IFERROR(H263/H444, "NA")</f>
        <v>2.9704311391845008E-2</v>
      </c>
      <c r="J263" s="2"/>
      <c r="K263" s="14">
        <f>IFERROR(K238+K240+K241+K242+K243+K244+K245+K246+K247+K248+K249+K250+K251+K252+K253+K254+K255+K256+K257+K258+K259+K260+K261, "NA")</f>
        <v>5535.31</v>
      </c>
      <c r="L263" s="15">
        <f>IFERROR(K263/K444, "NA")</f>
        <v>4.6178595288261771E-2</v>
      </c>
      <c r="M263" s="2"/>
      <c r="N263" s="14">
        <f t="shared" si="65"/>
        <v>-1953.87</v>
      </c>
      <c r="O263" s="15">
        <f>IFERROR(N263/N444, "NA")</f>
        <v>0.31456396022771177</v>
      </c>
      <c r="P263" s="2"/>
      <c r="Q263" s="14">
        <f>IFERROR(Q238+Q240+Q241+Q242+Q243+Q244+Q245+Q246+Q247+Q248+Q249+Q250+Q251+Q252+Q253+Q254+Q255+Q256+Q257+Q258+Q259+Q260+Q261, "NA")</f>
        <v>26055.69</v>
      </c>
      <c r="R263" s="15">
        <f>IFERROR(Q263/Q444, "NA")</f>
        <v>6.5191647233331498E-2</v>
      </c>
      <c r="S263" s="2"/>
      <c r="T263" s="14">
        <f>IFERROR(T238+T240+T241+T242+T243+T244+T245+T246+T247+T248+T249+T250+T251+T252+T253+T254+T255+T256+T257+T258+T259+T260+T261, "NA")</f>
        <v>23883.65</v>
      </c>
      <c r="U263" s="15">
        <f>IFERROR(T263/T444, "NA")</f>
        <v>5.2999988904545811E-2</v>
      </c>
      <c r="V263" s="2"/>
      <c r="W263" s="14">
        <f t="shared" si="66"/>
        <v>-2172.0399999999972</v>
      </c>
      <c r="X263" s="15">
        <f>IFERROR(W263/W444, "NA")</f>
        <v>4.2625251071253631E-2</v>
      </c>
      <c r="Y263" s="2"/>
      <c r="Z263" s="14">
        <f>IFERROR(Z238+Z240+Z241+Z242+Z243+Z244+Z245+Z246+Z247+Z248+Z249+Z250+Z251+Z252+Z253+Z254+Z255+Z256+Z257+Z258+Z259+Z260+Z261, "NA")</f>
        <v>22297.98</v>
      </c>
      <c r="AA263" s="15">
        <f>IFERROR(Z263/Z444, "NA")</f>
        <v>5.2970514677024363E-2</v>
      </c>
      <c r="AB263" s="2"/>
      <c r="AC263" s="14">
        <f t="shared" si="67"/>
        <v>-3757.7099999999991</v>
      </c>
      <c r="AD263" s="15">
        <f>IFERROR(AC263/AC444, "NA")</f>
        <v>0.1766468726671693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3584.44</v>
      </c>
      <c r="C265" s="8">
        <f>IFERROR(B265/B444, "NA")</f>
        <v>3.153760010023221E-2</v>
      </c>
      <c r="D265" s="9"/>
      <c r="E265" s="7">
        <v>3809.87</v>
      </c>
      <c r="F265" s="8">
        <f>IFERROR(E265/E444, "NA")</f>
        <v>2.9000023748861271E-2</v>
      </c>
      <c r="G265" s="9"/>
      <c r="H265" s="10">
        <f>IFERROR(-(B265-E265), "NA")</f>
        <v>225.42999999999984</v>
      </c>
      <c r="I265" s="8">
        <f>IFERROR(H265/H444, "NA")</f>
        <v>-1.2722759760342772E-2</v>
      </c>
      <c r="J265" s="9"/>
      <c r="K265" s="7">
        <v>3523.67</v>
      </c>
      <c r="L265" s="8">
        <f>IFERROR(K265/K444, "NA")</f>
        <v>2.9396389878685987E-2</v>
      </c>
      <c r="M265" s="9"/>
      <c r="N265" s="10">
        <f>IFERROR(-(B265-K265), "NA")</f>
        <v>-60.769999999999982</v>
      </c>
      <c r="O265" s="8">
        <f>IFERROR(N265/N444, "NA")</f>
        <v>9.7836866644341949E-3</v>
      </c>
      <c r="P265" s="9"/>
      <c r="Q265" s="7">
        <v>11670.66</v>
      </c>
      <c r="R265" s="8">
        <f>IFERROR(Q265/Q444, "NA")</f>
        <v>2.9200130554982526E-2</v>
      </c>
      <c r="S265" s="9"/>
      <c r="T265" s="7">
        <v>13068.42</v>
      </c>
      <c r="U265" s="8">
        <f>IFERROR(T265/T444, "NA")</f>
        <v>2.9000011095454192E-2</v>
      </c>
      <c r="V265" s="9"/>
      <c r="W265" s="10">
        <f>IFERROR(-(Q265-T265), "NA")</f>
        <v>1397.7600000000002</v>
      </c>
      <c r="X265" s="8">
        <f>IFERROR(W265/W444, "NA")</f>
        <v>-2.7430374641975081E-2</v>
      </c>
      <c r="Y265" s="9"/>
      <c r="Z265" s="7">
        <v>11867.27</v>
      </c>
      <c r="AA265" s="8">
        <f>IFERROR(Z265/Z444, "NA")</f>
        <v>2.8191585054395552E-2</v>
      </c>
      <c r="AB265" s="9"/>
      <c r="AC265" s="10">
        <f>IFERROR(-(Q265-Z265), "NA")</f>
        <v>196.61000000000058</v>
      </c>
      <c r="AD265" s="8">
        <f>IFERROR(AC265/AC444, "NA")</f>
        <v>-9.2424752402639546E-3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32.799999999999997</v>
      </c>
      <c r="R266" s="8">
        <f>IFERROR(Q266/Q444, "NA")</f>
        <v>8.2065991315266387E-5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-32.799999999999997</v>
      </c>
      <c r="X266" s="8">
        <f>IFERROR(W266/W444, "NA")</f>
        <v>6.4368438663059641E-4</v>
      </c>
      <c r="Y266" s="9"/>
      <c r="Z266" s="7">
        <v>37.54</v>
      </c>
      <c r="AA266" s="8">
        <f>IFERROR(Z266/Z444, "NA")</f>
        <v>8.9179070076100827E-5</v>
      </c>
      <c r="AB266" s="9"/>
      <c r="AC266" s="10">
        <f>IFERROR(-(Q266-Z266), "NA")</f>
        <v>4.740000000000002</v>
      </c>
      <c r="AD266" s="8">
        <f>IFERROR(AC266/AC444, "NA")</f>
        <v>-2.2282352189029569E-4</v>
      </c>
    </row>
    <row r="267" spans="1:30" ht="16.5" customHeight="1" x14ac:dyDescent="0.45">
      <c r="A267" s="19" t="s">
        <v>243</v>
      </c>
      <c r="B267" s="14">
        <f>IFERROR(B265+B266, "NA")</f>
        <v>3584.44</v>
      </c>
      <c r="C267" s="15">
        <f>IFERROR(B267/B444, "NA")</f>
        <v>3.153760010023221E-2</v>
      </c>
      <c r="D267" s="2"/>
      <c r="E267" s="14">
        <f>IFERROR(E265+E266, "NA")</f>
        <v>3809.87</v>
      </c>
      <c r="F267" s="15">
        <f>IFERROR(E267/E444, "NA")</f>
        <v>2.9000023748861271E-2</v>
      </c>
      <c r="G267" s="2"/>
      <c r="H267" s="14">
        <f>IFERROR(-(B267-E267), "NA")</f>
        <v>225.42999999999984</v>
      </c>
      <c r="I267" s="15">
        <f>IFERROR(H267/H444, "NA")</f>
        <v>-1.2722759760342772E-2</v>
      </c>
      <c r="J267" s="2"/>
      <c r="K267" s="14">
        <f>IFERROR(K265+K266, "NA")</f>
        <v>3523.67</v>
      </c>
      <c r="L267" s="15">
        <f>IFERROR(K267/K444, "NA")</f>
        <v>2.9396389878685987E-2</v>
      </c>
      <c r="M267" s="2"/>
      <c r="N267" s="14">
        <f>IFERROR(-(B267-K267), "NA")</f>
        <v>-60.769999999999982</v>
      </c>
      <c r="O267" s="15">
        <f>IFERROR(N267/N444, "NA")</f>
        <v>9.7836866644341949E-3</v>
      </c>
      <c r="P267" s="2"/>
      <c r="Q267" s="14">
        <f>IFERROR(Q265+Q266, "NA")</f>
        <v>11703.46</v>
      </c>
      <c r="R267" s="15">
        <f>IFERROR(Q267/Q444, "NA")</f>
        <v>2.9282196546297792E-2</v>
      </c>
      <c r="S267" s="2"/>
      <c r="T267" s="14">
        <f>IFERROR(T265+T266, "NA")</f>
        <v>13068.42</v>
      </c>
      <c r="U267" s="15">
        <f>IFERROR(T267/T444, "NA")</f>
        <v>2.9000011095454192E-2</v>
      </c>
      <c r="V267" s="2"/>
      <c r="W267" s="14">
        <f>IFERROR(-(Q267-T267), "NA")</f>
        <v>1364.9600000000009</v>
      </c>
      <c r="X267" s="15">
        <f>IFERROR(W267/W444, "NA")</f>
        <v>-2.6786690255344501E-2</v>
      </c>
      <c r="Y267" s="2"/>
      <c r="Z267" s="14">
        <f>IFERROR(Z265+Z266, "NA")</f>
        <v>11904.810000000001</v>
      </c>
      <c r="AA267" s="15">
        <f>IFERROR(Z267/Z444, "NA")</f>
        <v>2.8280764124471655E-2</v>
      </c>
      <c r="AB267" s="2"/>
      <c r="AC267" s="14">
        <f>IFERROR(-(Q267-Z267), "NA")</f>
        <v>201.35000000000218</v>
      </c>
      <c r="AD267" s="15">
        <f>IFERROR(AC267/AC444, "NA")</f>
        <v>-9.4652987621543262E-3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197.88</v>
      </c>
      <c r="C270" s="8">
        <f>IFERROR(B270/B444, "NA")</f>
        <v>1.7410419222623197E-3</v>
      </c>
      <c r="D270" s="9"/>
      <c r="E270" s="7">
        <v>200.2</v>
      </c>
      <c r="F270" s="8">
        <f>IFERROR(E270/E444, "NA")</f>
        <v>1.523885264988576E-3</v>
      </c>
      <c r="G270" s="9"/>
      <c r="H270" s="10">
        <f>IFERROR(-(B270-E270), "NA")</f>
        <v>2.3199999999999932</v>
      </c>
      <c r="I270" s="8">
        <f>IFERROR(H270/H444, "NA")</f>
        <v>-1.3093555713079521E-4</v>
      </c>
      <c r="J270" s="9"/>
      <c r="K270" s="7">
        <v>201.73</v>
      </c>
      <c r="L270" s="8">
        <f>IFERROR(K270/K444, "NA")</f>
        <v>1.6829424237307477E-3</v>
      </c>
      <c r="M270" s="9"/>
      <c r="N270" s="10">
        <f>IFERROR(-(B270-K270), "NA")</f>
        <v>3.8499999999999943</v>
      </c>
      <c r="O270" s="8">
        <f>IFERROR(N270/N444, "NA")</f>
        <v>-6.1983204966384081E-4</v>
      </c>
      <c r="P270" s="9"/>
      <c r="Q270" s="7">
        <v>791.52</v>
      </c>
      <c r="R270" s="8">
        <f>IFERROR(Q270/Q444, "NA")</f>
        <v>1.9803924831054772E-3</v>
      </c>
      <c r="S270" s="9"/>
      <c r="T270" s="7">
        <v>800.8</v>
      </c>
      <c r="U270" s="8">
        <f>IFERROR(T270/T444, "NA")</f>
        <v>1.7770479434575652E-3</v>
      </c>
      <c r="V270" s="9"/>
      <c r="W270" s="10">
        <f>IFERROR(-(Q270-T270), "NA")</f>
        <v>9.2799999999999727</v>
      </c>
      <c r="X270" s="8">
        <f>IFERROR(W270/W444, "NA")</f>
        <v>-1.8211558255889994E-4</v>
      </c>
      <c r="Y270" s="9"/>
      <c r="Z270" s="7">
        <v>806.92</v>
      </c>
      <c r="AA270" s="8">
        <f>IFERROR(Z270/Z444, "NA")</f>
        <v>1.9168986474642322E-3</v>
      </c>
      <c r="AB270" s="9"/>
      <c r="AC270" s="10">
        <f>IFERROR(-(Q270-Z270), "NA")</f>
        <v>15.399999999999977</v>
      </c>
      <c r="AD270" s="8">
        <f>IFERROR(AC270/AC444, "NA")</f>
        <v>-7.2394140023429262E-4</v>
      </c>
    </row>
    <row r="271" spans="1:30" ht="16.5" customHeight="1" x14ac:dyDescent="0.45">
      <c r="A271" s="6" t="s">
        <v>246</v>
      </c>
      <c r="B271" s="7">
        <v>894.43</v>
      </c>
      <c r="C271" s="8">
        <f>IFERROR(B271/B444, "NA")</f>
        <v>7.8696185896962121E-3</v>
      </c>
      <c r="D271" s="9"/>
      <c r="E271" s="7">
        <v>894.43</v>
      </c>
      <c r="F271" s="8">
        <f>IFERROR(E271/E444, "NA")</f>
        <v>6.8082352525660941E-3</v>
      </c>
      <c r="G271" s="9"/>
      <c r="H271" s="10">
        <f>IFERROR(-(B271-E271), "NA")</f>
        <v>0</v>
      </c>
      <c r="I271" s="8">
        <f>IFERROR(H271/H444, "NA")</f>
        <v>0</v>
      </c>
      <c r="J271" s="9"/>
      <c r="K271" s="7">
        <v>778.58</v>
      </c>
      <c r="L271" s="8">
        <f>IFERROR(K271/K444, "NA")</f>
        <v>6.4953418543017187E-3</v>
      </c>
      <c r="M271" s="9"/>
      <c r="N271" s="10">
        <f>IFERROR(-(B271-K271), "NA")</f>
        <v>-115.84999999999991</v>
      </c>
      <c r="O271" s="8">
        <f>IFERROR(N271/N444, "NA")</f>
        <v>1.8651309858066494E-2</v>
      </c>
      <c r="P271" s="9"/>
      <c r="Q271" s="7">
        <v>3577.72</v>
      </c>
      <c r="R271" s="8">
        <f>IFERROR(Q271/Q444, "NA")</f>
        <v>8.9514981234285022E-3</v>
      </c>
      <c r="S271" s="9"/>
      <c r="T271" s="7">
        <v>3577.72</v>
      </c>
      <c r="U271" s="8">
        <f>IFERROR(T271/T444, "NA")</f>
        <v>7.9392856746590915E-3</v>
      </c>
      <c r="V271" s="9"/>
      <c r="W271" s="10">
        <f>IFERROR(-(Q271-T271), "NA")</f>
        <v>0</v>
      </c>
      <c r="X271" s="8">
        <f>IFERROR(W271/W444, "NA")</f>
        <v>0</v>
      </c>
      <c r="Y271" s="9"/>
      <c r="Z271" s="7">
        <v>3114.32</v>
      </c>
      <c r="AA271" s="8">
        <f>IFERROR(Z271/Z444, "NA")</f>
        <v>7.3982994544326674E-3</v>
      </c>
      <c r="AB271" s="9"/>
      <c r="AC271" s="10">
        <f>IFERROR(-(Q271-Z271), "NA")</f>
        <v>-463.39999999999964</v>
      </c>
      <c r="AD271" s="8">
        <f>IFERROR(AC271/AC444, "NA")</f>
        <v>2.1784054861595549E-2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1092.31</v>
      </c>
      <c r="C273" s="15">
        <f>IFERROR(B273/B444, "NA")</f>
        <v>9.6106605119585329E-3</v>
      </c>
      <c r="D273" s="2"/>
      <c r="E273" s="14">
        <f>IFERROR(E269+E270+E271+E272, "NA")</f>
        <v>1094.6299999999999</v>
      </c>
      <c r="F273" s="15">
        <f>IFERROR(E273/E444, "NA")</f>
        <v>8.3321205175546694E-3</v>
      </c>
      <c r="G273" s="2"/>
      <c r="H273" s="14">
        <f>IFERROR(-(B273-E273), "NA")</f>
        <v>2.3199999999999363</v>
      </c>
      <c r="I273" s="15">
        <f>IFERROR(H273/H444, "NA")</f>
        <v>-1.3093555713079201E-4</v>
      </c>
      <c r="J273" s="2"/>
      <c r="K273" s="14">
        <f>IFERROR(K269+K270+K271+K272, "NA")</f>
        <v>980.31000000000006</v>
      </c>
      <c r="L273" s="15">
        <f>IFERROR(K273/K444, "NA")</f>
        <v>8.178284278032466E-3</v>
      </c>
      <c r="M273" s="2"/>
      <c r="N273" s="14">
        <f>IFERROR(-(B273-K273), "NA")</f>
        <v>-111.99999999999989</v>
      </c>
      <c r="O273" s="15">
        <f>IFERROR(N273/N444, "NA")</f>
        <v>1.8031477808402648E-2</v>
      </c>
      <c r="P273" s="2"/>
      <c r="Q273" s="14">
        <f>IFERROR(Q269+Q270+Q271+Q272, "NA")</f>
        <v>4369.24</v>
      </c>
      <c r="R273" s="15">
        <f>IFERROR(Q273/Q444, "NA")</f>
        <v>1.0931890606533979E-2</v>
      </c>
      <c r="S273" s="2"/>
      <c r="T273" s="14">
        <f>IFERROR(T269+T270+T271+T272, "NA")</f>
        <v>4378.5199999999995</v>
      </c>
      <c r="U273" s="15">
        <f>IFERROR(T273/T444, "NA")</f>
        <v>9.7163336181166557E-3</v>
      </c>
      <c r="V273" s="2"/>
      <c r="W273" s="14">
        <f>IFERROR(-(Q273-T273), "NA")</f>
        <v>9.2799999999997453</v>
      </c>
      <c r="X273" s="15">
        <f>IFERROR(W273/W444, "NA")</f>
        <v>-1.8211558255889547E-4</v>
      </c>
      <c r="Y273" s="2"/>
      <c r="Z273" s="14">
        <f>IFERROR(Z269+Z270+Z271+Z272, "NA")</f>
        <v>3921.2400000000002</v>
      </c>
      <c r="AA273" s="15">
        <f>IFERROR(Z273/Z444, "NA")</f>
        <v>9.3151981018968991E-3</v>
      </c>
      <c r="AB273" s="2"/>
      <c r="AC273" s="14">
        <f>IFERROR(-(Q273-Z273), "NA")</f>
        <v>-447.99999999999955</v>
      </c>
      <c r="AD273" s="15">
        <f>IFERROR(AC273/AC444, "NA")</f>
        <v>2.106011346136125E-2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hidden="1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0</v>
      </c>
      <c r="F287" s="8">
        <f>IFERROR(E287/E444, "NA")</f>
        <v>0</v>
      </c>
      <c r="G287" s="9"/>
      <c r="H287" s="10">
        <f t="shared" si="72"/>
        <v>0</v>
      </c>
      <c r="I287" s="8">
        <f>IFERROR(H287/H444, "NA")</f>
        <v>0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0</v>
      </c>
      <c r="U287" s="8">
        <f>IFERROR(T287/T444, "NA")</f>
        <v>0</v>
      </c>
      <c r="V287" s="9"/>
      <c r="W287" s="10">
        <f t="shared" si="74"/>
        <v>0</v>
      </c>
      <c r="X287" s="8">
        <f>IFERROR(W287/W444, "NA")</f>
        <v>0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1.2097900965790831E-3</v>
      </c>
      <c r="D288" s="9"/>
      <c r="E288" s="7">
        <v>138</v>
      </c>
      <c r="F288" s="8">
        <f>IFERROR(E288/E444, "NA")</f>
        <v>1.0504304024396779E-3</v>
      </c>
      <c r="G288" s="9"/>
      <c r="H288" s="10">
        <f t="shared" si="72"/>
        <v>0.5</v>
      </c>
      <c r="I288" s="8">
        <f>IFERROR(H288/H444, "NA")</f>
        <v>-2.8218870071292154E-5</v>
      </c>
      <c r="J288" s="9"/>
      <c r="K288" s="7">
        <v>137.5</v>
      </c>
      <c r="L288" s="8">
        <f>IFERROR(K288/K444, "NA")</f>
        <v>1.1471004970157034E-3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550</v>
      </c>
      <c r="R288" s="8">
        <f>IFERROR(Q288/Q444, "NA")</f>
        <v>1.3761065616889182E-3</v>
      </c>
      <c r="S288" s="9"/>
      <c r="T288" s="7">
        <v>552</v>
      </c>
      <c r="U288" s="8">
        <f>IFERROR(T288/T444, "NA")</f>
        <v>1.2249381428428774E-3</v>
      </c>
      <c r="V288" s="9"/>
      <c r="W288" s="10">
        <f t="shared" si="74"/>
        <v>2</v>
      </c>
      <c r="X288" s="8">
        <f>IFERROR(W288/W444, "NA")</f>
        <v>-3.9249047965280276E-5</v>
      </c>
      <c r="Y288" s="9"/>
      <c r="Z288" s="7">
        <v>550</v>
      </c>
      <c r="AA288" s="8">
        <f>IFERROR(Z288/Z444, "NA")</f>
        <v>1.3065660240238533E-3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226.36</v>
      </c>
      <c r="C289" s="8">
        <f>IFERROR(B289/B444, "NA")</f>
        <v>1.9916224455392094E-3</v>
      </c>
      <c r="D289" s="9"/>
      <c r="E289" s="7">
        <v>211</v>
      </c>
      <c r="F289" s="8">
        <f>IFERROR(E289/E444, "NA")</f>
        <v>1.6060928617012465E-3</v>
      </c>
      <c r="G289" s="9"/>
      <c r="H289" s="10">
        <f t="shared" si="72"/>
        <v>-15.360000000000014</v>
      </c>
      <c r="I289" s="8">
        <f>IFERROR(H289/H444, "NA")</f>
        <v>8.6688368859009579E-4</v>
      </c>
      <c r="J289" s="9"/>
      <c r="K289" s="7">
        <v>196.46</v>
      </c>
      <c r="L289" s="8">
        <f>IFERROR(K289/K444, "NA")</f>
        <v>1.6389771901360369E-3</v>
      </c>
      <c r="M289" s="9"/>
      <c r="N289" s="10">
        <f t="shared" si="73"/>
        <v>-29.900000000000006</v>
      </c>
      <c r="O289" s="8">
        <f>IFERROR(N289/N444, "NA")</f>
        <v>4.8137605934932132E-3</v>
      </c>
      <c r="P289" s="9"/>
      <c r="Q289" s="7">
        <v>696.79</v>
      </c>
      <c r="R289" s="8">
        <f>IFERROR(Q289/Q444, "NA")</f>
        <v>1.7433768929440386E-3</v>
      </c>
      <c r="S289" s="9"/>
      <c r="T289" s="7">
        <v>844</v>
      </c>
      <c r="U289" s="8">
        <f>IFERROR(T289/T444, "NA")</f>
        <v>1.8729126676800515E-3</v>
      </c>
      <c r="V289" s="9"/>
      <c r="W289" s="10">
        <f t="shared" si="74"/>
        <v>147.21000000000004</v>
      </c>
      <c r="X289" s="8">
        <f>IFERROR(W289/W444, "NA")</f>
        <v>-2.8889261754844551E-3</v>
      </c>
      <c r="Y289" s="9"/>
      <c r="Z289" s="7">
        <v>624.63</v>
      </c>
      <c r="AA289" s="8">
        <f>IFERROR(Z289/Z444, "NA")</f>
        <v>1.4838551556109446E-3</v>
      </c>
      <c r="AB289" s="9"/>
      <c r="AC289" s="10">
        <f t="shared" si="75"/>
        <v>-72.159999999999968</v>
      </c>
      <c r="AD289" s="8">
        <f>IFERROR(AC289/AC444, "NA")</f>
        <v>3.3921825610978319E-3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788.25</v>
      </c>
      <c r="F290" s="8">
        <f>IFERROR(E290/E444, "NA")</f>
        <v>6.0000127878483776E-3</v>
      </c>
      <c r="G290" s="9"/>
      <c r="H290" s="10">
        <f t="shared" si="72"/>
        <v>788.25</v>
      </c>
      <c r="I290" s="8">
        <f>IFERROR(H290/H444, "NA")</f>
        <v>-4.448704866739208E-2</v>
      </c>
      <c r="J290" s="9"/>
      <c r="K290" s="7">
        <v>2155</v>
      </c>
      <c r="L290" s="8">
        <f>IFERROR(K290/K444, "NA")</f>
        <v>1.7978193244137023E-2</v>
      </c>
      <c r="M290" s="9"/>
      <c r="N290" s="10">
        <f t="shared" si="73"/>
        <v>2155</v>
      </c>
      <c r="O290" s="8">
        <f>IFERROR(N290/N444, "NA")</f>
        <v>-0.34694495247417634</v>
      </c>
      <c r="P290" s="9"/>
      <c r="Q290" s="7">
        <v>869.2</v>
      </c>
      <c r="R290" s="8">
        <f>IFERROR(Q290/Q444, "NA")</f>
        <v>2.1747487698545597E-3</v>
      </c>
      <c r="S290" s="9"/>
      <c r="T290" s="7">
        <v>2703.81</v>
      </c>
      <c r="U290" s="8">
        <f>IFERROR(T290/T444, "NA")</f>
        <v>6.0000000000000001E-3</v>
      </c>
      <c r="V290" s="9"/>
      <c r="W290" s="10">
        <f t="shared" si="74"/>
        <v>1834.61</v>
      </c>
      <c r="X290" s="8">
        <f>IFERROR(W290/W444, "NA")</f>
        <v>-3.6003347943791418E-2</v>
      </c>
      <c r="Y290" s="9"/>
      <c r="Z290" s="7">
        <v>2964.63</v>
      </c>
      <c r="AA290" s="8">
        <f>IFERROR(Z290/Z444, "NA")</f>
        <v>7.0426996941851568E-3</v>
      </c>
      <c r="AB290" s="9"/>
      <c r="AC290" s="10">
        <f t="shared" si="75"/>
        <v>2095.4300000000003</v>
      </c>
      <c r="AD290" s="8">
        <f>IFERROR(AC290/AC444, "NA")</f>
        <v>-9.8504449889152357E-2</v>
      </c>
    </row>
    <row r="291" spans="1:30" ht="16.5" customHeight="1" x14ac:dyDescent="0.45">
      <c r="A291" s="6" t="s">
        <v>264</v>
      </c>
      <c r="B291" s="7">
        <v>1512.64</v>
      </c>
      <c r="C291" s="8">
        <f>IFERROR(B291/B444, "NA")</f>
        <v>1.3308922848650068E-2</v>
      </c>
      <c r="D291" s="9"/>
      <c r="E291" s="7">
        <v>525.5</v>
      </c>
      <c r="F291" s="8">
        <f>IFERROR(E291/E444, "NA")</f>
        <v>4.000008525232252E-3</v>
      </c>
      <c r="G291" s="9"/>
      <c r="H291" s="10">
        <f t="shared" si="72"/>
        <v>-987.1400000000001</v>
      </c>
      <c r="I291" s="8">
        <f>IFERROR(H291/H444, "NA")</f>
        <v>5.5711950804350679E-2</v>
      </c>
      <c r="J291" s="9"/>
      <c r="K291" s="7">
        <v>837.57</v>
      </c>
      <c r="L291" s="8">
        <f>IFERROR(K291/K444, "NA")</f>
        <v>6.9874688238941284E-3</v>
      </c>
      <c r="M291" s="9"/>
      <c r="N291" s="10">
        <f t="shared" si="73"/>
        <v>-675.07</v>
      </c>
      <c r="O291" s="8">
        <f>IFERROR(N291/N444, "NA")</f>
        <v>0.10868312253677133</v>
      </c>
      <c r="P291" s="9"/>
      <c r="Q291" s="7">
        <v>1938.44</v>
      </c>
      <c r="R291" s="8">
        <f>IFERROR(Q291/Q444, "NA")</f>
        <v>4.8500000062550305E-3</v>
      </c>
      <c r="S291" s="9"/>
      <c r="T291" s="7">
        <v>1802.54</v>
      </c>
      <c r="U291" s="8">
        <f>IFERROR(T291/T444, "NA")</f>
        <v>4.0000000000000001E-3</v>
      </c>
      <c r="V291" s="9"/>
      <c r="W291" s="10">
        <f t="shared" si="74"/>
        <v>-135.90000000000009</v>
      </c>
      <c r="X291" s="8">
        <f>IFERROR(W291/W444, "NA")</f>
        <v>2.6669728092407964E-3</v>
      </c>
      <c r="Y291" s="9"/>
      <c r="Z291" s="7">
        <v>1975.03</v>
      </c>
      <c r="AA291" s="8">
        <f>IFERROR(Z291/Z444, "NA")</f>
        <v>4.6918310807778744E-3</v>
      </c>
      <c r="AB291" s="9"/>
      <c r="AC291" s="10">
        <f t="shared" si="75"/>
        <v>36.589999999999918</v>
      </c>
      <c r="AD291" s="8">
        <f>IFERROR(AC291/AC444, "NA")</f>
        <v>-1.7200659632839446E-3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131.37</v>
      </c>
      <c r="F292" s="8">
        <f>IFERROR(E292/E444, "NA")</f>
        <v>9.9996407223551086E-4</v>
      </c>
      <c r="G292" s="9"/>
      <c r="H292" s="10">
        <f t="shared" si="72"/>
        <v>131.37</v>
      </c>
      <c r="I292" s="8">
        <f>IFERROR(H292/H444, "NA")</f>
        <v>-7.4142259225313005E-3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450.63</v>
      </c>
      <c r="U292" s="8">
        <f>IFERROR(T292/T444, "NA")</f>
        <v>9.9998890454580766E-4</v>
      </c>
      <c r="V292" s="9"/>
      <c r="W292" s="10">
        <f t="shared" si="74"/>
        <v>450.63</v>
      </c>
      <c r="X292" s="8">
        <f>IFERROR(W292/W444, "NA")</f>
        <v>-8.8433992422971251E-3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131.37</v>
      </c>
      <c r="F293" s="8">
        <f>IFERROR(E293/E444, "NA")</f>
        <v>9.9996407223551086E-4</v>
      </c>
      <c r="G293" s="9"/>
      <c r="H293" s="10">
        <f t="shared" si="72"/>
        <v>131.37</v>
      </c>
      <c r="I293" s="8">
        <f>IFERROR(H293/H444, "NA")</f>
        <v>-7.4142259225313005E-3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851.73</v>
      </c>
      <c r="R293" s="8">
        <f>IFERROR(Q293/Q444, "NA")</f>
        <v>2.1310386214314588E-3</v>
      </c>
      <c r="S293" s="9"/>
      <c r="T293" s="7">
        <v>450.63</v>
      </c>
      <c r="U293" s="8">
        <f>IFERROR(T293/T444, "NA")</f>
        <v>9.9998890454580766E-4</v>
      </c>
      <c r="V293" s="9"/>
      <c r="W293" s="10">
        <f t="shared" si="74"/>
        <v>-401.1</v>
      </c>
      <c r="X293" s="8">
        <f>IFERROR(W293/W444, "NA")</f>
        <v>7.8713965694369586E-3</v>
      </c>
      <c r="Y293" s="9"/>
      <c r="Z293" s="7">
        <v>369.93</v>
      </c>
      <c r="AA293" s="8">
        <f>IFERROR(Z293/Z444, "NA")</f>
        <v>8.7879630775844378E-4</v>
      </c>
      <c r="AB293" s="9"/>
      <c r="AC293" s="10">
        <f t="shared" si="75"/>
        <v>-481.8</v>
      </c>
      <c r="AD293" s="8">
        <f>IFERROR(AC293/AC444, "NA")</f>
        <v>2.2649023807330047E-2</v>
      </c>
    </row>
    <row r="294" spans="1:30" ht="16.5" customHeight="1" x14ac:dyDescent="0.45">
      <c r="A294" s="6" t="s">
        <v>267</v>
      </c>
      <c r="B294" s="7">
        <v>299.99</v>
      </c>
      <c r="C294" s="8">
        <f>IFERROR(B294/B444, "NA")</f>
        <v>2.6394540441655213E-3</v>
      </c>
      <c r="D294" s="9"/>
      <c r="E294" s="7">
        <v>346</v>
      </c>
      <c r="F294" s="8">
        <f>IFERROR(E294/E444, "NA")</f>
        <v>2.6336878206096271E-3</v>
      </c>
      <c r="G294" s="9"/>
      <c r="H294" s="10">
        <f t="shared" si="72"/>
        <v>46.009999999999991</v>
      </c>
      <c r="I294" s="8">
        <f>IFERROR(H294/H444, "NA")</f>
        <v>-2.5967004239603035E-3</v>
      </c>
      <c r="J294" s="9"/>
      <c r="K294" s="7">
        <v>309.99</v>
      </c>
      <c r="L294" s="8">
        <f>IFERROR(K294/K444, "NA")</f>
        <v>2.5861067859628936E-3</v>
      </c>
      <c r="M294" s="9"/>
      <c r="N294" s="10">
        <f t="shared" si="73"/>
        <v>10</v>
      </c>
      <c r="O294" s="8">
        <f>IFERROR(N294/N444, "NA")</f>
        <v>-1.6099533757502381E-3</v>
      </c>
      <c r="P294" s="9"/>
      <c r="Q294" s="7">
        <v>1229.97</v>
      </c>
      <c r="R294" s="8">
        <f>IFERROR(Q294/Q444, "NA")</f>
        <v>3.0773996139645795E-3</v>
      </c>
      <c r="S294" s="9"/>
      <c r="T294" s="7">
        <v>1384</v>
      </c>
      <c r="U294" s="8">
        <f>IFERROR(T294/T444, "NA")</f>
        <v>3.0712217204611272E-3</v>
      </c>
      <c r="V294" s="9"/>
      <c r="W294" s="10">
        <f t="shared" si="74"/>
        <v>154.02999999999997</v>
      </c>
      <c r="X294" s="8">
        <f>IFERROR(W294/W444, "NA")</f>
        <v>-3.0227654290460597E-3</v>
      </c>
      <c r="Y294" s="9"/>
      <c r="Z294" s="7">
        <v>1468.96</v>
      </c>
      <c r="AA294" s="8">
        <f>IFERROR(Z294/Z444, "NA")</f>
        <v>3.4896240484546901E-3</v>
      </c>
      <c r="AB294" s="9"/>
      <c r="AC294" s="10">
        <f t="shared" si="75"/>
        <v>238.99</v>
      </c>
      <c r="AD294" s="8">
        <f>IFERROR(AC294/AC444, "NA")</f>
        <v>-1.1234724366363238E-2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2176.4899999999998</v>
      </c>
      <c r="C295" s="15">
        <f>IFERROR(B295/B444, "NA")</f>
        <v>1.9149789434933878E-2</v>
      </c>
      <c r="D295" s="2"/>
      <c r="E295" s="14">
        <f>IFERROR(E286+E287+E288+E289+E290+E291+E292+E293+E294, "NA")</f>
        <v>2271.4899999999998</v>
      </c>
      <c r="F295" s="15">
        <f>IFERROR(E295/E444, "NA")</f>
        <v>1.7290160542302202E-2</v>
      </c>
      <c r="G295" s="2"/>
      <c r="H295" s="14">
        <f t="shared" si="72"/>
        <v>95</v>
      </c>
      <c r="I295" s="15">
        <f>IFERROR(H295/H444, "NA")</f>
        <v>-5.3615853135455093E-3</v>
      </c>
      <c r="J295" s="2"/>
      <c r="K295" s="14">
        <f>IFERROR(K286+K287+K288+K289+K290+K291+K292+K293+K294, "NA")</f>
        <v>3636.5200000000004</v>
      </c>
      <c r="L295" s="15">
        <f>IFERROR(K295/K444, "NA")</f>
        <v>3.033784654114579E-2</v>
      </c>
      <c r="M295" s="2"/>
      <c r="N295" s="14">
        <f t="shared" si="73"/>
        <v>1460.0300000000007</v>
      </c>
      <c r="O295" s="15">
        <f>IFERROR(N295/N444, "NA")</f>
        <v>-0.23505802271966211</v>
      </c>
      <c r="P295" s="2"/>
      <c r="Q295" s="14">
        <f>IFERROR(Q286+Q287+Q288+Q289+Q290+Q291+Q292+Q293+Q294, "NA")</f>
        <v>6136.13</v>
      </c>
      <c r="R295" s="15">
        <f>IFERROR(Q295/Q444, "NA")</f>
        <v>1.5352670466138585E-2</v>
      </c>
      <c r="S295" s="2"/>
      <c r="T295" s="14">
        <f>IFERROR(T286+T287+T288+T289+T290+T291+T292+T293+T294, "NA")</f>
        <v>8187.61</v>
      </c>
      <c r="U295" s="15">
        <f>IFERROR(T295/T444, "NA")</f>
        <v>1.8169050340075672E-2</v>
      </c>
      <c r="V295" s="2"/>
      <c r="W295" s="14">
        <f t="shared" si="74"/>
        <v>2051.4799999999996</v>
      </c>
      <c r="X295" s="15">
        <f>IFERROR(W295/W444, "NA")</f>
        <v>-4.025931845990658E-2</v>
      </c>
      <c r="Y295" s="2"/>
      <c r="Z295" s="14">
        <f>IFERROR(Z286+Z287+Z288+Z289+Z290+Z291+Z292+Z293+Z294, "NA")</f>
        <v>7953.18</v>
      </c>
      <c r="AA295" s="15">
        <f>IFERROR(Z295/Z444, "NA")</f>
        <v>1.8893372310810962E-2</v>
      </c>
      <c r="AB295" s="2"/>
      <c r="AC295" s="14">
        <f t="shared" si="75"/>
        <v>1817.0500000000002</v>
      </c>
      <c r="AD295" s="15">
        <f>IFERROR(AC295/AC444, "NA")</f>
        <v>-8.5418033850371652E-2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359.8</v>
      </c>
      <c r="C299" s="8">
        <f>IFERROR(B299/B444, "NA")</f>
        <v>3.165690739993848E-3</v>
      </c>
      <c r="D299" s="9"/>
      <c r="E299" s="7">
        <v>575</v>
      </c>
      <c r="F299" s="8">
        <f>IFERROR(E299/E444, "NA")</f>
        <v>4.3767933434986578E-3</v>
      </c>
      <c r="G299" s="9"/>
      <c r="H299" s="10">
        <f t="shared" si="76"/>
        <v>215.2</v>
      </c>
      <c r="I299" s="8">
        <f>IFERROR(H299/H444, "NA")</f>
        <v>-1.2145401678684142E-2</v>
      </c>
      <c r="J299" s="9"/>
      <c r="K299" s="7">
        <v>243.19</v>
      </c>
      <c r="L299" s="8">
        <f>IFERROR(K299/K444, "NA")</f>
        <v>2.0288245081399917E-3</v>
      </c>
      <c r="M299" s="9"/>
      <c r="N299" s="10">
        <f t="shared" si="77"/>
        <v>-116.61000000000001</v>
      </c>
      <c r="O299" s="8">
        <f>IFERROR(N299/N444, "NA")</f>
        <v>1.877366631462353E-2</v>
      </c>
      <c r="P299" s="9"/>
      <c r="Q299" s="7">
        <v>2100.65</v>
      </c>
      <c r="R299" s="8">
        <f>IFERROR(Q299/Q444, "NA")</f>
        <v>5.2558513614760476E-3</v>
      </c>
      <c r="S299" s="9"/>
      <c r="T299" s="7">
        <v>2300</v>
      </c>
      <c r="U299" s="8">
        <f>IFERROR(T299/T444, "NA")</f>
        <v>5.1039089285119885E-3</v>
      </c>
      <c r="V299" s="9"/>
      <c r="W299" s="10">
        <f t="shared" si="78"/>
        <v>199.34999999999991</v>
      </c>
      <c r="X299" s="8">
        <f>IFERROR(W299/W444, "NA")</f>
        <v>-3.9121488559393097E-3</v>
      </c>
      <c r="Y299" s="9"/>
      <c r="Z299" s="7">
        <v>825.37</v>
      </c>
      <c r="AA299" s="8">
        <f>IFERROR(Z299/Z444, "NA")</f>
        <v>1.9607279986337597E-3</v>
      </c>
      <c r="AB299" s="9"/>
      <c r="AC299" s="10">
        <f t="shared" si="79"/>
        <v>-1275.2800000000002</v>
      </c>
      <c r="AD299" s="8">
        <f>IFERROR(AC299/AC444, "NA")</f>
        <v>5.9949869408492867E-2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150</v>
      </c>
      <c r="C304" s="8">
        <f>IFERROR(B304/B444, "NA")</f>
        <v>1.3197710144499089E-3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-150</v>
      </c>
      <c r="I304" s="8">
        <f>IFERROR(H304/H444, "NA")</f>
        <v>8.4656610213876462E-3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-150</v>
      </c>
      <c r="O304" s="8">
        <f>IFERROR(N304/N444, "NA")</f>
        <v>2.4149300636253573E-2</v>
      </c>
      <c r="P304" s="9"/>
      <c r="Q304" s="7">
        <v>150</v>
      </c>
      <c r="R304" s="8">
        <f>IFERROR(Q304/Q444, "NA")</f>
        <v>3.7530178955152315E-4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-150</v>
      </c>
      <c r="X304" s="8">
        <f>IFERROR(W304/W444, "NA")</f>
        <v>2.9436785973960206E-3</v>
      </c>
      <c r="Y304" s="9"/>
      <c r="Z304" s="7">
        <v>197.01</v>
      </c>
      <c r="AA304" s="8">
        <f>IFERROR(Z304/Z444, "NA")</f>
        <v>4.6801194980534424E-4</v>
      </c>
      <c r="AB304" s="9"/>
      <c r="AC304" s="10">
        <f t="shared" si="79"/>
        <v>47.009999999999991</v>
      </c>
      <c r="AD304" s="8">
        <f>IFERROR(AC304/AC444, "NA")</f>
        <v>-2.2099016379879309E-3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104.48</v>
      </c>
      <c r="C310" s="8">
        <f>IFERROR(B310/B444, "NA")</f>
        <v>9.1926450393150984E-4</v>
      </c>
      <c r="D310" s="9"/>
      <c r="E310" s="7">
        <v>55</v>
      </c>
      <c r="F310" s="8">
        <f>IFERROR(E310/E444, "NA")</f>
        <v>4.1864979807378468E-4</v>
      </c>
      <c r="G310" s="9"/>
      <c r="H310" s="10">
        <f t="shared" si="76"/>
        <v>-49.480000000000004</v>
      </c>
      <c r="I310" s="8">
        <f>IFERROR(H310/H444, "NA")</f>
        <v>2.7925393822550719E-3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-104.48</v>
      </c>
      <c r="O310" s="8">
        <f>IFERROR(N310/N444, "NA")</f>
        <v>1.6820792869838487E-2</v>
      </c>
      <c r="P310" s="9"/>
      <c r="Q310" s="7">
        <v>144.08000000000001</v>
      </c>
      <c r="R310" s="8">
        <f>IFERROR(Q310/Q444, "NA")</f>
        <v>3.6048987892388975E-4</v>
      </c>
      <c r="S310" s="9"/>
      <c r="T310" s="7">
        <v>220</v>
      </c>
      <c r="U310" s="8">
        <f>IFERROR(T310/T444, "NA")</f>
        <v>4.8819998446636415E-4</v>
      </c>
      <c r="V310" s="9"/>
      <c r="W310" s="10">
        <f t="shared" si="78"/>
        <v>75.919999999999987</v>
      </c>
      <c r="X310" s="8">
        <f>IFERROR(W310/W444, "NA")</f>
        <v>-1.4898938607620391E-3</v>
      </c>
      <c r="Y310" s="9"/>
      <c r="Z310" s="7">
        <v>81.489999999999995</v>
      </c>
      <c r="AA310" s="8">
        <f>IFERROR(Z310/Z444, "NA")</f>
        <v>1.9358557326855236E-4</v>
      </c>
      <c r="AB310" s="9"/>
      <c r="AC310" s="10">
        <f t="shared" si="79"/>
        <v>-62.590000000000018</v>
      </c>
      <c r="AD310" s="8">
        <f>IFERROR(AC310/AC444, "NA")</f>
        <v>2.9423046909522375E-3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26.7</v>
      </c>
      <c r="AA311" s="8">
        <f>IFERROR(Z311/Z444, "NA")</f>
        <v>6.3427841529885246E-5</v>
      </c>
      <c r="AB311" s="9"/>
      <c r="AC311" s="10">
        <f t="shared" si="79"/>
        <v>26.7</v>
      </c>
      <c r="AD311" s="8">
        <f>IFERROR(AC311/AC444, "NA")</f>
        <v>-1.255145154951665E-3</v>
      </c>
    </row>
    <row r="312" spans="1:30" ht="16.5" customHeight="1" x14ac:dyDescent="0.45">
      <c r="A312" s="6" t="s">
        <v>284</v>
      </c>
      <c r="B312" s="7">
        <v>411.31</v>
      </c>
      <c r="C312" s="8">
        <f>IFERROR(B312/B444, "NA")</f>
        <v>3.6189001063559466E-3</v>
      </c>
      <c r="D312" s="9"/>
      <c r="E312" s="7">
        <v>35</v>
      </c>
      <c r="F312" s="8">
        <f>IFERROR(E312/E444, "NA")</f>
        <v>2.664135078651357E-4</v>
      </c>
      <c r="G312" s="9"/>
      <c r="H312" s="10">
        <f t="shared" si="76"/>
        <v>-376.31</v>
      </c>
      <c r="I312" s="8">
        <f>IFERROR(H312/H444, "NA")</f>
        <v>2.1238085993055902E-2</v>
      </c>
      <c r="J312" s="9"/>
      <c r="K312" s="7">
        <v>95.69</v>
      </c>
      <c r="L312" s="8">
        <f>IFERROR(K312/K444, "NA")</f>
        <v>7.9829852043223747E-4</v>
      </c>
      <c r="M312" s="9"/>
      <c r="N312" s="10">
        <f t="shared" si="77"/>
        <v>-315.62</v>
      </c>
      <c r="O312" s="8">
        <f>IFERROR(N312/N444, "NA")</f>
        <v>5.0813348445429014E-2</v>
      </c>
      <c r="P312" s="9"/>
      <c r="Q312" s="7">
        <v>1066</v>
      </c>
      <c r="R312" s="8">
        <f>IFERROR(Q312/Q444, "NA")</f>
        <v>2.6671447177461578E-3</v>
      </c>
      <c r="S312" s="9"/>
      <c r="T312" s="7">
        <v>140</v>
      </c>
      <c r="U312" s="8">
        <f>IFERROR(T312/T444, "NA")</f>
        <v>3.1067271738768627E-4</v>
      </c>
      <c r="V312" s="9"/>
      <c r="W312" s="10">
        <f t="shared" si="78"/>
        <v>-926</v>
      </c>
      <c r="X312" s="8">
        <f>IFERROR(W312/W444, "NA")</f>
        <v>1.8172309207924765E-2</v>
      </c>
      <c r="Y312" s="9"/>
      <c r="Z312" s="7">
        <v>212.57</v>
      </c>
      <c r="AA312" s="8">
        <f>IFERROR(Z312/Z444, "NA")</f>
        <v>5.049758904122736E-4</v>
      </c>
      <c r="AB312" s="9"/>
      <c r="AC312" s="10">
        <f t="shared" si="79"/>
        <v>-853.43000000000006</v>
      </c>
      <c r="AD312" s="8">
        <f>IFERROR(AC312/AC444, "NA")</f>
        <v>4.0119046052074891E-2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10</v>
      </c>
      <c r="F313" s="8">
        <f>IFERROR(E313/E444, "NA")</f>
        <v>7.611814510432449E-5</v>
      </c>
      <c r="G313" s="9"/>
      <c r="H313" s="10">
        <f t="shared" si="76"/>
        <v>10</v>
      </c>
      <c r="I313" s="8">
        <f>IFERROR(H313/H444, "NA")</f>
        <v>-5.6437740142584311E-4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12</v>
      </c>
      <c r="R313" s="8">
        <f>IFERROR(Q313/Q444, "NA")</f>
        <v>3.002414316412185E-5</v>
      </c>
      <c r="S313" s="9"/>
      <c r="T313" s="7">
        <v>40</v>
      </c>
      <c r="U313" s="8">
        <f>IFERROR(T313/T444, "NA")</f>
        <v>8.8763633539338927E-5</v>
      </c>
      <c r="V313" s="9"/>
      <c r="W313" s="10">
        <f t="shared" si="78"/>
        <v>28</v>
      </c>
      <c r="X313" s="8">
        <f>IFERROR(W313/W444, "NA")</f>
        <v>-5.4948667151392386E-4</v>
      </c>
      <c r="Y313" s="9"/>
      <c r="Z313" s="7">
        <v>20.75</v>
      </c>
      <c r="AA313" s="8">
        <f>IFERROR(Z313/Z444, "NA")</f>
        <v>4.9293172724536284E-5</v>
      </c>
      <c r="AB313" s="9"/>
      <c r="AC313" s="10">
        <f t="shared" si="79"/>
        <v>8.75</v>
      </c>
      <c r="AD313" s="8">
        <f>IFERROR(AC313/AC444, "NA")</f>
        <v>-4.1133034104221233E-4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748.97</v>
      </c>
      <c r="C315" s="8">
        <f>IFERROR(B315/B444, "NA")</f>
        <v>6.5897926446169888E-3</v>
      </c>
      <c r="D315" s="9"/>
      <c r="E315" s="7">
        <v>919.62</v>
      </c>
      <c r="F315" s="8">
        <f>IFERROR(E315/E444, "NA")</f>
        <v>6.9999768600838884E-3</v>
      </c>
      <c r="G315" s="9"/>
      <c r="H315" s="10">
        <f t="shared" si="76"/>
        <v>170.64999999999998</v>
      </c>
      <c r="I315" s="8">
        <f>IFERROR(H315/H444, "NA")</f>
        <v>-9.6311003553320104E-3</v>
      </c>
      <c r="J315" s="9"/>
      <c r="K315" s="7">
        <v>794.11</v>
      </c>
      <c r="L315" s="8">
        <f>IFERROR(K315/K444, "NA")</f>
        <v>6.6249016413464741E-3</v>
      </c>
      <c r="M315" s="9"/>
      <c r="N315" s="10">
        <f t="shared" si="77"/>
        <v>45.139999999999986</v>
      </c>
      <c r="O315" s="8">
        <f>IFERROR(N315/N444, "NA")</f>
        <v>-7.267329538136573E-3</v>
      </c>
      <c r="P315" s="9"/>
      <c r="Q315" s="7">
        <v>2995.88</v>
      </c>
      <c r="R315" s="8">
        <f>IFERROR(Q315/Q444, "NA")</f>
        <v>7.4957275018774482E-3</v>
      </c>
      <c r="S315" s="9"/>
      <c r="T315" s="7">
        <v>3154.44</v>
      </c>
      <c r="U315" s="8">
        <f>IFERROR(T315/T444, "NA")</f>
        <v>6.9999889045458076E-3</v>
      </c>
      <c r="V315" s="9"/>
      <c r="W315" s="10">
        <f t="shared" si="78"/>
        <v>158.55999999999995</v>
      </c>
      <c r="X315" s="8">
        <f>IFERROR(W315/W444, "NA")</f>
        <v>-3.1116645226874191E-3</v>
      </c>
      <c r="Y315" s="9"/>
      <c r="Z315" s="7">
        <v>3176.44</v>
      </c>
      <c r="AA315" s="8">
        <f>IFERROR(Z315/Z444, "NA")</f>
        <v>7.5458701479096885E-3</v>
      </c>
      <c r="AB315" s="9"/>
      <c r="AC315" s="10">
        <f t="shared" si="79"/>
        <v>180.55999999999995</v>
      </c>
      <c r="AD315" s="8">
        <f>IFERROR(AC315/AC444, "NA")</f>
        <v>-8.4879778718379238E-3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294</v>
      </c>
      <c r="R316" s="8">
        <f>IFERROR(Q316/Q444, "NA")</f>
        <v>7.3559150752098537E-4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-294</v>
      </c>
      <c r="X316" s="8">
        <f>IFERROR(W316/W444, "NA")</f>
        <v>5.7696100508962001E-3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-294</v>
      </c>
      <c r="AD316" s="8">
        <f>IFERROR(AC316/AC444, "NA")</f>
        <v>1.3820699459018334E-2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4.3165310645941687E-3</v>
      </c>
      <c r="D318" s="9"/>
      <c r="E318" s="7">
        <v>491</v>
      </c>
      <c r="F318" s="8">
        <f>IFERROR(E318/E444, "NA")</f>
        <v>3.7374009246223324E-3</v>
      </c>
      <c r="G318" s="9"/>
      <c r="H318" s="10">
        <f t="shared" si="76"/>
        <v>0.39999999999997726</v>
      </c>
      <c r="I318" s="8">
        <f>IFERROR(H318/H444, "NA")</f>
        <v>-2.2575096057032442E-5</v>
      </c>
      <c r="J318" s="9"/>
      <c r="K318" s="7">
        <v>490.6</v>
      </c>
      <c r="L318" s="8">
        <f>IFERROR(K318/K444, "NA")</f>
        <v>4.0928545733520299E-3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1962.4</v>
      </c>
      <c r="R318" s="8">
        <f>IFERROR(Q318/Q444, "NA")</f>
        <v>4.9099482121060601E-3</v>
      </c>
      <c r="S318" s="9"/>
      <c r="T318" s="7">
        <v>1964</v>
      </c>
      <c r="U318" s="8">
        <f>IFERROR(T318/T444, "NA")</f>
        <v>4.358294406781542E-3</v>
      </c>
      <c r="V318" s="9"/>
      <c r="W318" s="10">
        <f t="shared" si="78"/>
        <v>1.5999999999999091</v>
      </c>
      <c r="X318" s="8">
        <f>IFERROR(W318/W444, "NA")</f>
        <v>-3.1399238372222435E-5</v>
      </c>
      <c r="Y318" s="9"/>
      <c r="Z318" s="7">
        <v>1962.4</v>
      </c>
      <c r="AA318" s="8">
        <f>IFERROR(Z318/Z444, "NA")</f>
        <v>4.6618275737171089E-3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160.27000000000001</v>
      </c>
      <c r="C319" s="8">
        <f>IFERROR(B319/B444, "NA")</f>
        <v>1.4101313365725793E-3</v>
      </c>
      <c r="D319" s="9"/>
      <c r="E319" s="7">
        <v>160</v>
      </c>
      <c r="F319" s="8">
        <f>IFERROR(E319/E444, "NA")</f>
        <v>1.2178903216691918E-3</v>
      </c>
      <c r="G319" s="9"/>
      <c r="H319" s="10">
        <f t="shared" si="76"/>
        <v>-0.27000000000001023</v>
      </c>
      <c r="I319" s="8">
        <f>IFERROR(H319/H444, "NA")</f>
        <v>1.5238189838498341E-5</v>
      </c>
      <c r="J319" s="9"/>
      <c r="K319" s="7">
        <v>160.21</v>
      </c>
      <c r="L319" s="8">
        <f>IFERROR(K319/K444, "NA")</f>
        <v>1.3365597863773517E-3</v>
      </c>
      <c r="M319" s="9"/>
      <c r="N319" s="10">
        <f t="shared" si="77"/>
        <v>-6.0000000000002274E-2</v>
      </c>
      <c r="O319" s="8">
        <f>IFERROR(N319/N444, "NA")</f>
        <v>9.6597202545017942E-6</v>
      </c>
      <c r="P319" s="9"/>
      <c r="Q319" s="7">
        <v>641.41</v>
      </c>
      <c r="R319" s="8">
        <f>IFERROR(Q319/Q444, "NA")</f>
        <v>1.6048154722416164E-3</v>
      </c>
      <c r="S319" s="9"/>
      <c r="T319" s="7">
        <v>640</v>
      </c>
      <c r="U319" s="8">
        <f>IFERROR(T319/T444, "NA")</f>
        <v>1.4202181366294228E-3</v>
      </c>
      <c r="V319" s="9"/>
      <c r="W319" s="10">
        <f t="shared" si="78"/>
        <v>-1.4099999999999682</v>
      </c>
      <c r="X319" s="8">
        <f>IFERROR(W319/W444, "NA")</f>
        <v>2.7670578815521969E-5</v>
      </c>
      <c r="Y319" s="9"/>
      <c r="Z319" s="7">
        <v>640.69000000000005</v>
      </c>
      <c r="AA319" s="8">
        <f>IFERROR(Z319/Z444, "NA")</f>
        <v>1.5220068835124412E-3</v>
      </c>
      <c r="AB319" s="9"/>
      <c r="AC319" s="10">
        <f t="shared" si="79"/>
        <v>-0.7199999999999136</v>
      </c>
      <c r="AD319" s="8">
        <f>IFERROR(AC319/AC444, "NA")</f>
        <v>3.3846610920040841E-5</v>
      </c>
    </row>
    <row r="320" spans="1:30" ht="16.5" customHeight="1" x14ac:dyDescent="0.45">
      <c r="A320" s="6" t="s">
        <v>292</v>
      </c>
      <c r="B320" s="7">
        <v>1009.47</v>
      </c>
      <c r="C320" s="8">
        <f>IFERROR(B320/B444, "NA")</f>
        <v>8.8817949730449972E-3</v>
      </c>
      <c r="D320" s="9"/>
      <c r="E320" s="7">
        <v>1121</v>
      </c>
      <c r="F320" s="8">
        <f>IFERROR(E320/E444, "NA")</f>
        <v>8.5328440661947749E-3</v>
      </c>
      <c r="G320" s="9"/>
      <c r="H320" s="10">
        <f t="shared" si="76"/>
        <v>111.52999999999997</v>
      </c>
      <c r="I320" s="8">
        <f>IFERROR(H320/H444, "NA")</f>
        <v>-6.2945011581024262E-3</v>
      </c>
      <c r="J320" s="9"/>
      <c r="K320" s="7">
        <v>1254.6400000000001</v>
      </c>
      <c r="L320" s="8">
        <f>IFERROR(K320/K444, "NA")</f>
        <v>1.0466895764187507E-2</v>
      </c>
      <c r="M320" s="9"/>
      <c r="N320" s="10">
        <f t="shared" si="77"/>
        <v>245.17000000000007</v>
      </c>
      <c r="O320" s="8">
        <f>IFERROR(N320/N444, "NA")</f>
        <v>-3.9471226913268598E-2</v>
      </c>
      <c r="P320" s="9"/>
      <c r="Q320" s="7">
        <v>4316.0200000000004</v>
      </c>
      <c r="R320" s="8">
        <f>IFERROR(Q320/Q444, "NA")</f>
        <v>1.0798733531601101E-2</v>
      </c>
      <c r="S320" s="9"/>
      <c r="T320" s="7">
        <v>4484</v>
      </c>
      <c r="U320" s="8">
        <f>IFERROR(T320/T444, "NA")</f>
        <v>9.9504033197598939E-3</v>
      </c>
      <c r="V320" s="9"/>
      <c r="W320" s="10">
        <f t="shared" si="78"/>
        <v>167.97999999999956</v>
      </c>
      <c r="X320" s="8">
        <f>IFERROR(W320/W444, "NA")</f>
        <v>-3.2965275386038816E-3</v>
      </c>
      <c r="Y320" s="9"/>
      <c r="Z320" s="7">
        <v>4347.8500000000004</v>
      </c>
      <c r="AA320" s="8">
        <f>IFERROR(Z320/Z444, "NA")</f>
        <v>1.0328641977367475E-2</v>
      </c>
      <c r="AB320" s="9"/>
      <c r="AC320" s="10">
        <f t="shared" si="79"/>
        <v>31.829999999999927</v>
      </c>
      <c r="AD320" s="8">
        <f>IFERROR(AC320/AC444, "NA")</f>
        <v>-1.4963022577569815E-3</v>
      </c>
    </row>
    <row r="321" spans="1:30" ht="16.5" customHeight="1" x14ac:dyDescent="0.45">
      <c r="A321" s="6" t="s">
        <v>293</v>
      </c>
      <c r="B321" s="7">
        <v>916.46</v>
      </c>
      <c r="C321" s="8">
        <f>IFERROR(B321/B444, "NA")</f>
        <v>8.0634489593517569E-3</v>
      </c>
      <c r="D321" s="9"/>
      <c r="E321" s="7">
        <v>1970.62</v>
      </c>
      <c r="F321" s="8">
        <f>IFERROR(E321/E444, "NA")</f>
        <v>1.4999993910548392E-2</v>
      </c>
      <c r="G321" s="9"/>
      <c r="H321" s="10">
        <f t="shared" si="76"/>
        <v>1054.1599999999999</v>
      </c>
      <c r="I321" s="8">
        <f>IFERROR(H321/H444, "NA")</f>
        <v>-5.9494408148706664E-2</v>
      </c>
      <c r="J321" s="9"/>
      <c r="K321" s="7">
        <v>1632.11</v>
      </c>
      <c r="L321" s="8">
        <f>IFERROR(K321/K444, "NA")</f>
        <v>1.361595776134036E-2</v>
      </c>
      <c r="M321" s="9"/>
      <c r="N321" s="10">
        <f t="shared" si="77"/>
        <v>715.64999999999986</v>
      </c>
      <c r="O321" s="8">
        <f>IFERROR(N321/N444, "NA")</f>
        <v>-0.11521631333556577</v>
      </c>
      <c r="P321" s="9"/>
      <c r="Q321" s="7">
        <v>3678.58</v>
      </c>
      <c r="R321" s="8">
        <f>IFERROR(Q321/Q444, "NA")</f>
        <v>9.2038510467229457E-3</v>
      </c>
      <c r="S321" s="9"/>
      <c r="T321" s="7">
        <v>6683.87</v>
      </c>
      <c r="U321" s="8">
        <f>IFERROR(T321/T444, "NA")</f>
        <v>1.4832114682614533E-2</v>
      </c>
      <c r="V321" s="9"/>
      <c r="W321" s="10">
        <f t="shared" si="78"/>
        <v>3005.29</v>
      </c>
      <c r="X321" s="8">
        <f>IFERROR(W321/W444, "NA")</f>
        <v>-5.897738567978858E-2</v>
      </c>
      <c r="Y321" s="9"/>
      <c r="Z321" s="7">
        <v>9671.26</v>
      </c>
      <c r="AA321" s="8">
        <f>IFERROR(Z321/Z444, "NA")</f>
        <v>2.2974799500910786E-2</v>
      </c>
      <c r="AB321" s="9"/>
      <c r="AC321" s="10">
        <f t="shared" si="79"/>
        <v>5992.68</v>
      </c>
      <c r="AD321" s="8">
        <f>IFERROR(AC321/AC444, "NA")</f>
        <v>-0.28171098378935372</v>
      </c>
    </row>
    <row r="322" spans="1:30" ht="16.5" customHeight="1" x14ac:dyDescent="0.45">
      <c r="A322" s="6" t="s">
        <v>294</v>
      </c>
      <c r="B322" s="7">
        <v>280.20999999999998</v>
      </c>
      <c r="C322" s="8">
        <f>IFERROR(B322/B444, "NA")</f>
        <v>2.4654202397267262E-3</v>
      </c>
      <c r="D322" s="9"/>
      <c r="E322" s="7">
        <v>366</v>
      </c>
      <c r="F322" s="8">
        <f>IFERROR(E322/E444, "NA")</f>
        <v>2.7859241108182759E-3</v>
      </c>
      <c r="G322" s="9"/>
      <c r="H322" s="10">
        <f t="shared" si="76"/>
        <v>85.79000000000002</v>
      </c>
      <c r="I322" s="8">
        <f>IFERROR(H322/H444, "NA")</f>
        <v>-4.8417937268323092E-3</v>
      </c>
      <c r="J322" s="9"/>
      <c r="K322" s="7">
        <v>338.98</v>
      </c>
      <c r="L322" s="8">
        <f>IFERROR(K322/K444, "NA")</f>
        <v>2.8279572834791502E-3</v>
      </c>
      <c r="M322" s="9"/>
      <c r="N322" s="10">
        <f t="shared" si="77"/>
        <v>58.770000000000039</v>
      </c>
      <c r="O322" s="8">
        <f>IFERROR(N322/N444, "NA")</f>
        <v>-9.4616959892841555E-3</v>
      </c>
      <c r="P322" s="9"/>
      <c r="Q322" s="7">
        <v>1120.8399999999999</v>
      </c>
      <c r="R322" s="8">
        <f>IFERROR(Q322/Q444, "NA")</f>
        <v>2.8043550520061946E-3</v>
      </c>
      <c r="S322" s="9"/>
      <c r="T322" s="7">
        <v>1464</v>
      </c>
      <c r="U322" s="8">
        <f>IFERROR(T322/T444, "NA")</f>
        <v>3.2487489875398048E-3</v>
      </c>
      <c r="V322" s="9"/>
      <c r="W322" s="10">
        <f t="shared" si="78"/>
        <v>343.16000000000008</v>
      </c>
      <c r="X322" s="8">
        <f>IFERROR(W322/W444, "NA")</f>
        <v>-6.7343516498827912E-3</v>
      </c>
      <c r="Y322" s="9"/>
      <c r="Z322" s="7">
        <v>1048.21</v>
      </c>
      <c r="AA322" s="8">
        <f>IFERROR(Z322/Z444, "NA")</f>
        <v>2.4901010400764424E-3</v>
      </c>
      <c r="AB322" s="9"/>
      <c r="AC322" s="10">
        <f t="shared" si="79"/>
        <v>-72.629999999999882</v>
      </c>
      <c r="AD322" s="8">
        <f>IFERROR(AC322/AC444, "NA")</f>
        <v>3.4142768765595237E-3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0.01</v>
      </c>
      <c r="R323" s="8">
        <f>IFERROR(Q323/Q444, "NA")</f>
        <v>2.5020119303434876E-8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-0.01</v>
      </c>
      <c r="X323" s="8">
        <f>IFERROR(W323/W444, "NA")</f>
        <v>1.9624523982640138E-7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-0.01</v>
      </c>
      <c r="AD323" s="8">
        <f>IFERROR(AC323/AC444, "NA")</f>
        <v>4.7009181833395695E-7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4631.57</v>
      </c>
      <c r="C324" s="15">
        <f>IFERROR(B324/B444, "NA")</f>
        <v>4.0750745582638428E-2</v>
      </c>
      <c r="D324" s="2"/>
      <c r="E324" s="14">
        <f>IFERROR(E297+E298+E299+E300+E301+E302+E303+E304+E305+E306+E307+E308+E309+E310+E311+E312+E313+E314+E315+E316+E317+E318+E319+E320+E321+E322+E323, "NA")</f>
        <v>5703.24</v>
      </c>
      <c r="F324" s="15">
        <f>IFERROR(E324/E444, "NA")</f>
        <v>4.3412004988478754E-2</v>
      </c>
      <c r="G324" s="2"/>
      <c r="H324" s="14">
        <f t="shared" si="76"/>
        <v>1071.67</v>
      </c>
      <c r="I324" s="15">
        <f>IFERROR(H324/H444, "NA")</f>
        <v>-6.0482632978603332E-2</v>
      </c>
      <c r="J324" s="2"/>
      <c r="K324" s="14">
        <f>IFERROR(K297+K298+K299+K300+K301+K302+K303+K304+K305+K306+K307+K308+K309+K310+K311+K312+K313+K314+K315+K316+K317+K318+K319+K320+K321+K322+K323, "NA")</f>
        <v>5009.5300000000007</v>
      </c>
      <c r="L324" s="15">
        <f>IFERROR(K324/K444, "NA")</f>
        <v>4.1792249838655107E-2</v>
      </c>
      <c r="M324" s="2"/>
      <c r="N324" s="14">
        <f t="shared" si="77"/>
        <v>377.96000000000095</v>
      </c>
      <c r="O324" s="15">
        <f>IFERROR(N324/N444, "NA")</f>
        <v>-6.084979778985615E-2</v>
      </c>
      <c r="P324" s="2"/>
      <c r="Q324" s="14">
        <f>IFERROR(Q297+Q298+Q299+Q300+Q301+Q302+Q303+Q304+Q305+Q306+Q307+Q308+Q309+Q310+Q311+Q312+Q313+Q314+Q315+Q316+Q317+Q318+Q319+Q320+Q321+Q322+Q323, "NA")</f>
        <v>18481.87</v>
      </c>
      <c r="R324" s="15">
        <f>IFERROR(Q324/Q444, "NA")</f>
        <v>4.6241859235057393E-2</v>
      </c>
      <c r="S324" s="2"/>
      <c r="T324" s="14">
        <f>IFERROR(T297+T298+T299+T300+T301+T302+T303+T304+T305+T306+T307+T308+T309+T310+T311+T312+T313+T314+T315+T316+T317+T318+T319+T320+T321+T322+T323, "NA")</f>
        <v>21090.31</v>
      </c>
      <c r="U324" s="15">
        <f>IFERROR(T324/T444, "NA")</f>
        <v>4.6801313701776384E-2</v>
      </c>
      <c r="V324" s="2"/>
      <c r="W324" s="14">
        <f t="shared" si="78"/>
        <v>2608.4400000000023</v>
      </c>
      <c r="X324" s="15">
        <f>IFERROR(W324/W444, "NA")</f>
        <v>-5.1189393337277886E-2</v>
      </c>
      <c r="Y324" s="2"/>
      <c r="Z324" s="14">
        <f>IFERROR(Z297+Z298+Z299+Z300+Z301+Z302+Z303+Z304+Z305+Z306+Z307+Z308+Z309+Z310+Z311+Z312+Z313+Z314+Z315+Z316+Z317+Z318+Z319+Z320+Z321+Z322+Z323, "NA")</f>
        <v>22210.739999999998</v>
      </c>
      <c r="AA324" s="15">
        <f>IFERROR(Z324/Z444, "NA")</f>
        <v>5.2763269549868284E-2</v>
      </c>
      <c r="AB324" s="2"/>
      <c r="AC324" s="14">
        <f t="shared" si="79"/>
        <v>3728.869999999999</v>
      </c>
      <c r="AD324" s="15">
        <f>IFERROR(AC324/AC444, "NA")</f>
        <v>-0.17529112786309414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27339.070000000003</v>
      </c>
      <c r="C325" s="15">
        <f>IFERROR(B325/B444, "NA")</f>
        <v>0.24054208098678048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28418.689999999995</v>
      </c>
      <c r="F325" s="15">
        <f>IFERROR(E325/E444, "NA")</f>
        <v>0.21631779690948147</v>
      </c>
      <c r="G325" s="2"/>
      <c r="H325" s="14">
        <f t="shared" si="76"/>
        <v>1079.6199999999917</v>
      </c>
      <c r="I325" s="15">
        <f>IFERROR(H325/H444, "NA")</f>
        <v>-6.0931313012736403E-2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28317.069999999996</v>
      </c>
      <c r="L325" s="15">
        <f>IFERROR(K325/K444, "NA")</f>
        <v>0.23623654597111607</v>
      </c>
      <c r="M325" s="2"/>
      <c r="N325" s="14">
        <f t="shared" si="77"/>
        <v>977.99999999999272</v>
      </c>
      <c r="O325" s="15">
        <f>IFERROR(N325/N444, "NA")</f>
        <v>-0.15745344014837212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96363.439999999988</v>
      </c>
      <c r="R325" s="15">
        <f>IFERROR(Q325/Q444, "NA")</f>
        <v>0.24110247652893882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100198.52</v>
      </c>
      <c r="U325" s="15">
        <f>IFERROR(T325/T444, "NA")</f>
        <v>0.22234961776160309</v>
      </c>
      <c r="V325" s="2"/>
      <c r="W325" s="14">
        <f t="shared" si="78"/>
        <v>3835.0800000000163</v>
      </c>
      <c r="X325" s="15">
        <f>IFERROR(W325/W444, "NA")</f>
        <v>-7.526161943534386E-2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107430.19</v>
      </c>
      <c r="AA325" s="15">
        <f>IFERROR(Z325/Z444, "NA")</f>
        <v>0.25520842946986749</v>
      </c>
      <c r="AB325" s="2"/>
      <c r="AC325" s="14">
        <f t="shared" si="79"/>
        <v>11066.750000000015</v>
      </c>
      <c r="AD325" s="15">
        <f>IFERROR(AC325/AC444, "NA")</f>
        <v>-0.52023886305473244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13526.48</v>
      </c>
      <c r="C329" s="8">
        <f>IFERROR(B329/B444, "NA")</f>
        <v>0.11901237487690935</v>
      </c>
      <c r="D329" s="9"/>
      <c r="E329" s="7">
        <v>13526.48</v>
      </c>
      <c r="F329" s="8">
        <f>IFERROR(E329/E444, "NA")</f>
        <v>0.1029610567390743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13132.5</v>
      </c>
      <c r="L329" s="8">
        <f>IFERROR(K329/K444, "NA")</f>
        <v>0.10955852565133617</v>
      </c>
      <c r="M329" s="9"/>
      <c r="N329" s="10">
        <f t="shared" si="81"/>
        <v>-393.97999999999956</v>
      </c>
      <c r="O329" s="8">
        <f>IFERROR(N329/N444, "NA")</f>
        <v>6.3428943097807805E-2</v>
      </c>
      <c r="P329" s="9"/>
      <c r="Q329" s="7">
        <v>54105.919999999998</v>
      </c>
      <c r="R329" s="8">
        <f>IFERROR(Q329/Q444, "NA")</f>
        <v>0.1353736573422103</v>
      </c>
      <c r="S329" s="9"/>
      <c r="T329" s="7">
        <v>54105.919999999998</v>
      </c>
      <c r="U329" s="8">
        <f>IFERROR(T329/T444, "NA")</f>
        <v>0.12006595137971972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52530</v>
      </c>
      <c r="AA329" s="8">
        <f>IFERROR(Z329/Z444, "NA")</f>
        <v>0.12478893316722366</v>
      </c>
      <c r="AB329" s="9"/>
      <c r="AC329" s="10">
        <f t="shared" si="83"/>
        <v>-1575.9199999999983</v>
      </c>
      <c r="AD329" s="8">
        <f>IFERROR(AC329/AC444, "NA")</f>
        <v>7.4082709834884866E-2</v>
      </c>
    </row>
    <row r="330" spans="1:30" ht="16.5" customHeight="1" x14ac:dyDescent="0.45">
      <c r="A330" s="6" t="s">
        <v>301</v>
      </c>
      <c r="B330" s="7">
        <v>2126</v>
      </c>
      <c r="C330" s="8">
        <f>IFERROR(B330/B444, "NA")</f>
        <v>1.8705554511470043E-2</v>
      </c>
      <c r="D330" s="9"/>
      <c r="E330" s="7">
        <v>2126</v>
      </c>
      <c r="F330" s="8">
        <f>IFERROR(E330/E444, "NA")</f>
        <v>1.6182717649179387E-2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2126</v>
      </c>
      <c r="L330" s="8">
        <f>IFERROR(K330/K444, "NA")</f>
        <v>1.7736259321130075E-2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8504</v>
      </c>
      <c r="R330" s="8">
        <f>IFERROR(Q330/Q444, "NA")</f>
        <v>2.1277109455641017E-2</v>
      </c>
      <c r="S330" s="9"/>
      <c r="T330" s="7">
        <v>8504</v>
      </c>
      <c r="U330" s="8">
        <f>IFERROR(T330/T444, "NA")</f>
        <v>1.8871148490463459E-2</v>
      </c>
      <c r="V330" s="9"/>
      <c r="W330" s="10">
        <f t="shared" si="82"/>
        <v>0</v>
      </c>
      <c r="X330" s="8">
        <f>IFERROR(W330/W444, "NA")</f>
        <v>0</v>
      </c>
      <c r="Y330" s="9"/>
      <c r="Z330" s="7">
        <v>8504</v>
      </c>
      <c r="AA330" s="8">
        <f>IFERROR(Z330/Z444, "NA")</f>
        <v>2.0201886305997906E-2</v>
      </c>
      <c r="AB330" s="9"/>
      <c r="AC330" s="10">
        <f t="shared" si="83"/>
        <v>0</v>
      </c>
      <c r="AD330" s="8">
        <f>IFERROR(AC330/AC444, "NA")</f>
        <v>0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1.5837252173398907E-3</v>
      </c>
      <c r="D332" s="9"/>
      <c r="E332" s="7">
        <v>180</v>
      </c>
      <c r="F332" s="8">
        <f>IFERROR(E332/E444, "NA")</f>
        <v>1.3701266118778407E-3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1.5016588324569208E-3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720</v>
      </c>
      <c r="R332" s="8">
        <f>IFERROR(Q332/Q444, "NA")</f>
        <v>1.8014485898473112E-3</v>
      </c>
      <c r="S332" s="9"/>
      <c r="T332" s="7">
        <v>720</v>
      </c>
      <c r="U332" s="8">
        <f>IFERROR(T332/T444, "NA")</f>
        <v>1.5977454037081008E-3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720</v>
      </c>
      <c r="AA332" s="8">
        <f>IFERROR(Z332/Z444, "NA")</f>
        <v>1.7104137041766808E-3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1254</v>
      </c>
      <c r="C333" s="8">
        <f>IFERROR(B333/B444, "NA")</f>
        <v>1.1033285680801239E-2</v>
      </c>
      <c r="D333" s="9"/>
      <c r="E333" s="7">
        <v>1025</v>
      </c>
      <c r="F333" s="8">
        <f>IFERROR(E333/E444, "NA")</f>
        <v>7.8021098731932597E-3</v>
      </c>
      <c r="G333" s="9"/>
      <c r="H333" s="10">
        <f t="shared" si="80"/>
        <v>-229</v>
      </c>
      <c r="I333" s="8">
        <f>IFERROR(H333/H444, "NA")</f>
        <v>1.2924242492651807E-2</v>
      </c>
      <c r="J333" s="9"/>
      <c r="K333" s="7">
        <v>1024.69</v>
      </c>
      <c r="L333" s="8">
        <f>IFERROR(K333/K444, "NA")</f>
        <v>8.5485266057237896E-3</v>
      </c>
      <c r="M333" s="9"/>
      <c r="N333" s="10">
        <f t="shared" si="81"/>
        <v>-229.30999999999995</v>
      </c>
      <c r="O333" s="8">
        <f>IFERROR(N333/N444, "NA")</f>
        <v>3.6917840859328699E-2</v>
      </c>
      <c r="P333" s="9"/>
      <c r="Q333" s="7">
        <v>5016</v>
      </c>
      <c r="R333" s="8">
        <f>IFERROR(Q333/Q444, "NA")</f>
        <v>1.2550091842602935E-2</v>
      </c>
      <c r="S333" s="9"/>
      <c r="T333" s="7">
        <v>4100</v>
      </c>
      <c r="U333" s="8">
        <f>IFERROR(T333/T444, "NA")</f>
        <v>9.0982724377822403E-3</v>
      </c>
      <c r="V333" s="9"/>
      <c r="W333" s="10">
        <f t="shared" si="82"/>
        <v>-916</v>
      </c>
      <c r="X333" s="8">
        <f>IFERROR(W333/W444, "NA")</f>
        <v>1.7976063968098366E-2</v>
      </c>
      <c r="Y333" s="9"/>
      <c r="Z333" s="7">
        <v>4098.76</v>
      </c>
      <c r="AA333" s="8">
        <f>IFERROR(Z333/Z444, "NA")</f>
        <v>9.7369101029600169E-3</v>
      </c>
      <c r="AB333" s="9"/>
      <c r="AC333" s="10">
        <f t="shared" si="83"/>
        <v>-917.23999999999978</v>
      </c>
      <c r="AD333" s="8">
        <f>IFERROR(AC333/AC444, "NA")</f>
        <v>4.3118701944863856E-2</v>
      </c>
    </row>
    <row r="334" spans="1:30" ht="16.5" customHeight="1" x14ac:dyDescent="0.45">
      <c r="A334" s="6" t="s">
        <v>305</v>
      </c>
      <c r="B334" s="7">
        <v>-1041.54</v>
      </c>
      <c r="C334" s="8">
        <f>IFERROR(B334/B444, "NA")</f>
        <v>-9.1639620159343869E-3</v>
      </c>
      <c r="D334" s="9"/>
      <c r="E334" s="7">
        <v>-1041.54</v>
      </c>
      <c r="F334" s="8">
        <f>IFERROR(E334/E444, "NA")</f>
        <v>-7.9280092851958129E-3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-1011.2</v>
      </c>
      <c r="L334" s="8">
        <f>IFERROR(K334/K444, "NA")</f>
        <v>-8.4359856187802128E-3</v>
      </c>
      <c r="M334" s="9"/>
      <c r="N334" s="10">
        <f t="shared" si="81"/>
        <v>30.339999999999918</v>
      </c>
      <c r="O334" s="8">
        <f>IFERROR(N334/N444, "NA")</f>
        <v>-4.8845985420262091E-3</v>
      </c>
      <c r="P334" s="9"/>
      <c r="Q334" s="7">
        <v>-1041.54</v>
      </c>
      <c r="R334" s="8">
        <f>IFERROR(Q334/Q444, "NA")</f>
        <v>-2.6059455059299561E-3</v>
      </c>
      <c r="S334" s="9"/>
      <c r="T334" s="7">
        <v>-1041.54</v>
      </c>
      <c r="U334" s="8">
        <f>IFERROR(T334/T444, "NA")</f>
        <v>-2.3112718719140767E-3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-1011.2</v>
      </c>
      <c r="AA334" s="8">
        <f>IFERROR(Z334/Z444, "NA")</f>
        <v>-2.4021810245325828E-3</v>
      </c>
      <c r="AB334" s="9"/>
      <c r="AC334" s="10">
        <f t="shared" si="83"/>
        <v>30.339999999999918</v>
      </c>
      <c r="AD334" s="8">
        <f>IFERROR(AC334/AC444, "NA")</f>
        <v>-1.4262585768252214E-3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469.35</v>
      </c>
      <c r="C338" s="8">
        <f>IFERROR(B338/B444, "NA")</f>
        <v>4.1295635042137646E-3</v>
      </c>
      <c r="D338" s="9"/>
      <c r="E338" s="7">
        <v>525.5</v>
      </c>
      <c r="F338" s="8">
        <f>IFERROR(E338/E444, "NA")</f>
        <v>4.000008525232252E-3</v>
      </c>
      <c r="G338" s="9"/>
      <c r="H338" s="10">
        <f t="shared" si="84"/>
        <v>56.149999999999977</v>
      </c>
      <c r="I338" s="8">
        <f>IFERROR(H338/H444, "NA")</f>
        <v>-3.1689791090061077E-3</v>
      </c>
      <c r="J338" s="9"/>
      <c r="K338" s="7">
        <v>304.2</v>
      </c>
      <c r="L338" s="8">
        <f>IFERROR(K338/K444, "NA")</f>
        <v>2.5378034268521959E-3</v>
      </c>
      <c r="M338" s="9"/>
      <c r="N338" s="10">
        <f t="shared" si="85"/>
        <v>-165.15000000000003</v>
      </c>
      <c r="O338" s="8">
        <f>IFERROR(N338/N444, "NA")</f>
        <v>2.6588380000515187E-2</v>
      </c>
      <c r="P338" s="9"/>
      <c r="Q338" s="7">
        <v>1371.15</v>
      </c>
      <c r="R338" s="8">
        <f>IFERROR(Q338/Q444, "NA")</f>
        <v>3.4306336582904731E-3</v>
      </c>
      <c r="S338" s="9"/>
      <c r="T338" s="7">
        <v>1802.54</v>
      </c>
      <c r="U338" s="8">
        <f>IFERROR(T338/T444, "NA")</f>
        <v>4.0000000000000001E-3</v>
      </c>
      <c r="V338" s="9"/>
      <c r="W338" s="10">
        <f t="shared" si="86"/>
        <v>431.38999999999987</v>
      </c>
      <c r="X338" s="8">
        <f>IFERROR(W338/W444, "NA")</f>
        <v>-8.465823400871127E-3</v>
      </c>
      <c r="Y338" s="9"/>
      <c r="Z338" s="7">
        <v>1530.04</v>
      </c>
      <c r="AA338" s="8">
        <f>IFERROR(Z338/Z444, "NA")</f>
        <v>3.6347241443590119E-3</v>
      </c>
      <c r="AB338" s="9"/>
      <c r="AC338" s="10">
        <f t="shared" si="87"/>
        <v>158.88999999999987</v>
      </c>
      <c r="AD338" s="8">
        <f>IFERROR(AC338/AC444, "NA")</f>
        <v>-7.4692889015082354E-3</v>
      </c>
    </row>
    <row r="339" spans="1:30" ht="16.5" customHeight="1" x14ac:dyDescent="0.45">
      <c r="A339" s="12" t="s">
        <v>309</v>
      </c>
      <c r="B339" s="7">
        <v>532.16999999999996</v>
      </c>
      <c r="C339" s="8">
        <f>IFERROR(B339/B444, "NA")</f>
        <v>4.6822836050653864E-3</v>
      </c>
      <c r="D339" s="9"/>
      <c r="E339" s="7">
        <v>394.12</v>
      </c>
      <c r="F339" s="8">
        <f>IFERROR(E339/E444, "NA")</f>
        <v>2.9999683348516364E-3</v>
      </c>
      <c r="G339" s="9"/>
      <c r="H339" s="10">
        <f t="shared" si="84"/>
        <v>-138.04999999999995</v>
      </c>
      <c r="I339" s="8">
        <f>IFERROR(H339/H444, "NA")</f>
        <v>7.7912300266837617E-3</v>
      </c>
      <c r="J339" s="9"/>
      <c r="K339" s="7">
        <v>384.33</v>
      </c>
      <c r="L339" s="8">
        <f>IFERROR(K339/K444, "NA")</f>
        <v>3.2062918837676016E-3</v>
      </c>
      <c r="M339" s="9"/>
      <c r="N339" s="10">
        <f t="shared" si="85"/>
        <v>-147.83999999999997</v>
      </c>
      <c r="O339" s="8">
        <f>IFERROR(N339/N444, "NA")</f>
        <v>2.3801550707091515E-2</v>
      </c>
      <c r="P339" s="9"/>
      <c r="Q339" s="7">
        <v>1755.14</v>
      </c>
      <c r="R339" s="8">
        <f>IFERROR(Q339/Q444, "NA")</f>
        <v>4.3913812194230689E-3</v>
      </c>
      <c r="S339" s="9"/>
      <c r="T339" s="7">
        <v>1351.9</v>
      </c>
      <c r="U339" s="8">
        <f>IFERROR(T339/T444, "NA")</f>
        <v>2.9999889045458079E-3</v>
      </c>
      <c r="V339" s="9"/>
      <c r="W339" s="10">
        <f t="shared" si="86"/>
        <v>-403.24</v>
      </c>
      <c r="X339" s="8">
        <f>IFERROR(W339/W444, "NA")</f>
        <v>7.913393050759809E-3</v>
      </c>
      <c r="Y339" s="9"/>
      <c r="Z339" s="7">
        <v>1325.99</v>
      </c>
      <c r="AA339" s="8">
        <f>IFERROR(Z339/Z444, "NA")</f>
        <v>3.1499881494461623E-3</v>
      </c>
      <c r="AB339" s="9"/>
      <c r="AC339" s="10">
        <f t="shared" si="87"/>
        <v>-429.15000000000009</v>
      </c>
      <c r="AD339" s="8">
        <f>IFERROR(AC339/AC444, "NA")</f>
        <v>2.0173990383801767E-2</v>
      </c>
    </row>
    <row r="340" spans="1:30" ht="16.5" customHeight="1" x14ac:dyDescent="0.45">
      <c r="A340" s="12" t="s">
        <v>310</v>
      </c>
      <c r="B340" s="7">
        <v>398</v>
      </c>
      <c r="C340" s="8">
        <f>IFERROR(B340/B444, "NA")</f>
        <v>3.5017924250070917E-3</v>
      </c>
      <c r="D340" s="9"/>
      <c r="E340" s="7">
        <v>394.12</v>
      </c>
      <c r="F340" s="8">
        <f>IFERROR(E340/E444, "NA")</f>
        <v>2.9999683348516364E-3</v>
      </c>
      <c r="G340" s="9"/>
      <c r="H340" s="10">
        <f t="shared" si="84"/>
        <v>-3.8799999999999955</v>
      </c>
      <c r="I340" s="8">
        <f>IFERROR(H340/H444, "NA")</f>
        <v>2.1897843175322686E-4</v>
      </c>
      <c r="J340" s="9"/>
      <c r="K340" s="7">
        <v>410</v>
      </c>
      <c r="L340" s="8">
        <f>IFERROR(K340/K444, "NA")</f>
        <v>3.4204451183740972E-3</v>
      </c>
      <c r="M340" s="9"/>
      <c r="N340" s="10">
        <f t="shared" si="85"/>
        <v>12</v>
      </c>
      <c r="O340" s="8">
        <f>IFERROR(N340/N444, "NA")</f>
        <v>-1.9319440509002858E-3</v>
      </c>
      <c r="P340" s="9"/>
      <c r="Q340" s="7">
        <v>258.83999999999997</v>
      </c>
      <c r="R340" s="8">
        <f>IFERROR(Q340/Q444, "NA")</f>
        <v>6.4762076805010822E-4</v>
      </c>
      <c r="S340" s="9"/>
      <c r="T340" s="7">
        <v>1351.9</v>
      </c>
      <c r="U340" s="8">
        <f>IFERROR(T340/T444, "NA")</f>
        <v>2.9999889045458079E-3</v>
      </c>
      <c r="V340" s="9"/>
      <c r="W340" s="10">
        <f t="shared" si="86"/>
        <v>1093.0600000000002</v>
      </c>
      <c r="X340" s="8">
        <f>IFERROR(W340/W444, "NA")</f>
        <v>-2.1450782184464633E-2</v>
      </c>
      <c r="Y340" s="9"/>
      <c r="Z340" s="7">
        <v>1739.18</v>
      </c>
      <c r="AA340" s="8">
        <f>IFERROR(Z340/Z444, "NA")</f>
        <v>4.1315518139305547E-3</v>
      </c>
      <c r="AB340" s="9"/>
      <c r="AC340" s="10">
        <f t="shared" si="87"/>
        <v>1480.3400000000001</v>
      </c>
      <c r="AD340" s="8">
        <f>IFERROR(AC340/AC444, "NA")</f>
        <v>-6.9589572235248989E-2</v>
      </c>
    </row>
    <row r="341" spans="1:30" ht="16.5" customHeight="1" x14ac:dyDescent="0.45">
      <c r="A341" s="12" t="s">
        <v>311</v>
      </c>
      <c r="B341" s="7">
        <v>489.54</v>
      </c>
      <c r="C341" s="8">
        <f>IFERROR(B341/B444, "NA")</f>
        <v>4.3072046827587231E-3</v>
      </c>
      <c r="D341" s="9"/>
      <c r="E341" s="7">
        <v>525.5</v>
      </c>
      <c r="F341" s="8">
        <f>IFERROR(E341/E444, "NA")</f>
        <v>4.000008525232252E-3</v>
      </c>
      <c r="G341" s="9"/>
      <c r="H341" s="10">
        <f t="shared" si="84"/>
        <v>35.95999999999998</v>
      </c>
      <c r="I341" s="8">
        <f>IFERROR(H341/H444, "NA")</f>
        <v>-2.0295011355273306E-3</v>
      </c>
      <c r="J341" s="9"/>
      <c r="K341" s="7">
        <v>472.28</v>
      </c>
      <c r="L341" s="8">
        <f>IFERROR(K341/K444, "NA")</f>
        <v>3.9400190744041915E-3</v>
      </c>
      <c r="M341" s="9"/>
      <c r="N341" s="10">
        <f t="shared" si="85"/>
        <v>-17.260000000000048</v>
      </c>
      <c r="O341" s="8">
        <f>IFERROR(N341/N444, "NA")</f>
        <v>2.7787795265449187E-3</v>
      </c>
      <c r="P341" s="9"/>
      <c r="Q341" s="7">
        <v>1923.94</v>
      </c>
      <c r="R341" s="8">
        <f>IFERROR(Q341/Q444, "NA")</f>
        <v>4.8137208332650495E-3</v>
      </c>
      <c r="S341" s="9"/>
      <c r="T341" s="7">
        <v>1802.54</v>
      </c>
      <c r="U341" s="8">
        <f>IFERROR(T341/T444, "NA")</f>
        <v>4.0000000000000001E-3</v>
      </c>
      <c r="V341" s="9"/>
      <c r="W341" s="10">
        <f t="shared" si="86"/>
        <v>-121.40000000000009</v>
      </c>
      <c r="X341" s="8">
        <f>IFERROR(W341/W444, "NA")</f>
        <v>2.3824172114925144E-3</v>
      </c>
      <c r="Y341" s="9"/>
      <c r="Z341" s="7">
        <v>1885.34</v>
      </c>
      <c r="AA341" s="8">
        <f>IFERROR(Z341/Z444, "NA")</f>
        <v>4.4787657958784205E-3</v>
      </c>
      <c r="AB341" s="9"/>
      <c r="AC341" s="10">
        <f t="shared" si="87"/>
        <v>-38.600000000000136</v>
      </c>
      <c r="AD341" s="8">
        <f>IFERROR(AC341/AC444, "NA")</f>
        <v>1.8145544187690801E-3</v>
      </c>
    </row>
    <row r="342" spans="1:30" ht="16.5" customHeight="1" x14ac:dyDescent="0.45">
      <c r="A342" s="13" t="s">
        <v>312</v>
      </c>
      <c r="B342" s="14">
        <f>IFERROR(B337+B338+B339+B340+B341, "NA")</f>
        <v>1889.06</v>
      </c>
      <c r="C342" s="15">
        <f>IFERROR(B342/B444, "NA")</f>
        <v>1.6620844217044965E-2</v>
      </c>
      <c r="D342" s="2"/>
      <c r="E342" s="14">
        <f>IFERROR(E337+E338+E339+E340+E341, "NA")</f>
        <v>1839.24</v>
      </c>
      <c r="F342" s="15">
        <f>IFERROR(E342/E444, "NA")</f>
        <v>1.3999953720167777E-2</v>
      </c>
      <c r="G342" s="2"/>
      <c r="H342" s="14">
        <f t="shared" si="84"/>
        <v>-49.819999999999936</v>
      </c>
      <c r="I342" s="15">
        <f>IFERROR(H342/H444, "NA")</f>
        <v>2.8117282139035467E-3</v>
      </c>
      <c r="J342" s="2"/>
      <c r="K342" s="14">
        <f>IFERROR(K337+K338+K339+K340+K341, "NA")</f>
        <v>1570.81</v>
      </c>
      <c r="L342" s="15">
        <f>IFERROR(K342/K444, "NA")</f>
        <v>1.3104559503398087E-2</v>
      </c>
      <c r="M342" s="2"/>
      <c r="N342" s="14">
        <f t="shared" si="85"/>
        <v>-318.25</v>
      </c>
      <c r="O342" s="15">
        <f>IFERROR(N342/N444, "NA")</f>
        <v>5.1236766183251327E-2</v>
      </c>
      <c r="P342" s="2"/>
      <c r="Q342" s="14">
        <f>IFERROR(Q337+Q338+Q339+Q340+Q341, "NA")</f>
        <v>5309.07</v>
      </c>
      <c r="R342" s="15">
        <f>IFERROR(Q342/Q444, "NA")</f>
        <v>1.3283356479028698E-2</v>
      </c>
      <c r="S342" s="2"/>
      <c r="T342" s="14">
        <f>IFERROR(T337+T338+T339+T340+T341, "NA")</f>
        <v>6308.88</v>
      </c>
      <c r="U342" s="15">
        <f>IFERROR(T342/T444, "NA")</f>
        <v>1.3999977809091615E-2</v>
      </c>
      <c r="V342" s="2"/>
      <c r="W342" s="14">
        <f t="shared" si="86"/>
        <v>999.8100000000004</v>
      </c>
      <c r="X342" s="15">
        <f>IFERROR(W342/W444, "NA")</f>
        <v>-1.9620795323083442E-2</v>
      </c>
      <c r="Y342" s="2"/>
      <c r="Z342" s="14">
        <f>IFERROR(Z337+Z338+Z339+Z340+Z341, "NA")</f>
        <v>6480.55</v>
      </c>
      <c r="AA342" s="15">
        <f>IFERROR(Z342/Z444, "NA")</f>
        <v>1.539502990361415E-2</v>
      </c>
      <c r="AB342" s="2"/>
      <c r="AC342" s="14">
        <f t="shared" si="87"/>
        <v>1171.4800000000005</v>
      </c>
      <c r="AD342" s="15">
        <f>IFERROR(AC342/AC444, "NA")</f>
        <v>-5.5070316334186409E-2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17933.999999999996</v>
      </c>
      <c r="C343" s="15">
        <f>IFERROR(B343/B444, "NA")</f>
        <v>0.15779182248763107</v>
      </c>
      <c r="D343" s="2"/>
      <c r="E343" s="14">
        <f>IFERROR(E328+E329+E330+E331+E332+E333+E334+E335+E337+E338+E339+E340+E341, "NA")</f>
        <v>17655.179999999997</v>
      </c>
      <c r="F343" s="15">
        <f>IFERROR(E343/E444, "NA")</f>
        <v>0.13438795530829672</v>
      </c>
      <c r="G343" s="2"/>
      <c r="H343" s="14">
        <f t="shared" si="84"/>
        <v>-278.81999999999971</v>
      </c>
      <c r="I343" s="15">
        <f>IFERROR(H343/H444, "NA")</f>
        <v>1.573597070655534E-2</v>
      </c>
      <c r="J343" s="2"/>
      <c r="K343" s="14">
        <f>IFERROR(K328+K329+K330+K331+K332+K333+K334+K335+K337+K338+K339+K340+K341, "NA")</f>
        <v>17022.799999999996</v>
      </c>
      <c r="L343" s="15">
        <f>IFERROR(K343/K444, "NA")</f>
        <v>0.1420135442952648</v>
      </c>
      <c r="M343" s="2"/>
      <c r="N343" s="14">
        <f t="shared" si="85"/>
        <v>-911.20000000000073</v>
      </c>
      <c r="O343" s="15">
        <f>IFERROR(N343/N444, "NA")</f>
        <v>0.14669895159836183</v>
      </c>
      <c r="P343" s="2"/>
      <c r="Q343" s="14">
        <f>IFERROR(Q328+Q329+Q330+Q331+Q332+Q333+Q334+Q335+Q337+Q338+Q339+Q340+Q341, "NA")</f>
        <v>72613.45</v>
      </c>
      <c r="R343" s="15">
        <f>IFERROR(Q343/Q444, "NA")</f>
        <v>0.18167971820340031</v>
      </c>
      <c r="S343" s="2"/>
      <c r="T343" s="14">
        <f>IFERROR(T328+T329+T330+T331+T332+T333+T334+T335+T337+T338+T339+T340+T341, "NA")</f>
        <v>72697.25999999998</v>
      </c>
      <c r="U343" s="15">
        <f>IFERROR(T343/T444, "NA")</f>
        <v>0.16132182364885103</v>
      </c>
      <c r="V343" s="2"/>
      <c r="W343" s="14">
        <f t="shared" si="86"/>
        <v>83.80999999998312</v>
      </c>
      <c r="X343" s="15">
        <f>IFERROR(W343/W444, "NA")</f>
        <v>-1.6447313549847386E-3</v>
      </c>
      <c r="Y343" s="2"/>
      <c r="Z343" s="14">
        <f>IFERROR(Z328+Z329+Z330+Z331+Z332+Z333+Z334+Z335+Z337+Z338+Z339+Z340+Z341, "NA")</f>
        <v>71322.109999999986</v>
      </c>
      <c r="AA343" s="15">
        <f>IFERROR(Z343/Z444, "NA")</f>
        <v>0.1694309921594398</v>
      </c>
      <c r="AB343" s="2"/>
      <c r="AC343" s="14">
        <f t="shared" si="87"/>
        <v>-1291.3400000000111</v>
      </c>
      <c r="AD343" s="15">
        <f>IFERROR(AC343/AC444, "NA")</f>
        <v>6.0704836868737712E-2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17933.999999999996</v>
      </c>
      <c r="C344" s="15">
        <f>IFERROR(B344/B444, "NA")</f>
        <v>0.15779182248763107</v>
      </c>
      <c r="D344" s="2"/>
      <c r="E344" s="14">
        <f>IFERROR(E328+E329+E330+E331+E332+E333+E334+E335+E337+E338+E339+E340+E341, "NA")</f>
        <v>17655.179999999997</v>
      </c>
      <c r="F344" s="15">
        <f>IFERROR(E344/E444, "NA")</f>
        <v>0.13438795530829672</v>
      </c>
      <c r="G344" s="2"/>
      <c r="H344" s="14">
        <f t="shared" si="84"/>
        <v>-278.81999999999971</v>
      </c>
      <c r="I344" s="15">
        <f>IFERROR(H344/H444, "NA")</f>
        <v>1.573597070655534E-2</v>
      </c>
      <c r="J344" s="2"/>
      <c r="K344" s="14">
        <f>IFERROR(K328+K329+K330+K331+K332+K333+K334+K335+K337+K338+K339+K340+K341, "NA")</f>
        <v>17022.799999999996</v>
      </c>
      <c r="L344" s="15">
        <f>IFERROR(K344/K444, "NA")</f>
        <v>0.1420135442952648</v>
      </c>
      <c r="M344" s="2"/>
      <c r="N344" s="14">
        <f t="shared" si="85"/>
        <v>-911.20000000000073</v>
      </c>
      <c r="O344" s="15">
        <f>IFERROR(N344/N444, "NA")</f>
        <v>0.14669895159836183</v>
      </c>
      <c r="P344" s="2"/>
      <c r="Q344" s="14">
        <f>IFERROR(Q328+Q329+Q330+Q331+Q332+Q333+Q334+Q335+Q337+Q338+Q339+Q340+Q341, "NA")</f>
        <v>72613.45</v>
      </c>
      <c r="R344" s="15">
        <f>IFERROR(Q344/Q444, "NA")</f>
        <v>0.18167971820340031</v>
      </c>
      <c r="S344" s="2"/>
      <c r="T344" s="14">
        <f>IFERROR(T328+T329+T330+T331+T332+T333+T334+T335+T337+T338+T339+T340+T341, "NA")</f>
        <v>72697.25999999998</v>
      </c>
      <c r="U344" s="15">
        <f>IFERROR(T344/T444, "NA")</f>
        <v>0.16132182364885103</v>
      </c>
      <c r="V344" s="2"/>
      <c r="W344" s="14">
        <f t="shared" si="86"/>
        <v>83.80999999998312</v>
      </c>
      <c r="X344" s="15">
        <f>IFERROR(W344/W444, "NA")</f>
        <v>-1.6447313549847386E-3</v>
      </c>
      <c r="Y344" s="2"/>
      <c r="Z344" s="14">
        <f>IFERROR(Z328+Z329+Z330+Z331+Z332+Z333+Z334+Z335+Z337+Z338+Z339+Z340+Z341, "NA")</f>
        <v>71322.109999999986</v>
      </c>
      <c r="AA344" s="15">
        <f>IFERROR(Z344/Z444, "NA")</f>
        <v>0.1694309921594398</v>
      </c>
      <c r="AB344" s="2"/>
      <c r="AC344" s="14">
        <f t="shared" si="87"/>
        <v>-1291.3400000000111</v>
      </c>
      <c r="AD344" s="15">
        <f>IFERROR(AC344/AC444, "NA")</f>
        <v>6.0704836868737712E-2</v>
      </c>
    </row>
    <row r="345" spans="1:30" ht="16.5" customHeight="1" x14ac:dyDescent="0.45">
      <c r="A345" s="22" t="s">
        <v>315</v>
      </c>
      <c r="B345" s="23">
        <f>IFERROR(B198-B325-B344, "NA")</f>
        <v>5452.4599999999991</v>
      </c>
      <c r="C345" s="24">
        <f>IFERROR(B345/B444, "NA")</f>
        <v>4.7973324436316994E-2</v>
      </c>
      <c r="D345" s="25"/>
      <c r="E345" s="23">
        <f>IFERROR(E198-E325-E344, "NA")</f>
        <v>15544.689999999991</v>
      </c>
      <c r="F345" s="24">
        <f>IFERROR(E345/E444, "NA")</f>
        <v>0.11832329690217411</v>
      </c>
      <c r="G345" s="25"/>
      <c r="H345" s="23">
        <f>IFERROR(B345-E345, "NA")</f>
        <v>-10092.229999999992</v>
      </c>
      <c r="I345" s="24">
        <f>IFERROR(H345/H444, "NA")</f>
        <v>0.56958265419919318</v>
      </c>
      <c r="J345" s="25"/>
      <c r="K345" s="23">
        <f>IFERROR(K198-K325-K344, "NA")</f>
        <v>3066.6900000000205</v>
      </c>
      <c r="L345" s="24">
        <f>IFERROR(K345/K444, "NA")</f>
        <v>2.5584011805040805E-2</v>
      </c>
      <c r="M345" s="25"/>
      <c r="N345" s="23">
        <f>IFERROR(B345-K345, "NA")</f>
        <v>2385.7699999999786</v>
      </c>
      <c r="O345" s="24">
        <f>IFERROR(N345/N444, "NA")</f>
        <v>-0.38409784652636114</v>
      </c>
      <c r="P345" s="25"/>
      <c r="Q345" s="23">
        <f>IFERROR(Q198-Q325-Q344, "NA")</f>
        <v>3524.6500000000524</v>
      </c>
      <c r="R345" s="24">
        <f>IFERROR(Q345/Q444, "NA")</f>
        <v>8.818716350285305E-3</v>
      </c>
      <c r="S345" s="25"/>
      <c r="T345" s="23">
        <f>IFERROR(T198-T325-T344, "NA")</f>
        <v>32211.960000000006</v>
      </c>
      <c r="U345" s="24">
        <f>IFERROR(T345/T444, "NA")</f>
        <v>7.1481265325596122E-2</v>
      </c>
      <c r="V345" s="25"/>
      <c r="W345" s="23">
        <f>IFERROR(Q345-T345, "NA")</f>
        <v>-28687.309999999954</v>
      </c>
      <c r="X345" s="24">
        <f>IFERROR(W345/W444, "NA")</f>
        <v>0.56297480309243131</v>
      </c>
      <c r="Y345" s="25"/>
      <c r="Z345" s="23">
        <f>IFERROR(Z198-Z325-Z344, "NA")</f>
        <v>-2500.0600000000268</v>
      </c>
      <c r="AA345" s="24">
        <f>IFERROR(Z345/Z444, "NA")</f>
        <v>-5.9390790073111082E-3</v>
      </c>
      <c r="AB345" s="25"/>
      <c r="AC345" s="23">
        <f>IFERROR(Q345-Z345, "NA")</f>
        <v>6024.7100000000792</v>
      </c>
      <c r="AD345" s="24">
        <f>IFERROR(AC345/AC444, "NA")</f>
        <v>-0.28321668788348109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5452.4599999999991</v>
      </c>
      <c r="C404" s="24">
        <f>IFERROR(B404/B444, "NA")</f>
        <v>4.7973324436316994E-2</v>
      </c>
      <c r="D404" s="25"/>
      <c r="E404" s="23">
        <f>IFERROR(E345-E403, "NA")</f>
        <v>15544.689999999991</v>
      </c>
      <c r="F404" s="24">
        <f>IFERROR(E404/E444, "NA")</f>
        <v>0.11832329690217411</v>
      </c>
      <c r="G404" s="25"/>
      <c r="H404" s="23">
        <f>IFERROR(B404-E404, "NA")</f>
        <v>-10092.229999999992</v>
      </c>
      <c r="I404" s="24">
        <f>IFERROR(H404/H444, "NA")</f>
        <v>0.56958265419919318</v>
      </c>
      <c r="J404" s="25"/>
      <c r="K404" s="23">
        <f>IFERROR(K345-K403, "NA")</f>
        <v>3066.6900000000205</v>
      </c>
      <c r="L404" s="24">
        <f>IFERROR(K404/K444, "NA")</f>
        <v>2.5584011805040805E-2</v>
      </c>
      <c r="M404" s="25"/>
      <c r="N404" s="23">
        <f>IFERROR(B404-K404, "NA")</f>
        <v>2385.7699999999786</v>
      </c>
      <c r="O404" s="24">
        <f>IFERROR(N404/N444, "NA")</f>
        <v>-0.38409784652636114</v>
      </c>
      <c r="P404" s="25"/>
      <c r="Q404" s="23">
        <f>IFERROR(Q345-Q403, "NA")</f>
        <v>3524.6500000000524</v>
      </c>
      <c r="R404" s="24">
        <f>IFERROR(Q404/Q444, "NA")</f>
        <v>8.818716350285305E-3</v>
      </c>
      <c r="S404" s="25"/>
      <c r="T404" s="23">
        <f>IFERROR(T345-T403, "NA")</f>
        <v>32211.960000000006</v>
      </c>
      <c r="U404" s="24">
        <f>IFERROR(T404/T444, "NA")</f>
        <v>7.1481265325596122E-2</v>
      </c>
      <c r="V404" s="25"/>
      <c r="W404" s="23">
        <f>IFERROR(Q404-T404, "NA")</f>
        <v>-28687.309999999954</v>
      </c>
      <c r="X404" s="24">
        <f>IFERROR(W404/W444, "NA")</f>
        <v>0.56297480309243131</v>
      </c>
      <c r="Y404" s="25"/>
      <c r="Z404" s="23">
        <f>IFERROR(Z345-Z403, "NA")</f>
        <v>-2500.0600000000268</v>
      </c>
      <c r="AA404" s="24">
        <f>IFERROR(Z404/Z444, "NA")</f>
        <v>-5.9390790073111082E-3</v>
      </c>
      <c r="AB404" s="25"/>
      <c r="AC404" s="23">
        <f>IFERROR(Q404-Z404, "NA")</f>
        <v>6024.7100000000792</v>
      </c>
      <c r="AD404" s="24">
        <f>IFERROR(AC404/AC444, "NA")</f>
        <v>-0.28321668788348109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8792.8700000000008</v>
      </c>
      <c r="F407" s="8">
        <f>IFERROR(E407/E444, "NA")</f>
        <v>6.6929695454346169E-2</v>
      </c>
      <c r="G407" s="9"/>
      <c r="H407" s="10">
        <f t="shared" ref="H407:H429" si="100">IFERROR(-(B407-E407), "NA")</f>
        <v>8792.8700000000008</v>
      </c>
      <c r="I407" s="8">
        <f>IFERROR(H407/H444, "NA")</f>
        <v>-0.49624971216752534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33983.839999999997</v>
      </c>
      <c r="U407" s="8">
        <f>IFERROR(T407/T444, "NA")</f>
        <v>7.5413228000488192E-2</v>
      </c>
      <c r="V407" s="9"/>
      <c r="W407" s="10">
        <f t="shared" ref="W407:W429" si="102">IFERROR(-(Q407-T407), "NA")</f>
        <v>33983.839999999997</v>
      </c>
      <c r="X407" s="8">
        <f>IFERROR(W407/W444, "NA")</f>
        <v>-0.66691668310220509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8507.9500000000007</v>
      </c>
      <c r="C410" s="8">
        <f>IFERROR(B410/B444, "NA")</f>
        <v>7.4856972015927351E-2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-8507.9500000000007</v>
      </c>
      <c r="I410" s="8">
        <f>IFERROR(H410/H444, "NA")</f>
        <v>0.48016947124610021</v>
      </c>
      <c r="J410" s="9"/>
      <c r="K410" s="7">
        <v>8150.72</v>
      </c>
      <c r="L410" s="8">
        <f>IFERROR(K410/K444, "NA")</f>
        <v>6.7997781549351516E-2</v>
      </c>
      <c r="M410" s="9"/>
      <c r="N410" s="10">
        <f t="shared" si="101"/>
        <v>-357.23000000000047</v>
      </c>
      <c r="O410" s="8">
        <f>IFERROR(N410/N444, "NA")</f>
        <v>5.7512364441925833E-2</v>
      </c>
      <c r="P410" s="9"/>
      <c r="Q410" s="7">
        <v>34030.269999999997</v>
      </c>
      <c r="R410" s="8">
        <f>IFERROR(Q410/Q444, "NA")</f>
        <v>8.5144141532810066E-2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-34030.269999999997</v>
      </c>
      <c r="X410" s="8">
        <f>IFERROR(W410/W444, "NA")</f>
        <v>0.66782784975071907</v>
      </c>
      <c r="Y410" s="9"/>
      <c r="Z410" s="7">
        <v>32305.439999999999</v>
      </c>
      <c r="AA410" s="8">
        <f>IFERROR(Z410/Z444, "NA")</f>
        <v>7.6743982354802093E-2</v>
      </c>
      <c r="AB410" s="9"/>
      <c r="AC410" s="10">
        <f t="shared" si="103"/>
        <v>-1724.8299999999981</v>
      </c>
      <c r="AD410" s="8">
        <f>IFERROR(AC410/AC444, "NA")</f>
        <v>8.1082847101695804E-2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-155.88</v>
      </c>
      <c r="C416" s="8">
        <f>IFERROR(B416/B444, "NA")</f>
        <v>-1.3715060382163452E-3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155.88</v>
      </c>
      <c r="I416" s="8">
        <f>IFERROR(H416/H444, "NA")</f>
        <v>-8.7975149334260424E-3</v>
      </c>
      <c r="J416" s="9"/>
      <c r="K416" s="7">
        <v>-44.69</v>
      </c>
      <c r="L416" s="8">
        <f>IFERROR(K416/K444, "NA")</f>
        <v>-3.7282851790277656E-4</v>
      </c>
      <c r="M416" s="9"/>
      <c r="N416" s="10">
        <f t="shared" si="101"/>
        <v>111.19</v>
      </c>
      <c r="O416" s="8">
        <f>IFERROR(N416/N444, "NA")</f>
        <v>-1.7901071584966899E-2</v>
      </c>
      <c r="P416" s="9"/>
      <c r="Q416" s="7">
        <v>-408.63</v>
      </c>
      <c r="R416" s="8">
        <f>IFERROR(Q416/Q444, "NA")</f>
        <v>-1.0223971350962592E-3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408.63</v>
      </c>
      <c r="X416" s="8">
        <f>IFERROR(W416/W444, "NA")</f>
        <v>-8.0191692350262394E-3</v>
      </c>
      <c r="Y416" s="9"/>
      <c r="Z416" s="7">
        <v>-123.13</v>
      </c>
      <c r="AA416" s="8">
        <f>IFERROR(Z416/Z444, "NA")</f>
        <v>-2.9250449916010373E-4</v>
      </c>
      <c r="AB416" s="9"/>
      <c r="AC416" s="10">
        <f t="shared" si="103"/>
        <v>285.5</v>
      </c>
      <c r="AD416" s="8">
        <f>IFERROR(AC416/AC444, "NA")</f>
        <v>-1.342112141343447E-2</v>
      </c>
    </row>
    <row r="417" spans="1:30" ht="16.5" customHeight="1" x14ac:dyDescent="0.45">
      <c r="A417" s="6" t="s">
        <v>382</v>
      </c>
      <c r="B417" s="7">
        <v>-138.91</v>
      </c>
      <c r="C417" s="8">
        <f>IFERROR(B417/B444, "NA")</f>
        <v>-1.2221959441149123E-3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138.91</v>
      </c>
      <c r="I417" s="8">
        <f>IFERROR(H417/H444, "NA")</f>
        <v>-7.8397664832063861E-3</v>
      </c>
      <c r="J417" s="9"/>
      <c r="K417" s="7">
        <v>-83.34</v>
      </c>
      <c r="L417" s="8">
        <f>IFERROR(K417/K444, "NA")</f>
        <v>-6.9526803942755429E-4</v>
      </c>
      <c r="M417" s="9"/>
      <c r="N417" s="10">
        <f t="shared" si="101"/>
        <v>55.569999999999993</v>
      </c>
      <c r="O417" s="8">
        <f>IFERROR(N417/N444, "NA")</f>
        <v>-8.9465109090440722E-3</v>
      </c>
      <c r="P417" s="9"/>
      <c r="Q417" s="7">
        <v>498.74</v>
      </c>
      <c r="R417" s="8">
        <f>IFERROR(Q417/Q444, "NA")</f>
        <v>1.247853430139511E-3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-498.74</v>
      </c>
      <c r="X417" s="8">
        <f>IFERROR(W417/W444, "NA")</f>
        <v>9.7875350911019419E-3</v>
      </c>
      <c r="Y417" s="9"/>
      <c r="Z417" s="7">
        <v>-282.5</v>
      </c>
      <c r="AA417" s="8">
        <f>IFERROR(Z417/Z444, "NA")</f>
        <v>-6.7109982143043374E-4</v>
      </c>
      <c r="AB417" s="9"/>
      <c r="AC417" s="10">
        <f t="shared" si="103"/>
        <v>-781.24</v>
      </c>
      <c r="AD417" s="8">
        <f>IFERROR(AC417/AC444, "NA")</f>
        <v>3.672545321552205E-2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8213.1600000000017</v>
      </c>
      <c r="C428" s="15">
        <f>IFERROR(B428/B444, "NA")</f>
        <v>7.2263270033596103E-2</v>
      </c>
      <c r="D428" s="2"/>
      <c r="E428" s="14">
        <f>IFERROR(E407+E408+E409+E410+E411+E412+E413+E414+E415+E416+E417+E418+E419+E420+E421+E422+E423+E424+E425+E426+E427, "NA")</f>
        <v>8792.8700000000008</v>
      </c>
      <c r="F428" s="15">
        <f>IFERROR(E428/E444, "NA")</f>
        <v>6.6929695454346169E-2</v>
      </c>
      <c r="G428" s="2"/>
      <c r="H428" s="14">
        <f t="shared" si="100"/>
        <v>579.70999999999913</v>
      </c>
      <c r="I428" s="15">
        <f>IFERROR(H428/H444, "NA")</f>
        <v>-3.2717522338057498E-2</v>
      </c>
      <c r="J428" s="2"/>
      <c r="K428" s="14">
        <f>IFERROR(K407+K408+K409+K410+K411+K412+K413+K414+K415+K416+K417+K418+K419+K420+K421+K422+K423+K424+K425+K426+K427, "NA")</f>
        <v>8022.6900000000005</v>
      </c>
      <c r="L428" s="15">
        <f>IFERROR(K428/K444, "NA")</f>
        <v>6.6929684992021191E-2</v>
      </c>
      <c r="M428" s="2"/>
      <c r="N428" s="14">
        <f t="shared" si="101"/>
        <v>-190.47000000000116</v>
      </c>
      <c r="O428" s="15">
        <f>IFERROR(N428/N444, "NA")</f>
        <v>3.0664781947914974E-2</v>
      </c>
      <c r="P428" s="2"/>
      <c r="Q428" s="14">
        <f>IFERROR(Q407+Q408+Q409+Q410+Q411+Q412+Q413+Q414+Q415+Q416+Q417+Q418+Q419+Q420+Q421+Q422+Q423+Q424+Q425+Q426+Q427, "NA")</f>
        <v>34120.379999999997</v>
      </c>
      <c r="R428" s="15">
        <f>IFERROR(Q428/Q444, "NA")</f>
        <v>8.5369597827853319E-2</v>
      </c>
      <c r="S428" s="2"/>
      <c r="T428" s="14">
        <f>IFERROR(T407+T408+T409+T410+T411+T412+T413+T414+T415+T416+T417+T418+T419+T420+T421+T422+T423+T424+T425+T426+T427, "NA")</f>
        <v>33983.839999999997</v>
      </c>
      <c r="U428" s="15">
        <f>IFERROR(T428/T444, "NA")</f>
        <v>7.5413228000488192E-2</v>
      </c>
      <c r="V428" s="2"/>
      <c r="W428" s="14">
        <f t="shared" si="102"/>
        <v>-136.54000000000087</v>
      </c>
      <c r="X428" s="15">
        <f>IFERROR(W428/W444, "NA")</f>
        <v>2.6795325045897013E-3</v>
      </c>
      <c r="Y428" s="2"/>
      <c r="Z428" s="14">
        <f>IFERROR(Z407+Z408+Z409+Z410+Z411+Z412+Z413+Z414+Z415+Z416+Z417+Z418+Z419+Z420+Z421+Z422+Z423+Z424+Z425+Z426+Z427, "NA")</f>
        <v>31899.809999999998</v>
      </c>
      <c r="AA428" s="15">
        <f>IFERROR(Z428/Z444, "NA")</f>
        <v>7.5780378034211546E-2</v>
      </c>
      <c r="AB428" s="2"/>
      <c r="AC428" s="14">
        <f t="shared" si="103"/>
        <v>-2220.5699999999997</v>
      </c>
      <c r="AD428" s="15">
        <f>IFERROR(AC428/AC444, "NA")</f>
        <v>0.10438717890378346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8213.1600000000017</v>
      </c>
      <c r="C429" s="15">
        <f>IFERROR(B429/B444, "NA")</f>
        <v>7.2263270033596103E-2</v>
      </c>
      <c r="D429" s="2"/>
      <c r="E429" s="14">
        <f>IFERROR(E407+E408+E409+E410+E411+E412+E413+E414+E415+E416+E417+E418+E419+E420+E421+E422+E423+E424+E425+E426+E427, "NA")</f>
        <v>8792.8700000000008</v>
      </c>
      <c r="F429" s="15">
        <f>IFERROR(E429/E444, "NA")</f>
        <v>6.6929695454346169E-2</v>
      </c>
      <c r="G429" s="2"/>
      <c r="H429" s="14">
        <f t="shared" si="100"/>
        <v>579.70999999999913</v>
      </c>
      <c r="I429" s="15">
        <f>IFERROR(H429/H444, "NA")</f>
        <v>-3.2717522338057498E-2</v>
      </c>
      <c r="J429" s="2"/>
      <c r="K429" s="14">
        <f>IFERROR(K407+K408+K409+K410+K411+K412+K413+K414+K415+K416+K417+K418+K419+K420+K421+K422+K423+K424+K425+K426+K427, "NA")</f>
        <v>8022.6900000000005</v>
      </c>
      <c r="L429" s="15">
        <f>IFERROR(K429/K444, "NA")</f>
        <v>6.6929684992021191E-2</v>
      </c>
      <c r="M429" s="2"/>
      <c r="N429" s="14">
        <f t="shared" si="101"/>
        <v>-190.47000000000116</v>
      </c>
      <c r="O429" s="15">
        <f>IFERROR(N429/N444, "NA")</f>
        <v>3.0664781947914974E-2</v>
      </c>
      <c r="P429" s="2"/>
      <c r="Q429" s="14">
        <f>IFERROR(Q407+Q408+Q409+Q410+Q411+Q412+Q413+Q414+Q415+Q416+Q417+Q418+Q419+Q420+Q421+Q422+Q423+Q424+Q425+Q426+Q427, "NA")</f>
        <v>34120.379999999997</v>
      </c>
      <c r="R429" s="15">
        <f>IFERROR(Q429/Q444, "NA")</f>
        <v>8.5369597827853319E-2</v>
      </c>
      <c r="S429" s="2"/>
      <c r="T429" s="14">
        <f>IFERROR(T407+T408+T409+T410+T411+T412+T413+T414+T415+T416+T417+T418+T419+T420+T421+T422+T423+T424+T425+T426+T427, "NA")</f>
        <v>33983.839999999997</v>
      </c>
      <c r="U429" s="15">
        <f>IFERROR(T429/T444, "NA")</f>
        <v>7.5413228000488192E-2</v>
      </c>
      <c r="V429" s="2"/>
      <c r="W429" s="14">
        <f t="shared" si="102"/>
        <v>-136.54000000000087</v>
      </c>
      <c r="X429" s="15">
        <f>IFERROR(W429/W444, "NA")</f>
        <v>2.6795325045897013E-3</v>
      </c>
      <c r="Y429" s="2"/>
      <c r="Z429" s="14">
        <f>IFERROR(Z407+Z408+Z409+Z410+Z411+Z412+Z413+Z414+Z415+Z416+Z417+Z418+Z419+Z420+Z421+Z422+Z423+Z424+Z425+Z426+Z427, "NA")</f>
        <v>31899.809999999998</v>
      </c>
      <c r="AA429" s="15">
        <f>IFERROR(Z429/Z444, "NA")</f>
        <v>7.5780378034211546E-2</v>
      </c>
      <c r="AB429" s="2"/>
      <c r="AC429" s="14">
        <f t="shared" si="103"/>
        <v>-2220.5699999999997</v>
      </c>
      <c r="AD429" s="15">
        <f>IFERROR(AC429/AC444, "NA")</f>
        <v>0.10438717890378346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-2760.7000000000025</v>
      </c>
      <c r="C443" s="24">
        <f>IFERROR(B443/B444, "NA")</f>
        <v>-2.4289945597279112E-2</v>
      </c>
      <c r="D443" s="25"/>
      <c r="E443" s="23">
        <f>IFERROR(E404-E429-E442, "NA")</f>
        <v>6751.8199999999906</v>
      </c>
      <c r="F443" s="24">
        <f>IFERROR(E443/E444, "NA")</f>
        <v>5.1393601447827945E-2</v>
      </c>
      <c r="G443" s="25"/>
      <c r="H443" s="23">
        <f>IFERROR(B443-E443, "NA")</f>
        <v>-9512.5199999999932</v>
      </c>
      <c r="I443" s="24">
        <f>IFERROR(H443/H444, "NA")</f>
        <v>0.53686513186113571</v>
      </c>
      <c r="J443" s="25"/>
      <c r="K443" s="23">
        <f>IFERROR(K404-K429-K442, "NA")</f>
        <v>-4955.99999999998</v>
      </c>
      <c r="L443" s="24">
        <f>IFERROR(K443/K444, "NA")</f>
        <v>-4.1345673186980382E-2</v>
      </c>
      <c r="M443" s="25"/>
      <c r="N443" s="23">
        <f>IFERROR(B443-K443, "NA")</f>
        <v>2195.2999999999774</v>
      </c>
      <c r="O443" s="24">
        <f>IFERROR(N443/N444, "NA")</f>
        <v>-0.35343306457844614</v>
      </c>
      <c r="P443" s="25"/>
      <c r="Q443" s="23">
        <f>IFERROR(Q404-Q429-Q442, "NA")</f>
        <v>-30595.729999999945</v>
      </c>
      <c r="R443" s="24">
        <f>IFERROR(Q443/Q444, "NA")</f>
        <v>-7.6550881477568014E-2</v>
      </c>
      <c r="S443" s="25"/>
      <c r="T443" s="23">
        <f>IFERROR(T404-T429-T442, "NA")</f>
        <v>-1771.8799999999901</v>
      </c>
      <c r="U443" s="24">
        <f>IFERROR(T443/T444, "NA")</f>
        <v>-3.9319626748920752E-3</v>
      </c>
      <c r="V443" s="25"/>
      <c r="W443" s="23">
        <f>IFERROR(Q443-T443, "NA")</f>
        <v>-28823.849999999955</v>
      </c>
      <c r="X443" s="24">
        <f>IFERROR(W443/W444, "NA")</f>
        <v>0.56565433559702105</v>
      </c>
      <c r="Y443" s="25"/>
      <c r="Z443" s="23">
        <f>IFERROR(Z404-Z429-Z442, "NA")</f>
        <v>-34399.870000000024</v>
      </c>
      <c r="AA443" s="24">
        <f>IFERROR(Z443/Z444, "NA")</f>
        <v>-8.1719457041522656E-2</v>
      </c>
      <c r="AB443" s="25"/>
      <c r="AC443" s="23">
        <f>IFERROR(Q443-Z443, "NA")</f>
        <v>3804.1400000000795</v>
      </c>
      <c r="AD443" s="24">
        <f>IFERROR(AC443/AC444, "NA")</f>
        <v>-0.17882950897969763</v>
      </c>
    </row>
    <row r="444" spans="1:30" ht="15.75" hidden="1" x14ac:dyDescent="0.45">
      <c r="A444" s="26" t="s">
        <v>117</v>
      </c>
      <c r="B444" s="7">
        <v>113656.08</v>
      </c>
      <c r="C444" s="27"/>
      <c r="D444" s="9"/>
      <c r="E444" s="7">
        <v>131374.72</v>
      </c>
      <c r="F444" s="27"/>
      <c r="G444" s="9"/>
      <c r="H444" s="10">
        <f>IFERROR(B444-E444, "NA")</f>
        <v>-17718.64</v>
      </c>
      <c r="I444" s="27"/>
      <c r="J444" s="9"/>
      <c r="K444" s="7">
        <v>119867.44</v>
      </c>
      <c r="L444" s="27"/>
      <c r="M444" s="9"/>
      <c r="N444" s="10">
        <f>IFERROR(B444-K444, "NA")</f>
        <v>-6211.3600000000006</v>
      </c>
      <c r="O444" s="27"/>
      <c r="P444" s="9"/>
      <c r="Q444" s="7">
        <v>399678.35</v>
      </c>
      <c r="R444" s="27"/>
      <c r="S444" s="9"/>
      <c r="T444" s="7">
        <v>450635</v>
      </c>
      <c r="U444" s="27"/>
      <c r="V444" s="9"/>
      <c r="W444" s="10">
        <f>IFERROR(Q444-T444, "NA")</f>
        <v>-50956.650000000023</v>
      </c>
      <c r="X444" s="27"/>
      <c r="Y444" s="9"/>
      <c r="Z444" s="7">
        <v>420950.79</v>
      </c>
      <c r="AA444" s="27"/>
      <c r="AB444" s="9"/>
      <c r="AC444" s="10">
        <f>IFERROR(Q444-Z444, "NA")</f>
        <v>-21272.440000000002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54204.17</v>
      </c>
      <c r="F10" s="8">
        <f>IFERROR(E10/E444, "NA")</f>
        <v>0.47799997971742847</v>
      </c>
      <c r="G10" s="9"/>
      <c r="H10" s="10">
        <f t="shared" ref="H10:H19" si="0">IFERROR(B10-E10, "NA")</f>
        <v>-54204.17</v>
      </c>
      <c r="I10" s="8">
        <f>IFERROR(H10/H444, "NA")</f>
        <v>81.277807767280379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224278.36</v>
      </c>
      <c r="U10" s="8">
        <f>IFERROR(T10/T444, "NA")</f>
        <v>0.47799997958233775</v>
      </c>
      <c r="V10" s="9"/>
      <c r="W10" s="10">
        <f t="shared" ref="W10:W19" si="2">IFERROR(Q10-T10, "NA")</f>
        <v>-224278.36</v>
      </c>
      <c r="X10" s="8">
        <f>IFERROR(W10/W444, "NA")</f>
        <v>3.8954880233883831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47360.69</v>
      </c>
      <c r="C11" s="8">
        <f>IFERROR(B11/B444, "NA")</f>
        <v>0.42012144845758864</v>
      </c>
      <c r="D11" s="9"/>
      <c r="E11" s="7">
        <v>0</v>
      </c>
      <c r="F11" s="8">
        <f>IFERROR(E11/E444, "NA")</f>
        <v>0</v>
      </c>
      <c r="G11" s="9"/>
      <c r="H11" s="10">
        <f t="shared" si="0"/>
        <v>47360.69</v>
      </c>
      <c r="I11" s="8">
        <f>IFERROR(H11/H444, "NA")</f>
        <v>-71.016179337231037</v>
      </c>
      <c r="J11" s="9"/>
      <c r="K11" s="7">
        <v>50788.42</v>
      </c>
      <c r="L11" s="8">
        <f>IFERROR(K11/K444, "NA")</f>
        <v>0.48650763818721937</v>
      </c>
      <c r="M11" s="9"/>
      <c r="N11" s="10">
        <f t="shared" si="1"/>
        <v>-3427.7299999999959</v>
      </c>
      <c r="O11" s="8">
        <f>IFERROR(N11/N444, "NA")</f>
        <v>-0.41114324336967295</v>
      </c>
      <c r="P11" s="9"/>
      <c r="Q11" s="7">
        <v>180949.14</v>
      </c>
      <c r="R11" s="8">
        <f>IFERROR(Q11/Q444, "NA")</f>
        <v>0.43959414493284993</v>
      </c>
      <c r="S11" s="9"/>
      <c r="T11" s="7">
        <v>0</v>
      </c>
      <c r="U11" s="8">
        <f>IFERROR(T11/T444, "NA")</f>
        <v>0</v>
      </c>
      <c r="V11" s="9"/>
      <c r="W11" s="10">
        <f t="shared" si="2"/>
        <v>180949.14</v>
      </c>
      <c r="X11" s="8">
        <f>IFERROR(W11/W444, "NA")</f>
        <v>-3.1429033443637984</v>
      </c>
      <c r="Y11" s="9"/>
      <c r="Z11" s="7">
        <v>195076.44</v>
      </c>
      <c r="AA11" s="8">
        <f>IFERROR(Z11/Z444, "NA")</f>
        <v>0.44259947490154489</v>
      </c>
      <c r="AB11" s="9"/>
      <c r="AC11" s="10">
        <f t="shared" si="3"/>
        <v>-14127.299999999988</v>
      </c>
      <c r="AD11" s="8">
        <f>IFERROR(AC11/AC444, "NA")</f>
        <v>0.4850758311901901</v>
      </c>
    </row>
    <row r="12" spans="1:30" ht="16.5" customHeight="1" x14ac:dyDescent="0.45">
      <c r="A12" s="12" t="s">
        <v>14</v>
      </c>
      <c r="B12" s="7">
        <v>5722.15</v>
      </c>
      <c r="C12" s="8">
        <f>IFERROR(B12/B444, "NA")</f>
        <v>5.0759352245323928E-2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5722.15</v>
      </c>
      <c r="I12" s="8">
        <f>IFERROR(H12/H444, "NA")</f>
        <v>-8.5802219223270733</v>
      </c>
      <c r="J12" s="9"/>
      <c r="K12" s="7">
        <v>5504.75</v>
      </c>
      <c r="L12" s="8">
        <f>IFERROR(K12/K444, "NA")</f>
        <v>5.2730581524510822E-2</v>
      </c>
      <c r="M12" s="9"/>
      <c r="N12" s="10">
        <f t="shared" si="1"/>
        <v>217.39999999999964</v>
      </c>
      <c r="O12" s="8">
        <f>IFERROR(N12/N444, "NA")</f>
        <v>2.6076307383769096E-2</v>
      </c>
      <c r="P12" s="9"/>
      <c r="Q12" s="7">
        <v>19788.5</v>
      </c>
      <c r="R12" s="8">
        <f>IFERROR(Q12/Q444, "NA")</f>
        <v>4.8073777731155287E-2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19788.5</v>
      </c>
      <c r="X12" s="8">
        <f>IFERROR(W12/W444, "NA")</f>
        <v>-0.34370620844035521</v>
      </c>
      <c r="Y12" s="9"/>
      <c r="Z12" s="7">
        <v>23259.5</v>
      </c>
      <c r="AA12" s="8">
        <f>IFERROR(Z12/Z444, "NA")</f>
        <v>5.2772351630327494E-2</v>
      </c>
      <c r="AB12" s="9"/>
      <c r="AC12" s="10">
        <f t="shared" si="3"/>
        <v>-3471</v>
      </c>
      <c r="AD12" s="8">
        <f>IFERROR(AC12/AC444, "NA")</f>
        <v>0.11918046690175413</v>
      </c>
    </row>
    <row r="13" spans="1:30" ht="16.5" customHeight="1" x14ac:dyDescent="0.45">
      <c r="A13" s="12" t="s">
        <v>15</v>
      </c>
      <c r="B13" s="7">
        <v>199.5</v>
      </c>
      <c r="C13" s="8">
        <f>IFERROR(B13/B444, "NA")</f>
        <v>1.7697003351785823E-3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199.5</v>
      </c>
      <c r="I13" s="8">
        <f>IFERROR(H13/H444, "NA")</f>
        <v>-0.29914529914529525</v>
      </c>
      <c r="J13" s="9"/>
      <c r="K13" s="7">
        <v>180.5</v>
      </c>
      <c r="L13" s="8">
        <f>IFERROR(K13/K444, "NA")</f>
        <v>1.7290285599117496E-3</v>
      </c>
      <c r="M13" s="9"/>
      <c r="N13" s="10">
        <f t="shared" si="1"/>
        <v>19</v>
      </c>
      <c r="O13" s="8">
        <f>IFERROR(N13/N444, "NA")</f>
        <v>2.2789781062171745E-3</v>
      </c>
      <c r="P13" s="9"/>
      <c r="Q13" s="7">
        <v>651.5</v>
      </c>
      <c r="R13" s="8">
        <f>IFERROR(Q13/Q444, "NA")</f>
        <v>1.5827407934834712E-3</v>
      </c>
      <c r="S13" s="9"/>
      <c r="T13" s="7">
        <v>0</v>
      </c>
      <c r="U13" s="8">
        <f>IFERROR(T13/T444, "NA")</f>
        <v>0</v>
      </c>
      <c r="V13" s="9"/>
      <c r="W13" s="10">
        <f t="shared" si="2"/>
        <v>651.5</v>
      </c>
      <c r="X13" s="8">
        <f>IFERROR(W13/W444, "NA")</f>
        <v>-1.1315895333092019E-2</v>
      </c>
      <c r="Y13" s="9"/>
      <c r="Z13" s="7">
        <v>686</v>
      </c>
      <c r="AA13" s="8">
        <f>IFERROR(Z13/Z444, "NA")</f>
        <v>1.5564321338981774E-3</v>
      </c>
      <c r="AB13" s="9"/>
      <c r="AC13" s="10">
        <f t="shared" si="3"/>
        <v>-34.5</v>
      </c>
      <c r="AD13" s="8">
        <f>IFERROR(AC13/AC444, "NA")</f>
        <v>1.1845940962577118E-3</v>
      </c>
    </row>
    <row r="14" spans="1:30" ht="16.5" customHeight="1" x14ac:dyDescent="0.45">
      <c r="A14" s="12" t="s">
        <v>16</v>
      </c>
      <c r="B14" s="7">
        <v>25</v>
      </c>
      <c r="C14" s="8">
        <f>IFERROR(B14/B444, "NA")</f>
        <v>2.2176695929556169E-4</v>
      </c>
      <c r="D14" s="9"/>
      <c r="E14" s="7">
        <v>0</v>
      </c>
      <c r="F14" s="8">
        <f>IFERROR(E14/E444, "NA")</f>
        <v>0</v>
      </c>
      <c r="G14" s="9"/>
      <c r="H14" s="10">
        <f t="shared" si="0"/>
        <v>25</v>
      </c>
      <c r="I14" s="8">
        <f>IFERROR(H14/H444, "NA")</f>
        <v>-3.748687959214226E-2</v>
      </c>
      <c r="J14" s="9"/>
      <c r="K14" s="7">
        <v>460</v>
      </c>
      <c r="L14" s="8">
        <f>IFERROR(K14/K444, "NA")</f>
        <v>4.4063885737363143E-3</v>
      </c>
      <c r="M14" s="9"/>
      <c r="N14" s="10">
        <f t="shared" si="1"/>
        <v>-435</v>
      </c>
      <c r="O14" s="8">
        <f>IFERROR(N14/N444, "NA")</f>
        <v>-5.2176604010761622E-2</v>
      </c>
      <c r="P14" s="9"/>
      <c r="Q14" s="7">
        <v>80</v>
      </c>
      <c r="R14" s="8">
        <f>IFERROR(Q14/Q444, "NA")</f>
        <v>1.9435036604555287E-4</v>
      </c>
      <c r="S14" s="9"/>
      <c r="T14" s="7">
        <v>0</v>
      </c>
      <c r="U14" s="8">
        <f>IFERROR(T14/T444, "NA")</f>
        <v>0</v>
      </c>
      <c r="V14" s="9"/>
      <c r="W14" s="10">
        <f t="shared" si="2"/>
        <v>80</v>
      </c>
      <c r="X14" s="8">
        <f>IFERROR(W14/W444, "NA")</f>
        <v>-1.3895189971563492E-3</v>
      </c>
      <c r="Y14" s="9"/>
      <c r="Z14" s="7">
        <v>1500</v>
      </c>
      <c r="AA14" s="8">
        <f>IFERROR(Z14/Z444, "NA")</f>
        <v>3.4032772607103007E-3</v>
      </c>
      <c r="AB14" s="9"/>
      <c r="AC14" s="10">
        <f t="shared" si="3"/>
        <v>-1420</v>
      </c>
      <c r="AD14" s="8">
        <f>IFERROR(AC14/AC444, "NA")</f>
        <v>4.8757206280752197E-2</v>
      </c>
    </row>
    <row r="15" spans="1:30" ht="16.5" customHeight="1" x14ac:dyDescent="0.45">
      <c r="A15" s="12" t="s">
        <v>17</v>
      </c>
      <c r="B15" s="7">
        <v>10</v>
      </c>
      <c r="C15" s="8">
        <f>IFERROR(B15/B444, "NA")</f>
        <v>8.8706783718224677E-5</v>
      </c>
      <c r="D15" s="9"/>
      <c r="E15" s="7">
        <v>0</v>
      </c>
      <c r="F15" s="8">
        <f>IFERROR(E15/E444, "NA")</f>
        <v>0</v>
      </c>
      <c r="G15" s="9"/>
      <c r="H15" s="10">
        <f t="shared" si="0"/>
        <v>10</v>
      </c>
      <c r="I15" s="8">
        <f>IFERROR(H15/H444, "NA")</f>
        <v>-1.4994751836856904E-2</v>
      </c>
      <c r="J15" s="9"/>
      <c r="K15" s="7">
        <v>26</v>
      </c>
      <c r="L15" s="8">
        <f>IFERROR(K15/K444, "NA")</f>
        <v>2.4905674547205257E-4</v>
      </c>
      <c r="M15" s="9"/>
      <c r="N15" s="10">
        <f t="shared" si="1"/>
        <v>-16</v>
      </c>
      <c r="O15" s="8">
        <f>IFERROR(N15/N444, "NA")</f>
        <v>-1.9191394578670941E-3</v>
      </c>
      <c r="P15" s="9"/>
      <c r="Q15" s="7">
        <v>91</v>
      </c>
      <c r="R15" s="8">
        <f>IFERROR(Q15/Q444, "NA")</f>
        <v>2.2107354137681639E-4</v>
      </c>
      <c r="S15" s="9"/>
      <c r="T15" s="7">
        <v>0</v>
      </c>
      <c r="U15" s="8">
        <f>IFERROR(T15/T444, "NA")</f>
        <v>0</v>
      </c>
      <c r="V15" s="9"/>
      <c r="W15" s="10">
        <f t="shared" si="2"/>
        <v>91</v>
      </c>
      <c r="X15" s="8">
        <f>IFERROR(W15/W444, "NA")</f>
        <v>-1.5805778592653474E-3</v>
      </c>
      <c r="Y15" s="9"/>
      <c r="Z15" s="7">
        <v>163</v>
      </c>
      <c r="AA15" s="8">
        <f>IFERROR(Z15/Z444, "NA")</f>
        <v>3.6982279566385269E-4</v>
      </c>
      <c r="AB15" s="9"/>
      <c r="AC15" s="10">
        <f t="shared" si="3"/>
        <v>-72</v>
      </c>
      <c r="AD15" s="8">
        <f>IFERROR(AC15/AC444, "NA")</f>
        <v>2.4721963747987028E-3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0.16</v>
      </c>
      <c r="R16" s="8">
        <f>IFERROR(Q16/Q444, "NA")</f>
        <v>3.8870073209110574E-7</v>
      </c>
      <c r="S16" s="9"/>
      <c r="T16" s="7">
        <v>0</v>
      </c>
      <c r="U16" s="8">
        <f>IFERROR(T16/T444, "NA")</f>
        <v>0</v>
      </c>
      <c r="V16" s="9"/>
      <c r="W16" s="10">
        <f t="shared" si="2"/>
        <v>0.16</v>
      </c>
      <c r="X16" s="8">
        <f>IFERROR(W16/W444, "NA")</f>
        <v>-2.7790379943126987E-6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0.16</v>
      </c>
      <c r="AD16" s="8">
        <f>IFERROR(AC16/AC444, "NA")</f>
        <v>-5.4937697217748958E-6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53317.340000000004</v>
      </c>
      <c r="C18" s="15">
        <f>IFERROR(B18/B444, "NA")</f>
        <v>0.47296097478110499</v>
      </c>
      <c r="D18" s="2"/>
      <c r="E18" s="14">
        <f>IFERROR(E10+E11+E12+E13+E14+E15+E16+E17, "NA")</f>
        <v>54204.17</v>
      </c>
      <c r="F18" s="15">
        <f>IFERROR(E18/E444, "NA")</f>
        <v>0.47799997971742847</v>
      </c>
      <c r="G18" s="2"/>
      <c r="H18" s="14">
        <f t="shared" si="0"/>
        <v>-886.82999999999447</v>
      </c>
      <c r="I18" s="15">
        <f>IFERROR(H18/H444, "NA")</f>
        <v>1.3297795771479726</v>
      </c>
      <c r="J18" s="2"/>
      <c r="K18" s="14">
        <f>IFERROR(K10+K11+K12+K13+K14+K15+K16+K17, "NA")</f>
        <v>56959.67</v>
      </c>
      <c r="L18" s="15">
        <f>IFERROR(K18/K444, "NA")</f>
        <v>0.54562269359085025</v>
      </c>
      <c r="M18" s="2"/>
      <c r="N18" s="14">
        <f t="shared" si="1"/>
        <v>-3642.3299999999945</v>
      </c>
      <c r="O18" s="15">
        <f>IFERROR(N18/N444, "NA")</f>
        <v>-0.43688370134831517</v>
      </c>
      <c r="P18" s="2"/>
      <c r="Q18" s="14">
        <f>IFERROR(Q10+Q11+Q12+Q13+Q14+Q15+Q16+Q17, "NA")</f>
        <v>201560.30000000002</v>
      </c>
      <c r="R18" s="15">
        <f>IFERROR(Q18/Q444, "NA")</f>
        <v>0.48966647606564317</v>
      </c>
      <c r="S18" s="2"/>
      <c r="T18" s="14">
        <f>IFERROR(T10+T11+T12+T13+T14+T15+T16+T17, "NA")</f>
        <v>224278.36</v>
      </c>
      <c r="U18" s="15">
        <f>IFERROR(T18/T444, "NA")</f>
        <v>0.47799997958233775</v>
      </c>
      <c r="V18" s="2"/>
      <c r="W18" s="14">
        <f t="shared" si="2"/>
        <v>-22718.059999999969</v>
      </c>
      <c r="X18" s="15">
        <f>IFERROR(W18/W444, "NA")</f>
        <v>0.39458969935672161</v>
      </c>
      <c r="Y18" s="2"/>
      <c r="Z18" s="14">
        <f>IFERROR(Z10+Z11+Z12+Z13+Z14+Z15+Z16+Z17, "NA")</f>
        <v>220684.94</v>
      </c>
      <c r="AA18" s="15">
        <f>IFERROR(Z18/Z444, "NA")</f>
        <v>0.50070135872214472</v>
      </c>
      <c r="AB18" s="2"/>
      <c r="AC18" s="14">
        <f t="shared" si="3"/>
        <v>-19124.639999999985</v>
      </c>
      <c r="AD18" s="15">
        <f>IFERROR(AC18/AC444, "NA")</f>
        <v>0.65666480107403091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12133.57</v>
      </c>
      <c r="F21" s="8">
        <f>IFERROR(E21/E444, "NA")</f>
        <v>0.10700000044092546</v>
      </c>
      <c r="G21" s="9"/>
      <c r="H21" s="10">
        <f t="shared" ref="H21:H29" si="4">IFERROR(B21-E21, "NA")</f>
        <v>-12133.57</v>
      </c>
      <c r="I21" s="8">
        <f>IFERROR(H21/H444, "NA")</f>
        <v>18.19398710451318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50204.57</v>
      </c>
      <c r="U21" s="8">
        <f>IFERROR(T21/T444, "NA")</f>
        <v>0.10699999516199443</v>
      </c>
      <c r="V21" s="9"/>
      <c r="W21" s="10">
        <f t="shared" ref="W21:W29" si="6">IFERROR(Q21-T21, "NA")</f>
        <v>-50204.57</v>
      </c>
      <c r="X21" s="8">
        <f>IFERROR(W21/W444, "NA")</f>
        <v>0.87200254698832169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IFERROR(B22/B444, "NA")</f>
        <v>0</v>
      </c>
      <c r="D22" s="9"/>
      <c r="E22" s="7">
        <v>0</v>
      </c>
      <c r="F22" s="8">
        <f>IFERROR(E22/E444, "NA")</f>
        <v>0</v>
      </c>
      <c r="G22" s="9"/>
      <c r="H22" s="10">
        <f t="shared" si="4"/>
        <v>0</v>
      </c>
      <c r="I22" s="8">
        <f>IFERROR(H22/H444, "NA")</f>
        <v>0</v>
      </c>
      <c r="J22" s="9"/>
      <c r="K22" s="7">
        <v>8754.5</v>
      </c>
      <c r="L22" s="8">
        <f>IFERROR(K22/K444, "NA")</f>
        <v>8.3860279932118628E-2</v>
      </c>
      <c r="M22" s="9"/>
      <c r="N22" s="10">
        <f t="shared" si="5"/>
        <v>-8754.5</v>
      </c>
      <c r="O22" s="8">
        <f>IFERROR(N22/N444, "NA")</f>
        <v>-1.0500691489935923</v>
      </c>
      <c r="P22" s="9"/>
      <c r="Q22" s="7">
        <v>5232.59</v>
      </c>
      <c r="R22" s="8">
        <f>IFERROR(Q22/Q444, "NA")</f>
        <v>1.2711947273328745E-2</v>
      </c>
      <c r="S22" s="9"/>
      <c r="T22" s="7">
        <v>0</v>
      </c>
      <c r="U22" s="8">
        <f>IFERROR(T22/T444, "NA")</f>
        <v>0</v>
      </c>
      <c r="V22" s="9"/>
      <c r="W22" s="10">
        <f t="shared" si="6"/>
        <v>5232.59</v>
      </c>
      <c r="X22" s="8">
        <f>IFERROR(W22/W444, "NA")</f>
        <v>-9.0884790116629269E-2</v>
      </c>
      <c r="Y22" s="9"/>
      <c r="Z22" s="7">
        <v>36576.65</v>
      </c>
      <c r="AA22" s="8">
        <f>IFERROR(Z22/Z444, "NA")</f>
        <v>8.2986987478639612E-2</v>
      </c>
      <c r="AB22" s="9"/>
      <c r="AC22" s="10">
        <f t="shared" si="7"/>
        <v>-31344.06</v>
      </c>
      <c r="AD22" s="8">
        <f>IFERROR(AC22/AC444, "NA")</f>
        <v>1.0762315486593477</v>
      </c>
    </row>
    <row r="23" spans="1:30" ht="16.5" customHeight="1" x14ac:dyDescent="0.45">
      <c r="A23" s="12" t="s">
        <v>24</v>
      </c>
      <c r="B23" s="7">
        <v>7118.72</v>
      </c>
      <c r="C23" s="8">
        <f>IFERROR(B23/B444, "NA")</f>
        <v>6.3147875539060039E-2</v>
      </c>
      <c r="D23" s="9"/>
      <c r="E23" s="7">
        <v>0</v>
      </c>
      <c r="F23" s="8">
        <f>IFERROR(E23/E444, "NA")</f>
        <v>0</v>
      </c>
      <c r="G23" s="9"/>
      <c r="H23" s="10">
        <f t="shared" si="4"/>
        <v>7118.72</v>
      </c>
      <c r="I23" s="8">
        <f>IFERROR(H23/H444, "NA")</f>
        <v>-10.674343979606999</v>
      </c>
      <c r="J23" s="9"/>
      <c r="K23" s="7">
        <v>0</v>
      </c>
      <c r="L23" s="8">
        <f>IFERROR(K23/K444, "NA")</f>
        <v>0</v>
      </c>
      <c r="M23" s="9"/>
      <c r="N23" s="10">
        <f t="shared" si="5"/>
        <v>7118.72</v>
      </c>
      <c r="O23" s="8">
        <f>IFERROR(N23/N444, "NA")</f>
        <v>0.85386352759422757</v>
      </c>
      <c r="P23" s="9"/>
      <c r="Q23" s="7">
        <v>24854.560000000001</v>
      </c>
      <c r="R23" s="8">
        <f>IFERROR(Q23/Q444, "NA")</f>
        <v>6.0381160423764457E-2</v>
      </c>
      <c r="S23" s="9"/>
      <c r="T23" s="7">
        <v>0</v>
      </c>
      <c r="U23" s="8">
        <f>IFERROR(T23/T444, "NA")</f>
        <v>0</v>
      </c>
      <c r="V23" s="9"/>
      <c r="W23" s="10">
        <f t="shared" si="6"/>
        <v>24854.560000000001</v>
      </c>
      <c r="X23" s="8">
        <f>IFERROR(W23/W444, "NA")</f>
        <v>-0.43169854107452893</v>
      </c>
      <c r="Y23" s="9"/>
      <c r="Z23" s="7">
        <v>0</v>
      </c>
      <c r="AA23" s="8">
        <f>IFERROR(Z23/Z444, "NA")</f>
        <v>0</v>
      </c>
      <c r="AB23" s="9"/>
      <c r="AC23" s="10">
        <f t="shared" si="7"/>
        <v>24854.560000000001</v>
      </c>
      <c r="AD23" s="8">
        <f>IFERROR(AC23/AC444, "NA")</f>
        <v>-0.85340768235023401</v>
      </c>
    </row>
    <row r="24" spans="1:30" ht="16.5" customHeight="1" x14ac:dyDescent="0.45">
      <c r="A24" s="12" t="s">
        <v>25</v>
      </c>
      <c r="B24" s="7">
        <v>634.62</v>
      </c>
      <c r="C24" s="8">
        <f>IFERROR(B24/B444, "NA")</f>
        <v>5.6295099083259748E-3</v>
      </c>
      <c r="D24" s="9"/>
      <c r="E24" s="7">
        <v>0</v>
      </c>
      <c r="F24" s="8">
        <f>IFERROR(E24/E444, "NA")</f>
        <v>0</v>
      </c>
      <c r="G24" s="9"/>
      <c r="H24" s="10">
        <f t="shared" si="4"/>
        <v>634.62</v>
      </c>
      <c r="I24" s="8">
        <f>IFERROR(H24/H444, "NA")</f>
        <v>-0.95159694107061288</v>
      </c>
      <c r="J24" s="9"/>
      <c r="K24" s="7">
        <v>409.82</v>
      </c>
      <c r="L24" s="8">
        <f>IFERROR(K24/K444, "NA")</f>
        <v>3.925709054975253E-3</v>
      </c>
      <c r="M24" s="9"/>
      <c r="N24" s="10">
        <f t="shared" si="5"/>
        <v>224.8</v>
      </c>
      <c r="O24" s="8">
        <f>IFERROR(N24/N444, "NA")</f>
        <v>2.6963909383032673E-2</v>
      </c>
      <c r="P24" s="9"/>
      <c r="Q24" s="7">
        <v>2556.25</v>
      </c>
      <c r="R24" s="8">
        <f>IFERROR(Q24/Q444, "NA")</f>
        <v>6.2101015400493065E-3</v>
      </c>
      <c r="S24" s="9"/>
      <c r="T24" s="7">
        <v>0</v>
      </c>
      <c r="U24" s="8">
        <f>IFERROR(T24/T444, "NA")</f>
        <v>0</v>
      </c>
      <c r="V24" s="9"/>
      <c r="W24" s="10">
        <f t="shared" si="6"/>
        <v>2556.25</v>
      </c>
      <c r="X24" s="8">
        <f>IFERROR(W24/W444, "NA")</f>
        <v>-4.4399474206011473E-2</v>
      </c>
      <c r="Y24" s="9"/>
      <c r="Z24" s="7">
        <v>4868.1099999999997</v>
      </c>
      <c r="AA24" s="8">
        <f>IFERROR(Z24/Z444, "NA")</f>
        <v>1.104501871042428E-2</v>
      </c>
      <c r="AB24" s="9"/>
      <c r="AC24" s="10">
        <f t="shared" si="7"/>
        <v>-2311.8599999999997</v>
      </c>
      <c r="AD24" s="8">
        <f>IFERROR(AC24/AC444, "NA")</f>
        <v>7.9380165431140667E-2</v>
      </c>
    </row>
    <row r="25" spans="1:30" ht="16.5" customHeight="1" x14ac:dyDescent="0.45">
      <c r="A25" s="12" t="s">
        <v>26</v>
      </c>
      <c r="B25" s="7">
        <v>149.15</v>
      </c>
      <c r="C25" s="8">
        <f>IFERROR(B25/B444, "NA")</f>
        <v>1.323061679157321E-3</v>
      </c>
      <c r="D25" s="9"/>
      <c r="E25" s="7">
        <v>0</v>
      </c>
      <c r="F25" s="8">
        <f>IFERROR(E25/E444, "NA")</f>
        <v>0</v>
      </c>
      <c r="G25" s="9"/>
      <c r="H25" s="10">
        <f t="shared" si="4"/>
        <v>149.15</v>
      </c>
      <c r="I25" s="8">
        <f>IFERROR(H25/H444, "NA")</f>
        <v>-0.22364672364672072</v>
      </c>
      <c r="J25" s="9"/>
      <c r="K25" s="7">
        <v>0</v>
      </c>
      <c r="L25" s="8">
        <f>IFERROR(K25/K444, "NA")</f>
        <v>0</v>
      </c>
      <c r="M25" s="9"/>
      <c r="N25" s="10">
        <f t="shared" si="5"/>
        <v>149.15</v>
      </c>
      <c r="O25" s="8">
        <f>IFERROR(N25/N444, "NA")</f>
        <v>1.7889978133804819E-2</v>
      </c>
      <c r="P25" s="9"/>
      <c r="Q25" s="7">
        <v>566.79</v>
      </c>
      <c r="R25" s="8">
        <f>IFERROR(Q25/Q444, "NA")</f>
        <v>1.3769480496369864E-3</v>
      </c>
      <c r="S25" s="9"/>
      <c r="T25" s="7">
        <v>0</v>
      </c>
      <c r="U25" s="8">
        <f>IFERROR(T25/T444, "NA")</f>
        <v>0</v>
      </c>
      <c r="V25" s="9"/>
      <c r="W25" s="10">
        <f t="shared" si="6"/>
        <v>566.79</v>
      </c>
      <c r="X25" s="8">
        <f>IFERROR(W25/W444, "NA")</f>
        <v>-9.844568404978089E-3</v>
      </c>
      <c r="Y25" s="9"/>
      <c r="Z25" s="7">
        <v>0</v>
      </c>
      <c r="AA25" s="8">
        <f>IFERROR(Z25/Z444, "NA")</f>
        <v>0</v>
      </c>
      <c r="AB25" s="9"/>
      <c r="AC25" s="10">
        <f t="shared" si="7"/>
        <v>566.79</v>
      </c>
      <c r="AD25" s="8">
        <f>IFERROR(AC25/AC444, "NA")</f>
        <v>-1.9461335878779955E-2</v>
      </c>
    </row>
    <row r="26" spans="1:30" ht="16.5" customHeight="1" x14ac:dyDescent="0.45">
      <c r="A26" s="12" t="s">
        <v>27</v>
      </c>
      <c r="B26" s="7">
        <v>1773.07</v>
      </c>
      <c r="C26" s="8">
        <f>IFERROR(B26/B444, "NA")</f>
        <v>1.5728333700727262E-2</v>
      </c>
      <c r="D26" s="9"/>
      <c r="E26" s="7">
        <v>0</v>
      </c>
      <c r="F26" s="8">
        <f>IFERROR(E26/E444, "NA")</f>
        <v>0</v>
      </c>
      <c r="G26" s="9"/>
      <c r="H26" s="10">
        <f t="shared" si="4"/>
        <v>1773.07</v>
      </c>
      <c r="I26" s="8">
        <f>IFERROR(H26/H444, "NA")</f>
        <v>-2.658674463937587</v>
      </c>
      <c r="J26" s="9"/>
      <c r="K26" s="7">
        <v>0</v>
      </c>
      <c r="L26" s="8">
        <f>IFERROR(K26/K444, "NA")</f>
        <v>0</v>
      </c>
      <c r="M26" s="9"/>
      <c r="N26" s="10">
        <f t="shared" si="5"/>
        <v>1773.07</v>
      </c>
      <c r="O26" s="8">
        <f>IFERROR(N26/N444, "NA")</f>
        <v>0.21267303741002552</v>
      </c>
      <c r="P26" s="9"/>
      <c r="Q26" s="7">
        <v>5712.29</v>
      </c>
      <c r="R26" s="8">
        <f>IFERROR(Q26/Q444, "NA")</f>
        <v>1.3877320655729389E-2</v>
      </c>
      <c r="S26" s="9"/>
      <c r="T26" s="7">
        <v>0</v>
      </c>
      <c r="U26" s="8">
        <f>IFERROR(T26/T444, "NA")</f>
        <v>0</v>
      </c>
      <c r="V26" s="9"/>
      <c r="W26" s="10">
        <f t="shared" si="6"/>
        <v>5712.29</v>
      </c>
      <c r="X26" s="8">
        <f>IFERROR(W26/W444, "NA")</f>
        <v>-9.9216693403328032E-2</v>
      </c>
      <c r="Y26" s="9"/>
      <c r="Z26" s="7">
        <v>0</v>
      </c>
      <c r="AA26" s="8">
        <f>IFERROR(Z26/Z444, "NA")</f>
        <v>0</v>
      </c>
      <c r="AB26" s="9"/>
      <c r="AC26" s="10">
        <f t="shared" si="7"/>
        <v>5712.29</v>
      </c>
      <c r="AD26" s="8">
        <f>IFERROR(AC26/AC444, "NA")</f>
        <v>-0.19613753652498447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892.51</v>
      </c>
      <c r="C28" s="8">
        <f>IFERROR(B28/B444, "NA")</f>
        <v>7.9171691536352711E-3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892.51</v>
      </c>
      <c r="I28" s="8">
        <f>IFERROR(H28/H444, "NA")</f>
        <v>-1.3382965961913156</v>
      </c>
      <c r="J28" s="9"/>
      <c r="K28" s="7">
        <v>868.55</v>
      </c>
      <c r="L28" s="8">
        <f>IFERROR(K28/K444, "NA")</f>
        <v>8.3199321646058172E-3</v>
      </c>
      <c r="M28" s="9"/>
      <c r="N28" s="10">
        <f t="shared" si="5"/>
        <v>23.960000000000036</v>
      </c>
      <c r="O28" s="8">
        <f>IFERROR(N28/N444, "NA")</f>
        <v>2.8739113381559779E-3</v>
      </c>
      <c r="P28" s="9"/>
      <c r="Q28" s="7">
        <v>3432.27</v>
      </c>
      <c r="R28" s="8">
        <f>IFERROR(Q28/Q444, "NA")</f>
        <v>8.3382866358396226E-3</v>
      </c>
      <c r="S28" s="9"/>
      <c r="T28" s="7">
        <v>0</v>
      </c>
      <c r="U28" s="8">
        <f>IFERROR(T28/T444, "NA")</f>
        <v>0</v>
      </c>
      <c r="V28" s="9"/>
      <c r="W28" s="10">
        <f t="shared" si="6"/>
        <v>3432.27</v>
      </c>
      <c r="X28" s="8">
        <f>IFERROR(W28/W444, "NA")</f>
        <v>-5.9615054604622783E-2</v>
      </c>
      <c r="Y28" s="9"/>
      <c r="Z28" s="7">
        <v>3444.25</v>
      </c>
      <c r="AA28" s="8">
        <f>IFERROR(Z28/Z444, "NA")</f>
        <v>7.814491803467636E-3</v>
      </c>
      <c r="AB28" s="9"/>
      <c r="AC28" s="10">
        <f t="shared" si="7"/>
        <v>-11.980000000000018</v>
      </c>
      <c r="AD28" s="8">
        <f>IFERROR(AC28/AC444, "NA")</f>
        <v>4.1134600791789593E-4</v>
      </c>
    </row>
    <row r="29" spans="1:30" ht="16.5" customHeight="1" x14ac:dyDescent="0.45">
      <c r="A29" s="13" t="s">
        <v>30</v>
      </c>
      <c r="B29" s="14">
        <f>IFERROR(B21+B22+B23+B24+B25+B26+B27+B28, "NA")</f>
        <v>10568.07</v>
      </c>
      <c r="C29" s="15">
        <f>IFERROR(B29/B444, "NA")</f>
        <v>9.3745949980905866E-2</v>
      </c>
      <c r="D29" s="2"/>
      <c r="E29" s="14">
        <f>IFERROR(E21+E22+E23+E24+E25+E26+E27+E28, "NA")</f>
        <v>12133.57</v>
      </c>
      <c r="F29" s="15">
        <f>IFERROR(E29/E444, "NA")</f>
        <v>0.10700000044092546</v>
      </c>
      <c r="G29" s="2"/>
      <c r="H29" s="14">
        <f t="shared" si="4"/>
        <v>-1565.5</v>
      </c>
      <c r="I29" s="15">
        <f>IFERROR(H29/H444, "NA")</f>
        <v>2.3474284000599481</v>
      </c>
      <c r="J29" s="2"/>
      <c r="K29" s="14">
        <f>IFERROR(K21+K22+K23+K24+K25+K26+K27+K28, "NA")</f>
        <v>10032.869999999999</v>
      </c>
      <c r="L29" s="15">
        <f>IFERROR(K29/K444, "NA")</f>
        <v>9.6105921151699678E-2</v>
      </c>
      <c r="M29" s="2"/>
      <c r="N29" s="14">
        <f t="shared" si="5"/>
        <v>535.20000000000073</v>
      </c>
      <c r="O29" s="15">
        <f>IFERROR(N29/N444, "NA")</f>
        <v>6.4195214865654382E-2</v>
      </c>
      <c r="P29" s="2"/>
      <c r="Q29" s="14">
        <f>IFERROR(Q21+Q22+Q23+Q24+Q25+Q26+Q27+Q28, "NA")</f>
        <v>42354.75</v>
      </c>
      <c r="R29" s="15">
        <f>IFERROR(Q29/Q444, "NA")</f>
        <v>0.10289576457834851</v>
      </c>
      <c r="S29" s="2"/>
      <c r="T29" s="14">
        <f>IFERROR(T21+T22+T23+T24+T25+T26+T27+T28, "NA")</f>
        <v>50204.57</v>
      </c>
      <c r="U29" s="15">
        <f>IFERROR(T29/T444, "NA")</f>
        <v>0.10699999516199443</v>
      </c>
      <c r="V29" s="2"/>
      <c r="W29" s="14">
        <f t="shared" si="6"/>
        <v>-7849.82</v>
      </c>
      <c r="X29" s="15">
        <f>IFERROR(W29/W444, "NA")</f>
        <v>0.13634342517822318</v>
      </c>
      <c r="Y29" s="2"/>
      <c r="Z29" s="14">
        <f>IFERROR(Z21+Z22+Z23+Z24+Z25+Z26+Z27+Z28, "NA")</f>
        <v>44889.01</v>
      </c>
      <c r="AA29" s="15">
        <f>IFERROR(Z29/Z444, "NA")</f>
        <v>0.10184649799253154</v>
      </c>
      <c r="AB29" s="2"/>
      <c r="AC29" s="14">
        <f t="shared" si="7"/>
        <v>-2534.260000000002</v>
      </c>
      <c r="AD29" s="15">
        <f>IFERROR(AC29/AC444, "NA")</f>
        <v>8.7016505344407857E-2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20638.41</v>
      </c>
      <c r="F31" s="8">
        <f>IFERROR(E31/E444, "NA")</f>
        <v>0.18200001146406214</v>
      </c>
      <c r="G31" s="9"/>
      <c r="H31" s="10">
        <f t="shared" ref="H31:H40" si="8">IFERROR(B31-E31, "NA")</f>
        <v>-20638.41</v>
      </c>
      <c r="I31" s="8">
        <f>IFERROR(H31/H444, "NA")</f>
        <v>30.946783625730589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85394.69</v>
      </c>
      <c r="U31" s="8">
        <f>IFERROR(T31/T444, "NA")</f>
        <v>0.18199999356353447</v>
      </c>
      <c r="V31" s="9"/>
      <c r="W31" s="10">
        <f t="shared" ref="W31:W40" si="10">IFERROR(Q31-T31, "NA")</f>
        <v>-85394.69</v>
      </c>
      <c r="X31" s="8">
        <f>IFERROR(W31/W444, "NA")</f>
        <v>1.4832193001409666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11211.04</v>
      </c>
      <c r="C33" s="8">
        <f>IFERROR(B33/B444, "NA")</f>
        <v>9.9449530053636562E-2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11211.04</v>
      </c>
      <c r="I33" s="8">
        <f>IFERROR(H33/H444, "NA")</f>
        <v>-16.810676263307624</v>
      </c>
      <c r="J33" s="9"/>
      <c r="K33" s="7">
        <v>7857.71</v>
      </c>
      <c r="L33" s="8">
        <f>IFERROR(K33/K444, "NA")</f>
        <v>7.5269833825507781E-2</v>
      </c>
      <c r="M33" s="9"/>
      <c r="N33" s="10">
        <f t="shared" si="9"/>
        <v>3353.3300000000008</v>
      </c>
      <c r="O33" s="8">
        <f>IFERROR(N33/N444, "NA")</f>
        <v>0.40221924489059152</v>
      </c>
      <c r="P33" s="9"/>
      <c r="Q33" s="7">
        <v>43386.6</v>
      </c>
      <c r="R33" s="8">
        <f>IFERROR(Q33/Q444, "NA")</f>
        <v>0.1054025198933998</v>
      </c>
      <c r="S33" s="9"/>
      <c r="T33" s="7">
        <v>0</v>
      </c>
      <c r="U33" s="8">
        <f>IFERROR(T33/T444, "NA")</f>
        <v>0</v>
      </c>
      <c r="V33" s="9"/>
      <c r="W33" s="10">
        <f t="shared" si="10"/>
        <v>43386.6</v>
      </c>
      <c r="X33" s="8">
        <f>IFERROR(W33/W444, "NA")</f>
        <v>-0.75358131152529573</v>
      </c>
      <c r="Y33" s="9"/>
      <c r="Z33" s="7">
        <v>33814.800000000003</v>
      </c>
      <c r="AA33" s="8">
        <f>IFERROR(Z33/Z444, "NA")</f>
        <v>7.6720759943644454E-2</v>
      </c>
      <c r="AB33" s="9"/>
      <c r="AC33" s="10">
        <f t="shared" si="11"/>
        <v>9571.7999999999956</v>
      </c>
      <c r="AD33" s="8">
        <f>IFERROR(AC33/AC444, "NA")</f>
        <v>-0.32865790639303072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689.03</v>
      </c>
      <c r="C35" s="8">
        <f>IFERROR(B35/B444, "NA")</f>
        <v>6.1121635185368344E-3</v>
      </c>
      <c r="D35" s="9"/>
      <c r="E35" s="7">
        <v>0</v>
      </c>
      <c r="F35" s="8">
        <f>IFERROR(E35/E444, "NA")</f>
        <v>0</v>
      </c>
      <c r="G35" s="9"/>
      <c r="H35" s="10">
        <f t="shared" si="8"/>
        <v>689.03</v>
      </c>
      <c r="I35" s="8">
        <f>IFERROR(H35/H444, "NA")</f>
        <v>-1.0331833858149513</v>
      </c>
      <c r="J35" s="9"/>
      <c r="K35" s="7">
        <v>1502.76</v>
      </c>
      <c r="L35" s="8">
        <f>IFERROR(K35/K444, "NA")</f>
        <v>1.4395096724060835E-2</v>
      </c>
      <c r="M35" s="9"/>
      <c r="N35" s="10">
        <f t="shared" si="9"/>
        <v>-813.73</v>
      </c>
      <c r="O35" s="8">
        <f>IFERROR(N35/N444, "NA")</f>
        <v>-9.7603834440636902E-2</v>
      </c>
      <c r="P35" s="9"/>
      <c r="Q35" s="7">
        <v>2981.68</v>
      </c>
      <c r="R35" s="8">
        <f>IFERROR(Q35/Q444, "NA")</f>
        <v>7.2436324928838005E-3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2981.68</v>
      </c>
      <c r="X35" s="8">
        <f>IFERROR(W35/W444, "NA")</f>
        <v>-5.1788762543014288E-2</v>
      </c>
      <c r="Y35" s="9"/>
      <c r="Z35" s="7">
        <v>5259.18</v>
      </c>
      <c r="AA35" s="8">
        <f>IFERROR(Z35/Z444, "NA")</f>
        <v>1.19322984693216E-2</v>
      </c>
      <c r="AB35" s="9"/>
      <c r="AC35" s="10">
        <f t="shared" si="11"/>
        <v>-2277.5000000000005</v>
      </c>
      <c r="AD35" s="8">
        <f>IFERROR(AC35/AC444, "NA")</f>
        <v>7.8200378383389543E-2</v>
      </c>
    </row>
    <row r="36" spans="1:30" ht="16.5" customHeight="1" x14ac:dyDescent="0.45">
      <c r="A36" s="12" t="s">
        <v>36</v>
      </c>
      <c r="B36" s="7">
        <v>11808.79</v>
      </c>
      <c r="C36" s="8">
        <f>IFERROR(B36/B444, "NA")</f>
        <v>0.10475197805039345</v>
      </c>
      <c r="D36" s="9"/>
      <c r="E36" s="7">
        <v>0</v>
      </c>
      <c r="F36" s="8">
        <f>IFERROR(E36/E444, "NA")</f>
        <v>0</v>
      </c>
      <c r="G36" s="9"/>
      <c r="H36" s="10">
        <f t="shared" si="8"/>
        <v>11808.79</v>
      </c>
      <c r="I36" s="8">
        <f>IFERROR(H36/H444, "NA")</f>
        <v>-17.706987554355745</v>
      </c>
      <c r="J36" s="9"/>
      <c r="K36" s="7">
        <v>8422.14</v>
      </c>
      <c r="L36" s="8">
        <f>IFERROR(K36/K444, "NA")</f>
        <v>8.0676568396538181E-2</v>
      </c>
      <c r="M36" s="9"/>
      <c r="N36" s="10">
        <f t="shared" si="9"/>
        <v>3386.6500000000015</v>
      </c>
      <c r="O36" s="8">
        <f>IFERROR(N36/N444, "NA")</f>
        <v>0.40621585281159983</v>
      </c>
      <c r="P36" s="9"/>
      <c r="Q36" s="7">
        <v>39289.74</v>
      </c>
      <c r="R36" s="8">
        <f>IFERROR(Q36/Q444, "NA")</f>
        <v>9.5449691885432494E-2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39289.74</v>
      </c>
      <c r="X36" s="8">
        <f>IFERROR(W36/W444, "NA")</f>
        <v>-0.68242300154167124</v>
      </c>
      <c r="Y36" s="9"/>
      <c r="Z36" s="7">
        <v>44792.42</v>
      </c>
      <c r="AA36" s="8">
        <f>IFERROR(Z36/Z444, "NA")</f>
        <v>0.10162734962545686</v>
      </c>
      <c r="AB36" s="9"/>
      <c r="AC36" s="10">
        <f t="shared" si="11"/>
        <v>-5502.68</v>
      </c>
      <c r="AD36" s="8">
        <f>IFERROR(AC36/AC444, "NA")</f>
        <v>0.18894035482885177</v>
      </c>
    </row>
    <row r="37" spans="1:30" ht="16.5" customHeight="1" x14ac:dyDescent="0.45">
      <c r="A37" s="12" t="s">
        <v>37</v>
      </c>
      <c r="B37" s="7">
        <v>878.75</v>
      </c>
      <c r="C37" s="8">
        <f>IFERROR(B37/B444, "NA")</f>
        <v>7.7951086192389937E-3</v>
      </c>
      <c r="D37" s="9"/>
      <c r="E37" s="7">
        <v>0</v>
      </c>
      <c r="F37" s="8">
        <f>IFERROR(E37/E444, "NA")</f>
        <v>0</v>
      </c>
      <c r="G37" s="9"/>
      <c r="H37" s="10">
        <f t="shared" si="8"/>
        <v>878.75</v>
      </c>
      <c r="I37" s="8">
        <f>IFERROR(H37/H444, "NA")</f>
        <v>-1.3176638176638005</v>
      </c>
      <c r="J37" s="9"/>
      <c r="K37" s="7">
        <v>0</v>
      </c>
      <c r="L37" s="8">
        <f>IFERROR(K37/K444, "NA")</f>
        <v>0</v>
      </c>
      <c r="M37" s="9"/>
      <c r="N37" s="10">
        <f t="shared" si="9"/>
        <v>878.75</v>
      </c>
      <c r="O37" s="8">
        <f>IFERROR(N37/N444, "NA")</f>
        <v>0.10540273741254431</v>
      </c>
      <c r="P37" s="9"/>
      <c r="Q37" s="7">
        <v>3026.27</v>
      </c>
      <c r="R37" s="8">
        <f>IFERROR(Q37/Q444, "NA")</f>
        <v>7.351958528158441E-3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3026.27</v>
      </c>
      <c r="X37" s="8">
        <f>IFERROR(W37/W444, "NA")</f>
        <v>-5.2563245694054316E-2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3026.27</v>
      </c>
      <c r="AD37" s="8">
        <f>IFERROR(AC37/AC444, "NA")</f>
        <v>-0.10391019059947321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1035.25</v>
      </c>
      <c r="L39" s="8">
        <f>IFERROR(K39/K444, "NA")</f>
        <v>9.9167690673054778E-3</v>
      </c>
      <c r="M39" s="9"/>
      <c r="N39" s="10">
        <f t="shared" si="9"/>
        <v>-1035.25</v>
      </c>
      <c r="O39" s="8">
        <f>IFERROR(N39/N444, "NA")</f>
        <v>-0.12417432023480683</v>
      </c>
      <c r="P39" s="9"/>
      <c r="Q39" s="7">
        <v>521.4</v>
      </c>
      <c r="R39" s="8">
        <f>IFERROR(Q39/Q444, "NA")</f>
        <v>1.2666785107018907E-3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521.4</v>
      </c>
      <c r="X39" s="8">
        <f>IFERROR(W39/W444, "NA")</f>
        <v>-9.0561900639665061E-3</v>
      </c>
      <c r="Y39" s="9"/>
      <c r="Z39" s="7">
        <v>3897.1</v>
      </c>
      <c r="AA39" s="8">
        <f>IFERROR(Z39/Z444, "NA")</f>
        <v>8.8419412084760757E-3</v>
      </c>
      <c r="AB39" s="9"/>
      <c r="AC39" s="10">
        <f t="shared" si="11"/>
        <v>-3375.7</v>
      </c>
      <c r="AD39" s="8">
        <f>IFERROR(AC39/AC444, "NA")</f>
        <v>0.11590824031122196</v>
      </c>
    </row>
    <row r="40" spans="1:30" ht="16.5" customHeight="1" x14ac:dyDescent="0.45">
      <c r="A40" s="13" t="s">
        <v>40</v>
      </c>
      <c r="B40" s="14">
        <f>IFERROR(B31+B32+B33+B34+B35+B36+B37+B38+B39, "NA")</f>
        <v>24587.61</v>
      </c>
      <c r="C40" s="15">
        <f>IFERROR(B40/B444, "NA")</f>
        <v>0.21810878024180583</v>
      </c>
      <c r="D40" s="2"/>
      <c r="E40" s="14">
        <f>IFERROR(E31+E32+E33+E34+E35+E36+E37+E38+E39, "NA")</f>
        <v>20638.41</v>
      </c>
      <c r="F40" s="15">
        <f>IFERROR(E40/E444, "NA")</f>
        <v>0.18200001146406214</v>
      </c>
      <c r="G40" s="2"/>
      <c r="H40" s="14">
        <f t="shared" si="8"/>
        <v>3949.2000000000007</v>
      </c>
      <c r="I40" s="15">
        <f>IFERROR(H40/H444, "NA")</f>
        <v>-5.9217273954115299</v>
      </c>
      <c r="J40" s="2"/>
      <c r="K40" s="14">
        <f>IFERROR(K31+K32+K33+K34+K35+K36+K37+K38+K39, "NA")</f>
        <v>18817.86</v>
      </c>
      <c r="L40" s="15">
        <f>IFERROR(K40/K444, "NA")</f>
        <v>0.18025826801341227</v>
      </c>
      <c r="M40" s="2"/>
      <c r="N40" s="14">
        <f t="shared" si="9"/>
        <v>5769.75</v>
      </c>
      <c r="O40" s="15">
        <f>IFERROR(N40/N444, "NA")</f>
        <v>0.69205968043929167</v>
      </c>
      <c r="P40" s="2"/>
      <c r="Q40" s="14">
        <f>IFERROR(Q31+Q32+Q33+Q34+Q35+Q36+Q37+Q38+Q39, "NA")</f>
        <v>89205.689999999988</v>
      </c>
      <c r="R40" s="15">
        <f>IFERROR(Q40/Q444, "NA")</f>
        <v>0.21671448131057641</v>
      </c>
      <c r="S40" s="2"/>
      <c r="T40" s="14">
        <f>IFERROR(T31+T32+T33+T34+T35+T36+T37+T38+T39, "NA")</f>
        <v>85394.69</v>
      </c>
      <c r="U40" s="15">
        <f>IFERROR(T40/T444, "NA")</f>
        <v>0.18199999356353447</v>
      </c>
      <c r="V40" s="2"/>
      <c r="W40" s="14">
        <f t="shared" si="10"/>
        <v>3810.9999999999854</v>
      </c>
      <c r="X40" s="15">
        <f>IFERROR(W40/W444, "NA")</f>
        <v>-6.6193211227035337E-2</v>
      </c>
      <c r="Y40" s="2"/>
      <c r="Z40" s="14">
        <f>IFERROR(Z31+Z32+Z33+Z34+Z35+Z36+Z37+Z38+Z39, "NA")</f>
        <v>87763.5</v>
      </c>
      <c r="AA40" s="15">
        <f>IFERROR(Z40/Z444, "NA")</f>
        <v>0.19912234924689898</v>
      </c>
      <c r="AB40" s="2"/>
      <c r="AC40" s="14">
        <f t="shared" si="11"/>
        <v>1442.1899999999878</v>
      </c>
      <c r="AD40" s="15">
        <f>IFERROR(AC40/AC444, "NA")</f>
        <v>-4.951912346904043E-2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20978.6</v>
      </c>
      <c r="F42" s="8">
        <f>IFERROR(E42/E444, "NA")</f>
        <v>0.18499998015835395</v>
      </c>
      <c r="G42" s="9"/>
      <c r="H42" s="10">
        <f>IFERROR(B42-E42, "NA")</f>
        <v>-20978.6</v>
      </c>
      <c r="I42" s="8">
        <f>IFERROR(H42/H444, "NA")</f>
        <v>31.456890088468622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86802.3</v>
      </c>
      <c r="U42" s="8">
        <f>IFERROR(T42/T444, "NA")</f>
        <v>0.18500000458225196</v>
      </c>
      <c r="V42" s="9"/>
      <c r="W42" s="10">
        <f>IFERROR(Q42-T42, "NA")</f>
        <v>-86802.3</v>
      </c>
      <c r="X42" s="8">
        <f>IFERROR(W42/W444, "NA")</f>
        <v>1.5076680605858073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1058.3499999999999</v>
      </c>
      <c r="C43" s="8">
        <f>IFERROR(B43/B444, "NA")</f>
        <v>9.3882824548183075E-3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1058.3499999999999</v>
      </c>
      <c r="I43" s="8">
        <f>IFERROR(H43/H444, "NA")</f>
        <v>-1.5869695606537502</v>
      </c>
      <c r="J43" s="9"/>
      <c r="K43" s="7">
        <v>3578.73</v>
      </c>
      <c r="L43" s="8">
        <f>IFERROR(K43/K444, "NA")</f>
        <v>3.4281032566276876E-2</v>
      </c>
      <c r="M43" s="9"/>
      <c r="N43" s="10">
        <f>IFERROR(B43-K43, "NA")</f>
        <v>-2520.38</v>
      </c>
      <c r="O43" s="8">
        <f>IFERROR(N43/N444, "NA")</f>
        <v>-0.30231004417619167</v>
      </c>
      <c r="P43" s="9"/>
      <c r="Q43" s="7">
        <v>11590.87</v>
      </c>
      <c r="R43" s="8">
        <f>IFERROR(Q43/Q444, "NA")</f>
        <v>2.8158622841080221E-2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11590.87</v>
      </c>
      <c r="X43" s="8">
        <f>IFERROR(W43/W444, "NA")</f>
        <v>-0.20132167573212018</v>
      </c>
      <c r="Y43" s="9"/>
      <c r="Z43" s="7">
        <v>17264.189999999999</v>
      </c>
      <c r="AA43" s="8">
        <f>IFERROR(Z43/Z444, "NA")</f>
        <v>3.9169883501054777E-2</v>
      </c>
      <c r="AB43" s="9"/>
      <c r="AC43" s="10">
        <f>IFERROR(Q43-Z43, "NA")</f>
        <v>-5673.3199999999979</v>
      </c>
      <c r="AD43" s="8">
        <f>IFERROR(AC43/AC444, "NA")</f>
        <v>0.19479946023712461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15484.22</v>
      </c>
      <c r="C48" s="8">
        <f>IFERROR(B48/B444, "NA")</f>
        <v>0.13735553545854087</v>
      </c>
      <c r="D48" s="9"/>
      <c r="E48" s="7">
        <v>0</v>
      </c>
      <c r="F48" s="8">
        <f>IFERROR(E48/E444, "NA")</f>
        <v>0</v>
      </c>
      <c r="G48" s="9"/>
      <c r="H48" s="10">
        <f t="shared" si="12"/>
        <v>15484.22</v>
      </c>
      <c r="I48" s="8">
        <f>IFERROR(H48/H444, "NA")</f>
        <v>-23.21820362872964</v>
      </c>
      <c r="J48" s="9"/>
      <c r="K48" s="7">
        <v>14781.65</v>
      </c>
      <c r="L48" s="8">
        <f>IFERROR(K48/K444, "NA")</f>
        <v>0.14159498621949868</v>
      </c>
      <c r="M48" s="9"/>
      <c r="N48" s="10">
        <f t="shared" si="13"/>
        <v>702.56999999999971</v>
      </c>
      <c r="O48" s="8">
        <f>IFERROR(N48/N444, "NA")</f>
        <v>8.4270613057105231E-2</v>
      </c>
      <c r="P48" s="9"/>
      <c r="Q48" s="7">
        <v>39701</v>
      </c>
      <c r="R48" s="8">
        <f>IFERROR(Q48/Q444, "NA")</f>
        <v>9.6448798529681176E-2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39701</v>
      </c>
      <c r="X48" s="8">
        <f>IFERROR(W48/W444, "NA")</f>
        <v>-0.68956617132630282</v>
      </c>
      <c r="Y48" s="9"/>
      <c r="Z48" s="7">
        <v>60254.78</v>
      </c>
      <c r="AA48" s="8">
        <f>IFERROR(Z48/Z444, "NA")</f>
        <v>0.13670914841540122</v>
      </c>
      <c r="AB48" s="9"/>
      <c r="AC48" s="10">
        <f t="shared" si="15"/>
        <v>-20553.78</v>
      </c>
      <c r="AD48" s="8">
        <f>IFERROR(AC48/AC444, "NA")</f>
        <v>0.70573583895014003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12.85</v>
      </c>
      <c r="L49" s="8">
        <f>IFERROR(K49/K444, "NA")</f>
        <v>1.2309150689676445E-4</v>
      </c>
      <c r="M49" s="9"/>
      <c r="N49" s="10">
        <f t="shared" si="13"/>
        <v>-12.85</v>
      </c>
      <c r="O49" s="8">
        <f>IFERROR(N49/N444, "NA")</f>
        <v>-1.5413088770995099E-3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12.85</v>
      </c>
      <c r="AA49" s="8">
        <f>IFERROR(Z49/Z444, "NA")</f>
        <v>2.9154741866751575E-5</v>
      </c>
      <c r="AB49" s="9"/>
      <c r="AC49" s="10">
        <f t="shared" si="15"/>
        <v>-12.85</v>
      </c>
      <c r="AD49" s="8">
        <f>IFERROR(AC49/AC444, "NA")</f>
        <v>4.4121838078004628E-4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23.3</v>
      </c>
      <c r="L54" s="8">
        <f>IFERROR(K54/K444, "NA")</f>
        <v>2.2319316036533942E-4</v>
      </c>
      <c r="M54" s="9"/>
      <c r="N54" s="10">
        <f t="shared" si="13"/>
        <v>-23.3</v>
      </c>
      <c r="O54" s="8">
        <f>IFERROR(N54/N444, "NA")</f>
        <v>-2.794746835518956E-3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23.3</v>
      </c>
      <c r="AA54" s="8">
        <f>IFERROR(Z54/Z444, "NA")</f>
        <v>5.2864240116366671E-5</v>
      </c>
      <c r="AB54" s="9"/>
      <c r="AC54" s="10">
        <f t="shared" si="15"/>
        <v>-23.3</v>
      </c>
      <c r="AD54" s="8">
        <f>IFERROR(AC54/AC444, "NA")</f>
        <v>8.0003021573346914E-4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25.75</v>
      </c>
      <c r="L55" s="8">
        <f>IFERROR(K55/K444, "NA")</f>
        <v>2.4666196907328284E-4</v>
      </c>
      <c r="M55" s="9"/>
      <c r="N55" s="10">
        <f t="shared" si="13"/>
        <v>-25.75</v>
      </c>
      <c r="O55" s="8">
        <f>IFERROR(N55/N444, "NA")</f>
        <v>-3.0886150650048546E-3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25.75</v>
      </c>
      <c r="AA55" s="8">
        <f>IFERROR(Z55/Z444, "NA")</f>
        <v>5.842292630886016E-5</v>
      </c>
      <c r="AB55" s="9"/>
      <c r="AC55" s="10">
        <f t="shared" si="15"/>
        <v>-25.75</v>
      </c>
      <c r="AD55" s="8">
        <f>IFERROR(AC55/AC444, "NA")</f>
        <v>8.8415356459814725E-4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40.200000000000003</v>
      </c>
      <c r="L56" s="8">
        <f>IFERROR(K56/K444, "NA")</f>
        <v>3.8508004492217361E-4</v>
      </c>
      <c r="M56" s="9"/>
      <c r="N56" s="10">
        <f t="shared" si="13"/>
        <v>-40.200000000000003</v>
      </c>
      <c r="O56" s="8">
        <f>IFERROR(N56/N444, "NA")</f>
        <v>-4.8218378878910747E-3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40.200000000000003</v>
      </c>
      <c r="AA56" s="8">
        <f>IFERROR(Z56/Z444, "NA")</f>
        <v>9.1207830587036062E-5</v>
      </c>
      <c r="AB56" s="9"/>
      <c r="AC56" s="10">
        <f t="shared" si="15"/>
        <v>-40.200000000000003</v>
      </c>
      <c r="AD56" s="8">
        <f>IFERROR(AC56/AC444, "NA")</f>
        <v>1.3803096425959425E-3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15484.22</v>
      </c>
      <c r="C61" s="15">
        <f>IFERROR(B61/B444, "NA")</f>
        <v>0.13735553545854087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15484.22</v>
      </c>
      <c r="I61" s="15">
        <f>IFERROR(H61/H444, "NA")</f>
        <v>-23.21820362872964</v>
      </c>
      <c r="J61" s="2"/>
      <c r="K61" s="14">
        <f>IFERROR(K46+K47+K48+K49+K50+K51+K52+K53+K54+K55+K56+K57+K58+K59+K60, "NA")</f>
        <v>14883.75</v>
      </c>
      <c r="L61" s="15">
        <f>IFERROR(K61/K444, "NA")</f>
        <v>0.14257301290075625</v>
      </c>
      <c r="M61" s="2"/>
      <c r="N61" s="14">
        <f t="shared" si="13"/>
        <v>600.46999999999935</v>
      </c>
      <c r="O61" s="15">
        <f>IFERROR(N61/N444, "NA")</f>
        <v>7.2024104391590793E-2</v>
      </c>
      <c r="P61" s="2"/>
      <c r="Q61" s="14">
        <f>IFERROR(Q46+Q47+Q48+Q49+Q50+Q51+Q52+Q53+Q54+Q55+Q56+Q57+Q58+Q59+Q60, "NA")</f>
        <v>39701</v>
      </c>
      <c r="R61" s="15">
        <f>IFERROR(Q61/Q444, "NA")</f>
        <v>9.6448798529681176E-2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39701</v>
      </c>
      <c r="X61" s="15">
        <f>IFERROR(W61/W444, "NA")</f>
        <v>-0.68956617132630282</v>
      </c>
      <c r="Y61" s="2"/>
      <c r="Z61" s="14">
        <f>IFERROR(Z46+Z47+Z48+Z49+Z50+Z51+Z52+Z53+Z54+Z55+Z56+Z57+Z58+Z59+Z60, "NA")</f>
        <v>60356.88</v>
      </c>
      <c r="AA61" s="15">
        <f>IFERROR(Z61/Z444, "NA")</f>
        <v>0.13694079815428023</v>
      </c>
      <c r="AB61" s="2"/>
      <c r="AC61" s="14">
        <f t="shared" si="15"/>
        <v>-20655.879999999997</v>
      </c>
      <c r="AD61" s="15">
        <f>IFERROR(AC61/AC444, "NA")</f>
        <v>0.70924155075384754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16542.57</v>
      </c>
      <c r="C62" s="15">
        <f>IFERROR(B62/B444, "NA")</f>
        <v>0.14674381791335919</v>
      </c>
      <c r="D62" s="2"/>
      <c r="E62" s="14">
        <f>IFERROR(E42+E43+E44+E46+E47+E48+E49+E50+E51+E52+E53+E54+E55+E56+E57+E58+E59+E60, "NA")</f>
        <v>20978.6</v>
      </c>
      <c r="F62" s="15">
        <f>IFERROR(E62/E444, "NA")</f>
        <v>0.18499998015835395</v>
      </c>
      <c r="G62" s="2"/>
      <c r="H62" s="14">
        <f t="shared" si="12"/>
        <v>-4436.0299999999988</v>
      </c>
      <c r="I62" s="15">
        <f>IFERROR(H62/H444, "NA")</f>
        <v>6.6517168990852316</v>
      </c>
      <c r="J62" s="2"/>
      <c r="K62" s="14">
        <f>IFERROR(K42+K43+K44+K46+K47+K48+K49+K50+K51+K52+K53+K54+K55+K56+K57+K58+K59+K60, "NA")</f>
        <v>18462.48</v>
      </c>
      <c r="L62" s="15">
        <f>IFERROR(K62/K444, "NA")</f>
        <v>0.17685404546703312</v>
      </c>
      <c r="M62" s="2"/>
      <c r="N62" s="14">
        <f t="shared" si="13"/>
        <v>-1919.9099999999999</v>
      </c>
      <c r="O62" s="15">
        <f>IFERROR(N62/N444, "NA")</f>
        <v>-0.23028593978460077</v>
      </c>
      <c r="P62" s="2"/>
      <c r="Q62" s="14">
        <f>IFERROR(Q42+Q43+Q44+Q46+Q47+Q48+Q49+Q50+Q51+Q52+Q53+Q54+Q55+Q56+Q57+Q58+Q59+Q60, "NA")</f>
        <v>51291.87</v>
      </c>
      <c r="R62" s="15">
        <f>IFERROR(Q62/Q444, "NA")</f>
        <v>0.1246074213707614</v>
      </c>
      <c r="S62" s="2"/>
      <c r="T62" s="14">
        <f>IFERROR(T42+T43+T44+T46+T47+T48+T49+T50+T51+T52+T53+T54+T55+T56+T57+T58+T59+T60, "NA")</f>
        <v>86802.3</v>
      </c>
      <c r="U62" s="15">
        <f>IFERROR(T62/T444, "NA")</f>
        <v>0.18500000458225196</v>
      </c>
      <c r="V62" s="2"/>
      <c r="W62" s="14">
        <f t="shared" si="14"/>
        <v>-35510.43</v>
      </c>
      <c r="X62" s="15">
        <f>IFERROR(W62/W444, "NA")</f>
        <v>0.61678021352738421</v>
      </c>
      <c r="Y62" s="2"/>
      <c r="Z62" s="14">
        <f>IFERROR(Z42+Z43+Z44+Z46+Z47+Z48+Z49+Z50+Z51+Z52+Z53+Z54+Z55+Z56+Z57+Z58+Z59+Z60, "NA")</f>
        <v>77621.070000000007</v>
      </c>
      <c r="AA62" s="15">
        <f>IFERROR(Z62/Z444, "NA")</f>
        <v>0.17611068165533503</v>
      </c>
      <c r="AB62" s="2"/>
      <c r="AC62" s="14">
        <f t="shared" si="15"/>
        <v>-26329.200000000004</v>
      </c>
      <c r="AD62" s="15">
        <f>IFERROR(AC62/AC444, "NA")</f>
        <v>0.90404101099097245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9071.83</v>
      </c>
      <c r="F64" s="8">
        <f>IFERROR(E64/E444, "NA")</f>
        <v>8.0000017637018681E-2</v>
      </c>
      <c r="G64" s="9"/>
      <c r="H64" s="10">
        <f t="shared" ref="H64:H73" si="16">IFERROR(B64-E64, "NA")</f>
        <v>-9071.83</v>
      </c>
      <c r="I64" s="8">
        <f>IFERROR(H64/H444, "NA")</f>
        <v>13.602983955615356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37536.14</v>
      </c>
      <c r="U64" s="8">
        <f>IFERROR(T64/T444, "NA")</f>
        <v>8.0000023870335821E-2</v>
      </c>
      <c r="V64" s="9"/>
      <c r="W64" s="10">
        <f t="shared" ref="W64:W73" si="18">IFERROR(Q64-T64, "NA")</f>
        <v>-37536.14</v>
      </c>
      <c r="X64" s="8">
        <f>IFERROR(W64/W444, "NA")</f>
        <v>0.65196474512400404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2701.25</v>
      </c>
      <c r="C65" s="8">
        <f>IFERROR(B65/B444, "NA")</f>
        <v>2.396191995188544E-2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2701.25</v>
      </c>
      <c r="I65" s="8">
        <f>IFERROR(H65/H444, "NA")</f>
        <v>-4.0504573399309711</v>
      </c>
      <c r="J65" s="9"/>
      <c r="K65" s="7">
        <v>1193.47</v>
      </c>
      <c r="L65" s="8">
        <f>IFERROR(K65/K444, "NA")</f>
        <v>1.1432375154558869E-2</v>
      </c>
      <c r="M65" s="9"/>
      <c r="N65" s="10">
        <f t="shared" si="17"/>
        <v>1507.78</v>
      </c>
      <c r="O65" s="8">
        <f>IFERROR(N65/N444, "NA")</f>
        <v>0.18085250573642794</v>
      </c>
      <c r="P65" s="9"/>
      <c r="Q65" s="7">
        <v>17012.57</v>
      </c>
      <c r="R65" s="8">
        <f>IFERROR(Q65/Q444, "NA")</f>
        <v>4.1329990085944894E-2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17012.57</v>
      </c>
      <c r="X65" s="8">
        <f>IFERROR(W65/W444, "NA")</f>
        <v>-0.2954911150681524</v>
      </c>
      <c r="Y65" s="9"/>
      <c r="Z65" s="7">
        <v>1193.47</v>
      </c>
      <c r="AA65" s="8">
        <f>IFERROR(Z65/Z444, "NA")</f>
        <v>2.7078062082266153E-3</v>
      </c>
      <c r="AB65" s="9"/>
      <c r="AC65" s="10">
        <f t="shared" si="19"/>
        <v>15819.1</v>
      </c>
      <c r="AD65" s="8">
        <f>IFERROR(AC65/AC444, "NA")</f>
        <v>-0.54316557878580785</v>
      </c>
    </row>
    <row r="66" spans="1:30" ht="16.5" customHeight="1" x14ac:dyDescent="0.45">
      <c r="A66" s="12" t="s">
        <v>63</v>
      </c>
      <c r="B66" s="7">
        <v>2631.22</v>
      </c>
      <c r="C66" s="8">
        <f>IFERROR(B66/B444, "NA")</f>
        <v>2.3340706345506713E-2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2631.22</v>
      </c>
      <c r="I66" s="8">
        <f>IFERROR(H66/H444, "NA")</f>
        <v>-3.9454490928174617</v>
      </c>
      <c r="J66" s="9"/>
      <c r="K66" s="7">
        <v>2779.09</v>
      </c>
      <c r="L66" s="8">
        <f>IFERROR(K66/K444, "NA")</f>
        <v>2.6621196568227947E-2</v>
      </c>
      <c r="M66" s="9"/>
      <c r="N66" s="10">
        <f t="shared" si="17"/>
        <v>-147.87000000000035</v>
      </c>
      <c r="O66" s="8">
        <f>IFERROR(N66/N444, "NA")</f>
        <v>-1.7736446977175493E-2</v>
      </c>
      <c r="P66" s="9"/>
      <c r="Q66" s="7">
        <v>12739.36</v>
      </c>
      <c r="R66" s="8">
        <f>IFERROR(Q66/Q444, "NA")</f>
        <v>3.0948740989825932E-2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12739.36</v>
      </c>
      <c r="X66" s="8">
        <f>IFERROR(W66/W444, "NA")</f>
        <v>-0.22126978414517137</v>
      </c>
      <c r="Y66" s="9"/>
      <c r="Z66" s="7">
        <v>25047.08</v>
      </c>
      <c r="AA66" s="8">
        <f>IFERROR(Z66/Z444, "NA")</f>
        <v>5.6828105207461177E-2</v>
      </c>
      <c r="AB66" s="9"/>
      <c r="AC66" s="10">
        <f t="shared" si="19"/>
        <v>-12307.720000000001</v>
      </c>
      <c r="AD66" s="8">
        <f>IFERROR(AC66/AC444, "NA")</f>
        <v>0.42259862175052076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1514</v>
      </c>
      <c r="C68" s="8">
        <f>IFERROR(B68/B444, "NA")</f>
        <v>1.3430207054939216E-2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1514</v>
      </c>
      <c r="I68" s="8">
        <f>IFERROR(H68/H444, "NA")</f>
        <v>-2.2702054281001351</v>
      </c>
      <c r="J68" s="9"/>
      <c r="K68" s="7">
        <v>0</v>
      </c>
      <c r="L68" s="8">
        <f>IFERROR(K68/K444, "NA")</f>
        <v>0</v>
      </c>
      <c r="M68" s="9"/>
      <c r="N68" s="10">
        <f t="shared" si="17"/>
        <v>1514</v>
      </c>
      <c r="O68" s="8">
        <f>IFERROR(N68/N444, "NA")</f>
        <v>0.18159857120067377</v>
      </c>
      <c r="P68" s="9"/>
      <c r="Q68" s="7">
        <v>5616.79</v>
      </c>
      <c r="R68" s="8">
        <f>IFERROR(Q68/Q444, "NA")</f>
        <v>1.3645314906262512E-2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5616.79</v>
      </c>
      <c r="X68" s="8">
        <f>IFERROR(W68/W444, "NA")</f>
        <v>-9.7557955100472632E-2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5616.79</v>
      </c>
      <c r="AD68" s="8">
        <f>IFERROR(AC68/AC444, "NA")</f>
        <v>-0.1928584427223001</v>
      </c>
    </row>
    <row r="69" spans="1:30" ht="16.5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-17.850000000000001</v>
      </c>
      <c r="R69" s="8">
        <f>IFERROR(Q69/Q444, "NA")</f>
        <v>-4.3364425423913986E-5</v>
      </c>
      <c r="S69" s="9"/>
      <c r="T69" s="7">
        <v>0</v>
      </c>
      <c r="U69" s="8">
        <f>IFERROR(T69/T444, "NA")</f>
        <v>0</v>
      </c>
      <c r="V69" s="9"/>
      <c r="W69" s="10">
        <f t="shared" si="18"/>
        <v>-17.850000000000001</v>
      </c>
      <c r="X69" s="8">
        <f>IFERROR(W69/W444, "NA")</f>
        <v>3.1003642624051047E-4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-17.850000000000001</v>
      </c>
      <c r="AD69" s="8">
        <f>IFERROR(AC69/AC444, "NA")</f>
        <v>6.1289868458551183E-4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customHeight="1" x14ac:dyDescent="0.45">
      <c r="A72" s="12" t="s">
        <v>69</v>
      </c>
      <c r="B72" s="7">
        <v>2815</v>
      </c>
      <c r="C72" s="8">
        <f>IFERROR(B72/B444, "NA")</f>
        <v>2.4970959616680246E-2</v>
      </c>
      <c r="D72" s="9"/>
      <c r="E72" s="7">
        <v>0</v>
      </c>
      <c r="F72" s="8">
        <f>IFERROR(E72/E444, "NA")</f>
        <v>0</v>
      </c>
      <c r="G72" s="9"/>
      <c r="H72" s="10">
        <f t="shared" si="16"/>
        <v>2815</v>
      </c>
      <c r="I72" s="8">
        <f>IFERROR(H72/H444, "NA")</f>
        <v>-4.2210226420752184</v>
      </c>
      <c r="J72" s="9"/>
      <c r="K72" s="7">
        <v>0</v>
      </c>
      <c r="L72" s="8">
        <f>IFERROR(K72/K444, "NA")</f>
        <v>0</v>
      </c>
      <c r="M72" s="9"/>
      <c r="N72" s="10">
        <f t="shared" si="17"/>
        <v>2815</v>
      </c>
      <c r="O72" s="8">
        <f>IFERROR(N72/N444, "NA")</f>
        <v>0.33764859836849187</v>
      </c>
      <c r="P72" s="9"/>
      <c r="Q72" s="7">
        <v>4168.8</v>
      </c>
      <c r="R72" s="8">
        <f>IFERROR(Q72/Q444, "NA")</f>
        <v>1.0127597574633761E-2</v>
      </c>
      <c r="S72" s="9"/>
      <c r="T72" s="7">
        <v>0</v>
      </c>
      <c r="U72" s="8">
        <f>IFERROR(T72/T444, "NA")</f>
        <v>0</v>
      </c>
      <c r="V72" s="9"/>
      <c r="W72" s="10">
        <f t="shared" si="18"/>
        <v>4168.8</v>
      </c>
      <c r="X72" s="8">
        <f>IFERROR(W72/W444, "NA")</f>
        <v>-7.2407834941817364E-2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4168.8</v>
      </c>
      <c r="AD72" s="8">
        <f>IFERROR(AC72/AC444, "NA")</f>
        <v>-0.1431401701008449</v>
      </c>
    </row>
    <row r="73" spans="1:30" ht="16.5" customHeight="1" x14ac:dyDescent="0.45">
      <c r="A73" s="13" t="s">
        <v>70</v>
      </c>
      <c r="B73" s="14">
        <f>IFERROR(B64+B65+B66+B67+B68+B69+B70+B71+B72, "NA")</f>
        <v>9661.4699999999993</v>
      </c>
      <c r="C73" s="15">
        <f>IFERROR(B73/B444, "NA")</f>
        <v>8.5703792969011608E-2</v>
      </c>
      <c r="D73" s="2"/>
      <c r="E73" s="14">
        <f>IFERROR(E64+E65+E66+E67+E68+E69+E70+E71+E72, "NA")</f>
        <v>9071.83</v>
      </c>
      <c r="F73" s="15">
        <f>IFERROR(E73/E444, "NA")</f>
        <v>8.0000017637018681E-2</v>
      </c>
      <c r="G73" s="2"/>
      <c r="H73" s="14">
        <f t="shared" si="16"/>
        <v>589.63999999999942</v>
      </c>
      <c r="I73" s="15">
        <f>IFERROR(H73/H444, "NA")</f>
        <v>-0.88415054730842957</v>
      </c>
      <c r="J73" s="2"/>
      <c r="K73" s="14">
        <f>IFERROR(K64+K65+K66+K67+K68+K69+K70+K71+K72, "NA")</f>
        <v>3972.5600000000004</v>
      </c>
      <c r="L73" s="15">
        <f>IFERROR(K73/K444, "NA")</f>
        <v>3.8053571722786818E-2</v>
      </c>
      <c r="M73" s="2"/>
      <c r="N73" s="14">
        <f t="shared" si="17"/>
        <v>5688.9099999999989</v>
      </c>
      <c r="O73" s="15">
        <f>IFERROR(N73/N444, "NA")</f>
        <v>0.682363228328418</v>
      </c>
      <c r="P73" s="2"/>
      <c r="Q73" s="14">
        <f>IFERROR(Q64+Q65+Q66+Q67+Q68+Q69+Q70+Q71+Q72, "NA")</f>
        <v>39519.670000000006</v>
      </c>
      <c r="R73" s="15">
        <f>IFERROR(Q73/Q444, "NA")</f>
        <v>9.6008279131243199E-2</v>
      </c>
      <c r="S73" s="2"/>
      <c r="T73" s="14">
        <f>IFERROR(T64+T65+T66+T67+T68+T69+T70+T71+T72, "NA")</f>
        <v>37536.14</v>
      </c>
      <c r="U73" s="15">
        <f>IFERROR(T73/T444, "NA")</f>
        <v>8.0000023870335821E-2</v>
      </c>
      <c r="V73" s="2"/>
      <c r="W73" s="14">
        <f t="shared" si="18"/>
        <v>1983.5300000000061</v>
      </c>
      <c r="X73" s="15">
        <f>IFERROR(W73/W444, "NA")</f>
        <v>-3.4451907705369274E-2</v>
      </c>
      <c r="Y73" s="2"/>
      <c r="Z73" s="14">
        <f>IFERROR(Z64+Z65+Z66+Z67+Z68+Z69+Z70+Z71+Z72, "NA")</f>
        <v>26240.550000000003</v>
      </c>
      <c r="AA73" s="15">
        <f>IFERROR(Z73/Z444, "NA")</f>
        <v>5.9535911415687794E-2</v>
      </c>
      <c r="AB73" s="2"/>
      <c r="AC73" s="14">
        <f t="shared" si="19"/>
        <v>13279.120000000003</v>
      </c>
      <c r="AD73" s="15">
        <f>IFERROR(AC73/AC444, "NA")</f>
        <v>-0.45595267117384664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1700.97</v>
      </c>
      <c r="F75" s="8">
        <f>IFERROR(E75/E444, "NA")</f>
        <v>1.5000019841646027E-2</v>
      </c>
      <c r="G75" s="9"/>
      <c r="H75" s="10">
        <f t="shared" ref="H75:H92" si="20">IFERROR(B75-E75, "NA")</f>
        <v>-1700.97</v>
      </c>
      <c r="I75" s="8">
        <f>IFERROR(H75/H444, "NA")</f>
        <v>2.5505623031938489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7038.03</v>
      </c>
      <c r="U75" s="8">
        <f>IFERROR(T75/T444, "NA")</f>
        <v>1.5000012467987909E-2</v>
      </c>
      <c r="V75" s="9"/>
      <c r="W75" s="10">
        <f t="shared" ref="W75:W92" si="22">IFERROR(Q75-T75, "NA")</f>
        <v>-7038.03</v>
      </c>
      <c r="X75" s="8">
        <f>IFERROR(W75/W444, "NA")</f>
        <v>0.12224345484445376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86.44</v>
      </c>
      <c r="C77" s="8">
        <f>IFERROR(B77/B444, "NA")</f>
        <v>7.6678143846033414E-4</v>
      </c>
      <c r="D77" s="9"/>
      <c r="E77" s="7">
        <v>0</v>
      </c>
      <c r="F77" s="8">
        <f>IFERROR(E77/E444, "NA")</f>
        <v>0</v>
      </c>
      <c r="G77" s="9"/>
      <c r="H77" s="10">
        <f t="shared" si="20"/>
        <v>86.44</v>
      </c>
      <c r="I77" s="8">
        <f>IFERROR(H77/H444, "NA")</f>
        <v>-0.12961463487779107</v>
      </c>
      <c r="J77" s="9"/>
      <c r="K77" s="7">
        <v>385.02</v>
      </c>
      <c r="L77" s="8">
        <f>IFERROR(K77/K444, "NA")</f>
        <v>3.688147236217295E-3</v>
      </c>
      <c r="M77" s="9"/>
      <c r="N77" s="10">
        <f t="shared" si="21"/>
        <v>-298.58</v>
      </c>
      <c r="O77" s="8">
        <f>IFERROR(N77/N444, "NA")</f>
        <v>-3.5813541208122308E-2</v>
      </c>
      <c r="P77" s="9"/>
      <c r="Q77" s="7">
        <v>857.12</v>
      </c>
      <c r="R77" s="8">
        <f>IFERROR(Q77/Q444, "NA")</f>
        <v>2.0822698218120536E-3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857.12</v>
      </c>
      <c r="X77" s="8">
        <f>IFERROR(W77/W444, "NA")</f>
        <v>-1.4887306535533126E-2</v>
      </c>
      <c r="Y77" s="9"/>
      <c r="Z77" s="7">
        <v>1426.2</v>
      </c>
      <c r="AA77" s="8">
        <f>IFERROR(Z77/Z444, "NA")</f>
        <v>3.2358360194833539E-3</v>
      </c>
      <c r="AB77" s="9"/>
      <c r="AC77" s="10">
        <f t="shared" si="23"/>
        <v>-569.08000000000004</v>
      </c>
      <c r="AD77" s="8">
        <f>IFERROR(AC77/AC444, "NA")</f>
        <v>1.9539965457922859E-2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1361.96</v>
      </c>
      <c r="C80" s="8">
        <f>IFERROR(B80/B444, "NA")</f>
        <v>1.2081509115287329E-2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1361.96</v>
      </c>
      <c r="I80" s="8">
        <f>IFERROR(H80/H444, "NA")</f>
        <v>-2.0422252211725631</v>
      </c>
      <c r="J80" s="9"/>
      <c r="K80" s="7">
        <v>999.27</v>
      </c>
      <c r="L80" s="8">
        <f>IFERROR(K80/K444, "NA")</f>
        <v>9.5721128479945364E-3</v>
      </c>
      <c r="M80" s="9"/>
      <c r="N80" s="10">
        <f t="shared" si="21"/>
        <v>362.69000000000005</v>
      </c>
      <c r="O80" s="8">
        <f>IFERROR(N80/N444, "NA")</f>
        <v>4.3503293123363533E-2</v>
      </c>
      <c r="P80" s="9"/>
      <c r="Q80" s="7">
        <v>3851.68</v>
      </c>
      <c r="R80" s="8">
        <f>IFERROR(Q80/Q444, "NA")</f>
        <v>9.3571927236291881E-3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3851.68</v>
      </c>
      <c r="X80" s="8">
        <f>IFERROR(W80/W444, "NA")</f>
        <v>-6.6899781637089595E-2</v>
      </c>
      <c r="Y80" s="9"/>
      <c r="Z80" s="7">
        <v>4574.25</v>
      </c>
      <c r="AA80" s="8">
        <f>IFERROR(Z80/Z444, "NA")</f>
        <v>1.0378294006536061E-2</v>
      </c>
      <c r="AB80" s="9"/>
      <c r="AC80" s="10">
        <f t="shared" si="23"/>
        <v>-722.57000000000016</v>
      </c>
      <c r="AD80" s="8">
        <f>IFERROR(AC80/AC444, "NA")</f>
        <v>2.4810207424143044E-2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1448.4</v>
      </c>
      <c r="C88" s="15">
        <f>IFERROR(B88/B444, "NA")</f>
        <v>1.2848290553747662E-2</v>
      </c>
      <c r="D88" s="2"/>
      <c r="E88" s="14">
        <f>IFERROR(E75+E76+E77+E78+E79+E80+E81+E82+E83+E84+E85+E86+E87, "NA")</f>
        <v>1700.97</v>
      </c>
      <c r="F88" s="15">
        <f>IFERROR(E88/E444, "NA")</f>
        <v>1.5000019841646027E-2</v>
      </c>
      <c r="G88" s="2"/>
      <c r="H88" s="14">
        <f t="shared" si="20"/>
        <v>-252.56999999999994</v>
      </c>
      <c r="I88" s="15">
        <f>IFERROR(H88/H444, "NA")</f>
        <v>0.37872244714349473</v>
      </c>
      <c r="J88" s="2"/>
      <c r="K88" s="14">
        <f>IFERROR(K75+K76+K77+K78+K79+K80+K81+K82+K83+K84+K85+K86+K87, "NA")</f>
        <v>1384.29</v>
      </c>
      <c r="L88" s="15">
        <f>IFERROR(K88/K444, "NA")</f>
        <v>1.3260260084211831E-2</v>
      </c>
      <c r="M88" s="2"/>
      <c r="N88" s="14">
        <f t="shared" si="21"/>
        <v>64.110000000000127</v>
      </c>
      <c r="O88" s="15">
        <f>IFERROR(N88/N444, "NA")</f>
        <v>7.6897519152412282E-3</v>
      </c>
      <c r="P88" s="2"/>
      <c r="Q88" s="14">
        <f>IFERROR(Q75+Q76+Q77+Q78+Q79+Q80+Q81+Q82+Q83+Q84+Q85+Q86+Q87, "NA")</f>
        <v>4708.8</v>
      </c>
      <c r="R88" s="15">
        <f>IFERROR(Q88/Q444, "NA")</f>
        <v>1.1439462545441242E-2</v>
      </c>
      <c r="S88" s="2"/>
      <c r="T88" s="14">
        <f>IFERROR(T75+T76+T77+T78+T79+T80+T81+T82+T83+T84+T85+T86+T87, "NA")</f>
        <v>7038.03</v>
      </c>
      <c r="U88" s="15">
        <f>IFERROR(T88/T444, "NA")</f>
        <v>1.5000012467987909E-2</v>
      </c>
      <c r="V88" s="2"/>
      <c r="W88" s="14">
        <f t="shared" si="22"/>
        <v>-2329.2299999999996</v>
      </c>
      <c r="X88" s="15">
        <f>IFERROR(W88/W444, "NA")</f>
        <v>4.0456366671831036E-2</v>
      </c>
      <c r="Y88" s="2"/>
      <c r="Z88" s="14">
        <f>IFERROR(Z75+Z76+Z77+Z78+Z79+Z80+Z81+Z82+Z83+Z84+Z85+Z86+Z87, "NA")</f>
        <v>6000.45</v>
      </c>
      <c r="AA88" s="15">
        <f>IFERROR(Z88/Z444, "NA")</f>
        <v>1.3614130026019416E-2</v>
      </c>
      <c r="AB88" s="2"/>
      <c r="AC88" s="14">
        <f t="shared" si="23"/>
        <v>-1291.6499999999996</v>
      </c>
      <c r="AD88" s="15">
        <f>IFERROR(AC88/AC444, "NA")</f>
        <v>4.4350172882065886E-2</v>
      </c>
    </row>
    <row r="89" spans="1:30" ht="16.5" customHeight="1" x14ac:dyDescent="0.45">
      <c r="A89" s="6" t="s">
        <v>85</v>
      </c>
      <c r="B89" s="7">
        <v>-20.059999999999999</v>
      </c>
      <c r="C89" s="8">
        <f>IFERROR(B89/B444, "NA")</f>
        <v>-1.779458081387587E-4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-20.059999999999999</v>
      </c>
      <c r="I89" s="8">
        <f>IFERROR(H89/H444, "NA")</f>
        <v>3.0079472184734946E-2</v>
      </c>
      <c r="J89" s="9"/>
      <c r="K89" s="7">
        <v>-10.64</v>
      </c>
      <c r="L89" s="8">
        <f>IFERROR(K89/K444, "NA")</f>
        <v>-1.0192168353163998E-4</v>
      </c>
      <c r="M89" s="9"/>
      <c r="N89" s="10">
        <f t="shared" si="21"/>
        <v>-9.4199999999999982</v>
      </c>
      <c r="O89" s="8">
        <f>IFERROR(N89/N444, "NA")</f>
        <v>-1.1298933558192515E-3</v>
      </c>
      <c r="P89" s="9"/>
      <c r="Q89" s="7">
        <v>-32.31</v>
      </c>
      <c r="R89" s="8">
        <f>IFERROR(Q89/Q444, "NA")</f>
        <v>-7.8493254086647673E-5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-32.31</v>
      </c>
      <c r="X89" s="8">
        <f>IFERROR(W89/W444, "NA")</f>
        <v>5.6119198497652065E-4</v>
      </c>
      <c r="Y89" s="9"/>
      <c r="Z89" s="7">
        <v>-15.94</v>
      </c>
      <c r="AA89" s="8">
        <f>IFERROR(Z89/Z444, "NA")</f>
        <v>-3.6165493023814791E-5</v>
      </c>
      <c r="AB89" s="9"/>
      <c r="AC89" s="10">
        <f t="shared" si="23"/>
        <v>-16.370000000000005</v>
      </c>
      <c r="AD89" s="8">
        <f>IFERROR(AC89/AC444, "NA")</f>
        <v>5.6208131465909411E-4</v>
      </c>
    </row>
    <row r="90" spans="1:30" ht="16.5" customHeight="1" x14ac:dyDescent="0.45">
      <c r="A90" s="6" t="s">
        <v>86</v>
      </c>
      <c r="B90" s="7">
        <v>-69.44</v>
      </c>
      <c r="C90" s="8">
        <f>IFERROR(B90/B444, "NA")</f>
        <v>-6.1597990613935214E-4</v>
      </c>
      <c r="D90" s="9"/>
      <c r="E90" s="7">
        <v>0</v>
      </c>
      <c r="F90" s="8">
        <f>IFERROR(E90/E444, "NA")</f>
        <v>0</v>
      </c>
      <c r="G90" s="9"/>
      <c r="H90" s="10">
        <f t="shared" si="20"/>
        <v>-69.44</v>
      </c>
      <c r="I90" s="8">
        <f>IFERROR(H90/H444, "NA")</f>
        <v>0.10412355675513434</v>
      </c>
      <c r="J90" s="9"/>
      <c r="K90" s="7">
        <v>0</v>
      </c>
      <c r="L90" s="8">
        <f>IFERROR(K90/K444, "NA")</f>
        <v>0</v>
      </c>
      <c r="M90" s="9"/>
      <c r="N90" s="10">
        <f t="shared" si="21"/>
        <v>-69.44</v>
      </c>
      <c r="O90" s="8">
        <f>IFERROR(N90/N444, "NA")</f>
        <v>-8.3290652471431879E-3</v>
      </c>
      <c r="P90" s="9"/>
      <c r="Q90" s="7">
        <v>-439.81</v>
      </c>
      <c r="R90" s="8">
        <f>IFERROR(Q90/Q444, "NA")</f>
        <v>-1.0684654311311826E-3</v>
      </c>
      <c r="S90" s="9"/>
      <c r="T90" s="7">
        <v>0</v>
      </c>
      <c r="U90" s="8">
        <f>IFERROR(T90/T444, "NA")</f>
        <v>0</v>
      </c>
      <c r="V90" s="9"/>
      <c r="W90" s="10">
        <f t="shared" si="22"/>
        <v>-439.81</v>
      </c>
      <c r="X90" s="8">
        <f>IFERROR(W90/W444, "NA")</f>
        <v>7.6390543767416745E-3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-439.81</v>
      </c>
      <c r="AD90" s="8">
        <f>IFERROR(AC90/AC444, "NA")</f>
        <v>1.5101342883336354E-2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-5329.7</v>
      </c>
      <c r="F94" s="8">
        <f>IFERROR(E94/E444, "NA")</f>
        <v>-4.7000009259434809E-2</v>
      </c>
      <c r="G94" s="9"/>
      <c r="H94" s="10">
        <f t="shared" ref="H94:H124" si="24">IFERROR(B94-E94, "NA")</f>
        <v>5329.7</v>
      </c>
      <c r="I94" s="8">
        <f>IFERROR(H94/H444, "NA")</f>
        <v>-7.9917528864896239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-22052.48</v>
      </c>
      <c r="U94" s="8">
        <f>IFERROR(T94/T444, "NA")</f>
        <v>-4.700000922844233E-2</v>
      </c>
      <c r="V94" s="9"/>
      <c r="W94" s="10">
        <f t="shared" ref="W94:W124" si="26">IFERROR(Q94-T94, "NA")</f>
        <v>22052.48</v>
      </c>
      <c r="X94" s="8">
        <f>IFERROR(W94/W444, "NA")</f>
        <v>-0.38302924868013061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-1004.18</v>
      </c>
      <c r="C96" s="8">
        <f>IFERROR(B96/B444, "NA")</f>
        <v>-8.9077578074166861E-3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-1004.18</v>
      </c>
      <c r="I96" s="8">
        <f>IFERROR(H96/H444, "NA")</f>
        <v>1.5057429899534964</v>
      </c>
      <c r="J96" s="9"/>
      <c r="K96" s="7">
        <v>-934.6</v>
      </c>
      <c r="L96" s="8">
        <f>IFERROR(K96/K444, "NA")</f>
        <v>-8.9526320891607815E-3</v>
      </c>
      <c r="M96" s="9"/>
      <c r="N96" s="10">
        <f t="shared" si="25"/>
        <v>-69.579999999999927</v>
      </c>
      <c r="O96" s="8">
        <f>IFERROR(N96/N444, "NA")</f>
        <v>-8.3458577173995165E-3</v>
      </c>
      <c r="P96" s="9"/>
      <c r="Q96" s="7">
        <v>-5404.36</v>
      </c>
      <c r="R96" s="8">
        <f>IFERROR(Q96/Q444, "NA")</f>
        <v>-1.31292418030243E-2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-5404.36</v>
      </c>
      <c r="X96" s="8">
        <f>IFERROR(W96/W444, "NA")</f>
        <v>9.3868261093398589E-2</v>
      </c>
      <c r="Y96" s="9"/>
      <c r="Z96" s="7">
        <v>-5725.2</v>
      </c>
      <c r="AA96" s="8">
        <f>IFERROR(Z96/Z444, "NA")</f>
        <v>-1.2989628648679075E-2</v>
      </c>
      <c r="AB96" s="9"/>
      <c r="AC96" s="10">
        <f t="shared" si="27"/>
        <v>320.84000000000015</v>
      </c>
      <c r="AD96" s="8">
        <f>IFERROR(AC96/AC444, "NA")</f>
        <v>-1.1016381734589114E-2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-1302.8</v>
      </c>
      <c r="C98" s="8">
        <f>IFERROR(B98/B444, "NA")</f>
        <v>-1.1556719782810311E-2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-1302.8</v>
      </c>
      <c r="I98" s="8">
        <f>IFERROR(H98/H444, "NA")</f>
        <v>1.9535162693057173</v>
      </c>
      <c r="J98" s="9"/>
      <c r="K98" s="7">
        <v>-2499.42</v>
      </c>
      <c r="L98" s="8">
        <f>IFERROR(K98/K444, "NA")</f>
        <v>-2.3942208106452218E-2</v>
      </c>
      <c r="M98" s="9"/>
      <c r="N98" s="10">
        <f t="shared" si="25"/>
        <v>1196.6200000000001</v>
      </c>
      <c r="O98" s="8">
        <f>IFERROR(N98/N444, "NA")</f>
        <v>0.14353004112955764</v>
      </c>
      <c r="P98" s="9"/>
      <c r="Q98" s="7">
        <v>-7062.61</v>
      </c>
      <c r="R98" s="8">
        <f>IFERROR(Q98/Q444, "NA")</f>
        <v>-1.7157760484212276E-2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-7062.61</v>
      </c>
      <c r="X98" s="8">
        <f>IFERROR(W98/W444, "NA")</f>
        <v>0.12267038455633004</v>
      </c>
      <c r="Y98" s="9"/>
      <c r="Z98" s="7">
        <v>-9704.17</v>
      </c>
      <c r="AA98" s="8">
        <f>IFERROR(Z98/Z444, "NA")</f>
        <v>-2.2017320730044719E-2</v>
      </c>
      <c r="AB98" s="9"/>
      <c r="AC98" s="10">
        <f t="shared" si="27"/>
        <v>2641.5600000000004</v>
      </c>
      <c r="AD98" s="8">
        <f>IFERROR(AC98/AC444, "NA")</f>
        <v>-9.0700764664073091E-2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-3</v>
      </c>
      <c r="C100" s="8">
        <f>IFERROR(B100/B444, "NA")</f>
        <v>-2.6612035115467404E-5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-3</v>
      </c>
      <c r="I100" s="8">
        <f>IFERROR(H100/H444, "NA")</f>
        <v>4.498425551057071E-3</v>
      </c>
      <c r="J100" s="9"/>
      <c r="K100" s="7">
        <v>-697.5</v>
      </c>
      <c r="L100" s="8">
        <f>IFERROR(K100/K444, "NA")</f>
        <v>-6.6814261525675643E-3</v>
      </c>
      <c r="M100" s="9"/>
      <c r="N100" s="10">
        <f t="shared" si="25"/>
        <v>694.5</v>
      </c>
      <c r="O100" s="8">
        <f>IFERROR(N100/N444, "NA")</f>
        <v>8.3302647093043553E-2</v>
      </c>
      <c r="P100" s="9"/>
      <c r="Q100" s="7">
        <v>-256.24</v>
      </c>
      <c r="R100" s="8">
        <f>IFERROR(Q100/Q444, "NA")</f>
        <v>-6.2250422244390581E-4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-256.24</v>
      </c>
      <c r="X100" s="8">
        <f>IFERROR(W100/W444, "NA")</f>
        <v>4.4506293478917868E-3</v>
      </c>
      <c r="Y100" s="9"/>
      <c r="Z100" s="7">
        <v>-2814.22</v>
      </c>
      <c r="AA100" s="8">
        <f>IFERROR(Z100/Z444, "NA")</f>
        <v>-6.3850472884240941E-3</v>
      </c>
      <c r="AB100" s="9"/>
      <c r="AC100" s="10">
        <f t="shared" si="27"/>
        <v>2557.9799999999996</v>
      </c>
      <c r="AD100" s="8">
        <f>IFERROR(AC100/AC444, "NA")</f>
        <v>-8.7830956705660906E-2</v>
      </c>
    </row>
    <row r="101" spans="1:30" ht="16.5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-105.51</v>
      </c>
      <c r="R101" s="8">
        <f>IFERROR(Q101/Q444, "NA")</f>
        <v>-2.5632383901832853E-4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-105.51</v>
      </c>
      <c r="X101" s="8">
        <f>IFERROR(W101/W444, "NA")</f>
        <v>1.8326018673745803E-3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-105.51</v>
      </c>
      <c r="AD101" s="8">
        <f>IFERROR(AC101/AC444, "NA")</f>
        <v>3.6227977709029327E-3</v>
      </c>
    </row>
    <row r="102" spans="1:30" ht="16.5" customHeight="1" x14ac:dyDescent="0.45">
      <c r="A102" s="12" t="s">
        <v>97</v>
      </c>
      <c r="B102" s="7">
        <v>-256.14999999999998</v>
      </c>
      <c r="C102" s="8">
        <f>IFERROR(B102/B444, "NA")</f>
        <v>-2.2722242649423248E-3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-256.14999999999998</v>
      </c>
      <c r="I102" s="8">
        <f>IFERROR(H102/H444, "NA")</f>
        <v>0.38409056830108956</v>
      </c>
      <c r="J102" s="9"/>
      <c r="K102" s="7">
        <v>-71.83</v>
      </c>
      <c r="L102" s="8">
        <f>IFERROR(K102/K444, "NA")</f>
        <v>-6.880671548945206E-4</v>
      </c>
      <c r="M102" s="9"/>
      <c r="N102" s="10">
        <f t="shared" si="25"/>
        <v>-184.32</v>
      </c>
      <c r="O102" s="8">
        <f>IFERROR(N102/N444, "NA")</f>
        <v>-2.2108486554628923E-2</v>
      </c>
      <c r="P102" s="9"/>
      <c r="Q102" s="7">
        <v>-1072.73</v>
      </c>
      <c r="R102" s="8">
        <f>IFERROR(Q102/Q444, "NA")</f>
        <v>-2.606068352100574E-3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-1072.73</v>
      </c>
      <c r="X102" s="8">
        <f>IFERROR(W102/W444, "NA")</f>
        <v>1.8632233922744133E-2</v>
      </c>
      <c r="Y102" s="9"/>
      <c r="Z102" s="7">
        <v>-994.47</v>
      </c>
      <c r="AA102" s="8">
        <f>IFERROR(Z102/Z444, "NA")</f>
        <v>-2.2563047583057153E-3</v>
      </c>
      <c r="AB102" s="9"/>
      <c r="AC102" s="10">
        <f t="shared" si="27"/>
        <v>-78.259999999999991</v>
      </c>
      <c r="AD102" s="8">
        <f>IFERROR(AC102/AC444, "NA")</f>
        <v>2.6871401151631453E-3</v>
      </c>
    </row>
    <row r="103" spans="1:30" ht="16.5" customHeight="1" x14ac:dyDescent="0.45">
      <c r="A103" s="12" t="s">
        <v>98</v>
      </c>
      <c r="B103" s="7">
        <v>-5</v>
      </c>
      <c r="C103" s="8">
        <f>IFERROR(B103/B444, "NA")</f>
        <v>-4.4353391859112338E-5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-5</v>
      </c>
      <c r="I103" s="8">
        <f>IFERROR(H103/H444, "NA")</f>
        <v>7.4973759184284519E-3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-5</v>
      </c>
      <c r="O103" s="8">
        <f>IFERROR(N103/N444, "NA")</f>
        <v>-5.9973108058346692E-4</v>
      </c>
      <c r="P103" s="9"/>
      <c r="Q103" s="7">
        <v>-92</v>
      </c>
      <c r="R103" s="8">
        <f>IFERROR(Q103/Q444, "NA")</f>
        <v>-2.2350292095238579E-4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-92</v>
      </c>
      <c r="X103" s="8">
        <f>IFERROR(W103/W444, "NA")</f>
        <v>1.5979468467298016E-3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-92</v>
      </c>
      <c r="AD103" s="8">
        <f>IFERROR(AC103/AC444, "NA")</f>
        <v>3.1589175900205648E-3</v>
      </c>
    </row>
    <row r="104" spans="1:30" ht="16.5" customHeight="1" x14ac:dyDescent="0.45">
      <c r="A104" s="12" t="s">
        <v>99</v>
      </c>
      <c r="B104" s="7">
        <v>-733.88</v>
      </c>
      <c r="C104" s="8">
        <f>IFERROR(B104/B444, "NA")</f>
        <v>-6.5100134435130729E-3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-733.88</v>
      </c>
      <c r="I104" s="8">
        <f>IFERROR(H104/H444, "NA")</f>
        <v>1.1004348478032544</v>
      </c>
      <c r="J104" s="9"/>
      <c r="K104" s="7">
        <v>-1021.86</v>
      </c>
      <c r="L104" s="8">
        <f>IFERROR(K104/K444, "NA")</f>
        <v>-9.7885048433873703E-3</v>
      </c>
      <c r="M104" s="9"/>
      <c r="N104" s="10">
        <f t="shared" si="25"/>
        <v>287.98</v>
      </c>
      <c r="O104" s="8">
        <f>IFERROR(N104/N444, "NA")</f>
        <v>3.4542111317285365E-2</v>
      </c>
      <c r="P104" s="9"/>
      <c r="Q104" s="7">
        <v>-2453.27</v>
      </c>
      <c r="R104" s="8">
        <f>IFERROR(Q104/Q444, "NA")</f>
        <v>-5.9599240313571687E-3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-2453.27</v>
      </c>
      <c r="X104" s="8">
        <f>IFERROR(W104/W444, "NA")</f>
        <v>4.2610815876921962E-2</v>
      </c>
      <c r="Y104" s="9"/>
      <c r="Z104" s="7">
        <v>-3053.79</v>
      </c>
      <c r="AA104" s="8">
        <f>IFERROR(Z104/Z444, "NA")</f>
        <v>-6.9285960439896726E-3</v>
      </c>
      <c r="AB104" s="9"/>
      <c r="AC104" s="10">
        <f t="shared" si="27"/>
        <v>600.52</v>
      </c>
      <c r="AD104" s="8">
        <f>IFERROR(AC104/AC444, "NA")</f>
        <v>-2.0619491208251624E-2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-94.51</v>
      </c>
      <c r="R106" s="8">
        <f>IFERROR(Q106/Q444, "NA")</f>
        <v>-2.2960066368706502E-4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-94.51</v>
      </c>
      <c r="X106" s="8">
        <f>IFERROR(W106/W444, "NA")</f>
        <v>1.6415430052655821E-3</v>
      </c>
      <c r="Y106" s="9"/>
      <c r="Z106" s="7">
        <v>-140.1</v>
      </c>
      <c r="AA106" s="8">
        <f>IFERROR(Z106/Z444, "NA")</f>
        <v>-3.1786609615034206E-4</v>
      </c>
      <c r="AB106" s="9"/>
      <c r="AC106" s="10">
        <f t="shared" si="27"/>
        <v>45.589999999999989</v>
      </c>
      <c r="AD106" s="8">
        <f>IFERROR(AC106/AC444, "NA")</f>
        <v>-1.5653810100982339E-3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-3305.01</v>
      </c>
      <c r="C118" s="15">
        <f>IFERROR(B118/B444, "NA")</f>
        <v>-2.9317680725656978E-2</v>
      </c>
      <c r="D118" s="2"/>
      <c r="E118" s="14">
        <f>IFERROR(E94+E95+E96+E97+E98+E99+E100+E101+E102+E103+E104+E105+E106+E107+E108+E109+E110+E111+E112+E113+E114+E115+E116+E117, "NA")</f>
        <v>-5329.7</v>
      </c>
      <c r="F118" s="15">
        <f>IFERROR(E118/E444, "NA")</f>
        <v>-4.7000009259434809E-2</v>
      </c>
      <c r="G118" s="2"/>
      <c r="H118" s="14">
        <f t="shared" si="24"/>
        <v>2024.6899999999996</v>
      </c>
      <c r="I118" s="15">
        <f>IFERROR(H118/H444, "NA")</f>
        <v>-3.0359724096565799</v>
      </c>
      <c r="J118" s="2"/>
      <c r="K118" s="14">
        <f>IFERROR(K94+K95+K96+K97+K98+K99+K100+K101+K102+K103+K104+K105+K106+K107+K108+K109+K110+K111+K112+K113+K114+K115+K116+K117, "NA")</f>
        <v>-5225.21</v>
      </c>
      <c r="L118" s="15">
        <f>IFERROR(K118/K444, "NA")</f>
        <v>-5.0052838346462451E-2</v>
      </c>
      <c r="M118" s="2"/>
      <c r="N118" s="14">
        <f t="shared" si="25"/>
        <v>1920.1999999999998</v>
      </c>
      <c r="O118" s="15">
        <f>IFERROR(N118/N444, "NA")</f>
        <v>0.23032072418727462</v>
      </c>
      <c r="P118" s="2"/>
      <c r="Q118" s="14">
        <f>IFERROR(Q94+Q95+Q96+Q97+Q98+Q99+Q100+Q101+Q102+Q103+Q104+Q105+Q106+Q107+Q108+Q109+Q110+Q111+Q112+Q113+Q114+Q115+Q116+Q117, "NA")</f>
        <v>-16541.229999999996</v>
      </c>
      <c r="R118" s="15">
        <f>IFERROR(Q118/Q444, "NA")</f>
        <v>-4.0184926316795995E-2</v>
      </c>
      <c r="S118" s="2"/>
      <c r="T118" s="14">
        <f>IFERROR(T94+T95+T96+T97+T98+T99+T100+T101+T102+T103+T104+T105+T106+T107+T108+T109+T110+T111+T112+T113+T114+T115+T116+T117, "NA")</f>
        <v>-22052.48</v>
      </c>
      <c r="U118" s="15">
        <f>IFERROR(T118/T444, "NA")</f>
        <v>-4.700000922844233E-2</v>
      </c>
      <c r="V118" s="2"/>
      <c r="W118" s="14">
        <f t="shared" si="26"/>
        <v>5511.2500000000036</v>
      </c>
      <c r="X118" s="15">
        <f>IFERROR(W118/W444, "NA")</f>
        <v>-9.5724832163474188E-2</v>
      </c>
      <c r="Y118" s="2"/>
      <c r="Z118" s="14">
        <f>IFERROR(Z94+Z95+Z96+Z97+Z98+Z99+Z100+Z101+Z102+Z103+Z104+Z105+Z106+Z107+Z108+Z109+Z110+Z111+Z112+Z113+Z114+Z115+Z116+Z117, "NA")</f>
        <v>-22431.95</v>
      </c>
      <c r="AA118" s="15">
        <f>IFERROR(Z118/Z444, "NA")</f>
        <v>-5.0894763565593623E-2</v>
      </c>
      <c r="AB118" s="2"/>
      <c r="AC118" s="14">
        <f t="shared" si="27"/>
        <v>5890.7200000000048</v>
      </c>
      <c r="AD118" s="15">
        <f>IFERROR(AC118/AC444, "NA")</f>
        <v>-0.20226411984658649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112730.95000000004</v>
      </c>
      <c r="C122" s="15">
        <f>IFERROR(B122/B444, "NA")</f>
        <v>1.0000000000000004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113397.85</v>
      </c>
      <c r="F122" s="15">
        <f>IFERROR(E122/E444, "NA")</f>
        <v>1</v>
      </c>
      <c r="G122" s="2"/>
      <c r="H122" s="14">
        <f t="shared" si="24"/>
        <v>-666.89999999996508</v>
      </c>
      <c r="I122" s="15">
        <f>IFERROR(H122/H444, "NA")</f>
        <v>0.9999999999999345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104393.88</v>
      </c>
      <c r="L122" s="15">
        <f>IFERROR(K122/K444, "NA")</f>
        <v>1</v>
      </c>
      <c r="M122" s="2"/>
      <c r="N122" s="14">
        <f t="shared" si="25"/>
        <v>8337.0700000000361</v>
      </c>
      <c r="O122" s="15">
        <f>IFERROR(N122/N444, "NA")</f>
        <v>1.0000000000000053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411627.73000000004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469201.61000000004</v>
      </c>
      <c r="U122" s="15">
        <f>IFERROR(T122/T444, "NA")</f>
        <v>1.0000000000000002</v>
      </c>
      <c r="V122" s="2"/>
      <c r="W122" s="14">
        <f t="shared" si="26"/>
        <v>-57573.880000000005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440751.63</v>
      </c>
      <c r="AA122" s="15">
        <f>IFERROR(Z122/Z444, "NA")</f>
        <v>1</v>
      </c>
      <c r="AB122" s="2"/>
      <c r="AC122" s="14">
        <f t="shared" si="27"/>
        <v>-29123.899999999965</v>
      </c>
      <c r="AD122" s="15">
        <f>IFERROR(AC122/AC444, "NA")</f>
        <v>0.999999999999998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112730.95000000004</v>
      </c>
      <c r="C124" s="15">
        <f>IFERROR(B124/B444, "NA")</f>
        <v>1.0000000000000004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113397.85</v>
      </c>
      <c r="F124" s="15">
        <f>IFERROR(E124/E444, "NA")</f>
        <v>1</v>
      </c>
      <c r="G124" s="2"/>
      <c r="H124" s="14">
        <f t="shared" si="24"/>
        <v>-666.89999999996508</v>
      </c>
      <c r="I124" s="15">
        <f>IFERROR(H124/H444, "NA")</f>
        <v>0.9999999999999345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104393.88</v>
      </c>
      <c r="L124" s="15">
        <f>IFERROR(K124/K444, "NA")</f>
        <v>1</v>
      </c>
      <c r="M124" s="2"/>
      <c r="N124" s="14">
        <f t="shared" si="25"/>
        <v>8337.0700000000361</v>
      </c>
      <c r="O124" s="15">
        <f>IFERROR(N124/N444, "NA")</f>
        <v>1.0000000000000053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411627.73000000004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469201.61000000004</v>
      </c>
      <c r="U124" s="15">
        <f>IFERROR(T124/T444, "NA")</f>
        <v>1.0000000000000002</v>
      </c>
      <c r="V124" s="2"/>
      <c r="W124" s="14">
        <f t="shared" si="26"/>
        <v>-57573.880000000005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440751.63</v>
      </c>
      <c r="AA124" s="15">
        <f>IFERROR(Z124/Z444, "NA")</f>
        <v>1</v>
      </c>
      <c r="AB124" s="2"/>
      <c r="AC124" s="14">
        <f t="shared" si="27"/>
        <v>-29123.899999999965</v>
      </c>
      <c r="AD124" s="15">
        <f>IFERROR(AC124/AC444, "NA")</f>
        <v>0.999999999999998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24380.54</v>
      </c>
      <c r="F129" s="8">
        <f>IFERROR(E129/E444, "NA")</f>
        <v>0.21500001984164602</v>
      </c>
      <c r="G129" s="9"/>
      <c r="H129" s="10">
        <f t="shared" ref="H129:H141" si="28">IFERROR(-(B129-E129), "NA")</f>
        <v>24380.54</v>
      </c>
      <c r="I129" s="8">
        <f>IFERROR(H129/H444, "NA")</f>
        <v>-36.558014694856325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102335.06</v>
      </c>
      <c r="U129" s="8">
        <f>IFERROR(T129/T444, "NA")</f>
        <v>0.21810466507137519</v>
      </c>
      <c r="V129" s="9"/>
      <c r="W129" s="10">
        <f t="shared" ref="W129:W141" si="30">IFERROR(-(Q129-T129), "NA")</f>
        <v>102335.06</v>
      </c>
      <c r="X129" s="8">
        <f>IFERROR(W129/W444, "NA")</f>
        <v>-1.7774563743141854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5514.99</v>
      </c>
      <c r="C130" s="8">
        <f>IFERROR(B130/B444, "NA")</f>
        <v>4.8921702513817188E-2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-5514.99</v>
      </c>
      <c r="I130" s="8">
        <f>IFERROR(H130/H444, "NA")</f>
        <v>8.2695906432747446</v>
      </c>
      <c r="J130" s="9"/>
      <c r="K130" s="7">
        <v>7050.12</v>
      </c>
      <c r="L130" s="8">
        <f>IFERROR(K130/K444, "NA")</f>
        <v>6.7533843937977969E-2</v>
      </c>
      <c r="M130" s="9"/>
      <c r="N130" s="10">
        <f t="shared" si="29"/>
        <v>1535.13</v>
      </c>
      <c r="O130" s="8">
        <f>IFERROR(N130/N444, "NA")</f>
        <v>0.18413303474721954</v>
      </c>
      <c r="P130" s="9"/>
      <c r="Q130" s="7">
        <v>21594.81</v>
      </c>
      <c r="R130" s="8">
        <f>IFERROR(Q130/Q444, "NA")</f>
        <v>5.2461990352302069E-2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-21594.81</v>
      </c>
      <c r="X130" s="8">
        <f>IFERROR(W130/W444, "NA")</f>
        <v>0.37507998418727378</v>
      </c>
      <c r="Y130" s="9"/>
      <c r="Z130" s="7">
        <v>27390.76</v>
      </c>
      <c r="AA130" s="8">
        <f>IFERROR(Z130/Z444, "NA")</f>
        <v>6.2145567107715516E-2</v>
      </c>
      <c r="AB130" s="9"/>
      <c r="AC130" s="10">
        <f t="shared" si="31"/>
        <v>5795.9499999999971</v>
      </c>
      <c r="AD130" s="8">
        <f>IFERROR(AC130/AC444, "NA")</f>
        <v>-0.19901009136825742</v>
      </c>
    </row>
    <row r="131" spans="1:30" ht="16.5" customHeight="1" x14ac:dyDescent="0.45">
      <c r="A131" s="12" t="s">
        <v>123</v>
      </c>
      <c r="B131" s="7">
        <v>2946.02</v>
      </c>
      <c r="C131" s="8">
        <f>IFERROR(B131/B444, "NA")</f>
        <v>2.6133195896956427E-2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-2946.02</v>
      </c>
      <c r="I131" s="8">
        <f>IFERROR(H131/H444, "NA")</f>
        <v>4.4174838806417176</v>
      </c>
      <c r="J131" s="9"/>
      <c r="K131" s="7">
        <v>3417.2</v>
      </c>
      <c r="L131" s="8">
        <f>IFERROR(K131/K444, "NA")</f>
        <v>3.2733719639503771E-2</v>
      </c>
      <c r="M131" s="9"/>
      <c r="N131" s="10">
        <f t="shared" si="29"/>
        <v>471.17999999999984</v>
      </c>
      <c r="O131" s="8">
        <f>IFERROR(N131/N444, "NA")</f>
        <v>5.6516258109863569E-2</v>
      </c>
      <c r="P131" s="9"/>
      <c r="Q131" s="7">
        <v>11668.69</v>
      </c>
      <c r="R131" s="8">
        <f>IFERROR(Q131/Q444, "NA")</f>
        <v>2.834767715965103E-2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-11668.69</v>
      </c>
      <c r="X131" s="8">
        <f>IFERROR(W131/W444, "NA")</f>
        <v>0.20267333033660404</v>
      </c>
      <c r="Y131" s="9"/>
      <c r="Z131" s="7">
        <v>14613.92</v>
      </c>
      <c r="AA131" s="8">
        <f>IFERROR(Z131/Z444, "NA")</f>
        <v>3.3156814417226316E-2</v>
      </c>
      <c r="AB131" s="9"/>
      <c r="AC131" s="10">
        <f t="shared" si="31"/>
        <v>2945.2299999999996</v>
      </c>
      <c r="AD131" s="8">
        <f>IFERROR(AC131/AC444, "NA")</f>
        <v>-0.1011275962353942</v>
      </c>
    </row>
    <row r="132" spans="1:30" ht="16.5" customHeight="1" x14ac:dyDescent="0.45">
      <c r="A132" s="12" t="s">
        <v>124</v>
      </c>
      <c r="B132" s="7">
        <v>4572.95</v>
      </c>
      <c r="C132" s="8">
        <f>IFERROR(B132/B444, "NA")</f>
        <v>4.0565168660425553E-2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-4572.95</v>
      </c>
      <c r="I132" s="8">
        <f>IFERROR(H132/H444, "NA")</f>
        <v>6.8570250412354774</v>
      </c>
      <c r="J132" s="9"/>
      <c r="K132" s="7">
        <v>4345.87</v>
      </c>
      <c r="L132" s="8">
        <f>IFERROR(K132/K444, "NA")</f>
        <v>4.1629547632485733E-2</v>
      </c>
      <c r="M132" s="9"/>
      <c r="N132" s="10">
        <f t="shared" si="29"/>
        <v>-227.07999999999993</v>
      </c>
      <c r="O132" s="8">
        <f>IFERROR(N132/N444, "NA")</f>
        <v>-2.7237386755778723E-2</v>
      </c>
      <c r="P132" s="9"/>
      <c r="Q132" s="7">
        <v>15431.16</v>
      </c>
      <c r="R132" s="8">
        <f>IFERROR(Q132/Q444, "NA")</f>
        <v>3.748814493134367E-2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-15431.16</v>
      </c>
      <c r="X132" s="8">
        <f>IFERROR(W132/W444, "NA")</f>
        <v>0.26802362460198964</v>
      </c>
      <c r="Y132" s="9"/>
      <c r="Z132" s="7">
        <v>16740.82</v>
      </c>
      <c r="AA132" s="8">
        <f>IFERROR(Z132/Z444, "NA")</f>
        <v>3.7982434687762807E-2</v>
      </c>
      <c r="AB132" s="9"/>
      <c r="AC132" s="10">
        <f t="shared" si="31"/>
        <v>1309.6599999999999</v>
      </c>
      <c r="AD132" s="8">
        <f>IFERROR(AC132/AC444, "NA")</f>
        <v>-4.4968565336373181E-2</v>
      </c>
    </row>
    <row r="133" spans="1:30" ht="16.5" customHeight="1" x14ac:dyDescent="0.45">
      <c r="A133" s="12" t="s">
        <v>125</v>
      </c>
      <c r="B133" s="7">
        <v>2674.1</v>
      </c>
      <c r="C133" s="8">
        <f>IFERROR(B133/B444, "NA")</f>
        <v>2.3721081034090461E-2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-2674.1</v>
      </c>
      <c r="I133" s="8">
        <f>IFERROR(H133/H444, "NA")</f>
        <v>4.0097465886939041</v>
      </c>
      <c r="J133" s="9"/>
      <c r="K133" s="7">
        <v>2657.44</v>
      </c>
      <c r="L133" s="8">
        <f>IFERROR(K133/K444, "NA")</f>
        <v>2.5455898372586591E-2</v>
      </c>
      <c r="M133" s="9"/>
      <c r="N133" s="10">
        <f t="shared" si="29"/>
        <v>-16.659999999999854</v>
      </c>
      <c r="O133" s="8">
        <f>IFERROR(N133/N444, "NA")</f>
        <v>-1.9983039605040941E-3</v>
      </c>
      <c r="P133" s="9"/>
      <c r="Q133" s="7">
        <v>10103.86</v>
      </c>
      <c r="R133" s="8">
        <f>IFERROR(Q133/Q444, "NA")</f>
        <v>2.4546111118412747E-2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-10103.86</v>
      </c>
      <c r="X133" s="8">
        <f>IFERROR(W133/W444, "NA")</f>
        <v>0.17549381768260189</v>
      </c>
      <c r="Y133" s="9"/>
      <c r="Z133" s="7">
        <v>11268.24</v>
      </c>
      <c r="AA133" s="8">
        <f>IFERROR(Z133/Z444, "NA")</f>
        <v>2.5565963306817492E-2</v>
      </c>
      <c r="AB133" s="9"/>
      <c r="AC133" s="10">
        <f t="shared" si="31"/>
        <v>1164.3799999999992</v>
      </c>
      <c r="AD133" s="8">
        <f>IFERROR(AC133/AC444, "NA")</f>
        <v>-3.9980222429001552E-2</v>
      </c>
    </row>
    <row r="134" spans="1:30" ht="16.5" customHeight="1" x14ac:dyDescent="0.45">
      <c r="A134" s="12" t="s">
        <v>126</v>
      </c>
      <c r="B134" s="7">
        <v>1341.16</v>
      </c>
      <c r="C134" s="8">
        <f>IFERROR(B134/B444, "NA")</f>
        <v>1.1896999005153421E-2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-1341.16</v>
      </c>
      <c r="I134" s="8">
        <f>IFERROR(H134/H444, "NA")</f>
        <v>2.0110361373519008</v>
      </c>
      <c r="J134" s="9"/>
      <c r="K134" s="7">
        <v>1011.45</v>
      </c>
      <c r="L134" s="8">
        <f>IFERROR(K134/K444, "NA")</f>
        <v>9.6887863541425985E-3</v>
      </c>
      <c r="M134" s="9"/>
      <c r="N134" s="10">
        <f t="shared" si="29"/>
        <v>-329.71000000000004</v>
      </c>
      <c r="O134" s="8">
        <f>IFERROR(N134/N444, "NA")</f>
        <v>-3.9547466915834981E-2</v>
      </c>
      <c r="P134" s="9"/>
      <c r="Q134" s="7">
        <v>5170.92</v>
      </c>
      <c r="R134" s="8">
        <f>IFERROR(Q134/Q444, "NA")</f>
        <v>1.2562127434903378E-2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-5170.92</v>
      </c>
      <c r="X134" s="8">
        <f>IFERROR(W134/W444, "NA")</f>
        <v>8.9813644659696365E-2</v>
      </c>
      <c r="Y134" s="9"/>
      <c r="Z134" s="7">
        <v>4290.4399999999996</v>
      </c>
      <c r="AA134" s="8">
        <f>IFERROR(Z134/Z444, "NA")</f>
        <v>9.7343712602946005E-3</v>
      </c>
      <c r="AB134" s="9"/>
      <c r="AC134" s="10">
        <f t="shared" si="31"/>
        <v>-880.48000000000047</v>
      </c>
      <c r="AD134" s="8">
        <f>IFERROR(AC134/AC444, "NA")</f>
        <v>3.0232214778927263E-2</v>
      </c>
    </row>
    <row r="135" spans="1:30" ht="16.5" customHeight="1" x14ac:dyDescent="0.45">
      <c r="A135" s="12" t="s">
        <v>127</v>
      </c>
      <c r="B135" s="7">
        <v>841.47</v>
      </c>
      <c r="C135" s="8">
        <f>IFERROR(B135/B444, "NA")</f>
        <v>7.4644097295374521E-3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-841.47</v>
      </c>
      <c r="I135" s="8">
        <f>IFERROR(H135/H444, "NA")</f>
        <v>1.261763382815998</v>
      </c>
      <c r="J135" s="9"/>
      <c r="K135" s="7">
        <v>1004.07</v>
      </c>
      <c r="L135" s="8">
        <f>IFERROR(K135/K444, "NA")</f>
        <v>9.6180925548509169E-3</v>
      </c>
      <c r="M135" s="9"/>
      <c r="N135" s="10">
        <f t="shared" si="29"/>
        <v>162.60000000000002</v>
      </c>
      <c r="O135" s="8">
        <f>IFERROR(N135/N444, "NA")</f>
        <v>1.9503254740574346E-2</v>
      </c>
      <c r="P135" s="9"/>
      <c r="Q135" s="7">
        <v>2993.05</v>
      </c>
      <c r="R135" s="8">
        <f>IFERROR(Q135/Q444, "NA")</f>
        <v>7.2712545386580257E-3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-2993.05</v>
      </c>
      <c r="X135" s="8">
        <f>IFERROR(W135/W444, "NA")</f>
        <v>5.198624793048514E-2</v>
      </c>
      <c r="Y135" s="9"/>
      <c r="Z135" s="7">
        <v>3597.28</v>
      </c>
      <c r="AA135" s="8">
        <f>IFERROR(Z135/Z444, "NA")</f>
        <v>8.161694149605301E-3</v>
      </c>
      <c r="AB135" s="9"/>
      <c r="AC135" s="10">
        <f t="shared" si="31"/>
        <v>604.23</v>
      </c>
      <c r="AD135" s="8">
        <f>IFERROR(AC135/AC444, "NA")</f>
        <v>-2.0746877993675281E-2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1333.01</v>
      </c>
      <c r="L136" s="8">
        <f>IFERROR(K136/K444, "NA")</f>
        <v>1.2769043549296184E-2</v>
      </c>
      <c r="M136" s="9"/>
      <c r="N136" s="10">
        <f t="shared" si="29"/>
        <v>1333.01</v>
      </c>
      <c r="O136" s="8">
        <f>IFERROR(N136/N444, "NA")</f>
        <v>0.15988950554571343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4429.3599999999997</v>
      </c>
      <c r="AA136" s="8">
        <f>IFERROR(Z136/Z444, "NA")</f>
        <v>1.0049560111666517E-2</v>
      </c>
      <c r="AB136" s="9"/>
      <c r="AC136" s="10">
        <f t="shared" si="31"/>
        <v>4429.3599999999997</v>
      </c>
      <c r="AD136" s="8">
        <f>IFERROR(AC136/AC444, "NA")</f>
        <v>-0.15208677409275531</v>
      </c>
    </row>
    <row r="137" spans="1:30" ht="16.5" customHeight="1" x14ac:dyDescent="0.45">
      <c r="A137" s="12" t="s">
        <v>129</v>
      </c>
      <c r="B137" s="7">
        <v>596.53</v>
      </c>
      <c r="C137" s="8">
        <f>IFERROR(B137/B444, "NA")</f>
        <v>5.2916257691432564E-3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-596.53</v>
      </c>
      <c r="I137" s="8">
        <f>IFERROR(H137/H444, "NA")</f>
        <v>0.89448193132402487</v>
      </c>
      <c r="J137" s="9"/>
      <c r="K137" s="7">
        <v>692.1</v>
      </c>
      <c r="L137" s="8">
        <f>IFERROR(K137/K444, "NA")</f>
        <v>6.629698982354138E-3</v>
      </c>
      <c r="M137" s="9"/>
      <c r="N137" s="10">
        <f t="shared" si="29"/>
        <v>95.57000000000005</v>
      </c>
      <c r="O137" s="8">
        <f>IFERROR(N137/N444, "NA")</f>
        <v>1.1463259874272392E-2</v>
      </c>
      <c r="P137" s="9"/>
      <c r="Q137" s="7">
        <v>2091.73</v>
      </c>
      <c r="R137" s="8">
        <f>IFERROR(Q137/Q444, "NA")</f>
        <v>5.0816061396058041E-3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-2091.73</v>
      </c>
      <c r="X137" s="8">
        <f>IFERROR(W137/W444, "NA")</f>
        <v>3.6331232149023132E-2</v>
      </c>
      <c r="Y137" s="9"/>
      <c r="Z137" s="7">
        <v>2309.29</v>
      </c>
      <c r="AA137" s="8">
        <f>IFERROR(Z137/Z444, "NA")</f>
        <v>5.2394360969237937E-3</v>
      </c>
      <c r="AB137" s="9"/>
      <c r="AC137" s="10">
        <f t="shared" si="31"/>
        <v>217.55999999999995</v>
      </c>
      <c r="AD137" s="8">
        <f>IFERROR(AC137/AC444, "NA")</f>
        <v>-7.4701533791834123E-3</v>
      </c>
    </row>
    <row r="138" spans="1:30" ht="16.5" customHeight="1" x14ac:dyDescent="0.45">
      <c r="A138" s="12" t="s">
        <v>130</v>
      </c>
      <c r="B138" s="7">
        <v>7593.19</v>
      </c>
      <c r="C138" s="8">
        <f>IFERROR(B138/B444, "NA")</f>
        <v>6.7356746306138637E-2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-7593.19</v>
      </c>
      <c r="I138" s="8">
        <f>IFERROR(H138/H444, "NA")</f>
        <v>11.385799970010346</v>
      </c>
      <c r="J138" s="9"/>
      <c r="K138" s="7">
        <v>7257.65</v>
      </c>
      <c r="L138" s="8">
        <f>IFERROR(K138/K444, "NA")</f>
        <v>6.9521795722124705E-2</v>
      </c>
      <c r="M138" s="9"/>
      <c r="N138" s="10">
        <f t="shared" si="29"/>
        <v>-335.53999999999996</v>
      </c>
      <c r="O138" s="8">
        <f>IFERROR(N138/N444, "NA")</f>
        <v>-4.0246753355795292E-2</v>
      </c>
      <c r="P138" s="9"/>
      <c r="Q138" s="7">
        <v>29982.15</v>
      </c>
      <c r="R138" s="8">
        <f>IFERROR(Q138/Q444, "NA")</f>
        <v>7.2838022841658412E-2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-29982.15</v>
      </c>
      <c r="X138" s="8">
        <f>IFERROR(W138/W444, "NA")</f>
        <v>0.52075958750739049</v>
      </c>
      <c r="Y138" s="9"/>
      <c r="Z138" s="7">
        <v>27340.17</v>
      </c>
      <c r="AA138" s="8">
        <f>IFERROR(Z138/Z444, "NA")</f>
        <v>6.2030785909969292E-2</v>
      </c>
      <c r="AB138" s="9"/>
      <c r="AC138" s="10">
        <f t="shared" si="31"/>
        <v>-2641.9800000000032</v>
      </c>
      <c r="AD138" s="8">
        <f>IFERROR(AC138/AC444, "NA")</f>
        <v>9.0715185809592841E-2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26080.41</v>
      </c>
      <c r="C141" s="15">
        <f>IFERROR(B141/B444, "NA")</f>
        <v>0.2313509289152624</v>
      </c>
      <c r="D141" s="2"/>
      <c r="E141" s="14">
        <f>IFERROR(E129+E130+E131+E132+E133+E134+E135+E136+E137+E138+E139+E140, "NA")</f>
        <v>24380.54</v>
      </c>
      <c r="F141" s="15">
        <f>IFERROR(E141/E444, "NA")</f>
        <v>0.21500001984164602</v>
      </c>
      <c r="G141" s="2"/>
      <c r="H141" s="14">
        <f t="shared" si="28"/>
        <v>-1699.869999999999</v>
      </c>
      <c r="I141" s="15">
        <f>IFERROR(H141/H444, "NA")</f>
        <v>2.5489128804917929</v>
      </c>
      <c r="J141" s="2"/>
      <c r="K141" s="14">
        <f>IFERROR(K129+K130+K131+K132+K133+K134+K135+K136+K137+K138+K139+K140, "NA")</f>
        <v>28768.909999999996</v>
      </c>
      <c r="L141" s="15">
        <f>IFERROR(K141/K444, "NA")</f>
        <v>0.27558042674532257</v>
      </c>
      <c r="M141" s="2"/>
      <c r="N141" s="14">
        <f t="shared" si="29"/>
        <v>2688.4999999999964</v>
      </c>
      <c r="O141" s="15">
        <f>IFERROR(N141/N444, "NA")</f>
        <v>0.32247540202972974</v>
      </c>
      <c r="P141" s="2"/>
      <c r="Q141" s="14">
        <f>IFERROR(Q129+Q130+Q131+Q132+Q133+Q134+Q135+Q136+Q137+Q138+Q139+Q140, "NA")</f>
        <v>99036.37</v>
      </c>
      <c r="R141" s="15">
        <f>IFERROR(Q141/Q444, "NA")</f>
        <v>0.24059693451653513</v>
      </c>
      <c r="S141" s="2"/>
      <c r="T141" s="14">
        <f>IFERROR(T129+T130+T131+T132+T133+T134+T135+T136+T137+T138+T139+T140, "NA")</f>
        <v>102335.06</v>
      </c>
      <c r="U141" s="15">
        <f>IFERROR(T141/T444, "NA")</f>
        <v>0.21810466507137519</v>
      </c>
      <c r="V141" s="2"/>
      <c r="W141" s="14">
        <f t="shared" si="30"/>
        <v>3298.6900000000023</v>
      </c>
      <c r="X141" s="15">
        <f>IFERROR(W141/W444, "NA")</f>
        <v>-5.729490525912101E-2</v>
      </c>
      <c r="Y141" s="2"/>
      <c r="Z141" s="14">
        <f>IFERROR(Z129+Z130+Z131+Z132+Z133+Z134+Z135+Z136+Z137+Z138+Z139+Z140, "NA")</f>
        <v>111980.28</v>
      </c>
      <c r="AA141" s="15">
        <f>IFERROR(Z141/Z444, "NA")</f>
        <v>0.25406662704798166</v>
      </c>
      <c r="AB141" s="2"/>
      <c r="AC141" s="14">
        <f t="shared" si="31"/>
        <v>12943.910000000003</v>
      </c>
      <c r="AD141" s="15">
        <f>IFERROR(AC141/AC444, "NA")</f>
        <v>-0.44444288024612066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1247.3800000000001</v>
      </c>
      <c r="F143" s="8">
        <f>IFERROR(E143/E444, "NA")</f>
        <v>1.1000032187559112E-2</v>
      </c>
      <c r="G143" s="9"/>
      <c r="H143" s="10">
        <f t="shared" ref="H143:H149" si="32">IFERROR(-(B143-E143), "NA")</f>
        <v>1247.3800000000001</v>
      </c>
      <c r="I143" s="8">
        <f>IFERROR(H143/H444, "NA")</f>
        <v>-1.8704153546258566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5161.22</v>
      </c>
      <c r="U143" s="8">
        <f>IFERROR(T143/T444, "NA")</f>
        <v>1.1000004880631164E-2</v>
      </c>
      <c r="V143" s="9"/>
      <c r="W143" s="10">
        <f t="shared" ref="W143:W149" si="34">IFERROR(-(Q143-T143), "NA")</f>
        <v>5161.22</v>
      </c>
      <c r="X143" s="8">
        <f>IFERROR(W143/W444, "NA")</f>
        <v>-8.9645165481291172E-2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1356.51</v>
      </c>
      <c r="C144" s="8">
        <f>IFERROR(B144/B444, "NA")</f>
        <v>1.2033163918160896E-2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-1356.51</v>
      </c>
      <c r="I144" s="8">
        <f>IFERROR(H144/H444, "NA")</f>
        <v>2.0340530814214759</v>
      </c>
      <c r="J144" s="9"/>
      <c r="K144" s="7">
        <v>1654.15</v>
      </c>
      <c r="L144" s="8">
        <f>IFERROR(K144/K444, "NA")</f>
        <v>1.5845277520099836E-2</v>
      </c>
      <c r="M144" s="9"/>
      <c r="N144" s="10">
        <f t="shared" si="33"/>
        <v>297.6400000000001</v>
      </c>
      <c r="O144" s="8">
        <f>IFERROR(N144/N444, "NA")</f>
        <v>3.5700791764972629E-2</v>
      </c>
      <c r="P144" s="9"/>
      <c r="Q144" s="7">
        <v>5042.95</v>
      </c>
      <c r="R144" s="8">
        <f>IFERROR(Q144/Q444, "NA")</f>
        <v>1.225123973061776E-2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-5042.95</v>
      </c>
      <c r="X144" s="8">
        <f>IFERROR(W144/W444, "NA")</f>
        <v>8.7590935333870135E-2</v>
      </c>
      <c r="Y144" s="9"/>
      <c r="Z144" s="7">
        <v>6138.72</v>
      </c>
      <c r="AA144" s="8">
        <f>IFERROR(Z144/Z444, "NA")</f>
        <v>1.3927844123911692E-2</v>
      </c>
      <c r="AB144" s="9"/>
      <c r="AC144" s="10">
        <f t="shared" si="35"/>
        <v>1095.7700000000004</v>
      </c>
      <c r="AD144" s="8">
        <f>IFERROR(AC144/AC444, "NA")</f>
        <v>-3.7624425300183E-2</v>
      </c>
    </row>
    <row r="145" spans="1:30" ht="16.5" customHeight="1" x14ac:dyDescent="0.45">
      <c r="A145" s="12" t="s">
        <v>136</v>
      </c>
      <c r="B145" s="7">
        <v>65.17</v>
      </c>
      <c r="C145" s="8">
        <f>IFERROR(B145/B444, "NA")</f>
        <v>5.7810210949167022E-4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-65.17</v>
      </c>
      <c r="I145" s="8">
        <f>IFERROR(H145/H444, "NA")</f>
        <v>9.7720797720796448E-2</v>
      </c>
      <c r="J145" s="9"/>
      <c r="K145" s="7">
        <v>-64.06</v>
      </c>
      <c r="L145" s="8">
        <f>IFERROR(K145/K444, "NA")</f>
        <v>-6.1363750442075722E-4</v>
      </c>
      <c r="M145" s="9"/>
      <c r="N145" s="10">
        <f t="shared" si="33"/>
        <v>-129.23000000000002</v>
      </c>
      <c r="O145" s="8">
        <f>IFERROR(N145/N444, "NA")</f>
        <v>-1.5500649508760287E-2</v>
      </c>
      <c r="P145" s="9"/>
      <c r="Q145" s="7">
        <v>191</v>
      </c>
      <c r="R145" s="8">
        <f>IFERROR(Q145/Q444, "NA")</f>
        <v>4.640114989337575E-4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-191</v>
      </c>
      <c r="X145" s="8">
        <f>IFERROR(W145/W444, "NA")</f>
        <v>3.3174766057107838E-3</v>
      </c>
      <c r="Y145" s="9"/>
      <c r="Z145" s="7">
        <v>80.64</v>
      </c>
      <c r="AA145" s="8">
        <f>IFERROR(Z145/Z444, "NA")</f>
        <v>1.8296018553578576E-4</v>
      </c>
      <c r="AB145" s="9"/>
      <c r="AC145" s="10">
        <f t="shared" si="35"/>
        <v>-110.36</v>
      </c>
      <c r="AD145" s="8">
        <f>IFERROR(AC145/AC444, "NA")</f>
        <v>3.7893276655942341E-3</v>
      </c>
    </row>
    <row r="146" spans="1:30" ht="16.5" customHeight="1" x14ac:dyDescent="0.45">
      <c r="A146" s="12" t="s">
        <v>137</v>
      </c>
      <c r="B146" s="7">
        <v>-118.29</v>
      </c>
      <c r="C146" s="8">
        <f>IFERROR(B146/B444, "NA")</f>
        <v>-1.0493125446028797E-3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118.29</v>
      </c>
      <c r="I146" s="8">
        <f>IFERROR(H146/H444, "NA")</f>
        <v>-0.17737291947818032</v>
      </c>
      <c r="J146" s="9"/>
      <c r="K146" s="7">
        <v>251.29</v>
      </c>
      <c r="L146" s="8">
        <f>IFERROR(K146/K444, "NA")</f>
        <v>2.4071334449873878E-3</v>
      </c>
      <c r="M146" s="9"/>
      <c r="N146" s="10">
        <f t="shared" si="33"/>
        <v>369.58</v>
      </c>
      <c r="O146" s="8">
        <f>IFERROR(N146/N444, "NA")</f>
        <v>4.4329722552407538E-2</v>
      </c>
      <c r="P146" s="9"/>
      <c r="Q146" s="7">
        <v>-118.29</v>
      </c>
      <c r="R146" s="8">
        <f>IFERROR(Q146/Q444, "NA")</f>
        <v>-2.873713099941056E-4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118.29</v>
      </c>
      <c r="X146" s="8">
        <f>IFERROR(W146/W444, "NA")</f>
        <v>-2.0545775271703071E-3</v>
      </c>
      <c r="Y146" s="9"/>
      <c r="Z146" s="7">
        <v>507.62</v>
      </c>
      <c r="AA146" s="8">
        <f>IFERROR(Z146/Z444, "NA")</f>
        <v>1.1517144020545085E-3</v>
      </c>
      <c r="AB146" s="9"/>
      <c r="AC146" s="10">
        <f t="shared" si="35"/>
        <v>625.91</v>
      </c>
      <c r="AD146" s="8">
        <f>IFERROR(AC146/AC444, "NA")</f>
        <v>-2.1491283790975778E-2</v>
      </c>
    </row>
    <row r="147" spans="1:30" ht="16.5" customHeight="1" x14ac:dyDescent="0.45">
      <c r="A147" s="12" t="s">
        <v>138</v>
      </c>
      <c r="B147" s="7">
        <v>0</v>
      </c>
      <c r="C147" s="8">
        <f>IFERROR(B147/B444, "NA")</f>
        <v>0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0</v>
      </c>
      <c r="I147" s="8">
        <f>IFERROR(H147/H444, "NA")</f>
        <v>0</v>
      </c>
      <c r="J147" s="9"/>
      <c r="K147" s="7">
        <v>20.89</v>
      </c>
      <c r="L147" s="8">
        <f>IFERROR(K147/K444, "NA")</f>
        <v>2.0010751588119916E-4</v>
      </c>
      <c r="M147" s="9"/>
      <c r="N147" s="10">
        <f t="shared" si="33"/>
        <v>20.89</v>
      </c>
      <c r="O147" s="8">
        <f>IFERROR(N147/N444, "NA")</f>
        <v>2.5056764546777248E-3</v>
      </c>
      <c r="P147" s="9"/>
      <c r="Q147" s="7">
        <v>26.78</v>
      </c>
      <c r="R147" s="8">
        <f>IFERROR(Q147/Q444, "NA")</f>
        <v>6.5058785033748822E-5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-26.78</v>
      </c>
      <c r="X147" s="8">
        <f>IFERROR(W147/W444, "NA")</f>
        <v>4.6514148429808793E-4</v>
      </c>
      <c r="Y147" s="9"/>
      <c r="Z147" s="7">
        <v>61.04</v>
      </c>
      <c r="AA147" s="8">
        <f>IFERROR(Z147/Z444, "NA")</f>
        <v>1.3849069599583782E-4</v>
      </c>
      <c r="AB147" s="9"/>
      <c r="AC147" s="10">
        <f t="shared" si="35"/>
        <v>34.26</v>
      </c>
      <c r="AD147" s="8">
        <f>IFERROR(AC147/AC444, "NA")</f>
        <v>-1.1763534416750494E-3</v>
      </c>
    </row>
    <row r="148" spans="1:30" ht="16.5" customHeight="1" x14ac:dyDescent="0.45">
      <c r="A148" s="13" t="s">
        <v>139</v>
      </c>
      <c r="B148" s="14">
        <f>IFERROR(B143+B144+B145+B146+B147, "NA")</f>
        <v>1303.3900000000001</v>
      </c>
      <c r="C148" s="15">
        <f>IFERROR(B148/B444, "NA")</f>
        <v>1.1561953483049687E-2</v>
      </c>
      <c r="D148" s="2"/>
      <c r="E148" s="14">
        <f>IFERROR(E143+E144+E145+E146+E147, "NA")</f>
        <v>1247.3800000000001</v>
      </c>
      <c r="F148" s="15">
        <f>IFERROR(E148/E444, "NA")</f>
        <v>1.1000032187559112E-2</v>
      </c>
      <c r="G148" s="2"/>
      <c r="H148" s="14">
        <f t="shared" si="32"/>
        <v>-56.009999999999991</v>
      </c>
      <c r="I148" s="15">
        <f>IFERROR(H148/H444, "NA")</f>
        <v>8.3985605038235503E-2</v>
      </c>
      <c r="J148" s="2"/>
      <c r="K148" s="14">
        <f>IFERROR(K143+K144+K145+K146+K147, "NA")</f>
        <v>1862.2700000000002</v>
      </c>
      <c r="L148" s="15">
        <f>IFERROR(K148/K444, "NA")</f>
        <v>1.7838880976547667E-2</v>
      </c>
      <c r="M148" s="2"/>
      <c r="N148" s="14">
        <f t="shared" si="33"/>
        <v>558.88000000000011</v>
      </c>
      <c r="O148" s="15">
        <f>IFERROR(N148/N444, "NA")</f>
        <v>6.703554126329761E-2</v>
      </c>
      <c r="P148" s="2"/>
      <c r="Q148" s="14">
        <f>IFERROR(Q143+Q144+Q145+Q146+Q147, "NA")</f>
        <v>5142.4399999999996</v>
      </c>
      <c r="R148" s="15">
        <f>IFERROR(Q148/Q444, "NA")</f>
        <v>1.249293870459116E-2</v>
      </c>
      <c r="S148" s="2"/>
      <c r="T148" s="14">
        <f>IFERROR(T143+T144+T145+T146+T147, "NA")</f>
        <v>5161.22</v>
      </c>
      <c r="U148" s="15">
        <f>IFERROR(T148/T444, "NA")</f>
        <v>1.1000004880631164E-2</v>
      </c>
      <c r="V148" s="2"/>
      <c r="W148" s="14">
        <f t="shared" si="34"/>
        <v>18.780000000000655</v>
      </c>
      <c r="X148" s="15">
        <f>IFERROR(W148/W444, "NA")</f>
        <v>-3.2618958458246436E-4</v>
      </c>
      <c r="Y148" s="2"/>
      <c r="Z148" s="14">
        <f>IFERROR(Z143+Z144+Z145+Z146+Z147, "NA")</f>
        <v>6788.02</v>
      </c>
      <c r="AA148" s="15">
        <f>IFERROR(Z148/Z444, "NA")</f>
        <v>1.5401009407497824E-2</v>
      </c>
      <c r="AB148" s="2"/>
      <c r="AC148" s="14">
        <f t="shared" si="35"/>
        <v>1645.5800000000008</v>
      </c>
      <c r="AD148" s="15">
        <f>IFERROR(AC148/AC444, "NA")</f>
        <v>-5.6502734867239605E-2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27383.799999999996</v>
      </c>
      <c r="C149" s="15">
        <f>IFERROR(B149/B444, "NA")</f>
        <v>0.24291288239831205</v>
      </c>
      <c r="D149" s="2"/>
      <c r="E149" s="14">
        <f>IFERROR(E127+E129+E130+E131+E132+E133+E134+E135+E136+E137+E138+E139+E140+E143+E144+E145+E146+E147, "NA")</f>
        <v>25627.920000000002</v>
      </c>
      <c r="F149" s="15">
        <f>IFERROR(E149/E444, "NA")</f>
        <v>0.22600005202920515</v>
      </c>
      <c r="G149" s="2"/>
      <c r="H149" s="14">
        <f t="shared" si="32"/>
        <v>-1755.8799999999937</v>
      </c>
      <c r="I149" s="15">
        <f>IFERROR(H149/H444, "NA")</f>
        <v>2.6328984855300206</v>
      </c>
      <c r="J149" s="2"/>
      <c r="K149" s="14">
        <f>IFERROR(K127+K129+K130+K131+K132+K133+K134+K135+K136+K137+K138+K139+K140+K143+K144+K145+K146+K147, "NA")</f>
        <v>30631.179999999997</v>
      </c>
      <c r="L149" s="15">
        <f>IFERROR(K149/K444, "NA")</f>
        <v>0.29341930772187025</v>
      </c>
      <c r="M149" s="2"/>
      <c r="N149" s="14">
        <f t="shared" si="33"/>
        <v>3247.380000000001</v>
      </c>
      <c r="O149" s="15">
        <f>IFERROR(N149/N444, "NA")</f>
        <v>0.38951094329302788</v>
      </c>
      <c r="P149" s="2"/>
      <c r="Q149" s="14">
        <f>IFERROR(Q127+Q129+Q130+Q131+Q132+Q133+Q134+Q135+Q136+Q137+Q138+Q139+Q140+Q143+Q144+Q145+Q146+Q147, "NA")</f>
        <v>104178.81</v>
      </c>
      <c r="R149" s="15">
        <f>IFERROR(Q149/Q444, "NA")</f>
        <v>0.2530898732211263</v>
      </c>
      <c r="S149" s="2"/>
      <c r="T149" s="14">
        <f>IFERROR(T127+T129+T130+T131+T132+T133+T134+T135+T136+T137+T138+T139+T140+T143+T144+T145+T146+T147, "NA")</f>
        <v>107496.28</v>
      </c>
      <c r="U149" s="15">
        <f>IFERROR(T149/T444, "NA")</f>
        <v>0.22910466995200635</v>
      </c>
      <c r="V149" s="2"/>
      <c r="W149" s="14">
        <f t="shared" si="34"/>
        <v>3317.4700000000012</v>
      </c>
      <c r="X149" s="15">
        <f>IFERROR(W149/W444, "NA")</f>
        <v>-5.7621094843703445E-2</v>
      </c>
      <c r="Y149" s="2"/>
      <c r="Z149" s="14">
        <f>IFERROR(Z127+Z129+Z130+Z131+Z132+Z133+Z134+Z135+Z136+Z137+Z138+Z139+Z140+Z143+Z144+Z145+Z146+Z147, "NA")</f>
        <v>118768.29999999999</v>
      </c>
      <c r="AA149" s="15">
        <f>IFERROR(Z149/Z444, "NA")</f>
        <v>0.26946763645547944</v>
      </c>
      <c r="AB149" s="2"/>
      <c r="AC149" s="14">
        <f t="shared" si="35"/>
        <v>14589.489999999991</v>
      </c>
      <c r="AD149" s="15">
        <f>IFERROR(AC149/AC444, "NA")</f>
        <v>-0.50094561511335978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4649.3100000000004</v>
      </c>
      <c r="F153" s="8">
        <f>IFERROR(E153/E444, "NA")</f>
        <v>4.0999983685757711E-2</v>
      </c>
      <c r="G153" s="9"/>
      <c r="H153" s="10">
        <f t="shared" ref="H153:H158" si="36">IFERROR(-(B153-E153), "NA")</f>
        <v>4649.3100000000004</v>
      </c>
      <c r="I153" s="8">
        <f>IFERROR(H153/H444, "NA")</f>
        <v>-6.9715249662617174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19237.259999999998</v>
      </c>
      <c r="U153" s="8">
        <f>IFERROR(T153/T444, "NA")</f>
        <v>4.0999987191007295E-2</v>
      </c>
      <c r="V153" s="9"/>
      <c r="W153" s="10">
        <f t="shared" ref="W153:W158" si="38">IFERROR(-(Q153-T153), "NA")</f>
        <v>19237.259999999998</v>
      </c>
      <c r="X153" s="8">
        <f>IFERROR(W153/W444, "NA")</f>
        <v>-0.33413172779044936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3254.51</v>
      </c>
      <c r="C154" s="8">
        <f>IFERROR(B154/B444, "NA")</f>
        <v>2.8869711467879942E-2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-3254.51</v>
      </c>
      <c r="I154" s="8">
        <f>IFERROR(H154/H444, "NA")</f>
        <v>4.8800569800569162</v>
      </c>
      <c r="J154" s="9"/>
      <c r="K154" s="7">
        <v>3515.12</v>
      </c>
      <c r="L154" s="8">
        <f>IFERROR(K154/K444, "NA")</f>
        <v>3.3671705659373899E-2</v>
      </c>
      <c r="M154" s="9"/>
      <c r="N154" s="10">
        <f t="shared" si="37"/>
        <v>260.60999999999967</v>
      </c>
      <c r="O154" s="8">
        <f>IFERROR(N154/N444, "NA")</f>
        <v>3.1259183382171422E-2</v>
      </c>
      <c r="P154" s="9"/>
      <c r="Q154" s="7">
        <v>13265.3</v>
      </c>
      <c r="R154" s="8">
        <f>IFERROR(Q154/Q444, "NA")</f>
        <v>3.2226448883800905E-2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-13265.3</v>
      </c>
      <c r="X154" s="8">
        <f>IFERROR(W154/W444, "NA")</f>
        <v>0.23040482941222648</v>
      </c>
      <c r="Y154" s="9"/>
      <c r="Z154" s="7">
        <v>14828.43</v>
      </c>
      <c r="AA154" s="8">
        <f>IFERROR(Z154/Z444, "NA")</f>
        <v>3.3643505754022966E-2</v>
      </c>
      <c r="AB154" s="9"/>
      <c r="AC154" s="10">
        <f t="shared" si="39"/>
        <v>1563.130000000001</v>
      </c>
      <c r="AD154" s="8">
        <f>IFERROR(AC154/AC444, "NA")</f>
        <v>-5.3671726657487484E-2</v>
      </c>
    </row>
    <row r="155" spans="1:30" ht="16.5" customHeight="1" x14ac:dyDescent="0.45">
      <c r="A155" s="12" t="s">
        <v>144</v>
      </c>
      <c r="B155" s="7">
        <v>721.82</v>
      </c>
      <c r="C155" s="8">
        <f>IFERROR(B155/B444, "NA")</f>
        <v>6.4030330623488941E-3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-721.82</v>
      </c>
      <c r="I155" s="8">
        <f>IFERROR(H155/H444, "NA")</f>
        <v>1.082351177088005</v>
      </c>
      <c r="J155" s="9"/>
      <c r="K155" s="7">
        <v>953.73</v>
      </c>
      <c r="L155" s="8">
        <f>IFERROR(K155/K444, "NA")</f>
        <v>9.1358803791946417E-3</v>
      </c>
      <c r="M155" s="9"/>
      <c r="N155" s="10">
        <f t="shared" si="37"/>
        <v>231.90999999999997</v>
      </c>
      <c r="O155" s="8">
        <f>IFERROR(N155/N444, "NA")</f>
        <v>2.7816726979622359E-2</v>
      </c>
      <c r="P155" s="9"/>
      <c r="Q155" s="7">
        <v>3415.03</v>
      </c>
      <c r="R155" s="8">
        <f>IFERROR(Q155/Q444, "NA")</f>
        <v>8.2964041319568051E-3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-3415.03</v>
      </c>
      <c r="X155" s="8">
        <f>IFERROR(W155/W444, "NA")</f>
        <v>5.9315613260735596E-2</v>
      </c>
      <c r="Y155" s="9"/>
      <c r="Z155" s="7">
        <v>4382.4399999999996</v>
      </c>
      <c r="AA155" s="8">
        <f>IFERROR(Z155/Z444, "NA")</f>
        <v>9.9431055989514985E-3</v>
      </c>
      <c r="AB155" s="9"/>
      <c r="AC155" s="10">
        <f t="shared" si="39"/>
        <v>967.4099999999994</v>
      </c>
      <c r="AD155" s="8">
        <f>IFERROR(AC155/AC444, "NA")</f>
        <v>-3.3217048540889048E-2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3976.3300000000004</v>
      </c>
      <c r="C158" s="15">
        <f>IFERROR(B158/B444, "NA")</f>
        <v>3.5272744530228835E-2</v>
      </c>
      <c r="D158" s="2"/>
      <c r="E158" s="14">
        <f>IFERROR(E153+E154+E155+E156+E157, "NA")</f>
        <v>4649.3100000000004</v>
      </c>
      <c r="F158" s="15">
        <f>IFERROR(E158/E444, "NA")</f>
        <v>4.0999983685757711E-2</v>
      </c>
      <c r="G158" s="2"/>
      <c r="H158" s="14">
        <f t="shared" si="36"/>
        <v>672.98</v>
      </c>
      <c r="I158" s="15">
        <f>IFERROR(H158/H444, "NA")</f>
        <v>-1.0091168091167959</v>
      </c>
      <c r="J158" s="2"/>
      <c r="K158" s="14">
        <f>IFERROR(K153+K154+K155+K156+K157, "NA")</f>
        <v>4468.8500000000004</v>
      </c>
      <c r="L158" s="15">
        <f>IFERROR(K158/K444, "NA")</f>
        <v>4.2807586038568546E-2</v>
      </c>
      <c r="M158" s="2"/>
      <c r="N158" s="14">
        <f t="shared" si="37"/>
        <v>492.52</v>
      </c>
      <c r="O158" s="15">
        <f>IFERROR(N158/N444, "NA")</f>
        <v>5.9075910361793826E-2</v>
      </c>
      <c r="P158" s="2"/>
      <c r="Q158" s="14">
        <f>IFERROR(Q153+Q154+Q155+Q156+Q157, "NA")</f>
        <v>16680.329999999998</v>
      </c>
      <c r="R158" s="15">
        <f>IFERROR(Q158/Q444, "NA")</f>
        <v>4.0522853015757705E-2</v>
      </c>
      <c r="S158" s="2"/>
      <c r="T158" s="14">
        <f>IFERROR(T153+T154+T155+T156+T157, "NA")</f>
        <v>19237.259999999998</v>
      </c>
      <c r="U158" s="15">
        <f>IFERROR(T158/T444, "NA")</f>
        <v>4.0999987191007295E-2</v>
      </c>
      <c r="V158" s="2"/>
      <c r="W158" s="14">
        <f t="shared" si="38"/>
        <v>2556.9300000000003</v>
      </c>
      <c r="X158" s="15">
        <f>IFERROR(W158/W444, "NA")</f>
        <v>-4.4411285117487306E-2</v>
      </c>
      <c r="Y158" s="2"/>
      <c r="Z158" s="14">
        <f>IFERROR(Z153+Z154+Z155+Z156+Z157, "NA")</f>
        <v>19210.87</v>
      </c>
      <c r="AA158" s="15">
        <f>IFERROR(Z158/Z444, "NA")</f>
        <v>4.3586611352974459E-2</v>
      </c>
      <c r="AB158" s="2"/>
      <c r="AC158" s="14">
        <f t="shared" si="39"/>
        <v>2530.5400000000009</v>
      </c>
      <c r="AD158" s="15">
        <f>IFERROR(AC158/AC444, "NA")</f>
        <v>-8.6888775198376553E-2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362.03</v>
      </c>
      <c r="C161" s="8">
        <f>IFERROR(B161/B444, "NA")</f>
        <v>3.2114516909508878E-3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-362.03</v>
      </c>
      <c r="I161" s="8">
        <f>IFERROR(H161/H444, "NA")</f>
        <v>0.54285500074973048</v>
      </c>
      <c r="J161" s="9"/>
      <c r="K161" s="7">
        <v>393.12</v>
      </c>
      <c r="L161" s="8">
        <f>IFERROR(K161/K444, "NA")</f>
        <v>3.765737991537435E-3</v>
      </c>
      <c r="M161" s="9"/>
      <c r="N161" s="10">
        <f t="shared" si="41"/>
        <v>31.090000000000032</v>
      </c>
      <c r="O161" s="8">
        <f>IFERROR(N161/N444, "NA")</f>
        <v>3.7291278590680012E-3</v>
      </c>
      <c r="P161" s="9"/>
      <c r="Q161" s="7">
        <v>978.13</v>
      </c>
      <c r="R161" s="8">
        <f>IFERROR(Q161/Q444, "NA")</f>
        <v>2.3762490442517077E-3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-978.13</v>
      </c>
      <c r="X161" s="8">
        <f>IFERROR(W161/W444, "NA")</f>
        <v>1.6989127708606749E-2</v>
      </c>
      <c r="Y161" s="9"/>
      <c r="Z161" s="7">
        <v>1522.21</v>
      </c>
      <c r="AA161" s="8">
        <f>IFERROR(Z161/Z444, "NA")</f>
        <v>3.4536684526838848E-3</v>
      </c>
      <c r="AB161" s="9"/>
      <c r="AC161" s="10">
        <f t="shared" si="43"/>
        <v>544.08000000000004</v>
      </c>
      <c r="AD161" s="8">
        <f>IFERROR(AC161/AC444, "NA")</f>
        <v>-1.8681563938895532E-2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3.5</v>
      </c>
      <c r="R162" s="8">
        <f>IFERROR(Q162/Q444, "NA")</f>
        <v>8.5028285144929376E-6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-3.5</v>
      </c>
      <c r="X162" s="8">
        <f>IFERROR(W162/W444, "NA")</f>
        <v>6.0791456125590282E-5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-3.5</v>
      </c>
      <c r="AD162" s="8">
        <f>IFERROR(AC162/AC444, "NA")</f>
        <v>1.2017621266382584E-4</v>
      </c>
    </row>
    <row r="163" spans="1:30" ht="16.5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1.4</v>
      </c>
      <c r="R163" s="8">
        <f>IFERROR(Q163/Q444, "NA")</f>
        <v>3.4011314057971751E-6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-1.4</v>
      </c>
      <c r="X163" s="8">
        <f>IFERROR(W163/W444, "NA")</f>
        <v>2.4316582450236112E-5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-1.4</v>
      </c>
      <c r="AD163" s="8">
        <f>IFERROR(AC163/AC444, "NA")</f>
        <v>4.807048506553033E-5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362.03</v>
      </c>
      <c r="C166" s="15">
        <f>IFERROR(B166/B444, "NA")</f>
        <v>3.2114516909508878E-3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-362.03</v>
      </c>
      <c r="I166" s="15">
        <f>IFERROR(H166/H444, "NA")</f>
        <v>0.54285500074973048</v>
      </c>
      <c r="J166" s="2"/>
      <c r="K166" s="14">
        <f>IFERROR(K160+K161+K162+K163+K164+K165, "NA")</f>
        <v>393.12</v>
      </c>
      <c r="L166" s="15">
        <f>IFERROR(K166/K444, "NA")</f>
        <v>3.765737991537435E-3</v>
      </c>
      <c r="M166" s="2"/>
      <c r="N166" s="14">
        <f t="shared" si="41"/>
        <v>31.090000000000032</v>
      </c>
      <c r="O166" s="15">
        <f>IFERROR(N166/N444, "NA")</f>
        <v>3.7291278590680012E-3</v>
      </c>
      <c r="P166" s="2"/>
      <c r="Q166" s="14">
        <f>IFERROR(Q160+Q161+Q162+Q163+Q164+Q165, "NA")</f>
        <v>983.03</v>
      </c>
      <c r="R166" s="15">
        <f>IFERROR(Q166/Q444, "NA")</f>
        <v>2.3881530041719979E-3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-983.03</v>
      </c>
      <c r="X166" s="15">
        <f>IFERROR(W166/W444, "NA")</f>
        <v>1.7074235747182576E-2</v>
      </c>
      <c r="Y166" s="2"/>
      <c r="Z166" s="14">
        <f>IFERROR(Z160+Z161+Z162+Z163+Z164+Z165, "NA")</f>
        <v>1522.21</v>
      </c>
      <c r="AA166" s="15">
        <f>IFERROR(Z166/Z444, "NA")</f>
        <v>3.4536684526838848E-3</v>
      </c>
      <c r="AB166" s="2"/>
      <c r="AC166" s="14">
        <f t="shared" si="43"/>
        <v>539.18000000000006</v>
      </c>
      <c r="AD166" s="15">
        <f>IFERROR(AC166/AC444, "NA")</f>
        <v>-1.8513317241166179E-2</v>
      </c>
    </row>
    <row r="167" spans="1:30" ht="16.5" customHeight="1" x14ac:dyDescent="0.45">
      <c r="A167" s="6" t="s">
        <v>155</v>
      </c>
      <c r="B167" s="7">
        <v>143.19</v>
      </c>
      <c r="C167" s="8">
        <f>IFERROR(B167/B444, "NA")</f>
        <v>1.2701924360612592E-3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-143.19</v>
      </c>
      <c r="I167" s="8">
        <f>IFERROR(H167/H444, "NA")</f>
        <v>0.21470985155195399</v>
      </c>
      <c r="J167" s="9"/>
      <c r="K167" s="7">
        <v>99.81</v>
      </c>
      <c r="L167" s="8">
        <f>IFERROR(K167/K444, "NA")</f>
        <v>9.5609052944482949E-4</v>
      </c>
      <c r="M167" s="9"/>
      <c r="N167" s="10">
        <f t="shared" si="41"/>
        <v>-43.379999999999995</v>
      </c>
      <c r="O167" s="8">
        <f>IFERROR(N167/N444, "NA")</f>
        <v>-5.2032668551421583E-3</v>
      </c>
      <c r="P167" s="9"/>
      <c r="Q167" s="7">
        <v>529.29</v>
      </c>
      <c r="R167" s="8">
        <f>IFERROR(Q167/Q444, "NA")</f>
        <v>1.2858463155531333E-3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-529.29</v>
      </c>
      <c r="X167" s="8">
        <f>IFERROR(W167/W444, "NA")</f>
        <v>9.1932313750610513E-3</v>
      </c>
      <c r="Y167" s="9"/>
      <c r="Z167" s="7">
        <v>459.55</v>
      </c>
      <c r="AA167" s="8">
        <f>IFERROR(Z167/Z444, "NA")</f>
        <v>1.0426507101062791E-3</v>
      </c>
      <c r="AB167" s="9"/>
      <c r="AC167" s="10">
        <f t="shared" si="43"/>
        <v>-69.739999999999952</v>
      </c>
      <c r="AD167" s="8">
        <f>IFERROR(AC167/AC444, "NA")</f>
        <v>2.3945968774786307E-3</v>
      </c>
    </row>
    <row r="168" spans="1:30" ht="16.5" customHeight="1" x14ac:dyDescent="0.45">
      <c r="A168" s="6" t="s">
        <v>156</v>
      </c>
      <c r="B168" s="7">
        <v>120.12</v>
      </c>
      <c r="C168" s="8">
        <f>IFERROR(B168/B444, "NA")</f>
        <v>1.0655458860233148E-3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-120.12</v>
      </c>
      <c r="I168" s="8">
        <f>IFERROR(H168/H444, "NA")</f>
        <v>0.18011695906432512</v>
      </c>
      <c r="J168" s="9"/>
      <c r="K168" s="7">
        <v>32.6</v>
      </c>
      <c r="L168" s="8">
        <f>IFERROR(K168/K444, "NA")</f>
        <v>3.1227884239957363E-4</v>
      </c>
      <c r="M168" s="9"/>
      <c r="N168" s="10">
        <f t="shared" si="41"/>
        <v>-87.52000000000001</v>
      </c>
      <c r="O168" s="8">
        <f>IFERROR(N168/N444, "NA")</f>
        <v>-1.0497692834533006E-2</v>
      </c>
      <c r="P168" s="9"/>
      <c r="Q168" s="7">
        <v>359.34</v>
      </c>
      <c r="R168" s="8">
        <f>IFERROR(Q168/Q444, "NA")</f>
        <v>8.7297325668511205E-4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-359.34</v>
      </c>
      <c r="X168" s="8">
        <f>IFERROR(W168/W444, "NA")</f>
        <v>6.2413719554770316E-3</v>
      </c>
      <c r="Y168" s="9"/>
      <c r="Z168" s="7">
        <v>162</v>
      </c>
      <c r="AA168" s="8">
        <f>IFERROR(Z168/Z444, "NA")</f>
        <v>3.6755394415671246E-4</v>
      </c>
      <c r="AB168" s="9"/>
      <c r="AC168" s="10">
        <f t="shared" si="43"/>
        <v>-197.33999999999997</v>
      </c>
      <c r="AD168" s="8">
        <f>IFERROR(AC168/AC444, "NA")</f>
        <v>6.7758782305941106E-3</v>
      </c>
    </row>
    <row r="169" spans="1:30" ht="16.5" customHeight="1" x14ac:dyDescent="0.45">
      <c r="A169" s="6" t="s">
        <v>157</v>
      </c>
      <c r="B169" s="7">
        <v>-825.02</v>
      </c>
      <c r="C169" s="8">
        <f>IFERROR(B169/B444, "NA")</f>
        <v>-7.3184870703209724E-3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825.02</v>
      </c>
      <c r="I169" s="8">
        <f>IFERROR(H169/H444, "NA")</f>
        <v>-1.2370970160443682</v>
      </c>
      <c r="J169" s="9"/>
      <c r="K169" s="7">
        <v>-1195.29</v>
      </c>
      <c r="L169" s="8">
        <f>IFERROR(K169/K444, "NA")</f>
        <v>-1.1449809126741912E-2</v>
      </c>
      <c r="M169" s="9"/>
      <c r="N169" s="10">
        <f t="shared" si="41"/>
        <v>-370.27</v>
      </c>
      <c r="O169" s="8">
        <f>IFERROR(N169/N444, "NA")</f>
        <v>-4.4412485441528059E-2</v>
      </c>
      <c r="P169" s="9"/>
      <c r="Q169" s="7">
        <v>-4030.16</v>
      </c>
      <c r="R169" s="8">
        <f>IFERROR(Q169/Q444, "NA")</f>
        <v>-9.790788390276816E-3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4030.16</v>
      </c>
      <c r="X169" s="8">
        <f>IFERROR(W169/W444, "NA")</f>
        <v>-6.9999798519745401E-2</v>
      </c>
      <c r="Y169" s="9"/>
      <c r="Z169" s="7">
        <v>-11900.41</v>
      </c>
      <c r="AA169" s="8">
        <f>IFERROR(Z169/Z444, "NA")</f>
        <v>-2.7000263164086314E-2</v>
      </c>
      <c r="AB169" s="9"/>
      <c r="AC169" s="10">
        <f t="shared" si="43"/>
        <v>-7870.25</v>
      </c>
      <c r="AD169" s="8">
        <f>IFERROR(AC169/AC444, "NA")</f>
        <v>0.27023338220499293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3776.65</v>
      </c>
      <c r="C170" s="15">
        <f>IFERROR(B170/B444, "NA")</f>
        <v>3.3501447472943327E-2</v>
      </c>
      <c r="D170" s="2"/>
      <c r="E170" s="14">
        <f>IFERROR(E151+E153+E154+E155+E156+E157+E160+E161+E162+E163+E164+E165+E167+E168+E169, "NA")</f>
        <v>4649.3100000000004</v>
      </c>
      <c r="F170" s="15">
        <f>IFERROR(E170/E444, "NA")</f>
        <v>4.0999983685757711E-2</v>
      </c>
      <c r="G170" s="2"/>
      <c r="H170" s="14">
        <f t="shared" si="40"/>
        <v>872.66000000000031</v>
      </c>
      <c r="I170" s="15">
        <f>IFERROR(H170/H444, "NA")</f>
        <v>-1.308532013795155</v>
      </c>
      <c r="J170" s="2"/>
      <c r="K170" s="14">
        <f>IFERROR(K151+K153+K154+K155+K156+K157+K160+K161+K162+K163+K164+K165+K167+K168+K169, "NA")</f>
        <v>3799.0900000000011</v>
      </c>
      <c r="L170" s="15">
        <f>IFERROR(K170/K444, "NA")</f>
        <v>3.639188427520848E-2</v>
      </c>
      <c r="M170" s="2"/>
      <c r="N170" s="14">
        <f t="shared" si="41"/>
        <v>22.440000000000964</v>
      </c>
      <c r="O170" s="15">
        <f>IFERROR(N170/N444, "NA")</f>
        <v>2.6915930896587153E-3</v>
      </c>
      <c r="P170" s="2"/>
      <c r="Q170" s="14">
        <f>IFERROR(Q151+Q153+Q154+Q155+Q156+Q157+Q160+Q161+Q162+Q163+Q164+Q165+Q167+Q168+Q169, "NA")</f>
        <v>14521.830000000002</v>
      </c>
      <c r="R170" s="15">
        <f>IFERROR(Q170/Q444, "NA")</f>
        <v>3.5279037201891142E-2</v>
      </c>
      <c r="S170" s="2"/>
      <c r="T170" s="14">
        <f>IFERROR(T151+T153+T154+T155+T156+T157+T160+T161+T162+T163+T164+T165+T167+T168+T169, "NA")</f>
        <v>19237.259999999998</v>
      </c>
      <c r="U170" s="15">
        <f>IFERROR(T170/T444, "NA")</f>
        <v>4.0999987191007295E-2</v>
      </c>
      <c r="V170" s="2"/>
      <c r="W170" s="14">
        <f t="shared" si="42"/>
        <v>4715.4299999999967</v>
      </c>
      <c r="X170" s="15">
        <f>IFERROR(W170/W444, "NA")</f>
        <v>-8.1902244559511991E-2</v>
      </c>
      <c r="Y170" s="2"/>
      <c r="Z170" s="14">
        <f>IFERROR(Z151+Z153+Z154+Z155+Z156+Z157+Z160+Z161+Z162+Z163+Z164+Z165+Z167+Z168+Z169, "NA")</f>
        <v>9454.2199999999975</v>
      </c>
      <c r="AA170" s="15">
        <f>IFERROR(Z170/Z444, "NA")</f>
        <v>2.1450221295835022E-2</v>
      </c>
      <c r="AB170" s="2"/>
      <c r="AC170" s="14">
        <f t="shared" si="43"/>
        <v>-5067.6100000000042</v>
      </c>
      <c r="AD170" s="15">
        <f>IFERROR(AC170/AC444, "NA")</f>
        <v>0.17400176487352312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31160.449999999993</v>
      </c>
      <c r="C171" s="15">
        <f>IFERROR(B171/B444, "NA")</f>
        <v>0.27641432987125536</v>
      </c>
      <c r="D171" s="2"/>
      <c r="E171" s="14">
        <f>IFERROR(E127+E129+E130+E131+E132+E133+E134+E135+E136+E137+E138+E139+E140+E143+E144+E145+E146+E147+E151+E153+E154+E155+E156+E157+E160+E161+E162+E163+E164+E165+E167+E168+E169, "NA")</f>
        <v>30277.230000000003</v>
      </c>
      <c r="F171" s="15">
        <f>IFERROR(E171/E444, "NA")</f>
        <v>0.26700003571496289</v>
      </c>
      <c r="G171" s="2"/>
      <c r="H171" s="14">
        <f t="shared" si="40"/>
        <v>-883.21999999999025</v>
      </c>
      <c r="I171" s="15">
        <f>IFERROR(H171/H444, "NA")</f>
        <v>1.3243664717348609</v>
      </c>
      <c r="J171" s="2"/>
      <c r="K171" s="14">
        <f>IFERROR(K127+K129+K130+K131+K132+K133+K134+K135+K136+K137+K138+K139+K140+K143+K144+K145+K146+K147+K151+K153+K154+K155+K156+K157+K160+K161+K162+K163+K164+K165+K167+K168+K169, "NA")</f>
        <v>34430.269999999997</v>
      </c>
      <c r="L171" s="15">
        <f>IFERROR(K171/K444, "NA")</f>
        <v>0.3298111919970787</v>
      </c>
      <c r="M171" s="2"/>
      <c r="N171" s="14">
        <f t="shared" si="41"/>
        <v>3269.8200000000033</v>
      </c>
      <c r="O171" s="15">
        <f>IFERROR(N171/N444, "NA")</f>
        <v>0.39220253638268676</v>
      </c>
      <c r="P171" s="2"/>
      <c r="Q171" s="14">
        <f>IFERROR(Q127+Q129+Q130+Q131+Q132+Q133+Q134+Q135+Q136+Q137+Q138+Q139+Q140+Q143+Q144+Q145+Q146+Q147+Q151+Q153+Q154+Q155+Q156+Q157+Q160+Q161+Q162+Q163+Q164+Q165+Q167+Q168+Q169, "NA")</f>
        <v>118700.63999999998</v>
      </c>
      <c r="R171" s="15">
        <f>IFERROR(Q171/Q444, "NA")</f>
        <v>0.28836891042301738</v>
      </c>
      <c r="S171" s="2"/>
      <c r="T171" s="14">
        <f>IFERROR(T127+T129+T130+T131+T132+T133+T134+T135+T136+T137+T138+T139+T140+T143+T144+T145+T146+T147+T151+T153+T154+T155+T156+T157+T160+T161+T162+T163+T164+T165+T167+T168+T169, "NA")</f>
        <v>126733.54</v>
      </c>
      <c r="U171" s="15">
        <f>IFERROR(T171/T444, "NA")</f>
        <v>0.27010465714301363</v>
      </c>
      <c r="V171" s="2"/>
      <c r="W171" s="14">
        <f t="shared" si="42"/>
        <v>8032.9000000000087</v>
      </c>
      <c r="X171" s="15">
        <f>IFERROR(W171/W444, "NA")</f>
        <v>-0.13952333940321562</v>
      </c>
      <c r="Y171" s="2"/>
      <c r="Z171" s="14">
        <f>IFERROR(Z127+Z129+Z130+Z131+Z132+Z133+Z134+Z135+Z136+Z137+Z138+Z139+Z140+Z143+Z144+Z145+Z146+Z147+Z151+Z153+Z154+Z155+Z156+Z157+Z160+Z161+Z162+Z163+Z164+Z165+Z167+Z168+Z169, "NA")</f>
        <v>128222.51999999996</v>
      </c>
      <c r="AA171" s="15">
        <f>IFERROR(Z171/Z444, "NA")</f>
        <v>0.2909178577513144</v>
      </c>
      <c r="AB171" s="2"/>
      <c r="AC171" s="14">
        <f t="shared" si="43"/>
        <v>9521.8799999999756</v>
      </c>
      <c r="AD171" s="15">
        <f>IFERROR(AC171/AC444, "NA")</f>
        <v>-0.3269438502398363</v>
      </c>
    </row>
    <row r="172" spans="1:30" ht="16.5" customHeight="1" x14ac:dyDescent="0.45">
      <c r="A172" s="22" t="s">
        <v>160</v>
      </c>
      <c r="B172" s="23">
        <f>IFERROR(B124-B171, "NA")</f>
        <v>81570.500000000044</v>
      </c>
      <c r="C172" s="24">
        <f>IFERROR(B172/B444, "NA")</f>
        <v>0.72358567012874497</v>
      </c>
      <c r="D172" s="25"/>
      <c r="E172" s="23">
        <f>IFERROR(E124-E171, "NA")</f>
        <v>83120.62</v>
      </c>
      <c r="F172" s="24">
        <f>IFERROR(E172/E444, "NA")</f>
        <v>0.73299996428503711</v>
      </c>
      <c r="G172" s="25"/>
      <c r="H172" s="23">
        <f>IFERROR(B172-E172, "NA")</f>
        <v>-1550.1199999999517</v>
      </c>
      <c r="I172" s="24">
        <f>IFERROR(H172/H444, "NA")</f>
        <v>2.3243664717347898</v>
      </c>
      <c r="J172" s="25"/>
      <c r="K172" s="23">
        <f>IFERROR(K124-K171, "NA")</f>
        <v>69963.610000000015</v>
      </c>
      <c r="L172" s="24">
        <f>IFERROR(K172/K444, "NA")</f>
        <v>0.67018880800292135</v>
      </c>
      <c r="M172" s="25"/>
      <c r="N172" s="23">
        <f>IFERROR(B172-K172, "NA")</f>
        <v>11606.890000000029</v>
      </c>
      <c r="O172" s="24">
        <f>IFERROR(N172/N444, "NA")</f>
        <v>1.3922025363826906</v>
      </c>
      <c r="P172" s="25"/>
      <c r="Q172" s="23">
        <f>IFERROR(Q124-Q171, "NA")</f>
        <v>292927.09000000008</v>
      </c>
      <c r="R172" s="24">
        <f>IFERROR(Q172/Q444, "NA")</f>
        <v>0.71163108957698284</v>
      </c>
      <c r="S172" s="25"/>
      <c r="T172" s="23">
        <f>IFERROR(T124-T171, "NA")</f>
        <v>342468.07000000007</v>
      </c>
      <c r="U172" s="24">
        <f>IFERROR(T172/T444, "NA")</f>
        <v>0.72989534285698654</v>
      </c>
      <c r="V172" s="25"/>
      <c r="W172" s="23">
        <f>IFERROR(Q172-T172, "NA")</f>
        <v>-49540.979999999981</v>
      </c>
      <c r="X172" s="24">
        <f>IFERROR(W172/W444, "NA")</f>
        <v>0.86047666059678407</v>
      </c>
      <c r="Y172" s="25"/>
      <c r="Z172" s="23">
        <f>IFERROR(Z124-Z171, "NA")</f>
        <v>312529.11000000004</v>
      </c>
      <c r="AA172" s="24">
        <f>IFERROR(Z172/Z444, "NA")</f>
        <v>0.7090821422486856</v>
      </c>
      <c r="AB172" s="25"/>
      <c r="AC172" s="23">
        <f>IFERROR(Q172-Z172, "NA")</f>
        <v>-19602.01999999996</v>
      </c>
      <c r="AD172" s="24">
        <f>IFERROR(AC172/AC444, "NA")</f>
        <v>0.6730561497601607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5192.32</v>
      </c>
      <c r="C178" s="8">
        <f>IFERROR(B178/B444, "NA")</f>
        <v>4.605940072358123E-2</v>
      </c>
      <c r="D178" s="9"/>
      <c r="E178" s="7">
        <v>5192.32</v>
      </c>
      <c r="F178" s="8">
        <f>IFERROR(E178/E444, "NA")</f>
        <v>4.5788522445531367E-2</v>
      </c>
      <c r="G178" s="9"/>
      <c r="H178" s="10">
        <f t="shared" si="44"/>
        <v>0</v>
      </c>
      <c r="I178" s="8">
        <f>IFERROR(H178/H444, "NA")</f>
        <v>0</v>
      </c>
      <c r="J178" s="9"/>
      <c r="K178" s="7">
        <v>5192.32</v>
      </c>
      <c r="L178" s="8">
        <f>IFERROR(K178/K444, "NA")</f>
        <v>4.9737781563440303E-2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22067.360000000001</v>
      </c>
      <c r="R178" s="8">
        <f>IFERROR(Q178/Q444, "NA")</f>
        <v>5.3609993670737398E-2</v>
      </c>
      <c r="S178" s="9"/>
      <c r="T178" s="7">
        <v>22067.360000000001</v>
      </c>
      <c r="U178" s="8">
        <f>IFERROR(T178/T444, "NA")</f>
        <v>4.7031722674608901E-2</v>
      </c>
      <c r="V178" s="9"/>
      <c r="W178" s="10">
        <f t="shared" si="46"/>
        <v>0</v>
      </c>
      <c r="X178" s="8">
        <f>IFERROR(W178/W444, "NA")</f>
        <v>0</v>
      </c>
      <c r="Y178" s="9"/>
      <c r="Z178" s="7">
        <v>22067.360000000001</v>
      </c>
      <c r="AA178" s="8">
        <f>IFERROR(Z178/Z444, "NA")</f>
        <v>5.0067562994605373E-2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20826.55</v>
      </c>
      <c r="C180" s="8">
        <f>IFERROR(B180/B444, "NA")</f>
        <v>0.18474562664467922</v>
      </c>
      <c r="D180" s="9"/>
      <c r="E180" s="7">
        <v>22906.37</v>
      </c>
      <c r="F180" s="8">
        <f>IFERROR(E180/E444, "NA")</f>
        <v>0.20200003791959018</v>
      </c>
      <c r="G180" s="9"/>
      <c r="H180" s="10">
        <f t="shared" si="44"/>
        <v>2079.8199999999997</v>
      </c>
      <c r="I180" s="8">
        <f>IFERROR(H180/H444, "NA")</f>
        <v>-3.1186384765331723</v>
      </c>
      <c r="J180" s="9"/>
      <c r="K180" s="7">
        <v>21771.5</v>
      </c>
      <c r="L180" s="8">
        <f>IFERROR(K180/K444, "NA")</f>
        <v>0.20855149746326124</v>
      </c>
      <c r="M180" s="9"/>
      <c r="N180" s="10">
        <f t="shared" si="45"/>
        <v>944.95000000000073</v>
      </c>
      <c r="O180" s="8">
        <f>IFERROR(N180/N444, "NA")</f>
        <v>0.1133431769194695</v>
      </c>
      <c r="P180" s="9"/>
      <c r="Q180" s="7">
        <v>84427.04</v>
      </c>
      <c r="R180" s="8">
        <f>IFERROR(Q180/Q444, "NA")</f>
        <v>0.20510532660178166</v>
      </c>
      <c r="S180" s="9"/>
      <c r="T180" s="7">
        <v>92097.39</v>
      </c>
      <c r="U180" s="8">
        <f>IFERROR(T180/T444, "NA")</f>
        <v>0.196285323914383</v>
      </c>
      <c r="V180" s="9"/>
      <c r="W180" s="10">
        <f t="shared" si="46"/>
        <v>7670.3500000000058</v>
      </c>
      <c r="X180" s="8">
        <f>IFERROR(W180/W444, "NA")</f>
        <v>-0.13322621299797766</v>
      </c>
      <c r="Y180" s="9"/>
      <c r="Z180" s="7">
        <v>90317.2</v>
      </c>
      <c r="AA180" s="8">
        <f>IFERROR(Z180/Z444, "NA")</f>
        <v>0.20491631534068291</v>
      </c>
      <c r="AB180" s="9"/>
      <c r="AC180" s="10">
        <f t="shared" si="47"/>
        <v>5890.1600000000035</v>
      </c>
      <c r="AD180" s="8">
        <f>IFERROR(AC180/AC444, "NA")</f>
        <v>-0.20224489165256024</v>
      </c>
    </row>
    <row r="181" spans="1:30" ht="16.5" customHeight="1" x14ac:dyDescent="0.45">
      <c r="A181" s="12" t="s">
        <v>166</v>
      </c>
      <c r="B181" s="7">
        <v>155.79</v>
      </c>
      <c r="C181" s="8">
        <f>IFERROR(B181/B444, "NA")</f>
        <v>1.3819629835462221E-3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-155.79</v>
      </c>
      <c r="I181" s="8">
        <f>IFERROR(H181/H444, "NA")</f>
        <v>0.2336032388663937</v>
      </c>
      <c r="J181" s="9"/>
      <c r="K181" s="7">
        <v>-83.42</v>
      </c>
      <c r="L181" s="8">
        <f>IFERROR(K181/K444, "NA")</f>
        <v>-7.9908898874148559E-4</v>
      </c>
      <c r="M181" s="9"/>
      <c r="N181" s="10">
        <f t="shared" si="45"/>
        <v>-239.20999999999998</v>
      </c>
      <c r="O181" s="8">
        <f>IFERROR(N181/N444, "NA")</f>
        <v>-2.8692334357274221E-2</v>
      </c>
      <c r="P181" s="9"/>
      <c r="Q181" s="7">
        <v>324.29000000000002</v>
      </c>
      <c r="R181" s="8">
        <f>IFERROR(Q181/Q444, "NA")</f>
        <v>7.8782350256140427E-4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-324.29000000000002</v>
      </c>
      <c r="X181" s="8">
        <f>IFERROR(W181/W444, "NA")</f>
        <v>5.6325889448479065E-3</v>
      </c>
      <c r="Y181" s="9"/>
      <c r="Z181" s="7">
        <v>100.61</v>
      </c>
      <c r="AA181" s="8">
        <f>IFERROR(Z181/Z444, "NA")</f>
        <v>2.2826915013337556E-4</v>
      </c>
      <c r="AB181" s="9"/>
      <c r="AC181" s="10">
        <f t="shared" si="47"/>
        <v>-223.68</v>
      </c>
      <c r="AD181" s="8">
        <f>IFERROR(AC181/AC444, "NA")</f>
        <v>7.6802900710413041E-3</v>
      </c>
    </row>
    <row r="182" spans="1:30" ht="16.5" customHeight="1" x14ac:dyDescent="0.45">
      <c r="A182" s="13" t="s">
        <v>167</v>
      </c>
      <c r="B182" s="14">
        <f>IFERROR(B177+B178+B179+B180+B181, "NA")</f>
        <v>26174.66</v>
      </c>
      <c r="C182" s="15">
        <f>IFERROR(B182/B444, "NA")</f>
        <v>0.23218699035180668</v>
      </c>
      <c r="D182" s="2"/>
      <c r="E182" s="14">
        <f>IFERROR(E177+E178+E179+E180+E181, "NA")</f>
        <v>28098.69</v>
      </c>
      <c r="F182" s="15">
        <f>IFERROR(E182/E444, "NA")</f>
        <v>0.24778856036512154</v>
      </c>
      <c r="G182" s="2"/>
      <c r="H182" s="14">
        <f t="shared" si="44"/>
        <v>1924.0299999999988</v>
      </c>
      <c r="I182" s="15">
        <f>IFERROR(H182/H444, "NA")</f>
        <v>-2.8850352376667772</v>
      </c>
      <c r="J182" s="2"/>
      <c r="K182" s="14">
        <f>IFERROR(K177+K178+K179+K180+K181, "NA")</f>
        <v>26880.400000000001</v>
      </c>
      <c r="L182" s="15">
        <f>IFERROR(K182/K444, "NA")</f>
        <v>0.25749019003796009</v>
      </c>
      <c r="M182" s="2"/>
      <c r="N182" s="14">
        <f t="shared" si="45"/>
        <v>705.7400000000016</v>
      </c>
      <c r="O182" s="15">
        <f>IFERROR(N182/N444, "NA")</f>
        <v>8.4650842562195378E-2</v>
      </c>
      <c r="P182" s="2"/>
      <c r="Q182" s="14">
        <f>IFERROR(Q177+Q178+Q179+Q180+Q181, "NA")</f>
        <v>106818.68999999999</v>
      </c>
      <c r="R182" s="15">
        <f>IFERROR(Q182/Q444, "NA")</f>
        <v>0.25950314377508044</v>
      </c>
      <c r="S182" s="2"/>
      <c r="T182" s="14">
        <f>IFERROR(T177+T178+T179+T180+T181, "NA")</f>
        <v>114164.75</v>
      </c>
      <c r="U182" s="15">
        <f>IFERROR(T182/T444, "NA")</f>
        <v>0.24331704658899189</v>
      </c>
      <c r="V182" s="2"/>
      <c r="W182" s="14">
        <f t="shared" si="46"/>
        <v>7346.0600000000122</v>
      </c>
      <c r="X182" s="15">
        <f>IFERROR(W182/W444, "NA")</f>
        <v>-0.12759362405312985</v>
      </c>
      <c r="Y182" s="2"/>
      <c r="Z182" s="14">
        <f>IFERROR(Z177+Z178+Z179+Z180+Z181, "NA")</f>
        <v>112485.17</v>
      </c>
      <c r="AA182" s="15">
        <f>IFERROR(Z182/Z444, "NA")</f>
        <v>0.25521214748542165</v>
      </c>
      <c r="AB182" s="2"/>
      <c r="AC182" s="14">
        <f t="shared" si="47"/>
        <v>5666.4800000000105</v>
      </c>
      <c r="AD182" s="15">
        <f>IFERROR(AC182/AC444, "NA")</f>
        <v>-0.19456460158151917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325</v>
      </c>
      <c r="C184" s="8">
        <f>IFERROR(B184/B444, "NA")</f>
        <v>2.8829704708423021E-3</v>
      </c>
      <c r="D184" s="9"/>
      <c r="E184" s="7">
        <v>325</v>
      </c>
      <c r="F184" s="8">
        <f>IFERROR(E184/E444, "NA")</f>
        <v>2.8660155373316158E-3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500</v>
      </c>
      <c r="L184" s="8">
        <f>IFERROR(K184/K444, "NA")</f>
        <v>4.7895527975394727E-3</v>
      </c>
      <c r="M184" s="9"/>
      <c r="N184" s="10">
        <f t="shared" si="45"/>
        <v>175</v>
      </c>
      <c r="O184" s="8">
        <f>IFERROR(N184/N444, "NA")</f>
        <v>2.0990587820421343E-2</v>
      </c>
      <c r="P184" s="9"/>
      <c r="Q184" s="7">
        <v>-37</v>
      </c>
      <c r="R184" s="8">
        <f>IFERROR(Q184/Q444, "NA")</f>
        <v>-8.9887044296068199E-5</v>
      </c>
      <c r="S184" s="9"/>
      <c r="T184" s="7">
        <v>1462.5</v>
      </c>
      <c r="U184" s="8">
        <f>IFERROR(T184/T444, "NA")</f>
        <v>3.1169969770564088E-3</v>
      </c>
      <c r="V184" s="9"/>
      <c r="W184" s="10">
        <f t="shared" si="46"/>
        <v>1499.5</v>
      </c>
      <c r="X184" s="8">
        <f>IFERROR(W184/W444, "NA")</f>
        <v>-2.6044796702949322E-2</v>
      </c>
      <c r="Y184" s="9"/>
      <c r="Z184" s="7">
        <v>2000</v>
      </c>
      <c r="AA184" s="8">
        <f>IFERROR(Z184/Z444, "NA")</f>
        <v>4.5377030142804012E-3</v>
      </c>
      <c r="AB184" s="9"/>
      <c r="AC184" s="10">
        <f t="shared" si="47"/>
        <v>2037</v>
      </c>
      <c r="AD184" s="8">
        <f>IFERROR(AC184/AC444, "NA")</f>
        <v>-6.9942555770346637E-2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2374.35</v>
      </c>
      <c r="C186" s="8">
        <f>IFERROR(B186/B444, "NA")</f>
        <v>2.1062095192136674E-2</v>
      </c>
      <c r="D186" s="9"/>
      <c r="E186" s="7">
        <v>2371.71</v>
      </c>
      <c r="F186" s="8">
        <f>IFERROR(E186/E444, "NA")</f>
        <v>2.0914946800137744E-2</v>
      </c>
      <c r="G186" s="9"/>
      <c r="H186" s="10">
        <f t="shared" ref="H186:H197" si="48">IFERROR(-(B186-E186), "NA")</f>
        <v>-2.6399999999998727</v>
      </c>
      <c r="I186" s="8">
        <f>IFERROR(H186/H444, "NA")</f>
        <v>3.958614484930032E-3</v>
      </c>
      <c r="J186" s="9"/>
      <c r="K186" s="7">
        <v>2183.39</v>
      </c>
      <c r="L186" s="8">
        <f>IFERROR(K186/K444, "NA")</f>
        <v>2.0914923365239417E-2</v>
      </c>
      <c r="M186" s="9"/>
      <c r="N186" s="10">
        <f t="shared" ref="N186:N197" si="49">IFERROR(-(B186-K186), "NA")</f>
        <v>-190.96000000000004</v>
      </c>
      <c r="O186" s="8">
        <f>IFERROR(N186/N444, "NA")</f>
        <v>-2.2904929429643773E-2</v>
      </c>
      <c r="P186" s="9"/>
      <c r="Q186" s="7">
        <v>10086.65</v>
      </c>
      <c r="R186" s="8">
        <f>IFERROR(Q186/Q444, "NA")</f>
        <v>2.4504301495917195E-2</v>
      </c>
      <c r="S186" s="9"/>
      <c r="T186" s="7">
        <v>11183.39</v>
      </c>
      <c r="U186" s="8">
        <f>IFERROR(T186/T444, "NA")</f>
        <v>2.3834935263755807E-2</v>
      </c>
      <c r="V186" s="9"/>
      <c r="W186" s="10">
        <f t="shared" ref="W186:W197" si="50">IFERROR(-(Q186-T186), "NA")</f>
        <v>1096.7399999999998</v>
      </c>
      <c r="X186" s="8">
        <f>IFERROR(W186/W444, "NA")</f>
        <v>-1.9049263311765676E-2</v>
      </c>
      <c r="Y186" s="9"/>
      <c r="Z186" s="7">
        <v>10528.04</v>
      </c>
      <c r="AA186" s="8">
        <f>IFERROR(Z186/Z444, "NA")</f>
        <v>2.3886559421232318E-2</v>
      </c>
      <c r="AB186" s="9"/>
      <c r="AC186" s="10">
        <f t="shared" ref="AC186:AC197" si="51">IFERROR(-(Q186-Z186), "NA")</f>
        <v>441.39000000000124</v>
      </c>
      <c r="AD186" s="8">
        <f>IFERROR(AC186/AC444, "NA")</f>
        <v>-1.5155593859338923E-2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2374.35</v>
      </c>
      <c r="C193" s="15">
        <f>IFERROR(B193/B444, "NA")</f>
        <v>2.1062095192136674E-2</v>
      </c>
      <c r="D193" s="2"/>
      <c r="E193" s="14">
        <f>IFERROR(E186+E187+E188+E189+E190+E191+E192, "NA")</f>
        <v>2371.71</v>
      </c>
      <c r="F193" s="15">
        <f>IFERROR(E193/E444, "NA")</f>
        <v>2.0914946800137744E-2</v>
      </c>
      <c r="G193" s="2"/>
      <c r="H193" s="14">
        <f t="shared" si="48"/>
        <v>-2.6399999999998727</v>
      </c>
      <c r="I193" s="15">
        <f>IFERROR(H193/H444, "NA")</f>
        <v>3.958614484930032E-3</v>
      </c>
      <c r="J193" s="2"/>
      <c r="K193" s="14">
        <f>IFERROR(K186+K187+K188+K189+K190+K191+K192, "NA")</f>
        <v>2183.39</v>
      </c>
      <c r="L193" s="15">
        <f>IFERROR(K193/K444, "NA")</f>
        <v>2.0914923365239417E-2</v>
      </c>
      <c r="M193" s="2"/>
      <c r="N193" s="14">
        <f t="shared" si="49"/>
        <v>-190.96000000000004</v>
      </c>
      <c r="O193" s="15">
        <f>IFERROR(N193/N444, "NA")</f>
        <v>-2.2904929429643773E-2</v>
      </c>
      <c r="P193" s="2"/>
      <c r="Q193" s="14">
        <f>IFERROR(Q186+Q187+Q188+Q189+Q190+Q191+Q192, "NA")</f>
        <v>10086.65</v>
      </c>
      <c r="R193" s="15">
        <f>IFERROR(Q193/Q444, "NA")</f>
        <v>2.4504301495917195E-2</v>
      </c>
      <c r="S193" s="2"/>
      <c r="T193" s="14">
        <f>IFERROR(T186+T187+T188+T189+T190+T191+T192, "NA")</f>
        <v>11183.39</v>
      </c>
      <c r="U193" s="15">
        <f>IFERROR(T193/T444, "NA")</f>
        <v>2.3834935263755807E-2</v>
      </c>
      <c r="V193" s="2"/>
      <c r="W193" s="14">
        <f t="shared" si="50"/>
        <v>1096.7399999999998</v>
      </c>
      <c r="X193" s="15">
        <f>IFERROR(W193/W444, "NA")</f>
        <v>-1.9049263311765676E-2</v>
      </c>
      <c r="Y193" s="2"/>
      <c r="Z193" s="14">
        <f>IFERROR(Z186+Z187+Z188+Z189+Z190+Z191+Z192, "NA")</f>
        <v>10528.04</v>
      </c>
      <c r="AA193" s="15">
        <f>IFERROR(Z193/Z444, "NA")</f>
        <v>2.3886559421232318E-2</v>
      </c>
      <c r="AB193" s="2"/>
      <c r="AC193" s="14">
        <f t="shared" si="51"/>
        <v>441.39000000000124</v>
      </c>
      <c r="AD193" s="15">
        <f>IFERROR(AC193/AC444, "NA")</f>
        <v>-1.5155593859338923E-2</v>
      </c>
    </row>
    <row r="194" spans="1:30" ht="16.5" customHeight="1" x14ac:dyDescent="0.45">
      <c r="A194" s="6" t="s">
        <v>178</v>
      </c>
      <c r="B194" s="7">
        <v>247.23</v>
      </c>
      <c r="C194" s="8">
        <f>IFERROR(B194/B444, "NA")</f>
        <v>2.1930978138656686E-3</v>
      </c>
      <c r="D194" s="9"/>
      <c r="E194" s="7">
        <v>227.39</v>
      </c>
      <c r="F194" s="8">
        <f>IFERROR(E194/E444, "NA")</f>
        <v>2.005240840104111E-3</v>
      </c>
      <c r="G194" s="9"/>
      <c r="H194" s="10">
        <f t="shared" si="48"/>
        <v>-19.840000000000003</v>
      </c>
      <c r="I194" s="8">
        <f>IFERROR(H194/H444, "NA")</f>
        <v>2.9749587644324102E-2</v>
      </c>
      <c r="J194" s="9"/>
      <c r="K194" s="7">
        <v>275.60000000000002</v>
      </c>
      <c r="L194" s="8">
        <f>IFERROR(K194/K444, "NA")</f>
        <v>2.6400015020037575E-3</v>
      </c>
      <c r="M194" s="9"/>
      <c r="N194" s="10">
        <f t="shared" si="49"/>
        <v>28.370000000000033</v>
      </c>
      <c r="O194" s="8">
        <f>IFERROR(N194/N444, "NA")</f>
        <v>3.4028741512305951E-3</v>
      </c>
      <c r="P194" s="9"/>
      <c r="Q194" s="7">
        <v>1135.6600000000001</v>
      </c>
      <c r="R194" s="8">
        <f>IFERROR(Q194/Q444, "NA")</f>
        <v>2.7589492087911572E-3</v>
      </c>
      <c r="S194" s="9"/>
      <c r="T194" s="7">
        <v>925.02</v>
      </c>
      <c r="U194" s="8">
        <f>IFERROR(T194/T444, "NA")</f>
        <v>1.971476611088355E-3</v>
      </c>
      <c r="V194" s="9"/>
      <c r="W194" s="10">
        <f t="shared" si="50"/>
        <v>-210.6400000000001</v>
      </c>
      <c r="X194" s="8">
        <f>IFERROR(W194/W444, "NA")</f>
        <v>3.6586035195126693E-3</v>
      </c>
      <c r="Y194" s="9"/>
      <c r="Z194" s="7">
        <v>1171.96</v>
      </c>
      <c r="AA194" s="8">
        <f>IFERROR(Z194/Z444, "NA")</f>
        <v>2.6590032123080293E-3</v>
      </c>
      <c r="AB194" s="9"/>
      <c r="AC194" s="10">
        <f t="shared" si="51"/>
        <v>36.299999999999955</v>
      </c>
      <c r="AD194" s="8">
        <f>IFERROR(AC194/AC444, "NA")</f>
        <v>-1.2463990056276778E-3</v>
      </c>
    </row>
    <row r="195" spans="1:30" ht="16.5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874</v>
      </c>
      <c r="F195" s="8">
        <f>IFERROR(E195/E444, "NA")</f>
        <v>7.7073771680856379E-3</v>
      </c>
      <c r="G195" s="9"/>
      <c r="H195" s="10">
        <f t="shared" si="48"/>
        <v>874</v>
      </c>
      <c r="I195" s="8">
        <f>IFERROR(H195/H444, "NA")</f>
        <v>-1.3105413105412933</v>
      </c>
      <c r="J195" s="9"/>
      <c r="K195" s="7">
        <v>1020.53</v>
      </c>
      <c r="L195" s="8">
        <f>IFERROR(K195/K444, "NA")</f>
        <v>9.7757646329459155E-3</v>
      </c>
      <c r="M195" s="9"/>
      <c r="N195" s="10">
        <f t="shared" si="49"/>
        <v>1020.53</v>
      </c>
      <c r="O195" s="8">
        <f>IFERROR(N195/N444, "NA")</f>
        <v>0.1224087119335691</v>
      </c>
      <c r="P195" s="9"/>
      <c r="Q195" s="7">
        <v>0</v>
      </c>
      <c r="R195" s="8">
        <f>IFERROR(Q195/Q444, "NA")</f>
        <v>0</v>
      </c>
      <c r="S195" s="9"/>
      <c r="T195" s="7">
        <v>4050.45</v>
      </c>
      <c r="U195" s="8">
        <f>IFERROR(T195/T444, "NA")</f>
        <v>8.6326430124568417E-3</v>
      </c>
      <c r="V195" s="9"/>
      <c r="W195" s="10">
        <f t="shared" si="50"/>
        <v>4050.45</v>
      </c>
      <c r="X195" s="8">
        <f>IFERROR(W195/W444, "NA")</f>
        <v>-7.0352215275399185E-2</v>
      </c>
      <c r="Y195" s="9"/>
      <c r="Z195" s="7">
        <v>3528.29</v>
      </c>
      <c r="AA195" s="8">
        <f>IFERROR(Z195/Z444, "NA")</f>
        <v>8.0051660841276972E-3</v>
      </c>
      <c r="AB195" s="9"/>
      <c r="AC195" s="10">
        <f t="shared" si="51"/>
        <v>3528.29</v>
      </c>
      <c r="AD195" s="8">
        <f>IFERROR(AC195/AC444, "NA")</f>
        <v>-0.12114757982275716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29121.239999999998</v>
      </c>
      <c r="C196" s="15">
        <f>IFERROR(B196/B444, "NA")</f>
        <v>0.25832515382865129</v>
      </c>
      <c r="D196" s="2"/>
      <c r="E196" s="14">
        <f>IFERROR(E175+E177+E178+E179+E180+E181+E183+E184+E186+E187+E188+E189+E190+E191+E192+E194+E195, "NA")</f>
        <v>31896.789999999997</v>
      </c>
      <c r="F196" s="15">
        <f>IFERROR(E196/E444, "NA")</f>
        <v>0.28128214071078061</v>
      </c>
      <c r="G196" s="2"/>
      <c r="H196" s="14">
        <f t="shared" si="48"/>
        <v>2775.5499999999993</v>
      </c>
      <c r="I196" s="15">
        <f>IFERROR(H196/H444, "NA")</f>
        <v>-4.1618683460788164</v>
      </c>
      <c r="J196" s="2"/>
      <c r="K196" s="14">
        <f>IFERROR(K175+K177+K178+K179+K180+K181+K183+K184+K186+K187+K188+K189+K190+K191+K192+K194+K195, "NA")</f>
        <v>30859.919999999998</v>
      </c>
      <c r="L196" s="15">
        <f>IFERROR(K196/K444, "NA")</f>
        <v>0.29561043233568862</v>
      </c>
      <c r="M196" s="2"/>
      <c r="N196" s="14">
        <f t="shared" si="49"/>
        <v>1738.6800000000003</v>
      </c>
      <c r="O196" s="15">
        <f>IFERROR(N196/N444, "NA")</f>
        <v>0.2085480870377725</v>
      </c>
      <c r="P196" s="2"/>
      <c r="Q196" s="14">
        <f>IFERROR(Q175+Q177+Q178+Q179+Q180+Q181+Q183+Q184+Q186+Q187+Q188+Q189+Q190+Q191+Q192+Q194+Q195, "NA")</f>
        <v>118003.99999999999</v>
      </c>
      <c r="R196" s="15">
        <f>IFERROR(Q196/Q444, "NA")</f>
        <v>0.28667650743549272</v>
      </c>
      <c r="S196" s="2"/>
      <c r="T196" s="14">
        <f>IFERROR(T175+T177+T178+T179+T180+T181+T183+T184+T186+T187+T188+T189+T190+T191+T192+T194+T195, "NA")</f>
        <v>131786.11000000002</v>
      </c>
      <c r="U196" s="15">
        <f>IFERROR(T196/T444, "NA")</f>
        <v>0.28087309845334935</v>
      </c>
      <c r="V196" s="2"/>
      <c r="W196" s="14">
        <f t="shared" si="50"/>
        <v>13782.11000000003</v>
      </c>
      <c r="X196" s="15">
        <f>IFERROR(W196/W444, "NA")</f>
        <v>-0.23938129582373169</v>
      </c>
      <c r="Y196" s="2"/>
      <c r="Z196" s="14">
        <f>IFERROR(Z175+Z177+Z178+Z179+Z180+Z181+Z183+Z184+Z186+Z187+Z188+Z189+Z190+Z191+Z192+Z194+Z195, "NA")</f>
        <v>129713.45999999999</v>
      </c>
      <c r="AA196" s="15">
        <f>IFERROR(Z196/Z444, "NA")</f>
        <v>0.29430057921737007</v>
      </c>
      <c r="AB196" s="2"/>
      <c r="AC196" s="14">
        <f t="shared" si="51"/>
        <v>11709.460000000006</v>
      </c>
      <c r="AD196" s="15">
        <f>IFERROR(AC196/AC444, "NA")</f>
        <v>-0.40205673003958936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29121.239999999998</v>
      </c>
      <c r="C197" s="15">
        <f>IFERROR(B197/B444, "NA")</f>
        <v>0.25832515382865129</v>
      </c>
      <c r="D197" s="2"/>
      <c r="E197" s="14">
        <f>IFERROR(E175+E177+E178+E179+E180+E181+E183+E184+E186+E187+E188+E189+E190+E191+E192+E194+E195, "NA")</f>
        <v>31896.789999999997</v>
      </c>
      <c r="F197" s="15">
        <f>IFERROR(E197/E444, "NA")</f>
        <v>0.28128214071078061</v>
      </c>
      <c r="G197" s="2"/>
      <c r="H197" s="14">
        <f t="shared" si="48"/>
        <v>2775.5499999999993</v>
      </c>
      <c r="I197" s="15">
        <f>IFERROR(H197/H444, "NA")</f>
        <v>-4.1618683460788164</v>
      </c>
      <c r="J197" s="2"/>
      <c r="K197" s="14">
        <f>IFERROR(K175+K177+K178+K179+K180+K181+K183+K184+K186+K187+K188+K189+K190+K191+K192+K194+K195, "NA")</f>
        <v>30859.919999999998</v>
      </c>
      <c r="L197" s="15">
        <f>IFERROR(K197/K444, "NA")</f>
        <v>0.29561043233568862</v>
      </c>
      <c r="M197" s="2"/>
      <c r="N197" s="14">
        <f t="shared" si="49"/>
        <v>1738.6800000000003</v>
      </c>
      <c r="O197" s="15">
        <f>IFERROR(N197/N444, "NA")</f>
        <v>0.2085480870377725</v>
      </c>
      <c r="P197" s="2"/>
      <c r="Q197" s="14">
        <f>IFERROR(Q175+Q177+Q178+Q179+Q180+Q181+Q183+Q184+Q186+Q187+Q188+Q189+Q190+Q191+Q192+Q194+Q195, "NA")</f>
        <v>118003.99999999999</v>
      </c>
      <c r="R197" s="15">
        <f>IFERROR(Q197/Q444, "NA")</f>
        <v>0.28667650743549272</v>
      </c>
      <c r="S197" s="2"/>
      <c r="T197" s="14">
        <f>IFERROR(T175+T177+T178+T179+T180+T181+T183+T184+T186+T187+T188+T189+T190+T191+T192+T194+T195, "NA")</f>
        <v>131786.11000000002</v>
      </c>
      <c r="U197" s="15">
        <f>IFERROR(T197/T444, "NA")</f>
        <v>0.28087309845334935</v>
      </c>
      <c r="V197" s="2"/>
      <c r="W197" s="14">
        <f t="shared" si="50"/>
        <v>13782.11000000003</v>
      </c>
      <c r="X197" s="15">
        <f>IFERROR(W197/W444, "NA")</f>
        <v>-0.23938129582373169</v>
      </c>
      <c r="Y197" s="2"/>
      <c r="Z197" s="14">
        <f>IFERROR(Z175+Z177+Z178+Z179+Z180+Z181+Z183+Z184+Z186+Z187+Z188+Z189+Z190+Z191+Z192+Z194+Z195, "NA")</f>
        <v>129713.45999999999</v>
      </c>
      <c r="AA197" s="15">
        <f>IFERROR(Z197/Z444, "NA")</f>
        <v>0.29430057921737007</v>
      </c>
      <c r="AB197" s="2"/>
      <c r="AC197" s="14">
        <f t="shared" si="51"/>
        <v>11709.460000000006</v>
      </c>
      <c r="AD197" s="15">
        <f>IFERROR(AC197/AC444, "NA")</f>
        <v>-0.40205673003958936</v>
      </c>
    </row>
    <row r="198" spans="1:30" ht="16.5" customHeight="1" x14ac:dyDescent="0.45">
      <c r="A198" s="22" t="s">
        <v>181</v>
      </c>
      <c r="B198" s="23">
        <f>IFERROR(B172-B197, "NA")</f>
        <v>52449.260000000046</v>
      </c>
      <c r="C198" s="24">
        <f>IFERROR(B198/B444, "NA")</f>
        <v>0.46526051630009368</v>
      </c>
      <c r="D198" s="25"/>
      <c r="E198" s="23">
        <f>IFERROR(E172-E197, "NA")</f>
        <v>51223.83</v>
      </c>
      <c r="F198" s="24">
        <f>IFERROR(E198/E444, "NA")</f>
        <v>0.45171782357425649</v>
      </c>
      <c r="G198" s="25"/>
      <c r="H198" s="23">
        <f>IFERROR(B198-E198, "NA")</f>
        <v>1225.4300000000439</v>
      </c>
      <c r="I198" s="24">
        <f>IFERROR(H198/H444, "NA")</f>
        <v>-1.8375018743440215</v>
      </c>
      <c r="J198" s="25"/>
      <c r="K198" s="23">
        <f>IFERROR(K172-K197, "NA")</f>
        <v>39103.690000000017</v>
      </c>
      <c r="L198" s="24">
        <f>IFERROR(K198/K444, "NA")</f>
        <v>0.37457837566723273</v>
      </c>
      <c r="M198" s="25"/>
      <c r="N198" s="23">
        <f>IFERROR(B198-K198, "NA")</f>
        <v>13345.570000000029</v>
      </c>
      <c r="O198" s="24">
        <f>IFERROR(N198/N444, "NA")</f>
        <v>1.6007506234204631</v>
      </c>
      <c r="P198" s="25"/>
      <c r="Q198" s="23">
        <f>IFERROR(Q172-Q197, "NA")</f>
        <v>174923.09000000008</v>
      </c>
      <c r="R198" s="24">
        <f>IFERROR(Q198/Q444, "NA")</f>
        <v>0.42495458214149007</v>
      </c>
      <c r="S198" s="25"/>
      <c r="T198" s="23">
        <f>IFERROR(T172-T197, "NA")</f>
        <v>210681.96000000005</v>
      </c>
      <c r="U198" s="24">
        <f>IFERROR(T198/T444, "NA")</f>
        <v>0.44902224440363719</v>
      </c>
      <c r="V198" s="25"/>
      <c r="W198" s="23">
        <f>IFERROR(Q198-T198, "NA")</f>
        <v>-35758.869999999966</v>
      </c>
      <c r="X198" s="24">
        <f>IFERROR(W198/W444, "NA")</f>
        <v>0.62109536477305272</v>
      </c>
      <c r="Y198" s="25"/>
      <c r="Z198" s="23">
        <f>IFERROR(Z172-Z197, "NA")</f>
        <v>182815.65000000005</v>
      </c>
      <c r="AA198" s="24">
        <f>IFERROR(Z198/Z444, "NA")</f>
        <v>0.41478156303131553</v>
      </c>
      <c r="AB198" s="25"/>
      <c r="AC198" s="23">
        <f>IFERROR(Q198-Z198, "NA")</f>
        <v>-7892.5599999999686</v>
      </c>
      <c r="AD198" s="24">
        <f>IFERROR(AC198/AC444, "NA")</f>
        <v>0.27099941972057184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994.37</v>
      </c>
      <c r="C202" s="8">
        <f>IFERROR(B202/B444, "NA")</f>
        <v>8.8207364525891077E-3</v>
      </c>
      <c r="D202" s="9"/>
      <c r="E202" s="7">
        <v>1247.3800000000001</v>
      </c>
      <c r="F202" s="8">
        <f>IFERROR(E202/E444, "NA")</f>
        <v>1.1000032187559112E-2</v>
      </c>
      <c r="G202" s="9"/>
      <c r="H202" s="10">
        <f t="shared" si="52"/>
        <v>253.0100000000001</v>
      </c>
      <c r="I202" s="8">
        <f>IFERROR(H202/H444, "NA")</f>
        <v>-0.37938221622431667</v>
      </c>
      <c r="J202" s="9"/>
      <c r="K202" s="7">
        <v>719.35</v>
      </c>
      <c r="L202" s="8">
        <f>IFERROR(K202/K444, "NA")</f>
        <v>6.890729609820039E-3</v>
      </c>
      <c r="M202" s="9"/>
      <c r="N202" s="10">
        <f t="shared" si="53"/>
        <v>-275.02</v>
      </c>
      <c r="O202" s="8">
        <f>IFERROR(N202/N444, "NA")</f>
        <v>-3.2987608356413012E-2</v>
      </c>
      <c r="P202" s="9"/>
      <c r="Q202" s="7">
        <v>4150.22</v>
      </c>
      <c r="R202" s="8">
        <f>IFERROR(Q202/Q444, "NA")</f>
        <v>1.008245970211968E-2</v>
      </c>
      <c r="S202" s="9"/>
      <c r="T202" s="7">
        <v>5161.22</v>
      </c>
      <c r="U202" s="8">
        <f>IFERROR(T202/T444, "NA")</f>
        <v>1.1000004880631164E-2</v>
      </c>
      <c r="V202" s="9"/>
      <c r="W202" s="10">
        <f t="shared" si="54"/>
        <v>1011</v>
      </c>
      <c r="X202" s="8">
        <f>IFERROR(W202/W444, "NA")</f>
        <v>-1.7560046326563362E-2</v>
      </c>
      <c r="Y202" s="9"/>
      <c r="Z202" s="7">
        <v>3661.72</v>
      </c>
      <c r="AA202" s="8">
        <f>IFERROR(Z202/Z444, "NA")</f>
        <v>8.3078989407254136E-3</v>
      </c>
      <c r="AB202" s="9"/>
      <c r="AC202" s="10">
        <f t="shared" si="55"/>
        <v>-488.50000000000045</v>
      </c>
      <c r="AD202" s="8">
        <f>IFERROR(AC202/AC444, "NA")</f>
        <v>1.6773165681793992E-2</v>
      </c>
    </row>
    <row r="203" spans="1:30" ht="16.5" customHeight="1" x14ac:dyDescent="0.45">
      <c r="A203" s="6" t="s">
        <v>185</v>
      </c>
      <c r="B203" s="7">
        <v>857.45</v>
      </c>
      <c r="C203" s="8">
        <f>IFERROR(B203/B444, "NA")</f>
        <v>7.6061631699191751E-3</v>
      </c>
      <c r="D203" s="9"/>
      <c r="E203" s="7">
        <v>793.78</v>
      </c>
      <c r="F203" s="8">
        <f>IFERROR(E203/E444, "NA")</f>
        <v>6.9999563483787381E-3</v>
      </c>
      <c r="G203" s="9"/>
      <c r="H203" s="10">
        <f t="shared" si="52"/>
        <v>-63.670000000000073</v>
      </c>
      <c r="I203" s="8">
        <f>IFERROR(H203/H444, "NA")</f>
        <v>9.5471584945268015E-2</v>
      </c>
      <c r="J203" s="9"/>
      <c r="K203" s="7">
        <v>781.86</v>
      </c>
      <c r="L203" s="8">
        <f>IFERROR(K203/K444, "NA")</f>
        <v>7.4895195005684236E-3</v>
      </c>
      <c r="M203" s="9"/>
      <c r="N203" s="10">
        <f t="shared" si="53"/>
        <v>-75.590000000000032</v>
      </c>
      <c r="O203" s="8">
        <f>IFERROR(N203/N444, "NA")</f>
        <v>-9.066734476260857E-3</v>
      </c>
      <c r="P203" s="9"/>
      <c r="Q203" s="7">
        <v>4681.25</v>
      </c>
      <c r="R203" s="8">
        <f>IFERROR(Q203/Q444, "NA")</f>
        <v>1.1372533138134305E-2</v>
      </c>
      <c r="S203" s="9"/>
      <c r="T203" s="7">
        <v>3284.41</v>
      </c>
      <c r="U203" s="8">
        <f>IFERROR(T203/T444, "NA")</f>
        <v>6.9999972932744195E-3</v>
      </c>
      <c r="V203" s="9"/>
      <c r="W203" s="10">
        <f t="shared" si="54"/>
        <v>-1396.8400000000001</v>
      </c>
      <c r="X203" s="8">
        <f>IFERROR(W203/W444, "NA")</f>
        <v>2.4261696449848439E-2</v>
      </c>
      <c r="Y203" s="9"/>
      <c r="Z203" s="7">
        <v>3104.88</v>
      </c>
      <c r="AA203" s="8">
        <f>IFERROR(Z203/Z444, "NA")</f>
        <v>7.0445116674894654E-3</v>
      </c>
      <c r="AB203" s="9"/>
      <c r="AC203" s="10">
        <f t="shared" si="55"/>
        <v>-1576.37</v>
      </c>
      <c r="AD203" s="8">
        <f>IFERROR(AC203/AC444, "NA")</f>
        <v>5.4126336101964316E-2</v>
      </c>
    </row>
    <row r="204" spans="1:30" ht="16.5" customHeight="1" x14ac:dyDescent="0.45">
      <c r="A204" s="6" t="s">
        <v>186</v>
      </c>
      <c r="B204" s="7">
        <v>86.28</v>
      </c>
      <c r="C204" s="8">
        <f>IFERROR(B204/B444, "NA")</f>
        <v>7.6536212992084254E-4</v>
      </c>
      <c r="D204" s="9"/>
      <c r="E204" s="7">
        <v>226.8</v>
      </c>
      <c r="F204" s="8">
        <f>IFERROR(E204/E444, "NA")</f>
        <v>2.0000379195901862E-3</v>
      </c>
      <c r="G204" s="9"/>
      <c r="H204" s="10">
        <f t="shared" si="52"/>
        <v>140.52000000000001</v>
      </c>
      <c r="I204" s="8">
        <f>IFERROR(H204/H444, "NA")</f>
        <v>-0.21070625281151323</v>
      </c>
      <c r="J204" s="9"/>
      <c r="K204" s="7">
        <v>33.24</v>
      </c>
      <c r="L204" s="8">
        <f>IFERROR(K204/K444, "NA")</f>
        <v>3.1840946998042412E-4</v>
      </c>
      <c r="M204" s="9"/>
      <c r="N204" s="10">
        <f t="shared" si="53"/>
        <v>-53.04</v>
      </c>
      <c r="O204" s="8">
        <f>IFERROR(N204/N444, "NA")</f>
        <v>-6.3619473028294167E-3</v>
      </c>
      <c r="P204" s="9"/>
      <c r="Q204" s="7">
        <v>229.46</v>
      </c>
      <c r="R204" s="8">
        <f>IFERROR(Q204/Q444, "NA")</f>
        <v>5.5744543741015709E-4</v>
      </c>
      <c r="S204" s="9"/>
      <c r="T204" s="7">
        <v>938.41</v>
      </c>
      <c r="U204" s="8">
        <f>IFERROR(T204/T444, "NA")</f>
        <v>2.0000144500782937E-3</v>
      </c>
      <c r="V204" s="9"/>
      <c r="W204" s="10">
        <f t="shared" si="54"/>
        <v>708.94999999999993</v>
      </c>
      <c r="X204" s="8">
        <f>IFERROR(W204/W444, "NA")</f>
        <v>-1.2313743662924922E-2</v>
      </c>
      <c r="Y204" s="9"/>
      <c r="Z204" s="7">
        <v>304.08999999999997</v>
      </c>
      <c r="AA204" s="8">
        <f>IFERROR(Z204/Z444, "NA")</f>
        <v>6.899350548062635E-4</v>
      </c>
      <c r="AB204" s="9"/>
      <c r="AC204" s="10">
        <f t="shared" si="55"/>
        <v>74.629999999999967</v>
      </c>
      <c r="AD204" s="8">
        <f>IFERROR(AC204/AC444, "NA")</f>
        <v>-2.5625002146003766E-3</v>
      </c>
    </row>
    <row r="205" spans="1:30" ht="16.5" customHeight="1" x14ac:dyDescent="0.45">
      <c r="A205" s="6" t="s">
        <v>187</v>
      </c>
      <c r="B205" s="7">
        <v>364.24</v>
      </c>
      <c r="C205" s="8">
        <f>IFERROR(B205/B444, "NA")</f>
        <v>3.2310558901526157E-3</v>
      </c>
      <c r="D205" s="9"/>
      <c r="E205" s="7">
        <v>340.19</v>
      </c>
      <c r="F205" s="8">
        <f>IFERROR(E205/E444, "NA")</f>
        <v>2.9999686942918228E-3</v>
      </c>
      <c r="G205" s="9"/>
      <c r="H205" s="10">
        <f t="shared" si="52"/>
        <v>-24.050000000000011</v>
      </c>
      <c r="I205" s="8">
        <f>IFERROR(H205/H444, "NA")</f>
        <v>3.6062378167640873E-2</v>
      </c>
      <c r="J205" s="9"/>
      <c r="K205" s="7">
        <v>364.24</v>
      </c>
      <c r="L205" s="8">
        <f>IFERROR(K205/K444, "NA")</f>
        <v>3.4890934219515548E-3</v>
      </c>
      <c r="M205" s="9"/>
      <c r="N205" s="10">
        <f t="shared" si="53"/>
        <v>0</v>
      </c>
      <c r="O205" s="8">
        <f>IFERROR(N205/N444, "NA")</f>
        <v>0</v>
      </c>
      <c r="P205" s="9"/>
      <c r="Q205" s="7">
        <v>1640.42</v>
      </c>
      <c r="R205" s="8">
        <f>IFERROR(Q205/Q444, "NA")</f>
        <v>3.9852028433555731E-3</v>
      </c>
      <c r="S205" s="9"/>
      <c r="T205" s="7">
        <v>1407.6</v>
      </c>
      <c r="U205" s="8">
        <f>IFERROR(T205/T444, "NA")</f>
        <v>2.9999897059176757E-3</v>
      </c>
      <c r="V205" s="9"/>
      <c r="W205" s="10">
        <f t="shared" si="54"/>
        <v>-232.82000000000016</v>
      </c>
      <c r="X205" s="8">
        <f>IFERROR(W205/W444, "NA")</f>
        <v>4.0438476614742683E-3</v>
      </c>
      <c r="Y205" s="9"/>
      <c r="Z205" s="7">
        <v>1548.02</v>
      </c>
      <c r="AA205" s="8">
        <f>IFERROR(Z205/Z444, "NA")</f>
        <v>3.5122275100831729E-3</v>
      </c>
      <c r="AB205" s="9"/>
      <c r="AC205" s="10">
        <f t="shared" si="55"/>
        <v>-92.400000000000091</v>
      </c>
      <c r="AD205" s="8">
        <f>IFERROR(AC205/AC444, "NA")</f>
        <v>3.1726520143250049E-3</v>
      </c>
    </row>
    <row r="206" spans="1:30" ht="16.5" customHeight="1" x14ac:dyDescent="0.45">
      <c r="A206" s="6" t="s">
        <v>188</v>
      </c>
      <c r="B206" s="7">
        <v>16.84</v>
      </c>
      <c r="C206" s="8">
        <f>IFERROR(B206/B444, "NA")</f>
        <v>1.4938222378149037E-4</v>
      </c>
      <c r="D206" s="9"/>
      <c r="E206" s="7">
        <v>113.4</v>
      </c>
      <c r="F206" s="8">
        <f>IFERROR(E206/E444, "NA")</f>
        <v>1.0000189597950931E-3</v>
      </c>
      <c r="G206" s="9"/>
      <c r="H206" s="10">
        <f t="shared" si="52"/>
        <v>96.56</v>
      </c>
      <c r="I206" s="8">
        <f>IFERROR(H206/H444, "NA")</f>
        <v>-0.14478932373669026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-16.84</v>
      </c>
      <c r="O206" s="8">
        <f>IFERROR(N206/N444, "NA")</f>
        <v>-2.0198942794051166E-3</v>
      </c>
      <c r="P206" s="9"/>
      <c r="Q206" s="7">
        <v>50.43</v>
      </c>
      <c r="R206" s="8">
        <f>IFERROR(Q206/Q444, "NA")</f>
        <v>1.2251361199596539E-4</v>
      </c>
      <c r="S206" s="9"/>
      <c r="T206" s="7">
        <v>469.2</v>
      </c>
      <c r="U206" s="8">
        <f>IFERROR(T206/T444, "NA")</f>
        <v>9.9999656863922529E-4</v>
      </c>
      <c r="V206" s="9"/>
      <c r="W206" s="10">
        <f t="shared" si="54"/>
        <v>418.77</v>
      </c>
      <c r="X206" s="8">
        <f>IFERROR(W206/W444, "NA")</f>
        <v>-7.2736108804895543E-3</v>
      </c>
      <c r="Y206" s="9"/>
      <c r="Z206" s="7">
        <v>135.76</v>
      </c>
      <c r="AA206" s="8">
        <f>IFERROR(Z206/Z444, "NA")</f>
        <v>3.080192806093536E-4</v>
      </c>
      <c r="AB206" s="9"/>
      <c r="AC206" s="10">
        <f t="shared" si="55"/>
        <v>85.329999999999984</v>
      </c>
      <c r="AD206" s="8">
        <f>IFERROR(AC206/AC444, "NA")</f>
        <v>-2.9298960647440734E-3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100</v>
      </c>
      <c r="F207" s="8">
        <f>IFERROR(E207/E444, "NA")</f>
        <v>8.8185093456357409E-4</v>
      </c>
      <c r="G207" s="9"/>
      <c r="H207" s="10">
        <f t="shared" si="52"/>
        <v>100</v>
      </c>
      <c r="I207" s="8">
        <f>IFERROR(H207/H444, "NA")</f>
        <v>-0.14994751836856904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0</v>
      </c>
      <c r="R207" s="8">
        <f>IFERROR(Q207/Q444, "NA")</f>
        <v>0</v>
      </c>
      <c r="S207" s="9"/>
      <c r="T207" s="7">
        <v>400</v>
      </c>
      <c r="U207" s="8">
        <f>IFERROR(T207/T444, "NA")</f>
        <v>8.5251199372482977E-4</v>
      </c>
      <c r="V207" s="9"/>
      <c r="W207" s="10">
        <f t="shared" si="54"/>
        <v>400</v>
      </c>
      <c r="X207" s="8">
        <f>IFERROR(W207/W444, "NA")</f>
        <v>-6.9475949857817467E-3</v>
      </c>
      <c r="Y207" s="9"/>
      <c r="Z207" s="7">
        <v>99.6</v>
      </c>
      <c r="AA207" s="8">
        <f>IFERROR(Z207/Z444, "NA")</f>
        <v>2.2597761011116396E-4</v>
      </c>
      <c r="AB207" s="9"/>
      <c r="AC207" s="10">
        <f t="shared" si="55"/>
        <v>99.6</v>
      </c>
      <c r="AD207" s="8">
        <f>IFERROR(AC207/AC444, "NA")</f>
        <v>-3.4198716518048719E-3</v>
      </c>
    </row>
    <row r="208" spans="1:30" ht="16.5" customHeight="1" x14ac:dyDescent="0.45">
      <c r="A208" s="6" t="s">
        <v>190</v>
      </c>
      <c r="B208" s="7">
        <v>118.68</v>
      </c>
      <c r="C208" s="8">
        <f>IFERROR(B208/B444, "NA")</f>
        <v>1.0527721091678904E-3</v>
      </c>
      <c r="D208" s="9"/>
      <c r="E208" s="7">
        <v>100</v>
      </c>
      <c r="F208" s="8">
        <f>IFERROR(E208/E444, "NA")</f>
        <v>8.8185093456357409E-4</v>
      </c>
      <c r="G208" s="9"/>
      <c r="H208" s="10">
        <f t="shared" si="52"/>
        <v>-18.680000000000007</v>
      </c>
      <c r="I208" s="8">
        <f>IFERROR(H208/H444, "NA")</f>
        <v>2.8010196431248708E-2</v>
      </c>
      <c r="J208" s="9"/>
      <c r="K208" s="7">
        <v>216.65</v>
      </c>
      <c r="L208" s="8">
        <f>IFERROR(K208/K444, "NA")</f>
        <v>2.0753132271738536E-3</v>
      </c>
      <c r="M208" s="9"/>
      <c r="N208" s="10">
        <f t="shared" si="53"/>
        <v>97.97</v>
      </c>
      <c r="O208" s="8">
        <f>IFERROR(N208/N444, "NA")</f>
        <v>1.175113079295245E-2</v>
      </c>
      <c r="P208" s="9"/>
      <c r="Q208" s="7">
        <v>402.78</v>
      </c>
      <c r="R208" s="8">
        <f>IFERROR(Q208/Q444, "NA")</f>
        <v>9.7850550544784716E-4</v>
      </c>
      <c r="S208" s="9"/>
      <c r="T208" s="7">
        <v>400</v>
      </c>
      <c r="U208" s="8">
        <f>IFERROR(T208/T444, "NA")</f>
        <v>8.5251199372482977E-4</v>
      </c>
      <c r="V208" s="9"/>
      <c r="W208" s="10">
        <f t="shared" si="54"/>
        <v>-2.7799999999999727</v>
      </c>
      <c r="X208" s="8">
        <f>IFERROR(W208/W444, "NA")</f>
        <v>4.8285785151182665E-5</v>
      </c>
      <c r="Y208" s="9"/>
      <c r="Z208" s="7">
        <v>778.63</v>
      </c>
      <c r="AA208" s="8">
        <f>IFERROR(Z208/Z444, "NA")</f>
        <v>1.7665958490045743E-3</v>
      </c>
      <c r="AB208" s="9"/>
      <c r="AC208" s="10">
        <f t="shared" si="55"/>
        <v>375.85</v>
      </c>
      <c r="AD208" s="8">
        <f>IFERROR(AC208/AC444, "NA")</f>
        <v>-1.290520843705684E-2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2437.86</v>
      </c>
      <c r="C209" s="15">
        <f>IFERROR(B209/B444, "NA")</f>
        <v>2.1625471975531121E-2</v>
      </c>
      <c r="D209" s="2"/>
      <c r="E209" s="14">
        <f>IFERROR(E201+E202+E203+E204+E205+E206+E207+E208, "NA")</f>
        <v>2921.55</v>
      </c>
      <c r="F209" s="15">
        <f>IFERROR(E209/E444, "NA")</f>
        <v>2.5763715978742101E-2</v>
      </c>
      <c r="G209" s="2"/>
      <c r="H209" s="14">
        <f t="shared" si="52"/>
        <v>483.69000000000005</v>
      </c>
      <c r="I209" s="15">
        <f>IFERROR(H209/H444, "NA")</f>
        <v>-0.72528115159693163</v>
      </c>
      <c r="J209" s="2"/>
      <c r="K209" s="14">
        <f>IFERROR(K201+K202+K203+K204+K205+K206+K207+K208, "NA")</f>
        <v>2115.34</v>
      </c>
      <c r="L209" s="15">
        <f>IFERROR(K209/K444, "NA")</f>
        <v>2.0263065229494295E-2</v>
      </c>
      <c r="M209" s="2"/>
      <c r="N209" s="14">
        <f t="shared" si="53"/>
        <v>-322.52</v>
      </c>
      <c r="O209" s="15">
        <f>IFERROR(N209/N444, "NA")</f>
        <v>-3.8685053621955949E-2</v>
      </c>
      <c r="P209" s="2"/>
      <c r="Q209" s="14">
        <f>IFERROR(Q201+Q202+Q203+Q204+Q205+Q206+Q207+Q208, "NA")</f>
        <v>11154.560000000001</v>
      </c>
      <c r="R209" s="15">
        <f>IFERROR(Q209/Q444, "NA")</f>
        <v>2.709866023846353E-2</v>
      </c>
      <c r="S209" s="2"/>
      <c r="T209" s="14">
        <f>IFERROR(T201+T202+T203+T204+T205+T206+T207+T208, "NA")</f>
        <v>12060.840000000002</v>
      </c>
      <c r="U209" s="15">
        <f>IFERROR(T209/T444, "NA")</f>
        <v>2.5705026885990443E-2</v>
      </c>
      <c r="V209" s="2"/>
      <c r="W209" s="14">
        <f t="shared" si="54"/>
        <v>906.28000000000065</v>
      </c>
      <c r="X209" s="15">
        <f>IFERROR(W209/W444, "NA")</f>
        <v>-1.5741165959285715E-2</v>
      </c>
      <c r="Y209" s="2"/>
      <c r="Z209" s="14">
        <f>IFERROR(Z201+Z202+Z203+Z204+Z205+Z206+Z207+Z208, "NA")</f>
        <v>9632.7000000000007</v>
      </c>
      <c r="AA209" s="15">
        <f>IFERROR(Z209/Z444, "NA")</f>
        <v>2.1855165912829412E-2</v>
      </c>
      <c r="AB209" s="2"/>
      <c r="AC209" s="14">
        <f t="shared" si="55"/>
        <v>-1521.8600000000006</v>
      </c>
      <c r="AD209" s="15">
        <f>IFERROR(AC209/AC444, "NA")</f>
        <v>5.2254677429877161E-2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3288.54</v>
      </c>
      <c r="F213" s="8">
        <f>IFERROR(E213/E444, "NA")</f>
        <v>2.9000020723496962E-2</v>
      </c>
      <c r="G213" s="9"/>
      <c r="H213" s="10">
        <f t="shared" ref="H213:H227" si="56">IFERROR(-(B213-E213), "NA")</f>
        <v>3288.54</v>
      </c>
      <c r="I213" s="8">
        <f>IFERROR(H213/H444, "NA")</f>
        <v>-4.93108412055774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13606.85</v>
      </c>
      <c r="U213" s="8">
        <f>IFERROR(T213/T444, "NA")</f>
        <v>2.9000007054536751E-2</v>
      </c>
      <c r="V213" s="9"/>
      <c r="W213" s="10">
        <f t="shared" ref="W213:W227" si="58">IFERROR(-(Q213-T213), "NA")</f>
        <v>13606.85</v>
      </c>
      <c r="X213" s="8">
        <f>IFERROR(W213/W444, "NA")</f>
        <v>-0.2363372070807109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871.54</v>
      </c>
      <c r="C214" s="8">
        <f>IFERROR(B214/B444, "NA")</f>
        <v>7.7311510281781529E-3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-871.54</v>
      </c>
      <c r="I214" s="8">
        <f>IFERROR(H214/H444, "NA")</f>
        <v>1.3068526015894266</v>
      </c>
      <c r="J214" s="9"/>
      <c r="K214" s="7">
        <v>1689.96</v>
      </c>
      <c r="L214" s="8">
        <f>IFERROR(K214/K444, "NA")</f>
        <v>1.6188305291459613E-2</v>
      </c>
      <c r="M214" s="9"/>
      <c r="N214" s="10">
        <f t="shared" si="57"/>
        <v>818.42000000000007</v>
      </c>
      <c r="O214" s="8">
        <f>IFERROR(N214/N444, "NA")</f>
        <v>9.8166382194224203E-2</v>
      </c>
      <c r="P214" s="9"/>
      <c r="Q214" s="7">
        <v>5198.47</v>
      </c>
      <c r="R214" s="8">
        <f>IFERROR(Q214/Q444, "NA")</f>
        <v>1.2629056842210315E-2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-5198.47</v>
      </c>
      <c r="X214" s="8">
        <f>IFERROR(W214/W444, "NA")</f>
        <v>9.0292160264342086E-2</v>
      </c>
      <c r="Y214" s="9"/>
      <c r="Z214" s="7">
        <v>9839.15</v>
      </c>
      <c r="AA214" s="8">
        <f>IFERROR(Z214/Z444, "NA")</f>
        <v>2.2323570306478503E-2</v>
      </c>
      <c r="AB214" s="9"/>
      <c r="AC214" s="10">
        <f t="shared" si="59"/>
        <v>4640.6799999999994</v>
      </c>
      <c r="AD214" s="8">
        <f>IFERROR(AC214/AC444, "NA")</f>
        <v>-0.15934267045278949</v>
      </c>
    </row>
    <row r="215" spans="1:30" ht="16.5" customHeight="1" x14ac:dyDescent="0.45">
      <c r="A215" s="12" t="s">
        <v>195</v>
      </c>
      <c r="B215" s="7">
        <v>362.93</v>
      </c>
      <c r="C215" s="8">
        <f>IFERROR(B215/B444, "NA")</f>
        <v>3.2194353014855285E-3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-362.93</v>
      </c>
      <c r="I215" s="8">
        <f>IFERROR(H215/H444, "NA")</f>
        <v>0.54420452841504763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-362.93</v>
      </c>
      <c r="O215" s="8">
        <f>IFERROR(N215/N444, "NA")</f>
        <v>-4.3532080215231528E-2</v>
      </c>
      <c r="P215" s="9"/>
      <c r="Q215" s="7">
        <v>824.86</v>
      </c>
      <c r="R215" s="8">
        <f>IFERROR(Q215/Q444, "NA")</f>
        <v>2.0038980367041844E-3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-824.86</v>
      </c>
      <c r="X215" s="8">
        <f>IFERROR(W215/W444, "NA")</f>
        <v>1.4326982999929828E-2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-824.86</v>
      </c>
      <c r="AD215" s="8">
        <f>IFERROR(AC215/AC444, "NA")</f>
        <v>2.832244307939525E-2</v>
      </c>
    </row>
    <row r="216" spans="1:30" ht="16.5" customHeight="1" x14ac:dyDescent="0.45">
      <c r="A216" s="12" t="s">
        <v>196</v>
      </c>
      <c r="B216" s="7">
        <v>80</v>
      </c>
      <c r="C216" s="8">
        <f>IFERROR(B216/B444, "NA")</f>
        <v>7.0965426974579741E-4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-80</v>
      </c>
      <c r="I216" s="8">
        <f>IFERROR(H216/H444, "NA")</f>
        <v>0.11995801469485523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-80</v>
      </c>
      <c r="O216" s="8">
        <f>IFERROR(N216/N444, "NA")</f>
        <v>-9.5956972893354708E-3</v>
      </c>
      <c r="P216" s="9"/>
      <c r="Q216" s="7">
        <v>150</v>
      </c>
      <c r="R216" s="8">
        <f>IFERROR(Q216/Q444, "NA")</f>
        <v>3.6440693633541161E-4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-150</v>
      </c>
      <c r="X216" s="8">
        <f>IFERROR(W216/W444, "NA")</f>
        <v>2.6053481196681547E-3</v>
      </c>
      <c r="Y216" s="9"/>
      <c r="Z216" s="7">
        <v>2.1</v>
      </c>
      <c r="AA216" s="8">
        <f>IFERROR(Z216/Z444, "NA")</f>
        <v>4.7645881649944208E-6</v>
      </c>
      <c r="AB216" s="9"/>
      <c r="AC216" s="10">
        <f t="shared" si="59"/>
        <v>-147.9</v>
      </c>
      <c r="AD216" s="8">
        <f>IFERROR(AC216/AC444, "NA")</f>
        <v>5.0783033865656694E-3</v>
      </c>
    </row>
    <row r="217" spans="1:30" ht="16.5" customHeight="1" x14ac:dyDescent="0.45">
      <c r="A217" s="12" t="s">
        <v>197</v>
      </c>
      <c r="B217" s="7">
        <v>2278.62</v>
      </c>
      <c r="C217" s="8">
        <f>IFERROR(B217/B444, "NA")</f>
        <v>2.0212905151602109E-2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-2278.62</v>
      </c>
      <c r="I217" s="8">
        <f>IFERROR(H217/H444, "NA")</f>
        <v>3.4167341430498874</v>
      </c>
      <c r="J217" s="9"/>
      <c r="K217" s="7">
        <v>1535.86</v>
      </c>
      <c r="L217" s="8">
        <f>IFERROR(K217/K444, "NA")</f>
        <v>1.4712165119257947E-2</v>
      </c>
      <c r="M217" s="9"/>
      <c r="N217" s="10">
        <f t="shared" si="57"/>
        <v>-742.76</v>
      </c>
      <c r="O217" s="8">
        <f>IFERROR(N217/N444, "NA")</f>
        <v>-8.9091251482835171E-2</v>
      </c>
      <c r="P217" s="9"/>
      <c r="Q217" s="7">
        <v>7028.64</v>
      </c>
      <c r="R217" s="8">
        <f>IFERROR(Q217/Q444, "NA")</f>
        <v>1.7075234460030186E-2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-7028.64</v>
      </c>
      <c r="X217" s="8">
        <f>IFERROR(W217/W444, "NA")</f>
        <v>0.12208036005216254</v>
      </c>
      <c r="Y217" s="9"/>
      <c r="Z217" s="7">
        <v>9184.89</v>
      </c>
      <c r="AA217" s="8">
        <f>IFERROR(Z217/Z444, "NA")</f>
        <v>2.0839151519416954E-2</v>
      </c>
      <c r="AB217" s="9"/>
      <c r="AC217" s="10">
        <f t="shared" si="59"/>
        <v>2156.2499999999991</v>
      </c>
      <c r="AD217" s="8">
        <f>IFERROR(AC217/AC444, "NA")</f>
        <v>-7.4037131016106955E-2</v>
      </c>
    </row>
    <row r="218" spans="1:30" ht="16.5" customHeight="1" x14ac:dyDescent="0.45">
      <c r="A218" s="13" t="s">
        <v>198</v>
      </c>
      <c r="B218" s="14">
        <f>IFERROR(B213+B214+B215+B216+B217, "NA")</f>
        <v>3593.09</v>
      </c>
      <c r="C218" s="15">
        <f>IFERROR(B218/B444, "NA")</f>
        <v>3.1873145751011592E-2</v>
      </c>
      <c r="D218" s="2"/>
      <c r="E218" s="14">
        <f>IFERROR(E213+E214+E215+E216+E217, "NA")</f>
        <v>3288.54</v>
      </c>
      <c r="F218" s="15">
        <f>IFERROR(E218/E444, "NA")</f>
        <v>2.9000020723496962E-2</v>
      </c>
      <c r="G218" s="2"/>
      <c r="H218" s="14">
        <f t="shared" si="56"/>
        <v>-304.55000000000018</v>
      </c>
      <c r="I218" s="15">
        <f>IFERROR(H218/H444, "NA")</f>
        <v>0.45666516719147726</v>
      </c>
      <c r="J218" s="2"/>
      <c r="K218" s="14">
        <f>IFERROR(K213+K214+K215+K216+K217, "NA")</f>
        <v>3225.8199999999997</v>
      </c>
      <c r="L218" s="15">
        <f>IFERROR(K218/K444, "NA")</f>
        <v>3.090047041071756E-2</v>
      </c>
      <c r="M218" s="2"/>
      <c r="N218" s="14">
        <f t="shared" si="57"/>
        <v>-367.27000000000044</v>
      </c>
      <c r="O218" s="15">
        <f>IFERROR(N218/N444, "NA")</f>
        <v>-4.4052646793178031E-2</v>
      </c>
      <c r="P218" s="2"/>
      <c r="Q218" s="14">
        <f>IFERROR(Q213+Q214+Q215+Q216+Q217, "NA")</f>
        <v>13201.970000000001</v>
      </c>
      <c r="R218" s="15">
        <f>IFERROR(Q218/Q444, "NA")</f>
        <v>3.2072596275280099E-2</v>
      </c>
      <c r="S218" s="2"/>
      <c r="T218" s="14">
        <f>IFERROR(T213+T214+T215+T216+T217, "NA")</f>
        <v>13606.85</v>
      </c>
      <c r="U218" s="15">
        <f>IFERROR(T218/T444, "NA")</f>
        <v>2.9000007054536751E-2</v>
      </c>
      <c r="V218" s="2"/>
      <c r="W218" s="14">
        <f t="shared" si="58"/>
        <v>404.8799999999992</v>
      </c>
      <c r="X218" s="15">
        <f>IFERROR(W218/W444, "NA")</f>
        <v>-7.0323556446082701E-3</v>
      </c>
      <c r="Y218" s="2"/>
      <c r="Z218" s="14">
        <f>IFERROR(Z213+Z214+Z215+Z216+Z217, "NA")</f>
        <v>19026.14</v>
      </c>
      <c r="AA218" s="15">
        <f>IFERROR(Z218/Z444, "NA")</f>
        <v>4.3167486414060451E-2</v>
      </c>
      <c r="AB218" s="2"/>
      <c r="AC218" s="14">
        <f t="shared" si="59"/>
        <v>5824.1699999999983</v>
      </c>
      <c r="AD218" s="15">
        <f>IFERROR(AC218/AC444, "NA")</f>
        <v>-0.1999790550029355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32.700000000000003</v>
      </c>
      <c r="C222" s="8">
        <f>IFERROR(B222/B444, "NA")</f>
        <v>2.900711827585947E-4</v>
      </c>
      <c r="D222" s="9"/>
      <c r="E222" s="7">
        <v>100</v>
      </c>
      <c r="F222" s="8">
        <f>IFERROR(E222/E444, "NA")</f>
        <v>8.8185093456357409E-4</v>
      </c>
      <c r="G222" s="9"/>
      <c r="H222" s="10">
        <f t="shared" si="56"/>
        <v>67.3</v>
      </c>
      <c r="I222" s="8">
        <f>IFERROR(H222/H444, "NA")</f>
        <v>-0.10091467986204695</v>
      </c>
      <c r="J222" s="9"/>
      <c r="K222" s="7">
        <v>59.5</v>
      </c>
      <c r="L222" s="8">
        <f>IFERROR(K222/K444, "NA")</f>
        <v>5.6995678290719723E-4</v>
      </c>
      <c r="M222" s="9"/>
      <c r="N222" s="10">
        <f t="shared" si="57"/>
        <v>26.799999999999997</v>
      </c>
      <c r="O222" s="8">
        <f>IFERROR(N222/N444, "NA")</f>
        <v>3.2145585919273823E-3</v>
      </c>
      <c r="P222" s="9"/>
      <c r="Q222" s="7">
        <v>202.59</v>
      </c>
      <c r="R222" s="8">
        <f>IFERROR(Q222/Q444, "NA")</f>
        <v>4.9216800821460691E-4</v>
      </c>
      <c r="S222" s="9"/>
      <c r="T222" s="7">
        <v>400</v>
      </c>
      <c r="U222" s="8">
        <f>IFERROR(T222/T444, "NA")</f>
        <v>8.5251199372482977E-4</v>
      </c>
      <c r="V222" s="9"/>
      <c r="W222" s="10">
        <f t="shared" si="58"/>
        <v>197.41</v>
      </c>
      <c r="X222" s="8">
        <f>IFERROR(W222/W444, "NA")</f>
        <v>-3.4288118153579365E-3</v>
      </c>
      <c r="Y222" s="9"/>
      <c r="Z222" s="7">
        <v>509.06</v>
      </c>
      <c r="AA222" s="8">
        <f>IFERROR(Z222/Z444, "NA")</f>
        <v>1.1549815482247905E-3</v>
      </c>
      <c r="AB222" s="9"/>
      <c r="AC222" s="10">
        <f t="shared" si="59"/>
        <v>306.47000000000003</v>
      </c>
      <c r="AD222" s="8">
        <f>IFERROR(AC222/AC444, "NA")</f>
        <v>-1.0522972541452201E-2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3625.79</v>
      </c>
      <c r="C227" s="15">
        <f>IFERROR(B227/B444, "NA")</f>
        <v>3.2163216933770188E-2</v>
      </c>
      <c r="D227" s="2"/>
      <c r="E227" s="14">
        <f>IFERROR(E211+E213+E214+E215+E216+E217+E219+E220+E221+E222+E223+E224+E225+E226, "NA")</f>
        <v>3388.54</v>
      </c>
      <c r="F227" s="15">
        <f>IFERROR(E227/E444, "NA")</f>
        <v>2.9881871658060534E-2</v>
      </c>
      <c r="G227" s="2"/>
      <c r="H227" s="14">
        <f t="shared" si="56"/>
        <v>-237.25</v>
      </c>
      <c r="I227" s="15">
        <f>IFERROR(H227/H444, "NA")</f>
        <v>0.35575048732943004</v>
      </c>
      <c r="J227" s="2"/>
      <c r="K227" s="14">
        <f>IFERROR(K211+K213+K214+K215+K216+K217+K219+K220+K221+K222+K223+K224+K225+K226, "NA")</f>
        <v>3285.3199999999997</v>
      </c>
      <c r="L227" s="15">
        <f>IFERROR(K227/K444, "NA")</f>
        <v>3.1470427193624757E-2</v>
      </c>
      <c r="M227" s="2"/>
      <c r="N227" s="14">
        <f t="shared" si="57"/>
        <v>-340.47000000000025</v>
      </c>
      <c r="O227" s="15">
        <f>IFERROR(N227/N444, "NA")</f>
        <v>-4.0838088201250629E-2</v>
      </c>
      <c r="P227" s="2"/>
      <c r="Q227" s="14">
        <f>IFERROR(Q211+Q213+Q214+Q215+Q216+Q217+Q219+Q220+Q221+Q222+Q223+Q224+Q225+Q226, "NA")</f>
        <v>13404.560000000001</v>
      </c>
      <c r="R227" s="15">
        <f>IFERROR(Q227/Q444, "NA")</f>
        <v>3.2564764283494703E-2</v>
      </c>
      <c r="S227" s="2"/>
      <c r="T227" s="14">
        <f>IFERROR(T211+T213+T214+T215+T216+T217+T219+T220+T221+T222+T223+T224+T225+T226, "NA")</f>
        <v>14006.85</v>
      </c>
      <c r="U227" s="15">
        <f>IFERROR(T227/T444, "NA")</f>
        <v>2.985251904826158E-2</v>
      </c>
      <c r="V227" s="2"/>
      <c r="W227" s="14">
        <f t="shared" si="58"/>
        <v>602.28999999999905</v>
      </c>
      <c r="X227" s="15">
        <f>IFERROR(W227/W444, "NA")</f>
        <v>-1.0461167459966203E-2</v>
      </c>
      <c r="Y227" s="2"/>
      <c r="Z227" s="14">
        <f>IFERROR(Z211+Z213+Z214+Z215+Z216+Z217+Z219+Z220+Z221+Z222+Z223+Z224+Z225+Z226, "NA")</f>
        <v>19535.2</v>
      </c>
      <c r="AA227" s="15">
        <f>IFERROR(Z227/Z444, "NA")</f>
        <v>4.4322467962285249E-2</v>
      </c>
      <c r="AB227" s="2"/>
      <c r="AC227" s="14">
        <f t="shared" si="59"/>
        <v>6130.6399999999994</v>
      </c>
      <c r="AD227" s="15">
        <f>IFERROR(AC227/AC444, "NA")</f>
        <v>-0.21050202754438777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1474.17</v>
      </c>
      <c r="F229" s="8">
        <f>IFERROR(E229/E444, "NA")</f>
        <v>1.2999981922055842E-2</v>
      </c>
      <c r="G229" s="9"/>
      <c r="H229" s="10">
        <f t="shared" ref="H229:H236" si="60">IFERROR(-(B229-E229), "NA")</f>
        <v>1474.17</v>
      </c>
      <c r="I229" s="8">
        <f>IFERROR(H229/H444, "NA")</f>
        <v>-2.2104813315339342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6099.62</v>
      </c>
      <c r="U229" s="8">
        <f>IFERROR(T229/T444, "NA")</f>
        <v>1.2999998017909615E-2</v>
      </c>
      <c r="V229" s="9"/>
      <c r="W229" s="10">
        <f t="shared" ref="W229:W236" si="62">IFERROR(-(Q229-T229), "NA")</f>
        <v>6099.62</v>
      </c>
      <c r="X229" s="8">
        <f>IFERROR(W229/W444, "NA")</f>
        <v>-0.10594422331793514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224</v>
      </c>
      <c r="L231" s="8">
        <f>IFERROR(K231/K444, "NA")</f>
        <v>2.1457196532976837E-3</v>
      </c>
      <c r="M231" s="9"/>
      <c r="N231" s="10">
        <f t="shared" si="61"/>
        <v>224</v>
      </c>
      <c r="O231" s="8">
        <f>IFERROR(N231/N444, "NA")</f>
        <v>2.6867952410139319E-2</v>
      </c>
      <c r="P231" s="9"/>
      <c r="Q231" s="7">
        <v>231</v>
      </c>
      <c r="R231" s="8">
        <f>IFERROR(Q231/Q444, "NA")</f>
        <v>5.6118668195653386E-4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-231</v>
      </c>
      <c r="X231" s="8">
        <f>IFERROR(W231/W444, "NA")</f>
        <v>4.0122361042889583E-3</v>
      </c>
      <c r="Y231" s="9"/>
      <c r="Z231" s="7">
        <v>770.05</v>
      </c>
      <c r="AA231" s="8">
        <f>IFERROR(Z231/Z444, "NA")</f>
        <v>1.7471291030733112E-3</v>
      </c>
      <c r="AB231" s="9"/>
      <c r="AC231" s="10">
        <f t="shared" si="63"/>
        <v>539.04999999999995</v>
      </c>
      <c r="AD231" s="8">
        <f>IFERROR(AC231/AC444, "NA")</f>
        <v>-1.8508853553267233E-2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1146.1199999999999</v>
      </c>
      <c r="C234" s="8">
        <f>IFERROR(B234/B444, "NA")</f>
        <v>1.0166861895513166E-2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-1146.1199999999999</v>
      </c>
      <c r="I234" s="8">
        <f>IFERROR(H234/H444, "NA")</f>
        <v>1.7185784975258434</v>
      </c>
      <c r="J234" s="9"/>
      <c r="K234" s="7">
        <v>1053.1500000000001</v>
      </c>
      <c r="L234" s="8">
        <f>IFERROR(K234/K444, "NA")</f>
        <v>1.0088235057457392E-2</v>
      </c>
      <c r="M234" s="9"/>
      <c r="N234" s="10">
        <f t="shared" si="61"/>
        <v>-92.9699999999998</v>
      </c>
      <c r="O234" s="8">
        <f>IFERROR(N234/N444, "NA")</f>
        <v>-1.115139971236896E-2</v>
      </c>
      <c r="P234" s="9"/>
      <c r="Q234" s="7">
        <v>4482.68</v>
      </c>
      <c r="R234" s="8">
        <f>IFERROR(Q234/Q444, "NA")</f>
        <v>1.0890131235813488E-2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-4482.68</v>
      </c>
      <c r="X234" s="8">
        <f>IFERROR(W234/W444, "NA")</f>
        <v>7.7859612727160299E-2</v>
      </c>
      <c r="Y234" s="9"/>
      <c r="Z234" s="7">
        <v>5801.01</v>
      </c>
      <c r="AA234" s="8">
        <f>IFERROR(Z234/Z444, "NA")</f>
        <v>1.3161630281435376E-2</v>
      </c>
      <c r="AB234" s="9"/>
      <c r="AC234" s="10">
        <f t="shared" si="63"/>
        <v>1318.33</v>
      </c>
      <c r="AD234" s="8">
        <f>IFERROR(AC234/AC444, "NA")</f>
        <v>-4.526625898317186E-2</v>
      </c>
    </row>
    <row r="235" spans="1:30" ht="16.5" customHeight="1" x14ac:dyDescent="0.45">
      <c r="A235" s="6" t="s">
        <v>214</v>
      </c>
      <c r="B235" s="7">
        <v>43.21</v>
      </c>
      <c r="C235" s="8">
        <f>IFERROR(B235/B444, "NA")</f>
        <v>3.8330201244644884E-4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-43.21</v>
      </c>
      <c r="I235" s="8">
        <f>IFERROR(H235/H444, "NA")</f>
        <v>6.4792322687058687E-2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-43.21</v>
      </c>
      <c r="O235" s="8">
        <f>IFERROR(N235/N444, "NA")</f>
        <v>-5.1828759984023209E-3</v>
      </c>
      <c r="P235" s="9"/>
      <c r="Q235" s="7">
        <v>123.67</v>
      </c>
      <c r="R235" s="8">
        <f>IFERROR(Q235/Q444, "NA")</f>
        <v>3.0044137211066903E-4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-123.67</v>
      </c>
      <c r="X235" s="8">
        <f>IFERROR(W235/W444, "NA")</f>
        <v>2.1480226797290715E-3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-123.67</v>
      </c>
      <c r="AD235" s="8">
        <f>IFERROR(AC235/AC444, "NA")</f>
        <v>4.2463406343243833E-3</v>
      </c>
    </row>
    <row r="236" spans="1:30" ht="16.5" customHeight="1" x14ac:dyDescent="0.45">
      <c r="A236" s="19" t="s">
        <v>215</v>
      </c>
      <c r="B236" s="14">
        <f>IFERROR(B229+B230+B231+B232+B233+B234+B235, "NA")</f>
        <v>1189.33</v>
      </c>
      <c r="C236" s="15">
        <f>IFERROR(B236/B444, "NA")</f>
        <v>1.0550163907959615E-2</v>
      </c>
      <c r="D236" s="2"/>
      <c r="E236" s="14">
        <f>IFERROR(E229+E230+E231+E232+E233+E234+E235, "NA")</f>
        <v>1474.17</v>
      </c>
      <c r="F236" s="15">
        <f>IFERROR(E236/E444, "NA")</f>
        <v>1.2999981922055842E-2</v>
      </c>
      <c r="G236" s="2"/>
      <c r="H236" s="14">
        <f t="shared" si="60"/>
        <v>284.84000000000015</v>
      </c>
      <c r="I236" s="15">
        <f>IFERROR(H236/H444, "NA")</f>
        <v>-0.42711051132103228</v>
      </c>
      <c r="J236" s="2"/>
      <c r="K236" s="14">
        <f>IFERROR(K229+K230+K231+K232+K233+K234+K235, "NA")</f>
        <v>1277.1500000000001</v>
      </c>
      <c r="L236" s="15">
        <f>IFERROR(K236/K444, "NA")</f>
        <v>1.2233954710755075E-2</v>
      </c>
      <c r="M236" s="2"/>
      <c r="N236" s="14">
        <f t="shared" si="61"/>
        <v>87.820000000000164</v>
      </c>
      <c r="O236" s="15">
        <f>IFERROR(N236/N444, "NA")</f>
        <v>1.0533676699368033E-2</v>
      </c>
      <c r="P236" s="2"/>
      <c r="Q236" s="14">
        <f>IFERROR(Q229+Q230+Q231+Q232+Q233+Q234+Q235, "NA")</f>
        <v>4837.3500000000004</v>
      </c>
      <c r="R236" s="15">
        <f>IFERROR(Q236/Q444, "NA")</f>
        <v>1.1751759289880691E-2</v>
      </c>
      <c r="S236" s="2"/>
      <c r="T236" s="14">
        <f>IFERROR(T229+T230+T231+T232+T233+T234+T235, "NA")</f>
        <v>6099.62</v>
      </c>
      <c r="U236" s="15">
        <f>IFERROR(T236/T444, "NA")</f>
        <v>1.2999998017909615E-2</v>
      </c>
      <c r="V236" s="2"/>
      <c r="W236" s="14">
        <f t="shared" si="62"/>
        <v>1262.2699999999995</v>
      </c>
      <c r="X236" s="15">
        <f>IFERROR(W236/W444, "NA")</f>
        <v>-2.1924351806756805E-2</v>
      </c>
      <c r="Y236" s="2"/>
      <c r="Z236" s="14">
        <f>IFERROR(Z229+Z230+Z231+Z232+Z233+Z234+Z235, "NA")</f>
        <v>6571.06</v>
      </c>
      <c r="AA236" s="15">
        <f>IFERROR(Z236/Z444, "NA")</f>
        <v>1.4908759384508686E-2</v>
      </c>
      <c r="AB236" s="2"/>
      <c r="AC236" s="14">
        <f t="shared" si="63"/>
        <v>1733.71</v>
      </c>
      <c r="AD236" s="15">
        <f>IFERROR(AC236/AC444, "NA")</f>
        <v>-5.952877190211471E-2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6917.27</v>
      </c>
      <c r="F240" s="8">
        <f>IFERROR(E240/E444, "NA")</f>
        <v>6.1000010141285747E-2</v>
      </c>
      <c r="G240" s="9"/>
      <c r="H240" s="10">
        <f t="shared" ref="H240:H263" si="64">IFERROR(-(B240-E240), "NA")</f>
        <v>6917.27</v>
      </c>
      <c r="I240" s="8">
        <f>IFERROR(H240/H444, "NA")</f>
        <v>-10.372274703853517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28621.3</v>
      </c>
      <c r="U240" s="8">
        <f>IFERROR(T240/T444, "NA")</f>
        <v>6.1000003814991169E-2</v>
      </c>
      <c r="V240" s="9"/>
      <c r="W240" s="10">
        <f t="shared" ref="W240:W263" si="66">IFERROR(-(Q240-T240), "NA")</f>
        <v>28621.3</v>
      </c>
      <c r="X240" s="8">
        <f>IFERROR(W240/W444, "NA")</f>
        <v>-0.49712300091638773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1786.78</v>
      </c>
      <c r="C242" s="8">
        <f>IFERROR(B242/B444, "NA")</f>
        <v>1.584995070120495E-2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-1786.78</v>
      </c>
      <c r="I242" s="8">
        <f>IFERROR(H242/H444, "NA")</f>
        <v>2.6792322687059178</v>
      </c>
      <c r="J242" s="9"/>
      <c r="K242" s="7">
        <v>1035.1099999999999</v>
      </c>
      <c r="L242" s="8">
        <f>IFERROR(K242/K444, "NA")</f>
        <v>9.9154279925221661E-3</v>
      </c>
      <c r="M242" s="9"/>
      <c r="N242" s="10">
        <f t="shared" si="65"/>
        <v>-751.67000000000007</v>
      </c>
      <c r="O242" s="8">
        <f>IFERROR(N242/N444, "NA")</f>
        <v>-9.0159972268434918E-2</v>
      </c>
      <c r="P242" s="9"/>
      <c r="Q242" s="7">
        <v>6521.75</v>
      </c>
      <c r="R242" s="8">
        <f>IFERROR(Q242/Q444, "NA")</f>
        <v>1.5843806246969804E-2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-6521.75</v>
      </c>
      <c r="X242" s="8">
        <f>IFERROR(W242/W444, "NA")</f>
        <v>0.11327619399630526</v>
      </c>
      <c r="Y242" s="9"/>
      <c r="Z242" s="7">
        <v>4462.6400000000003</v>
      </c>
      <c r="AA242" s="8">
        <f>IFERROR(Z242/Z444, "NA")</f>
        <v>1.0125067489824145E-2</v>
      </c>
      <c r="AB242" s="9"/>
      <c r="AC242" s="10">
        <f t="shared" si="67"/>
        <v>-2059.1099999999997</v>
      </c>
      <c r="AD242" s="8">
        <f>IFERROR(AC242/AC444, "NA")</f>
        <v>7.0701726073774396E-2</v>
      </c>
    </row>
    <row r="243" spans="1:30" ht="16.5" customHeight="1" x14ac:dyDescent="0.45">
      <c r="A243" s="12" t="s">
        <v>220</v>
      </c>
      <c r="B243" s="7">
        <v>2974.62</v>
      </c>
      <c r="C243" s="8">
        <f>IFERROR(B243/B444, "NA")</f>
        <v>2.6386897298390548E-2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-2974.62</v>
      </c>
      <c r="I243" s="8">
        <f>IFERROR(H243/H444, "NA")</f>
        <v>4.4603688708951283</v>
      </c>
      <c r="J243" s="9"/>
      <c r="K243" s="7">
        <v>2282.66</v>
      </c>
      <c r="L243" s="8">
        <f>IFERROR(K243/K444, "NA")</f>
        <v>2.1865841177662902E-2</v>
      </c>
      <c r="M243" s="9"/>
      <c r="N243" s="10">
        <f t="shared" si="65"/>
        <v>-691.96</v>
      </c>
      <c r="O243" s="8">
        <f>IFERROR(N243/N444, "NA")</f>
        <v>-8.2997983704107159E-2</v>
      </c>
      <c r="P243" s="9"/>
      <c r="Q243" s="7">
        <v>8166.58</v>
      </c>
      <c r="R243" s="8">
        <f>IFERROR(Q243/Q444, "NA")</f>
        <v>1.9839722654253638E-2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-8166.58</v>
      </c>
      <c r="X243" s="8">
        <f>IFERROR(W243/W444, "NA")</f>
        <v>0.14184522564746374</v>
      </c>
      <c r="Y243" s="9"/>
      <c r="Z243" s="7">
        <v>11220.09</v>
      </c>
      <c r="AA243" s="8">
        <f>IFERROR(Z243/Z444, "NA")</f>
        <v>2.5456718106748693E-2</v>
      </c>
      <c r="AB243" s="9"/>
      <c r="AC243" s="10">
        <f t="shared" si="67"/>
        <v>3053.51</v>
      </c>
      <c r="AD243" s="8">
        <f>IFERROR(AC243/AC444, "NA")</f>
        <v>-0.10484550489460538</v>
      </c>
    </row>
    <row r="244" spans="1:30" ht="16.5" customHeight="1" x14ac:dyDescent="0.45">
      <c r="A244" s="12" t="s">
        <v>221</v>
      </c>
      <c r="B244" s="7">
        <v>654.33000000000004</v>
      </c>
      <c r="C244" s="8">
        <f>IFERROR(B244/B444, "NA")</f>
        <v>5.8043509790345954E-3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-654.33000000000004</v>
      </c>
      <c r="I244" s="8">
        <f>IFERROR(H244/H444, "NA")</f>
        <v>0.9811515969410578</v>
      </c>
      <c r="J244" s="9"/>
      <c r="K244" s="7">
        <v>297.58</v>
      </c>
      <c r="L244" s="8">
        <f>IFERROR(K244/K444, "NA")</f>
        <v>2.8505502429835923E-3</v>
      </c>
      <c r="M244" s="9"/>
      <c r="N244" s="10">
        <f t="shared" si="65"/>
        <v>-356.75000000000006</v>
      </c>
      <c r="O244" s="8">
        <f>IFERROR(N244/N444, "NA")</f>
        <v>-4.2790812599630371E-2</v>
      </c>
      <c r="P244" s="9"/>
      <c r="Q244" s="7">
        <v>3504.18</v>
      </c>
      <c r="R244" s="8">
        <f>IFERROR(Q244/Q444, "NA")</f>
        <v>8.5129833211188173E-3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-3504.18</v>
      </c>
      <c r="X244" s="8">
        <f>IFERROR(W244/W444, "NA")</f>
        <v>6.0864058493191694E-2</v>
      </c>
      <c r="Y244" s="9"/>
      <c r="Z244" s="7">
        <v>297.58</v>
      </c>
      <c r="AA244" s="8">
        <f>IFERROR(Z244/Z444, "NA")</f>
        <v>6.7516483149478081E-4</v>
      </c>
      <c r="AB244" s="9"/>
      <c r="AC244" s="10">
        <f t="shared" si="67"/>
        <v>-3206.6</v>
      </c>
      <c r="AD244" s="8">
        <f>IFERROR(AC244/AC444, "NA")</f>
        <v>0.11010201243652111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148.08000000000001</v>
      </c>
      <c r="C246" s="8">
        <f>IFERROR(B246/B444, "NA")</f>
        <v>1.3135700532994712E-3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-148.08000000000001</v>
      </c>
      <c r="I246" s="8">
        <f>IFERROR(H246/H444, "NA")</f>
        <v>0.22204228520017705</v>
      </c>
      <c r="J246" s="9"/>
      <c r="K246" s="7">
        <v>430.83</v>
      </c>
      <c r="L246" s="8">
        <f>IFERROR(K246/K444, "NA")</f>
        <v>4.1269660635278619E-3</v>
      </c>
      <c r="M246" s="9"/>
      <c r="N246" s="10">
        <f t="shared" si="65"/>
        <v>282.75</v>
      </c>
      <c r="O246" s="8">
        <f>IFERROR(N246/N444, "NA")</f>
        <v>3.3914792606995058E-2</v>
      </c>
      <c r="P246" s="9"/>
      <c r="Q246" s="7">
        <v>594.30999999999995</v>
      </c>
      <c r="R246" s="8">
        <f>IFERROR(Q246/Q444, "NA")</f>
        <v>1.4438045755566565E-3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-594.30999999999995</v>
      </c>
      <c r="X246" s="8">
        <f>IFERROR(W246/W444, "NA")</f>
        <v>1.0322562939999873E-2</v>
      </c>
      <c r="Y246" s="9"/>
      <c r="Z246" s="7">
        <v>1521.63</v>
      </c>
      <c r="AA246" s="8">
        <f>IFERROR(Z246/Z444, "NA")</f>
        <v>3.4523525188097435E-3</v>
      </c>
      <c r="AB246" s="9"/>
      <c r="AC246" s="10">
        <f t="shared" si="67"/>
        <v>927.32000000000016</v>
      </c>
      <c r="AD246" s="8">
        <f>IFERROR(AC246/AC444, "NA")</f>
        <v>-3.1840515864976854E-2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266.70999999999998</v>
      </c>
      <c r="C248" s="8">
        <f>IFERROR(B248/B444, "NA")</f>
        <v>2.3658986285487703E-3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-266.70999999999998</v>
      </c>
      <c r="I248" s="8">
        <f>IFERROR(H248/H444, "NA")</f>
        <v>0.39992502624081044</v>
      </c>
      <c r="J248" s="9"/>
      <c r="K248" s="7">
        <v>259.55</v>
      </c>
      <c r="L248" s="8">
        <f>IFERROR(K248/K444, "NA")</f>
        <v>2.4862568572027403E-3</v>
      </c>
      <c r="M248" s="9"/>
      <c r="N248" s="10">
        <f t="shared" si="65"/>
        <v>-7.1599999999999682</v>
      </c>
      <c r="O248" s="8">
        <f>IFERROR(N248/N444, "NA")</f>
        <v>-8.5881490739552076E-4</v>
      </c>
      <c r="P248" s="9"/>
      <c r="Q248" s="7">
        <v>1084.67</v>
      </c>
      <c r="R248" s="8">
        <f>IFERROR(Q248/Q444, "NA")</f>
        <v>2.6350751442328732E-3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-1084.67</v>
      </c>
      <c r="X248" s="8">
        <f>IFERROR(W248/W444, "NA")</f>
        <v>1.8839619633069717E-2</v>
      </c>
      <c r="Y248" s="9"/>
      <c r="Z248" s="7">
        <v>1088.25</v>
      </c>
      <c r="AA248" s="8">
        <f>IFERROR(Z248/Z444, "NA")</f>
        <v>2.4690776526453233E-3</v>
      </c>
      <c r="AB248" s="9"/>
      <c r="AC248" s="10">
        <f t="shared" si="67"/>
        <v>3.5799999999999272</v>
      </c>
      <c r="AD248" s="8">
        <f>IFERROR(AC248/AC444, "NA")</f>
        <v>-1.2292309752471079E-4</v>
      </c>
    </row>
    <row r="249" spans="1:30" ht="16.5" customHeight="1" x14ac:dyDescent="0.45">
      <c r="A249" s="12" t="s">
        <v>226</v>
      </c>
      <c r="B249" s="7">
        <v>2306.6999999999998</v>
      </c>
      <c r="C249" s="8">
        <f>IFERROR(B249/B444, "NA")</f>
        <v>2.0461993800282886E-2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-2306.6999999999998</v>
      </c>
      <c r="I249" s="8">
        <f>IFERROR(H249/H444, "NA")</f>
        <v>3.4588394062077819</v>
      </c>
      <c r="J249" s="9"/>
      <c r="K249" s="7">
        <v>1158.3599999999999</v>
      </c>
      <c r="L249" s="8">
        <f>IFERROR(K249/K444, "NA")</f>
        <v>1.1096052757115645E-2</v>
      </c>
      <c r="M249" s="9"/>
      <c r="N249" s="10">
        <f t="shared" si="65"/>
        <v>-1148.3399999999999</v>
      </c>
      <c r="O249" s="8">
        <f>IFERROR(N249/N444, "NA")</f>
        <v>-0.13773903781544367</v>
      </c>
      <c r="P249" s="9"/>
      <c r="Q249" s="7">
        <v>7290.65</v>
      </c>
      <c r="R249" s="8">
        <f>IFERROR(Q249/Q444, "NA")</f>
        <v>1.7711756202625124E-2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-7290.65</v>
      </c>
      <c r="X249" s="8">
        <f>IFERROR(W249/W444, "NA")</f>
        <v>0.12663120845772421</v>
      </c>
      <c r="Y249" s="9"/>
      <c r="Z249" s="7">
        <v>5945.72</v>
      </c>
      <c r="AA249" s="8">
        <f>IFERROR(Z249/Z444, "NA")</f>
        <v>1.3489955783033632E-2</v>
      </c>
      <c r="AB249" s="9"/>
      <c r="AC249" s="10">
        <f t="shared" si="67"/>
        <v>-1344.9299999999994</v>
      </c>
      <c r="AD249" s="8">
        <f>IFERROR(AC249/AC444, "NA")</f>
        <v>4.6179598199416916E-2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526.24</v>
      </c>
      <c r="C254" s="8">
        <f>IFERROR(B254/B444, "NA")</f>
        <v>4.6681057863878555E-3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-526.24</v>
      </c>
      <c r="I254" s="8">
        <f>IFERROR(H254/H444, "NA")</f>
        <v>0.78908382066275773</v>
      </c>
      <c r="J254" s="9"/>
      <c r="K254" s="7">
        <v>696.39</v>
      </c>
      <c r="L254" s="8">
        <f>IFERROR(K254/K444, "NA")</f>
        <v>6.6707933453570263E-3</v>
      </c>
      <c r="M254" s="9"/>
      <c r="N254" s="10">
        <f t="shared" si="65"/>
        <v>170.14999999999998</v>
      </c>
      <c r="O254" s="8">
        <f>IFERROR(N254/N444, "NA")</f>
        <v>2.0408848672255377E-2</v>
      </c>
      <c r="P254" s="9"/>
      <c r="Q254" s="7">
        <v>2543.2399999999998</v>
      </c>
      <c r="R254" s="8">
        <f>IFERROR(Q254/Q444, "NA")</f>
        <v>6.178495311771148E-3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-2543.2399999999998</v>
      </c>
      <c r="X254" s="8">
        <f>IFERROR(W254/W444, "NA")</f>
        <v>4.4173503679098919E-2</v>
      </c>
      <c r="Y254" s="9"/>
      <c r="Z254" s="7">
        <v>2919.44</v>
      </c>
      <c r="AA254" s="8">
        <f>IFERROR(Z254/Z444, "NA")</f>
        <v>6.6237758440053866E-3</v>
      </c>
      <c r="AB254" s="9"/>
      <c r="AC254" s="10">
        <f t="shared" si="67"/>
        <v>376.20000000000027</v>
      </c>
      <c r="AD254" s="8">
        <f>IFERROR(AC254/AC444, "NA")</f>
        <v>-1.2917226058323232E-2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302.8</v>
      </c>
      <c r="C258" s="8">
        <f>IFERROR(B258/B444, "NA")</f>
        <v>2.6860414109878433E-3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-302.8</v>
      </c>
      <c r="I258" s="8">
        <f>IFERROR(H258/H444, "NA")</f>
        <v>0.45404108562002704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-302.8</v>
      </c>
      <c r="O258" s="8">
        <f>IFERROR(N258/N444, "NA")</f>
        <v>-3.6319714240134755E-2</v>
      </c>
      <c r="P258" s="9"/>
      <c r="Q258" s="7">
        <v>824.84</v>
      </c>
      <c r="R258" s="8">
        <f>IFERROR(Q258/Q444, "NA")</f>
        <v>2.0038494491126731E-3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-824.84</v>
      </c>
      <c r="X258" s="8">
        <f>IFERROR(W258/W444, "NA")</f>
        <v>1.432663562018054E-2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-824.84</v>
      </c>
      <c r="AD258" s="8">
        <f>IFERROR(AC258/AC444, "NA")</f>
        <v>2.8321756358180031E-2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8966.2599999999984</v>
      </c>
      <c r="C262" s="15">
        <f>IFERROR(B262/B444, "NA")</f>
        <v>7.9536808658136907E-2</v>
      </c>
      <c r="D262" s="2"/>
      <c r="E262" s="14">
        <f>IFERROR(E240+E241+E242+E243+E244+E245+E246+E247+E248+E249+E250+E251+E252+E253+E254+E255+E256+E257+E258+E259+E260+E261, "NA")</f>
        <v>6917.27</v>
      </c>
      <c r="F262" s="15">
        <f>IFERROR(E262/E444, "NA")</f>
        <v>6.1000010141285747E-2</v>
      </c>
      <c r="G262" s="2"/>
      <c r="H262" s="14">
        <f t="shared" si="64"/>
        <v>-2048.989999999998</v>
      </c>
      <c r="I262" s="15">
        <f>IFERROR(H262/H444, "NA")</f>
        <v>3.0724096566201395</v>
      </c>
      <c r="J262" s="2"/>
      <c r="K262" s="14">
        <f>IFERROR(K240+K241+K242+K243+K244+K245+K246+K247+K248+K249+K250+K251+K252+K253+K254+K255+K256+K257+K258+K259+K260+K261, "NA")</f>
        <v>6160.48</v>
      </c>
      <c r="L262" s="15">
        <f>IFERROR(K262/K444, "NA")</f>
        <v>5.9011888436371937E-2</v>
      </c>
      <c r="M262" s="2"/>
      <c r="N262" s="14">
        <f t="shared" si="65"/>
        <v>-2805.7799999999988</v>
      </c>
      <c r="O262" s="15">
        <f>IFERROR(N262/N444, "NA")</f>
        <v>-0.33654269425589584</v>
      </c>
      <c r="P262" s="2"/>
      <c r="Q262" s="14">
        <f>IFERROR(Q240+Q241+Q242+Q243+Q244+Q245+Q246+Q247+Q248+Q249+Q250+Q251+Q252+Q253+Q254+Q255+Q256+Q257+Q258+Q259+Q260+Q261, "NA")</f>
        <v>30530.219999999998</v>
      </c>
      <c r="R262" s="15">
        <f>IFERROR(Q262/Q444, "NA")</f>
        <v>7.4169492905640733E-2</v>
      </c>
      <c r="S262" s="2"/>
      <c r="T262" s="14">
        <f>IFERROR(T240+T241+T242+T243+T244+T245+T246+T247+T248+T249+T250+T251+T252+T253+T254+T255+T256+T257+T258+T259+T260+T261, "NA")</f>
        <v>28621.3</v>
      </c>
      <c r="U262" s="15">
        <f>IFERROR(T262/T444, "NA")</f>
        <v>6.1000003814991169E-2</v>
      </c>
      <c r="V262" s="2"/>
      <c r="W262" s="14">
        <f t="shared" si="66"/>
        <v>-1908.9199999999983</v>
      </c>
      <c r="X262" s="15">
        <f>IFERROR(W262/W444, "NA")</f>
        <v>3.3156007550646197E-2</v>
      </c>
      <c r="Y262" s="2"/>
      <c r="Z262" s="14">
        <f>IFERROR(Z240+Z241+Z242+Z243+Z244+Z245+Z246+Z247+Z248+Z249+Z250+Z251+Z252+Z253+Z254+Z255+Z256+Z257+Z258+Z259+Z260+Z261, "NA")</f>
        <v>27455.35</v>
      </c>
      <c r="AA262" s="15">
        <f>IFERROR(Z262/Z444, "NA")</f>
        <v>6.2292112226561697E-2</v>
      </c>
      <c r="AB262" s="2"/>
      <c r="AC262" s="14">
        <f t="shared" si="67"/>
        <v>-3074.869999999999</v>
      </c>
      <c r="AD262" s="15">
        <f>IFERROR(AC262/AC444, "NA")</f>
        <v>0.1055789231524623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8966.2599999999984</v>
      </c>
      <c r="C263" s="15">
        <f>IFERROR(B263/B444, "NA")</f>
        <v>7.9536808658136907E-2</v>
      </c>
      <c r="D263" s="2"/>
      <c r="E263" s="14">
        <f>IFERROR(E238+E240+E241+E242+E243+E244+E245+E246+E247+E248+E249+E250+E251+E252+E253+E254+E255+E256+E257+E258+E259+E260+E261, "NA")</f>
        <v>6917.27</v>
      </c>
      <c r="F263" s="15">
        <f>IFERROR(E263/E444, "NA")</f>
        <v>6.1000010141285747E-2</v>
      </c>
      <c r="G263" s="2"/>
      <c r="H263" s="14">
        <f t="shared" si="64"/>
        <v>-2048.989999999998</v>
      </c>
      <c r="I263" s="15">
        <f>IFERROR(H263/H444, "NA")</f>
        <v>3.0724096566201395</v>
      </c>
      <c r="J263" s="2"/>
      <c r="K263" s="14">
        <f>IFERROR(K238+K240+K241+K242+K243+K244+K245+K246+K247+K248+K249+K250+K251+K252+K253+K254+K255+K256+K257+K258+K259+K260+K261, "NA")</f>
        <v>6160.48</v>
      </c>
      <c r="L263" s="15">
        <f>IFERROR(K263/K444, "NA")</f>
        <v>5.9011888436371937E-2</v>
      </c>
      <c r="M263" s="2"/>
      <c r="N263" s="14">
        <f t="shared" si="65"/>
        <v>-2805.7799999999988</v>
      </c>
      <c r="O263" s="15">
        <f>IFERROR(N263/N444, "NA")</f>
        <v>-0.33654269425589584</v>
      </c>
      <c r="P263" s="2"/>
      <c r="Q263" s="14">
        <f>IFERROR(Q238+Q240+Q241+Q242+Q243+Q244+Q245+Q246+Q247+Q248+Q249+Q250+Q251+Q252+Q253+Q254+Q255+Q256+Q257+Q258+Q259+Q260+Q261, "NA")</f>
        <v>30530.219999999998</v>
      </c>
      <c r="R263" s="15">
        <f>IFERROR(Q263/Q444, "NA")</f>
        <v>7.4169492905640733E-2</v>
      </c>
      <c r="S263" s="2"/>
      <c r="T263" s="14">
        <f>IFERROR(T238+T240+T241+T242+T243+T244+T245+T246+T247+T248+T249+T250+T251+T252+T253+T254+T255+T256+T257+T258+T259+T260+T261, "NA")</f>
        <v>28621.3</v>
      </c>
      <c r="U263" s="15">
        <f>IFERROR(T263/T444, "NA")</f>
        <v>6.1000003814991169E-2</v>
      </c>
      <c r="V263" s="2"/>
      <c r="W263" s="14">
        <f t="shared" si="66"/>
        <v>-1908.9199999999983</v>
      </c>
      <c r="X263" s="15">
        <f>IFERROR(W263/W444, "NA")</f>
        <v>3.3156007550646197E-2</v>
      </c>
      <c r="Y263" s="2"/>
      <c r="Z263" s="14">
        <f>IFERROR(Z238+Z240+Z241+Z242+Z243+Z244+Z245+Z246+Z247+Z248+Z249+Z250+Z251+Z252+Z253+Z254+Z255+Z256+Z257+Z258+Z259+Z260+Z261, "NA")</f>
        <v>27455.35</v>
      </c>
      <c r="AA263" s="15">
        <f>IFERROR(Z263/Z444, "NA")</f>
        <v>6.2292112226561697E-2</v>
      </c>
      <c r="AB263" s="2"/>
      <c r="AC263" s="14">
        <f t="shared" si="67"/>
        <v>-3074.869999999999</v>
      </c>
      <c r="AD263" s="15">
        <f>IFERROR(AC263/AC444, "NA")</f>
        <v>0.1055789231524623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2997.93</v>
      </c>
      <c r="C265" s="8">
        <f>IFERROR(B265/B444, "NA")</f>
        <v>2.6593672811237729E-2</v>
      </c>
      <c r="D265" s="9"/>
      <c r="E265" s="7">
        <v>3061.74</v>
      </c>
      <c r="F265" s="8">
        <f>IFERROR(E265/E444, "NA")</f>
        <v>2.6999982803906773E-2</v>
      </c>
      <c r="G265" s="9"/>
      <c r="H265" s="10">
        <f>IFERROR(-(B265-E265), "NA")</f>
        <v>63.809999999999945</v>
      </c>
      <c r="I265" s="8">
        <f>IFERROR(H265/H444, "NA")</f>
        <v>-9.5681511470983818E-2</v>
      </c>
      <c r="J265" s="9"/>
      <c r="K265" s="7">
        <v>2801.84</v>
      </c>
      <c r="L265" s="8">
        <f>IFERROR(K265/K444, "NA")</f>
        <v>2.6839121220515991E-2</v>
      </c>
      <c r="M265" s="9"/>
      <c r="N265" s="10">
        <f>IFERROR(-(B265-K265), "NA")</f>
        <v>-196.08999999999969</v>
      </c>
      <c r="O265" s="8">
        <f>IFERROR(N265/N444, "NA")</f>
        <v>-2.3520253518322369E-2</v>
      </c>
      <c r="P265" s="9"/>
      <c r="Q265" s="7">
        <v>11118.26</v>
      </c>
      <c r="R265" s="8">
        <f>IFERROR(Q265/Q444, "NA")</f>
        <v>2.7010473759870358E-2</v>
      </c>
      <c r="S265" s="9"/>
      <c r="T265" s="7">
        <v>12668.45</v>
      </c>
      <c r="U265" s="8">
        <f>IFERROR(T265/T444, "NA")</f>
        <v>2.70000139172583E-2</v>
      </c>
      <c r="V265" s="9"/>
      <c r="W265" s="10">
        <f>IFERROR(-(Q265-T265), "NA")</f>
        <v>1550.1900000000005</v>
      </c>
      <c r="X265" s="8">
        <f>IFERROR(W265/W444, "NA")</f>
        <v>-2.6925230677522522E-2</v>
      </c>
      <c r="Y265" s="9"/>
      <c r="Z265" s="7">
        <v>11451.98</v>
      </c>
      <c r="AA265" s="8">
        <f>IFERROR(Z265/Z444, "NA")</f>
        <v>2.5982842082739432E-2</v>
      </c>
      <c r="AB265" s="9"/>
      <c r="AC265" s="10">
        <f>IFERROR(-(Q265-Z265), "NA")</f>
        <v>333.71999999999935</v>
      </c>
      <c r="AD265" s="8">
        <f>IFERROR(AC265/AC444, "NA")</f>
        <v>-1.1458630197191965E-2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42.56</v>
      </c>
      <c r="L266" s="8">
        <f>IFERROR(K266/K444, "NA")</f>
        <v>4.0768673412655993E-4</v>
      </c>
      <c r="M266" s="9"/>
      <c r="N266" s="10">
        <f>IFERROR(-(B266-K266), "NA")</f>
        <v>42.56</v>
      </c>
      <c r="O266" s="8">
        <f>IFERROR(N266/N444, "NA")</f>
        <v>5.1049109579264706E-3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74.099999999999994</v>
      </c>
      <c r="AA266" s="8">
        <f>IFERROR(Z266/Z444, "NA")</f>
        <v>1.6812189667908883E-4</v>
      </c>
      <c r="AB266" s="9"/>
      <c r="AC266" s="10">
        <f>IFERROR(-(Q266-Z266), "NA")</f>
        <v>74.099999999999994</v>
      </c>
      <c r="AD266" s="8">
        <f>IFERROR(AC266/AC444, "NA")</f>
        <v>-2.544302102396998E-3</v>
      </c>
    </row>
    <row r="267" spans="1:30" ht="16.5" customHeight="1" x14ac:dyDescent="0.45">
      <c r="A267" s="19" t="s">
        <v>243</v>
      </c>
      <c r="B267" s="14">
        <f>IFERROR(B265+B266, "NA")</f>
        <v>2997.93</v>
      </c>
      <c r="C267" s="15">
        <f>IFERROR(B267/B444, "NA")</f>
        <v>2.6593672811237729E-2</v>
      </c>
      <c r="D267" s="2"/>
      <c r="E267" s="14">
        <f>IFERROR(E265+E266, "NA")</f>
        <v>3061.74</v>
      </c>
      <c r="F267" s="15">
        <f>IFERROR(E267/E444, "NA")</f>
        <v>2.6999982803906773E-2</v>
      </c>
      <c r="G267" s="2"/>
      <c r="H267" s="14">
        <f>IFERROR(-(B267-E267), "NA")</f>
        <v>63.809999999999945</v>
      </c>
      <c r="I267" s="15">
        <f>IFERROR(H267/H444, "NA")</f>
        <v>-9.5681511470983818E-2</v>
      </c>
      <c r="J267" s="2"/>
      <c r="K267" s="14">
        <f>IFERROR(K265+K266, "NA")</f>
        <v>2844.4</v>
      </c>
      <c r="L267" s="15">
        <f>IFERROR(K267/K444, "NA")</f>
        <v>2.724680795464255E-2</v>
      </c>
      <c r="M267" s="2"/>
      <c r="N267" s="14">
        <f>IFERROR(-(B267-K267), "NA")</f>
        <v>-153.52999999999975</v>
      </c>
      <c r="O267" s="15">
        <f>IFERROR(N267/N444, "NA")</f>
        <v>-1.8415342560395905E-2</v>
      </c>
      <c r="P267" s="2"/>
      <c r="Q267" s="14">
        <f>IFERROR(Q265+Q266, "NA")</f>
        <v>11118.26</v>
      </c>
      <c r="R267" s="15">
        <f>IFERROR(Q267/Q444, "NA")</f>
        <v>2.7010473759870358E-2</v>
      </c>
      <c r="S267" s="2"/>
      <c r="T267" s="14">
        <f>IFERROR(T265+T266, "NA")</f>
        <v>12668.45</v>
      </c>
      <c r="U267" s="15">
        <f>IFERROR(T267/T444, "NA")</f>
        <v>2.70000139172583E-2</v>
      </c>
      <c r="V267" s="2"/>
      <c r="W267" s="14">
        <f>IFERROR(-(Q267-T267), "NA")</f>
        <v>1550.1900000000005</v>
      </c>
      <c r="X267" s="15">
        <f>IFERROR(W267/W444, "NA")</f>
        <v>-2.6925230677522522E-2</v>
      </c>
      <c r="Y267" s="2"/>
      <c r="Z267" s="14">
        <f>IFERROR(Z265+Z266, "NA")</f>
        <v>11526.08</v>
      </c>
      <c r="AA267" s="15">
        <f>IFERROR(Z267/Z444, "NA")</f>
        <v>2.6150963979418521E-2</v>
      </c>
      <c r="AB267" s="2"/>
      <c r="AC267" s="14">
        <f>IFERROR(-(Q267-Z267), "NA")</f>
        <v>407.81999999999971</v>
      </c>
      <c r="AD267" s="15">
        <f>IFERROR(AC267/AC444, "NA")</f>
        <v>-1.4002932299588976E-2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166.76</v>
      </c>
      <c r="C270" s="8">
        <f>IFERROR(B270/B444, "NA")</f>
        <v>1.4792743252851146E-3</v>
      </c>
      <c r="D270" s="9"/>
      <c r="E270" s="7">
        <v>111.38</v>
      </c>
      <c r="F270" s="8">
        <f>IFERROR(E270/E444, "NA")</f>
        <v>9.822055709169089E-4</v>
      </c>
      <c r="G270" s="9"/>
      <c r="H270" s="10">
        <f>IFERROR(-(B270-E270), "NA")</f>
        <v>-55.379999999999995</v>
      </c>
      <c r="I270" s="8">
        <f>IFERROR(H270/H444, "NA")</f>
        <v>8.3040935672513527E-2</v>
      </c>
      <c r="J270" s="9"/>
      <c r="K270" s="7">
        <v>89.79</v>
      </c>
      <c r="L270" s="8">
        <f>IFERROR(K270/K444, "NA")</f>
        <v>8.6010789138213849E-4</v>
      </c>
      <c r="M270" s="9"/>
      <c r="N270" s="10">
        <f>IFERROR(-(B270-K270), "NA")</f>
        <v>-76.969999999999985</v>
      </c>
      <c r="O270" s="8">
        <f>IFERROR(N270/N444, "NA")</f>
        <v>-9.2322602545018874E-3</v>
      </c>
      <c r="P270" s="9"/>
      <c r="Q270" s="7">
        <v>589.91</v>
      </c>
      <c r="R270" s="8">
        <f>IFERROR(Q270/Q444, "NA")</f>
        <v>1.433115305424151E-3</v>
      </c>
      <c r="S270" s="9"/>
      <c r="T270" s="7">
        <v>445.52</v>
      </c>
      <c r="U270" s="8">
        <f>IFERROR(T270/T444, "NA")</f>
        <v>9.4952785861071533E-4</v>
      </c>
      <c r="V270" s="9"/>
      <c r="W270" s="10">
        <f>IFERROR(-(Q270-T270), "NA")</f>
        <v>-144.38999999999999</v>
      </c>
      <c r="X270" s="8">
        <f>IFERROR(W270/W444, "NA")</f>
        <v>2.5079080999925655E-3</v>
      </c>
      <c r="Y270" s="9"/>
      <c r="Z270" s="7">
        <v>617.97</v>
      </c>
      <c r="AA270" s="8">
        <f>IFERROR(Z270/Z444, "NA")</f>
        <v>1.4020821658674298E-3</v>
      </c>
      <c r="AB270" s="9"/>
      <c r="AC270" s="10">
        <f>IFERROR(-(Q270-Z270), "NA")</f>
        <v>28.060000000000059</v>
      </c>
      <c r="AD270" s="8">
        <f>IFERROR(AC270/AC444, "NA")</f>
        <v>-9.6346986495627425E-4</v>
      </c>
    </row>
    <row r="271" spans="1:30" ht="16.5" customHeight="1" x14ac:dyDescent="0.45">
      <c r="A271" s="6" t="s">
        <v>246</v>
      </c>
      <c r="B271" s="7">
        <v>1074.56</v>
      </c>
      <c r="C271" s="8">
        <f>IFERROR(B271/B444, "NA")</f>
        <v>9.5320761512255499E-3</v>
      </c>
      <c r="D271" s="9"/>
      <c r="E271" s="7">
        <v>1183.75</v>
      </c>
      <c r="F271" s="8">
        <f>IFERROR(E271/E444, "NA")</f>
        <v>1.0438910437896309E-2</v>
      </c>
      <c r="G271" s="9"/>
      <c r="H271" s="10">
        <f>IFERROR(-(B271-E271), "NA")</f>
        <v>109.19000000000005</v>
      </c>
      <c r="I271" s="8">
        <f>IFERROR(H271/H444, "NA")</f>
        <v>-0.16372769530664061</v>
      </c>
      <c r="J271" s="9"/>
      <c r="K271" s="7">
        <v>1039.08</v>
      </c>
      <c r="L271" s="8">
        <f>IFERROR(K271/K444, "NA")</f>
        <v>9.9534570417346285E-3</v>
      </c>
      <c r="M271" s="9"/>
      <c r="N271" s="10">
        <f>IFERROR(-(B271-K271), "NA")</f>
        <v>-35.480000000000018</v>
      </c>
      <c r="O271" s="8">
        <f>IFERROR(N271/N444, "NA")</f>
        <v>-4.2556917478202838E-3</v>
      </c>
      <c r="P271" s="9"/>
      <c r="Q271" s="7">
        <v>4439.76</v>
      </c>
      <c r="R271" s="8">
        <f>IFERROR(Q271/Q444, "NA")</f>
        <v>1.0785862264430048E-2</v>
      </c>
      <c r="S271" s="9"/>
      <c r="T271" s="7">
        <v>4735</v>
      </c>
      <c r="U271" s="8">
        <f>IFERROR(T271/T444, "NA")</f>
        <v>1.0091610725717673E-2</v>
      </c>
      <c r="V271" s="9"/>
      <c r="W271" s="10">
        <f>IFERROR(-(Q271-T271), "NA")</f>
        <v>295.23999999999978</v>
      </c>
      <c r="X271" s="8">
        <f>IFERROR(W271/W444, "NA")</f>
        <v>-5.1280198590055032E-3</v>
      </c>
      <c r="Y271" s="9"/>
      <c r="Z271" s="7">
        <v>3923.78</v>
      </c>
      <c r="AA271" s="8">
        <f>IFERROR(Z271/Z444, "NA")</f>
        <v>8.9024741666865765E-3</v>
      </c>
      <c r="AB271" s="9"/>
      <c r="AC271" s="10">
        <f>IFERROR(-(Q271-Z271), "NA")</f>
        <v>-515.98</v>
      </c>
      <c r="AD271" s="8">
        <f>IFERROR(AC271/AC444, "NA")</f>
        <v>1.7716720631508816E-2</v>
      </c>
    </row>
    <row r="272" spans="1:30" ht="16.5" customHeight="1" x14ac:dyDescent="0.45">
      <c r="A272" s="6" t="s">
        <v>247</v>
      </c>
      <c r="B272" s="7">
        <v>199.27</v>
      </c>
      <c r="C272" s="8">
        <f>IFERROR(B272/B444, "NA")</f>
        <v>1.7676600791530633E-3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-199.27</v>
      </c>
      <c r="I272" s="8">
        <f>IFERROR(H272/H444, "NA")</f>
        <v>0.29880041985304756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-199.27</v>
      </c>
      <c r="O272" s="8">
        <f>IFERROR(N272/N444, "NA")</f>
        <v>-2.3901682485573492E-2</v>
      </c>
      <c r="P272" s="9"/>
      <c r="Q272" s="7">
        <v>797.08</v>
      </c>
      <c r="R272" s="8">
        <f>IFERROR(Q272/Q444, "NA")</f>
        <v>1.9364098720948662E-3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-797.08</v>
      </c>
      <c r="X272" s="8">
        <f>IFERROR(W272/W444, "NA")</f>
        <v>1.3844472528167286E-2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-797.08</v>
      </c>
      <c r="AD272" s="8">
        <f>IFERROR(AC272/AC444, "NA")</f>
        <v>2.7368587311452086E-2</v>
      </c>
    </row>
    <row r="273" spans="1:30" ht="16.5" customHeight="1" x14ac:dyDescent="0.45">
      <c r="A273" s="19" t="s">
        <v>248</v>
      </c>
      <c r="B273" s="14">
        <f>IFERROR(B269+B270+B271+B272, "NA")</f>
        <v>1440.59</v>
      </c>
      <c r="C273" s="15">
        <f>IFERROR(B273/B444, "NA")</f>
        <v>1.2779010555663729E-2</v>
      </c>
      <c r="D273" s="2"/>
      <c r="E273" s="14">
        <f>IFERROR(E269+E270+E271+E272, "NA")</f>
        <v>1295.1300000000001</v>
      </c>
      <c r="F273" s="15">
        <f>IFERROR(E273/E444, "NA")</f>
        <v>1.1421116008813218E-2</v>
      </c>
      <c r="G273" s="2"/>
      <c r="H273" s="14">
        <f>IFERROR(-(B273-E273), "NA")</f>
        <v>-145.45999999999981</v>
      </c>
      <c r="I273" s="15">
        <f>IFERROR(H273/H444, "NA")</f>
        <v>0.21811366021892023</v>
      </c>
      <c r="J273" s="2"/>
      <c r="K273" s="14">
        <f>IFERROR(K269+K270+K271+K272, "NA")</f>
        <v>1128.8699999999999</v>
      </c>
      <c r="L273" s="15">
        <f>IFERROR(K273/K444, "NA")</f>
        <v>1.0813564933116767E-2</v>
      </c>
      <c r="M273" s="2"/>
      <c r="N273" s="14">
        <f>IFERROR(-(B273-K273), "NA")</f>
        <v>-311.72000000000003</v>
      </c>
      <c r="O273" s="15">
        <f>IFERROR(N273/N444, "NA")</f>
        <v>-3.7389634487895666E-2</v>
      </c>
      <c r="P273" s="2"/>
      <c r="Q273" s="14">
        <f>IFERROR(Q269+Q270+Q271+Q272, "NA")</f>
        <v>5826.75</v>
      </c>
      <c r="R273" s="15">
        <f>IFERROR(Q273/Q444, "NA")</f>
        <v>1.4155387441949064E-2</v>
      </c>
      <c r="S273" s="2"/>
      <c r="T273" s="14">
        <f>IFERROR(T269+T270+T271+T272, "NA")</f>
        <v>5180.5200000000004</v>
      </c>
      <c r="U273" s="15">
        <f>IFERROR(T273/T444, "NA")</f>
        <v>1.1041138584328388E-2</v>
      </c>
      <c r="V273" s="2"/>
      <c r="W273" s="14">
        <f>IFERROR(-(Q273-T273), "NA")</f>
        <v>-646.22999999999956</v>
      </c>
      <c r="X273" s="15">
        <f>IFERROR(W273/W444, "NA")</f>
        <v>1.1224360769154337E-2</v>
      </c>
      <c r="Y273" s="2"/>
      <c r="Z273" s="14">
        <f>IFERROR(Z269+Z270+Z271+Z272, "NA")</f>
        <v>4541.75</v>
      </c>
      <c r="AA273" s="15">
        <f>IFERROR(Z273/Z444, "NA")</f>
        <v>1.0304556332554005E-2</v>
      </c>
      <c r="AB273" s="2"/>
      <c r="AC273" s="14">
        <f>IFERROR(-(Q273-Z273), "NA")</f>
        <v>-1285</v>
      </c>
      <c r="AD273" s="15">
        <f>IFERROR(AC273/AC444, "NA")</f>
        <v>4.4121838078004627E-2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hidden="1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0</v>
      </c>
      <c r="F287" s="8">
        <f>IFERROR(E287/E444, "NA")</f>
        <v>0</v>
      </c>
      <c r="G287" s="9"/>
      <c r="H287" s="10">
        <f t="shared" si="72"/>
        <v>0</v>
      </c>
      <c r="I287" s="8">
        <f>IFERROR(H287/H444, "NA")</f>
        <v>0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0</v>
      </c>
      <c r="U287" s="8">
        <f>IFERROR(T287/T444, "NA")</f>
        <v>0</v>
      </c>
      <c r="V287" s="9"/>
      <c r="W287" s="10">
        <f t="shared" si="74"/>
        <v>0</v>
      </c>
      <c r="X287" s="8">
        <f>IFERROR(W287/W444, "NA")</f>
        <v>0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158.34</v>
      </c>
      <c r="C288" s="8">
        <f>IFERROR(B288/B444, "NA")</f>
        <v>1.4045832133943695E-3</v>
      </c>
      <c r="D288" s="9"/>
      <c r="E288" s="7">
        <v>158</v>
      </c>
      <c r="F288" s="8">
        <f>IFERROR(E288/E444, "NA")</f>
        <v>1.3933244766104471E-3</v>
      </c>
      <c r="G288" s="9"/>
      <c r="H288" s="10">
        <f t="shared" si="72"/>
        <v>-0.34000000000000341</v>
      </c>
      <c r="I288" s="8">
        <f>IFERROR(H288/H444, "NA")</f>
        <v>5.0982156245313987E-4</v>
      </c>
      <c r="J288" s="9"/>
      <c r="K288" s="7">
        <v>158.33000000000001</v>
      </c>
      <c r="L288" s="8">
        <f>IFERROR(K288/K444, "NA")</f>
        <v>1.5166597888688494E-3</v>
      </c>
      <c r="M288" s="9"/>
      <c r="N288" s="10">
        <f t="shared" si="73"/>
        <v>-9.9999999999909051E-3</v>
      </c>
      <c r="O288" s="8">
        <f>IFERROR(N288/N444, "NA")</f>
        <v>-1.1994621611658429E-6</v>
      </c>
      <c r="P288" s="9"/>
      <c r="Q288" s="7">
        <v>633.38</v>
      </c>
      <c r="R288" s="8">
        <f>IFERROR(Q288/Q444, "NA")</f>
        <v>1.5387204355741535E-3</v>
      </c>
      <c r="S288" s="9"/>
      <c r="T288" s="7">
        <v>632</v>
      </c>
      <c r="U288" s="8">
        <f>IFERROR(T288/T444, "NA")</f>
        <v>1.346968950085231E-3</v>
      </c>
      <c r="V288" s="9"/>
      <c r="W288" s="10">
        <f t="shared" si="74"/>
        <v>-1.3799999999999955</v>
      </c>
      <c r="X288" s="8">
        <f>IFERROR(W288/W444, "NA")</f>
        <v>2.3969202700946946E-5</v>
      </c>
      <c r="Y288" s="9"/>
      <c r="Z288" s="7">
        <v>633.34</v>
      </c>
      <c r="AA288" s="8">
        <f>IFERROR(Z288/Z444, "NA")</f>
        <v>1.4369544135321747E-3</v>
      </c>
      <c r="AB288" s="9"/>
      <c r="AC288" s="10">
        <f t="shared" si="75"/>
        <v>-3.999999999996362E-2</v>
      </c>
      <c r="AD288" s="8">
        <f>IFERROR(AC288/AC444, "NA")</f>
        <v>1.3734424304424746E-6</v>
      </c>
    </row>
    <row r="289" spans="1:30" ht="16.5" customHeight="1" x14ac:dyDescent="0.45">
      <c r="A289" s="6" t="s">
        <v>262</v>
      </c>
      <c r="B289" s="7">
        <v>250.05</v>
      </c>
      <c r="C289" s="8">
        <f>IFERROR(B289/B444, "NA")</f>
        <v>2.218113126874208E-3</v>
      </c>
      <c r="D289" s="9"/>
      <c r="E289" s="7">
        <v>233</v>
      </c>
      <c r="F289" s="8">
        <f>IFERROR(E289/E444, "NA")</f>
        <v>2.0547126775331279E-3</v>
      </c>
      <c r="G289" s="9"/>
      <c r="H289" s="10">
        <f t="shared" si="72"/>
        <v>-17.050000000000011</v>
      </c>
      <c r="I289" s="8">
        <f>IFERROR(H289/H444, "NA")</f>
        <v>2.5566051881841037E-2</v>
      </c>
      <c r="J289" s="9"/>
      <c r="K289" s="7">
        <v>205.73</v>
      </c>
      <c r="L289" s="8">
        <f>IFERROR(K289/K444, "NA")</f>
        <v>1.9707093940755913E-3</v>
      </c>
      <c r="M289" s="9"/>
      <c r="N289" s="10">
        <f t="shared" si="73"/>
        <v>-44.320000000000022</v>
      </c>
      <c r="O289" s="8">
        <f>IFERROR(N289/N444, "NA")</f>
        <v>-5.3160162982918537E-3</v>
      </c>
      <c r="P289" s="9"/>
      <c r="Q289" s="7">
        <v>991.95</v>
      </c>
      <c r="R289" s="8">
        <f>IFERROR(Q289/Q444, "NA")</f>
        <v>2.409823069986077E-3</v>
      </c>
      <c r="S289" s="9"/>
      <c r="T289" s="7">
        <v>932</v>
      </c>
      <c r="U289" s="8">
        <f>IFERROR(T289/T444, "NA")</f>
        <v>1.9863529453788531E-3</v>
      </c>
      <c r="V289" s="9"/>
      <c r="W289" s="10">
        <f t="shared" si="74"/>
        <v>-59.950000000000045</v>
      </c>
      <c r="X289" s="8">
        <f>IFERROR(W289/W444, "NA")</f>
        <v>1.0412707984940399E-3</v>
      </c>
      <c r="Y289" s="9"/>
      <c r="Z289" s="7">
        <v>828.42</v>
      </c>
      <c r="AA289" s="8">
        <f>IFERROR(Z289/Z444, "NA")</f>
        <v>1.8795619655450847E-3</v>
      </c>
      <c r="AB289" s="9"/>
      <c r="AC289" s="10">
        <f t="shared" si="75"/>
        <v>-163.53000000000009</v>
      </c>
      <c r="AD289" s="8">
        <f>IFERROR(AC289/AC444, "NA")</f>
        <v>5.614976016261557E-3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340.19</v>
      </c>
      <c r="F290" s="8">
        <f>IFERROR(E290/E444, "NA")</f>
        <v>2.9999686942918228E-3</v>
      </c>
      <c r="G290" s="9"/>
      <c r="H290" s="10">
        <f t="shared" si="72"/>
        <v>340.19</v>
      </c>
      <c r="I290" s="8">
        <f>IFERROR(H290/H444, "NA")</f>
        <v>-0.51010646273803495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0</v>
      </c>
      <c r="O290" s="8">
        <f>IFERROR(N290/N444, "NA")</f>
        <v>0</v>
      </c>
      <c r="P290" s="9"/>
      <c r="Q290" s="7">
        <v>1296.75</v>
      </c>
      <c r="R290" s="8">
        <f>IFERROR(Q290/Q444, "NA")</f>
        <v>3.1502979646196336E-3</v>
      </c>
      <c r="S290" s="9"/>
      <c r="T290" s="7">
        <v>1248.8900000000001</v>
      </c>
      <c r="U290" s="8">
        <f>IFERROR(T290/T444, "NA")</f>
        <v>2.6617342596075067E-3</v>
      </c>
      <c r="V290" s="9"/>
      <c r="W290" s="10">
        <f t="shared" si="74"/>
        <v>-47.8599999999999</v>
      </c>
      <c r="X290" s="8">
        <f>IFERROR(W290/W444, "NA")</f>
        <v>8.3127974004878417E-4</v>
      </c>
      <c r="Y290" s="9"/>
      <c r="Z290" s="7">
        <v>0</v>
      </c>
      <c r="AA290" s="8">
        <f>IFERROR(Z290/Z444, "NA")</f>
        <v>0</v>
      </c>
      <c r="AB290" s="9"/>
      <c r="AC290" s="10">
        <f t="shared" si="75"/>
        <v>-1296.75</v>
      </c>
      <c r="AD290" s="8">
        <f>IFERROR(AC290/AC444, "NA")</f>
        <v>4.452528679194747E-2</v>
      </c>
    </row>
    <row r="291" spans="1:30" ht="16.5" customHeight="1" x14ac:dyDescent="0.45">
      <c r="A291" s="6" t="s">
        <v>264</v>
      </c>
      <c r="B291" s="7">
        <v>3667.43</v>
      </c>
      <c r="C291" s="8">
        <f>IFERROR(B291/B444, "NA")</f>
        <v>3.2532591981172872E-2</v>
      </c>
      <c r="D291" s="9"/>
      <c r="E291" s="7">
        <v>453.59</v>
      </c>
      <c r="F291" s="8">
        <f>IFERROR(E291/E444, "NA")</f>
        <v>3.9999876540869157E-3</v>
      </c>
      <c r="G291" s="9"/>
      <c r="H291" s="10">
        <f t="shared" si="72"/>
        <v>-3213.8399999999997</v>
      </c>
      <c r="I291" s="8">
        <f>IFERROR(H291/H444, "NA")</f>
        <v>4.8190733243364186</v>
      </c>
      <c r="J291" s="9"/>
      <c r="K291" s="7">
        <v>681.31</v>
      </c>
      <c r="L291" s="8">
        <f>IFERROR(K291/K444, "NA")</f>
        <v>6.5263404329832355E-3</v>
      </c>
      <c r="M291" s="9"/>
      <c r="N291" s="10">
        <f t="shared" si="73"/>
        <v>-2986.12</v>
      </c>
      <c r="O291" s="8">
        <f>IFERROR(N291/N444, "NA")</f>
        <v>-0.35817379487038042</v>
      </c>
      <c r="P291" s="9"/>
      <c r="Q291" s="7">
        <v>5239.88</v>
      </c>
      <c r="R291" s="8">
        <f>IFERROR(Q291/Q444, "NA")</f>
        <v>1.2729657450434645E-2</v>
      </c>
      <c r="S291" s="9"/>
      <c r="T291" s="7">
        <v>1876.81</v>
      </c>
      <c r="U291" s="8">
        <f>IFERROR(T291/T444, "NA")</f>
        <v>4.0000075873567438E-3</v>
      </c>
      <c r="V291" s="9"/>
      <c r="W291" s="10">
        <f t="shared" si="74"/>
        <v>-3363.07</v>
      </c>
      <c r="X291" s="8">
        <f>IFERROR(W291/W444, "NA")</f>
        <v>5.8413120672082548E-2</v>
      </c>
      <c r="Y291" s="9"/>
      <c r="Z291" s="7">
        <v>681.31</v>
      </c>
      <c r="AA291" s="8">
        <f>IFERROR(Z291/Z444, "NA")</f>
        <v>1.5457912203296897E-3</v>
      </c>
      <c r="AB291" s="9"/>
      <c r="AC291" s="10">
        <f t="shared" si="75"/>
        <v>-4558.57</v>
      </c>
      <c r="AD291" s="8">
        <f>IFERROR(AC291/AC444, "NA")</f>
        <v>0.15652333650369615</v>
      </c>
    </row>
    <row r="292" spans="1:30" ht="16.5" customHeight="1" x14ac:dyDescent="0.45">
      <c r="A292" s="6" t="s">
        <v>265</v>
      </c>
      <c r="B292" s="7">
        <v>522.95000000000005</v>
      </c>
      <c r="C292" s="8">
        <f>IFERROR(B292/B444, "NA")</f>
        <v>4.6389212545445598E-3</v>
      </c>
      <c r="D292" s="9"/>
      <c r="E292" s="7">
        <v>113.4</v>
      </c>
      <c r="F292" s="8">
        <f>IFERROR(E292/E444, "NA")</f>
        <v>1.0000189597950931E-3</v>
      </c>
      <c r="G292" s="9"/>
      <c r="H292" s="10">
        <f t="shared" si="72"/>
        <v>-409.55000000000007</v>
      </c>
      <c r="I292" s="8">
        <f>IFERROR(H292/H444, "NA")</f>
        <v>0.61411006147847458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-522.95000000000005</v>
      </c>
      <c r="O292" s="8">
        <f>IFERROR(N292/N444, "NA")</f>
        <v>-6.2725873718224814E-2</v>
      </c>
      <c r="P292" s="9"/>
      <c r="Q292" s="7">
        <v>522.95000000000005</v>
      </c>
      <c r="R292" s="8">
        <f>IFERROR(Q292/Q444, "NA")</f>
        <v>1.2704440490440235E-3</v>
      </c>
      <c r="S292" s="9"/>
      <c r="T292" s="7">
        <v>469.2</v>
      </c>
      <c r="U292" s="8">
        <f>IFERROR(T292/T444, "NA")</f>
        <v>9.9999656863922529E-4</v>
      </c>
      <c r="V292" s="9"/>
      <c r="W292" s="10">
        <f t="shared" si="74"/>
        <v>-53.750000000000057</v>
      </c>
      <c r="X292" s="8">
        <f>IFERROR(W292/W444, "NA")</f>
        <v>9.335830762144231E-4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-522.95000000000005</v>
      </c>
      <c r="AD292" s="8">
        <f>IFERROR(AC292/AC444, "NA")</f>
        <v>1.7956042975013634E-2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113.4</v>
      </c>
      <c r="F293" s="8">
        <f>IFERROR(E293/E444, "NA")</f>
        <v>1.0000189597950931E-3</v>
      </c>
      <c r="G293" s="9"/>
      <c r="H293" s="10">
        <f t="shared" si="72"/>
        <v>113.4</v>
      </c>
      <c r="I293" s="8">
        <f>IFERROR(H293/H444, "NA")</f>
        <v>-0.17004048582995729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469.2</v>
      </c>
      <c r="U293" s="8">
        <f>IFERROR(T293/T444, "NA")</f>
        <v>9.9999656863922529E-4</v>
      </c>
      <c r="V293" s="9"/>
      <c r="W293" s="10">
        <f t="shared" si="74"/>
        <v>469.2</v>
      </c>
      <c r="X293" s="8">
        <f>IFERROR(W293/W444, "NA")</f>
        <v>-8.1495289183219875E-3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513.98</v>
      </c>
      <c r="C294" s="8">
        <f>IFERROR(B294/B444, "NA")</f>
        <v>4.5593512695493122E-3</v>
      </c>
      <c r="D294" s="9"/>
      <c r="E294" s="7">
        <v>412</v>
      </c>
      <c r="F294" s="8">
        <f>IFERROR(E294/E444, "NA")</f>
        <v>3.6332258504019254E-3</v>
      </c>
      <c r="G294" s="9"/>
      <c r="H294" s="10">
        <f t="shared" si="72"/>
        <v>-101.98000000000002</v>
      </c>
      <c r="I294" s="8">
        <f>IFERROR(H294/H444, "NA")</f>
        <v>0.15291647923226673</v>
      </c>
      <c r="J294" s="9"/>
      <c r="K294" s="7">
        <v>324.99</v>
      </c>
      <c r="L294" s="8">
        <f>IFERROR(K294/K444, "NA")</f>
        <v>3.1131135273447063E-3</v>
      </c>
      <c r="M294" s="9"/>
      <c r="N294" s="10">
        <f t="shared" si="73"/>
        <v>-188.99</v>
      </c>
      <c r="O294" s="8">
        <f>IFERROR(N294/N444, "NA")</f>
        <v>-2.2668635383893885E-2</v>
      </c>
      <c r="P294" s="9"/>
      <c r="Q294" s="7">
        <v>1413.96</v>
      </c>
      <c r="R294" s="8">
        <f>IFERROR(Q294/Q444, "NA")</f>
        <v>3.4350455446721241E-3</v>
      </c>
      <c r="S294" s="9"/>
      <c r="T294" s="7">
        <v>1648</v>
      </c>
      <c r="U294" s="8">
        <f>IFERROR(T294/T444, "NA")</f>
        <v>3.5123494141462985E-3</v>
      </c>
      <c r="V294" s="9"/>
      <c r="W294" s="10">
        <f t="shared" si="74"/>
        <v>234.03999999999996</v>
      </c>
      <c r="X294" s="8">
        <f>IFERROR(W294/W444, "NA")</f>
        <v>-4.0650378261808994E-3</v>
      </c>
      <c r="Y294" s="9"/>
      <c r="Z294" s="7">
        <v>1498.96</v>
      </c>
      <c r="AA294" s="8">
        <f>IFERROR(Z294/Z444, "NA")</f>
        <v>3.4009176551428751E-3</v>
      </c>
      <c r="AB294" s="9"/>
      <c r="AC294" s="10">
        <f t="shared" si="75"/>
        <v>85</v>
      </c>
      <c r="AD294" s="8">
        <f>IFERROR(AC294/AC444, "NA")</f>
        <v>-2.9185651646929131E-3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5112.75</v>
      </c>
      <c r="C295" s="15">
        <f>IFERROR(B295/B444, "NA")</f>
        <v>4.5353560845535323E-2</v>
      </c>
      <c r="D295" s="2"/>
      <c r="E295" s="14">
        <f>IFERROR(E286+E287+E288+E289+E290+E291+E292+E293+E294, "NA")</f>
        <v>1823.5800000000002</v>
      </c>
      <c r="F295" s="15">
        <f>IFERROR(E295/E444, "NA")</f>
        <v>1.6081257272514426E-2</v>
      </c>
      <c r="G295" s="2"/>
      <c r="H295" s="14">
        <f t="shared" si="72"/>
        <v>-3289.17</v>
      </c>
      <c r="I295" s="15">
        <f>IFERROR(H295/H444, "NA")</f>
        <v>4.9320287899234625</v>
      </c>
      <c r="J295" s="2"/>
      <c r="K295" s="14">
        <f>IFERROR(K286+K287+K288+K289+K290+K291+K292+K293+K294, "NA")</f>
        <v>1370.36</v>
      </c>
      <c r="L295" s="15">
        <f>IFERROR(K295/K444, "NA")</f>
        <v>1.3126823143272381E-2</v>
      </c>
      <c r="M295" s="2"/>
      <c r="N295" s="14">
        <f t="shared" si="73"/>
        <v>-3742.3900000000003</v>
      </c>
      <c r="O295" s="15">
        <f>IFERROR(N295/N444, "NA")</f>
        <v>-0.44888551973295221</v>
      </c>
      <c r="P295" s="2"/>
      <c r="Q295" s="14">
        <f>IFERROR(Q286+Q287+Q288+Q289+Q290+Q291+Q292+Q293+Q294, "NA")</f>
        <v>10098.869999999999</v>
      </c>
      <c r="R295" s="15">
        <f>IFERROR(Q295/Q444, "NA")</f>
        <v>2.4533988514330654E-2</v>
      </c>
      <c r="S295" s="2"/>
      <c r="T295" s="14">
        <f>IFERROR(T286+T287+T288+T289+T290+T291+T292+T293+T294, "NA")</f>
        <v>7276.1</v>
      </c>
      <c r="U295" s="15">
        <f>IFERROR(T295/T444, "NA")</f>
        <v>1.5507406293853086E-2</v>
      </c>
      <c r="V295" s="2"/>
      <c r="W295" s="14">
        <f t="shared" si="74"/>
        <v>-2822.7699999999986</v>
      </c>
      <c r="X295" s="15">
        <f>IFERROR(W295/W444, "NA")</f>
        <v>4.9028656745037827E-2</v>
      </c>
      <c r="Y295" s="2"/>
      <c r="Z295" s="14">
        <f>IFERROR(Z286+Z287+Z288+Z289+Z290+Z291+Z292+Z293+Z294, "NA")</f>
        <v>3642.0299999999997</v>
      </c>
      <c r="AA295" s="15">
        <f>IFERROR(Z295/Z444, "NA")</f>
        <v>8.263225254549823E-3</v>
      </c>
      <c r="AB295" s="2"/>
      <c r="AC295" s="14">
        <f t="shared" si="75"/>
        <v>-6456.8399999999992</v>
      </c>
      <c r="AD295" s="15">
        <f>IFERROR(AC295/AC444, "NA")</f>
        <v>0.22170245056465632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490.04</v>
      </c>
      <c r="C299" s="8">
        <f>IFERROR(B299/B444, "NA")</f>
        <v>4.3469872293278823E-3</v>
      </c>
      <c r="D299" s="9"/>
      <c r="E299" s="7">
        <v>469</v>
      </c>
      <c r="F299" s="8">
        <f>IFERROR(E299/E444, "NA")</f>
        <v>4.1358808831031624E-3</v>
      </c>
      <c r="G299" s="9"/>
      <c r="H299" s="10">
        <f t="shared" si="76"/>
        <v>-21.04000000000002</v>
      </c>
      <c r="I299" s="8">
        <f>IFERROR(H299/H444, "NA")</f>
        <v>3.1548957864746957E-2</v>
      </c>
      <c r="J299" s="9"/>
      <c r="K299" s="7">
        <v>457.63</v>
      </c>
      <c r="L299" s="8">
        <f>IFERROR(K299/K444, "NA")</f>
        <v>4.3836860934759773E-3</v>
      </c>
      <c r="M299" s="9"/>
      <c r="N299" s="10">
        <f t="shared" si="77"/>
        <v>-32.410000000000025</v>
      </c>
      <c r="O299" s="8">
        <f>IFERROR(N299/N444, "NA")</f>
        <v>-3.8874568643420355E-3</v>
      </c>
      <c r="P299" s="9"/>
      <c r="Q299" s="7">
        <v>1919.63</v>
      </c>
      <c r="R299" s="8">
        <f>IFERROR(Q299/Q444, "NA")</f>
        <v>4.6635099146503083E-3</v>
      </c>
      <c r="S299" s="9"/>
      <c r="T299" s="7">
        <v>1876</v>
      </c>
      <c r="U299" s="8">
        <f>IFERROR(T299/T444, "NA")</f>
        <v>3.9982812505694517E-3</v>
      </c>
      <c r="V299" s="9"/>
      <c r="W299" s="10">
        <f t="shared" si="78"/>
        <v>-43.630000000000109</v>
      </c>
      <c r="X299" s="8">
        <f>IFERROR(W299/W444, "NA")</f>
        <v>7.5780892307414588E-4</v>
      </c>
      <c r="Y299" s="9"/>
      <c r="Z299" s="7">
        <v>1865.23</v>
      </c>
      <c r="AA299" s="8">
        <f>IFERROR(Z299/Z444, "NA")</f>
        <v>4.2319298966631159E-3</v>
      </c>
      <c r="AB299" s="9"/>
      <c r="AC299" s="10">
        <f t="shared" si="79"/>
        <v>-54.400000000000091</v>
      </c>
      <c r="AD299" s="8">
        <f>IFERROR(AC299/AC444, "NA")</f>
        <v>1.8678817054034675E-3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80</v>
      </c>
      <c r="C304" s="8">
        <f>IFERROR(B304/B444, "NA")</f>
        <v>7.0965426974579741E-4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-80</v>
      </c>
      <c r="I304" s="8">
        <f>IFERROR(H304/H444, "NA")</f>
        <v>0.11995801469485523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-80</v>
      </c>
      <c r="O304" s="8">
        <f>IFERROR(N304/N444, "NA")</f>
        <v>-9.5956972893354708E-3</v>
      </c>
      <c r="P304" s="9"/>
      <c r="Q304" s="7">
        <v>266.68</v>
      </c>
      <c r="R304" s="8">
        <f>IFERROR(Q304/Q444, "NA")</f>
        <v>6.4786694521285046E-4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-266.68</v>
      </c>
      <c r="X304" s="8">
        <f>IFERROR(W304/W444, "NA")</f>
        <v>4.6319615770206903E-3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-266.68</v>
      </c>
      <c r="AD304" s="8">
        <f>IFERROR(AC304/AC444, "NA")</f>
        <v>9.1567406837683076E-3</v>
      </c>
    </row>
    <row r="305" spans="1:30" ht="16.5" customHeight="1" x14ac:dyDescent="0.45">
      <c r="A305" s="6" t="s">
        <v>277</v>
      </c>
      <c r="B305" s="7">
        <v>35.42</v>
      </c>
      <c r="C305" s="8">
        <f>IFERROR(B305/B444, "NA")</f>
        <v>3.1419942792995181E-4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-35.42</v>
      </c>
      <c r="I305" s="8">
        <f>IFERROR(H305/H444, "NA")</f>
        <v>5.3111411006147156E-2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-35.42</v>
      </c>
      <c r="O305" s="8">
        <f>IFERROR(N305/N444, "NA")</f>
        <v>-4.2484949748532799E-3</v>
      </c>
      <c r="P305" s="9"/>
      <c r="Q305" s="7">
        <v>160.19</v>
      </c>
      <c r="R305" s="8">
        <f>IFERROR(Q305/Q444, "NA")</f>
        <v>3.8916231421046393E-4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-160.19</v>
      </c>
      <c r="X305" s="8">
        <f>IFERROR(W305/W444, "NA")</f>
        <v>2.7823381019309447E-3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-160.19</v>
      </c>
      <c r="AD305" s="8">
        <f>IFERROR(AC305/AC444, "NA")</f>
        <v>5.5002935733195028E-3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7.61</v>
      </c>
      <c r="C310" s="8">
        <f>IFERROR(B310/B444, "NA")</f>
        <v>6.7505862409568981E-5</v>
      </c>
      <c r="D310" s="9"/>
      <c r="E310" s="7">
        <v>55</v>
      </c>
      <c r="F310" s="8">
        <f>IFERROR(E310/E444, "NA")</f>
        <v>4.8501801400996575E-4</v>
      </c>
      <c r="G310" s="9"/>
      <c r="H310" s="10">
        <f t="shared" si="76"/>
        <v>47.39</v>
      </c>
      <c r="I310" s="8">
        <f>IFERROR(H310/H444, "NA")</f>
        <v>-7.1060128954864868E-2</v>
      </c>
      <c r="J310" s="9"/>
      <c r="K310" s="7">
        <v>15.9</v>
      </c>
      <c r="L310" s="8">
        <f>IFERROR(K310/K444, "NA")</f>
        <v>1.5230777896175522E-4</v>
      </c>
      <c r="M310" s="9"/>
      <c r="N310" s="10">
        <f t="shared" si="77"/>
        <v>8.2899999999999991</v>
      </c>
      <c r="O310" s="8">
        <f>IFERROR(N310/N444, "NA")</f>
        <v>9.9435413160738799E-4</v>
      </c>
      <c r="P310" s="9"/>
      <c r="Q310" s="7">
        <v>113.44</v>
      </c>
      <c r="R310" s="8">
        <f>IFERROR(Q310/Q444, "NA")</f>
        <v>2.7558881905259398E-4</v>
      </c>
      <c r="S310" s="9"/>
      <c r="T310" s="7">
        <v>220</v>
      </c>
      <c r="U310" s="8">
        <f>IFERROR(T310/T444, "NA")</f>
        <v>4.6888159654865638E-4</v>
      </c>
      <c r="V310" s="9"/>
      <c r="W310" s="10">
        <f t="shared" si="78"/>
        <v>106.56</v>
      </c>
      <c r="X310" s="8">
        <f>IFERROR(W310/W444, "NA")</f>
        <v>-1.8508393042122573E-3</v>
      </c>
      <c r="Y310" s="9"/>
      <c r="Z310" s="7">
        <v>15.9</v>
      </c>
      <c r="AA310" s="8">
        <f>IFERROR(Z310/Z444, "NA")</f>
        <v>3.6074738963529189E-5</v>
      </c>
      <c r="AB310" s="9"/>
      <c r="AC310" s="10">
        <f t="shared" si="79"/>
        <v>-97.539999999999992</v>
      </c>
      <c r="AD310" s="8">
        <f>IFERROR(AC310/AC444, "NA")</f>
        <v>3.3491393666370203E-3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26.7</v>
      </c>
      <c r="AA311" s="8">
        <f>IFERROR(Z311/Z444, "NA")</f>
        <v>6.0578335240643353E-5</v>
      </c>
      <c r="AB311" s="9"/>
      <c r="AC311" s="10">
        <f t="shared" si="79"/>
        <v>26.7</v>
      </c>
      <c r="AD311" s="8">
        <f>IFERROR(AC311/AC444, "NA")</f>
        <v>-9.1677282232118559E-4</v>
      </c>
    </row>
    <row r="312" spans="1:30" ht="16.5" customHeight="1" x14ac:dyDescent="0.45">
      <c r="A312" s="6" t="s">
        <v>284</v>
      </c>
      <c r="B312" s="7">
        <v>481.99</v>
      </c>
      <c r="C312" s="8">
        <f>IFERROR(B312/B444, "NA")</f>
        <v>4.2755782684347115E-3</v>
      </c>
      <c r="D312" s="9"/>
      <c r="E312" s="7">
        <v>35</v>
      </c>
      <c r="F312" s="8">
        <f>IFERROR(E312/E444, "NA")</f>
        <v>3.0864782709725093E-4</v>
      </c>
      <c r="G312" s="9"/>
      <c r="H312" s="10">
        <f t="shared" si="76"/>
        <v>-446.99</v>
      </c>
      <c r="I312" s="8">
        <f>IFERROR(H312/H444, "NA")</f>
        <v>0.67025041235566674</v>
      </c>
      <c r="J312" s="9"/>
      <c r="K312" s="7">
        <v>421.03</v>
      </c>
      <c r="L312" s="8">
        <f>IFERROR(K312/K444, "NA")</f>
        <v>4.0330908286960879E-3</v>
      </c>
      <c r="M312" s="9"/>
      <c r="N312" s="10">
        <f t="shared" si="77"/>
        <v>-60.960000000000036</v>
      </c>
      <c r="O312" s="8">
        <f>IFERROR(N312/N444, "NA")</f>
        <v>-7.3119213344736327E-3</v>
      </c>
      <c r="P312" s="9"/>
      <c r="Q312" s="7">
        <v>1397.68</v>
      </c>
      <c r="R312" s="8">
        <f>IFERROR(Q312/Q444, "NA")</f>
        <v>3.3954952451818541E-3</v>
      </c>
      <c r="S312" s="9"/>
      <c r="T312" s="7">
        <v>140</v>
      </c>
      <c r="U312" s="8">
        <f>IFERROR(T312/T444, "NA")</f>
        <v>2.983791978036904E-4</v>
      </c>
      <c r="V312" s="9"/>
      <c r="W312" s="10">
        <f t="shared" si="78"/>
        <v>-1257.68</v>
      </c>
      <c r="X312" s="8">
        <f>IFERROR(W312/W444, "NA")</f>
        <v>2.1844628154294967E-2</v>
      </c>
      <c r="Y312" s="9"/>
      <c r="Z312" s="7">
        <v>1551.49</v>
      </c>
      <c r="AA312" s="8">
        <f>IFERROR(Z312/Z444, "NA")</f>
        <v>3.5201004248129495E-3</v>
      </c>
      <c r="AB312" s="9"/>
      <c r="AC312" s="10">
        <f t="shared" si="79"/>
        <v>153.80999999999995</v>
      </c>
      <c r="AD312" s="8">
        <f>IFERROR(AC312/AC444, "NA")</f>
        <v>-5.2812295056637272E-3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10</v>
      </c>
      <c r="F313" s="8">
        <f>IFERROR(E313/E444, "NA")</f>
        <v>8.8185093456357409E-5</v>
      </c>
      <c r="G313" s="9"/>
      <c r="H313" s="10">
        <f t="shared" si="76"/>
        <v>10</v>
      </c>
      <c r="I313" s="8">
        <f>IFERROR(H313/H444, "NA")</f>
        <v>-1.4994751836856904E-2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10</v>
      </c>
      <c r="R313" s="8">
        <f>IFERROR(Q313/Q444, "NA")</f>
        <v>2.4293795755694109E-5</v>
      </c>
      <c r="S313" s="9"/>
      <c r="T313" s="7">
        <v>45</v>
      </c>
      <c r="U313" s="8">
        <f>IFERROR(T313/T444, "NA")</f>
        <v>9.5907599294043348E-5</v>
      </c>
      <c r="V313" s="9"/>
      <c r="W313" s="10">
        <f t="shared" si="78"/>
        <v>35</v>
      </c>
      <c r="X313" s="8">
        <f>IFERROR(W313/W444, "NA")</f>
        <v>-6.0791456125590284E-4</v>
      </c>
      <c r="Y313" s="9"/>
      <c r="Z313" s="7">
        <v>14</v>
      </c>
      <c r="AA313" s="8">
        <f>IFERROR(Z313/Z444, "NA")</f>
        <v>3.1763921099962803E-5</v>
      </c>
      <c r="AB313" s="9"/>
      <c r="AC313" s="10">
        <f t="shared" si="79"/>
        <v>4</v>
      </c>
      <c r="AD313" s="8">
        <f>IFERROR(AC313/AC444, "NA")</f>
        <v>-1.3734424304437238E-4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533.33000000000004</v>
      </c>
      <c r="C315" s="8">
        <f>IFERROR(B315/B444, "NA")</f>
        <v>4.7309988960440768E-3</v>
      </c>
      <c r="D315" s="9"/>
      <c r="E315" s="7">
        <v>453.59</v>
      </c>
      <c r="F315" s="8">
        <f>IFERROR(E315/E444, "NA")</f>
        <v>3.9999876540869157E-3</v>
      </c>
      <c r="G315" s="9"/>
      <c r="H315" s="10">
        <f t="shared" si="76"/>
        <v>-79.740000000000066</v>
      </c>
      <c r="I315" s="8">
        <f>IFERROR(H315/H444, "NA")</f>
        <v>0.11956815114709705</v>
      </c>
      <c r="J315" s="9"/>
      <c r="K315" s="7">
        <v>533.34</v>
      </c>
      <c r="L315" s="8">
        <f>IFERROR(K315/K444, "NA")</f>
        <v>5.1089201780794048E-3</v>
      </c>
      <c r="M315" s="9"/>
      <c r="N315" s="10">
        <f t="shared" si="77"/>
        <v>9.9999999999909051E-3</v>
      </c>
      <c r="O315" s="8">
        <f>IFERROR(N315/N444, "NA")</f>
        <v>1.1994621611658429E-6</v>
      </c>
      <c r="P315" s="9"/>
      <c r="Q315" s="7">
        <v>2133.3200000000002</v>
      </c>
      <c r="R315" s="8">
        <f>IFERROR(Q315/Q444, "NA")</f>
        <v>5.1826440361537355E-3</v>
      </c>
      <c r="S315" s="9"/>
      <c r="T315" s="7">
        <v>1876.81</v>
      </c>
      <c r="U315" s="8">
        <f>IFERROR(T315/T444, "NA")</f>
        <v>4.0000075873567438E-3</v>
      </c>
      <c r="V315" s="9"/>
      <c r="W315" s="10">
        <f t="shared" si="78"/>
        <v>-256.51000000000022</v>
      </c>
      <c r="X315" s="8">
        <f>IFERROR(W315/W444, "NA")</f>
        <v>4.4553189745071935E-3</v>
      </c>
      <c r="Y315" s="9"/>
      <c r="Z315" s="7">
        <v>533.34</v>
      </c>
      <c r="AA315" s="8">
        <f>IFERROR(Z315/Z444, "NA")</f>
        <v>1.2100692628181546E-3</v>
      </c>
      <c r="AB315" s="9"/>
      <c r="AC315" s="10">
        <f t="shared" si="79"/>
        <v>-1599.98</v>
      </c>
      <c r="AD315" s="8">
        <f>IFERROR(AC315/AC444, "NA")</f>
        <v>5.4937010496533732E-2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294</v>
      </c>
      <c r="R316" s="8">
        <f>IFERROR(Q316/Q444, "NA")</f>
        <v>7.1423759521740677E-4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-294</v>
      </c>
      <c r="X316" s="8">
        <f>IFERROR(W316/W444, "NA")</f>
        <v>5.1064823145495833E-3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-294</v>
      </c>
      <c r="AD316" s="8">
        <f>IFERROR(AC316/AC444, "NA")</f>
        <v>1.009480186376137E-2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hidden="1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0</v>
      </c>
      <c r="F318" s="8">
        <f>IFERROR(E318/E444, "NA")</f>
        <v>0</v>
      </c>
      <c r="G318" s="9"/>
      <c r="H318" s="10">
        <f t="shared" si="76"/>
        <v>0</v>
      </c>
      <c r="I318" s="8">
        <f>IFERROR(H318/H444, "NA")</f>
        <v>0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0</v>
      </c>
      <c r="U318" s="8">
        <f>IFERROR(T318/T444, "NA")</f>
        <v>0</v>
      </c>
      <c r="V318" s="9"/>
      <c r="W318" s="10">
        <f t="shared" si="78"/>
        <v>0</v>
      </c>
      <c r="X318" s="8">
        <f>IFERROR(W318/W444, "NA")</f>
        <v>0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393.4</v>
      </c>
      <c r="C319" s="8">
        <f>IFERROR(B319/B444, "NA")</f>
        <v>3.4897248714749586E-3</v>
      </c>
      <c r="D319" s="9"/>
      <c r="E319" s="7">
        <v>308</v>
      </c>
      <c r="F319" s="8">
        <f>IFERROR(E319/E444, "NA")</f>
        <v>2.7161008784558085E-3</v>
      </c>
      <c r="G319" s="9"/>
      <c r="H319" s="10">
        <f t="shared" si="76"/>
        <v>-85.399999999999977</v>
      </c>
      <c r="I319" s="8">
        <f>IFERROR(H319/H444, "NA")</f>
        <v>0.12805518068675792</v>
      </c>
      <c r="J319" s="9"/>
      <c r="K319" s="7">
        <v>306.76</v>
      </c>
      <c r="L319" s="8">
        <f>IFERROR(K319/K444, "NA")</f>
        <v>2.9384864323464171E-3</v>
      </c>
      <c r="M319" s="9"/>
      <c r="N319" s="10">
        <f t="shared" si="77"/>
        <v>-86.639999999999986</v>
      </c>
      <c r="O319" s="8">
        <f>IFERROR(N319/N444, "NA")</f>
        <v>-1.0392140164350314E-2</v>
      </c>
      <c r="P319" s="9"/>
      <c r="Q319" s="7">
        <v>1421.4</v>
      </c>
      <c r="R319" s="8">
        <f>IFERROR(Q319/Q444, "NA")</f>
        <v>3.4531201287143608E-3</v>
      </c>
      <c r="S319" s="9"/>
      <c r="T319" s="7">
        <v>1232</v>
      </c>
      <c r="U319" s="8">
        <f>IFERROR(T319/T444, "NA")</f>
        <v>2.6257369406724757E-3</v>
      </c>
      <c r="V319" s="9"/>
      <c r="W319" s="10">
        <f t="shared" si="78"/>
        <v>-189.40000000000009</v>
      </c>
      <c r="X319" s="8">
        <f>IFERROR(W319/W444, "NA")</f>
        <v>3.2896862257676585E-3</v>
      </c>
      <c r="Y319" s="9"/>
      <c r="Z319" s="7">
        <v>1095.08</v>
      </c>
      <c r="AA319" s="8">
        <f>IFERROR(Z319/Z444, "NA")</f>
        <v>2.4845739084390903E-3</v>
      </c>
      <c r="AB319" s="9"/>
      <c r="AC319" s="10">
        <f t="shared" si="79"/>
        <v>-326.32000000000016</v>
      </c>
      <c r="AD319" s="8">
        <f>IFERROR(AC319/AC444, "NA")</f>
        <v>1.1204543347559905E-2</v>
      </c>
    </row>
    <row r="320" spans="1:30" ht="16.5" customHeight="1" x14ac:dyDescent="0.45">
      <c r="A320" s="6" t="s">
        <v>292</v>
      </c>
      <c r="B320" s="7">
        <v>1061.33</v>
      </c>
      <c r="C320" s="8">
        <f>IFERROR(B320/B444, "NA")</f>
        <v>9.4147170763663399E-3</v>
      </c>
      <c r="D320" s="9"/>
      <c r="E320" s="7">
        <v>1186</v>
      </c>
      <c r="F320" s="8">
        <f>IFERROR(E320/E444, "NA")</f>
        <v>1.0458752083923989E-2</v>
      </c>
      <c r="G320" s="9"/>
      <c r="H320" s="10">
        <f t="shared" si="76"/>
        <v>124.67000000000007</v>
      </c>
      <c r="I320" s="8">
        <f>IFERROR(H320/H444, "NA")</f>
        <v>-0.18693957115009513</v>
      </c>
      <c r="J320" s="9"/>
      <c r="K320" s="7">
        <v>1304.6400000000001</v>
      </c>
      <c r="L320" s="8">
        <f>IFERROR(K320/K444, "NA")</f>
        <v>1.2497284323563795E-2</v>
      </c>
      <c r="M320" s="9"/>
      <c r="N320" s="10">
        <f t="shared" si="77"/>
        <v>243.31000000000017</v>
      </c>
      <c r="O320" s="8">
        <f>IFERROR(N320/N444, "NA")</f>
        <v>2.9184113843352687E-2</v>
      </c>
      <c r="P320" s="9"/>
      <c r="Q320" s="7">
        <v>4555.59</v>
      </c>
      <c r="R320" s="8">
        <f>IFERROR(Q320/Q444, "NA")</f>
        <v>1.1067257300668253E-2</v>
      </c>
      <c r="S320" s="9"/>
      <c r="T320" s="7">
        <v>4744</v>
      </c>
      <c r="U320" s="8">
        <f>IFERROR(T320/T444, "NA")</f>
        <v>1.0110792245576481E-2</v>
      </c>
      <c r="V320" s="9"/>
      <c r="W320" s="10">
        <f t="shared" si="78"/>
        <v>188.40999999999985</v>
      </c>
      <c r="X320" s="8">
        <f>IFERROR(W320/W444, "NA")</f>
        <v>-3.2724909281778443E-3</v>
      </c>
      <c r="Y320" s="9"/>
      <c r="Z320" s="7">
        <v>4547.8500000000004</v>
      </c>
      <c r="AA320" s="8">
        <f>IFERROR(Z320/Z444, "NA")</f>
        <v>1.0318396326747562E-2</v>
      </c>
      <c r="AB320" s="9"/>
      <c r="AC320" s="10">
        <f t="shared" si="79"/>
        <v>-7.7399999999997817</v>
      </c>
      <c r="AD320" s="8">
        <f>IFERROR(AC320/AC444, "NA")</f>
        <v>2.6576111029085305E-4</v>
      </c>
    </row>
    <row r="321" spans="1:30" ht="16.5" customHeight="1" x14ac:dyDescent="0.45">
      <c r="A321" s="6" t="s">
        <v>293</v>
      </c>
      <c r="B321" s="7">
        <v>825.02</v>
      </c>
      <c r="C321" s="8">
        <f>IFERROR(B321/B444, "NA")</f>
        <v>7.3184870703209724E-3</v>
      </c>
      <c r="D321" s="9"/>
      <c r="E321" s="7">
        <v>1700.97</v>
      </c>
      <c r="F321" s="8">
        <f>IFERROR(E321/E444, "NA")</f>
        <v>1.5000019841646027E-2</v>
      </c>
      <c r="G321" s="9"/>
      <c r="H321" s="10">
        <f t="shared" si="76"/>
        <v>875.95</v>
      </c>
      <c r="I321" s="8">
        <f>IFERROR(H321/H444, "NA")</f>
        <v>-1.3134652871494805</v>
      </c>
      <c r="J321" s="9"/>
      <c r="K321" s="7">
        <v>1195.29</v>
      </c>
      <c r="L321" s="8">
        <f>IFERROR(K321/K444, "NA")</f>
        <v>1.1449809126741912E-2</v>
      </c>
      <c r="M321" s="9"/>
      <c r="N321" s="10">
        <f t="shared" si="77"/>
        <v>370.27</v>
      </c>
      <c r="O321" s="8">
        <f>IFERROR(N321/N444, "NA")</f>
        <v>4.4412485441528059E-2</v>
      </c>
      <c r="P321" s="9"/>
      <c r="Q321" s="7">
        <v>4030.16</v>
      </c>
      <c r="R321" s="8">
        <f>IFERROR(Q321/Q444, "NA")</f>
        <v>9.790788390276816E-3</v>
      </c>
      <c r="S321" s="9"/>
      <c r="T321" s="7">
        <v>6940.92</v>
      </c>
      <c r="U321" s="8">
        <f>IFERROR(T321/T444, "NA")</f>
        <v>1.4793043868711364E-2</v>
      </c>
      <c r="V321" s="9"/>
      <c r="W321" s="10">
        <f t="shared" si="78"/>
        <v>2910.76</v>
      </c>
      <c r="X321" s="8">
        <f>IFERROR(W321/W444, "NA")</f>
        <v>-5.0556953952035195E-2</v>
      </c>
      <c r="Y321" s="9"/>
      <c r="Z321" s="7">
        <v>11900.41</v>
      </c>
      <c r="AA321" s="8">
        <f>IFERROR(Z321/Z444, "NA")</f>
        <v>2.7000263164086314E-2</v>
      </c>
      <c r="AB321" s="9"/>
      <c r="AC321" s="10">
        <f t="shared" si="79"/>
        <v>7870.25</v>
      </c>
      <c r="AD321" s="8">
        <f>IFERROR(AC321/AC444, "NA")</f>
        <v>-0.27023338220499293</v>
      </c>
    </row>
    <row r="322" spans="1:30" ht="16.5" customHeight="1" x14ac:dyDescent="0.45">
      <c r="A322" s="6" t="s">
        <v>294</v>
      </c>
      <c r="B322" s="7">
        <v>368.01</v>
      </c>
      <c r="C322" s="8">
        <f>IFERROR(B322/B444, "NA")</f>
        <v>3.2644983476143863E-3</v>
      </c>
      <c r="D322" s="9"/>
      <c r="E322" s="7">
        <v>252</v>
      </c>
      <c r="F322" s="8">
        <f>IFERROR(E322/E444, "NA")</f>
        <v>2.2222643551002069E-3</v>
      </c>
      <c r="G322" s="9"/>
      <c r="H322" s="10">
        <f t="shared" si="76"/>
        <v>-116.00999999999999</v>
      </c>
      <c r="I322" s="8">
        <f>IFERROR(H322/H444, "NA")</f>
        <v>0.17395411605937694</v>
      </c>
      <c r="J322" s="9"/>
      <c r="K322" s="7">
        <v>269.27999999999997</v>
      </c>
      <c r="L322" s="8">
        <f>IFERROR(K322/K444, "NA")</f>
        <v>2.579461554642858E-3</v>
      </c>
      <c r="M322" s="9"/>
      <c r="N322" s="10">
        <f t="shared" si="77"/>
        <v>-98.730000000000018</v>
      </c>
      <c r="O322" s="8">
        <f>IFERROR(N322/N444, "NA")</f>
        <v>-1.184228991720114E-2</v>
      </c>
      <c r="P322" s="9"/>
      <c r="Q322" s="7">
        <v>1972.04</v>
      </c>
      <c r="R322" s="8">
        <f>IFERROR(Q322/Q444, "NA")</f>
        <v>4.7908336982059006E-3</v>
      </c>
      <c r="S322" s="9"/>
      <c r="T322" s="7">
        <v>1008</v>
      </c>
      <c r="U322" s="8">
        <f>IFERROR(T322/T444, "NA")</f>
        <v>2.1483302241865712E-3</v>
      </c>
      <c r="V322" s="9"/>
      <c r="W322" s="10">
        <f t="shared" si="78"/>
        <v>-964.04</v>
      </c>
      <c r="X322" s="8">
        <f>IFERROR(W322/W444, "NA")</f>
        <v>1.6744398675232586E-2</v>
      </c>
      <c r="Y322" s="9"/>
      <c r="Z322" s="7">
        <v>1576.88</v>
      </c>
      <c r="AA322" s="8">
        <f>IFERROR(Z322/Z444, "NA")</f>
        <v>3.5777065645792396E-3</v>
      </c>
      <c r="AB322" s="9"/>
      <c r="AC322" s="10">
        <f t="shared" si="79"/>
        <v>-395.15999999999985</v>
      </c>
      <c r="AD322" s="8">
        <f>IFERROR(AC322/AC444, "NA")</f>
        <v>1.3568237770353542E-2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4276.1499999999996</v>
      </c>
      <c r="C324" s="15">
        <f>IFERROR(B324/B444, "NA")</f>
        <v>3.7932351319668642E-2</v>
      </c>
      <c r="D324" s="2"/>
      <c r="E324" s="14">
        <f>IFERROR(E297+E298+E299+E300+E301+E302+E303+E304+E305+E306+E307+E308+E309+E310+E311+E312+E313+E314+E315+E316+E317+E318+E319+E320+E321+E322+E323, "NA")</f>
        <v>4469.5600000000004</v>
      </c>
      <c r="F324" s="15">
        <f>IFERROR(E324/E444, "NA")</f>
        <v>3.9414856630879687E-2</v>
      </c>
      <c r="G324" s="2"/>
      <c r="H324" s="14">
        <f t="shared" si="76"/>
        <v>193.41000000000076</v>
      </c>
      <c r="I324" s="15">
        <f>IFERROR(H324/H444, "NA")</f>
        <v>-0.29001349527665055</v>
      </c>
      <c r="J324" s="2"/>
      <c r="K324" s="14">
        <f>IFERROR(K297+K298+K299+K300+K301+K302+K303+K304+K305+K306+K307+K308+K309+K310+K311+K312+K313+K314+K315+K316+K317+K318+K319+K320+K321+K322+K323, "NA")</f>
        <v>4503.87</v>
      </c>
      <c r="L324" s="15">
        <f>IFERROR(K324/K444, "NA")</f>
        <v>4.3143046316508206E-2</v>
      </c>
      <c r="M324" s="2"/>
      <c r="N324" s="14">
        <f t="shared" si="77"/>
        <v>227.72000000000025</v>
      </c>
      <c r="O324" s="15">
        <f>IFERROR(N324/N444, "NA")</f>
        <v>2.7314152334093449E-2</v>
      </c>
      <c r="P324" s="2"/>
      <c r="Q324" s="14">
        <f>IFERROR(Q297+Q298+Q299+Q300+Q301+Q302+Q303+Q304+Q305+Q306+Q307+Q308+Q309+Q310+Q311+Q312+Q313+Q314+Q315+Q316+Q317+Q318+Q319+Q320+Q321+Q322+Q323, "NA")</f>
        <v>18274.13</v>
      </c>
      <c r="R324" s="15">
        <f>IFERROR(Q324/Q444, "NA")</f>
        <v>4.4394798183300242E-2</v>
      </c>
      <c r="S324" s="2"/>
      <c r="T324" s="14">
        <f>IFERROR(T297+T298+T299+T300+T301+T302+T303+T304+T305+T306+T307+T308+T309+T310+T311+T312+T313+T314+T315+T316+T317+T318+T319+T320+T321+T322+T323, "NA")</f>
        <v>18082.73</v>
      </c>
      <c r="U324" s="15">
        <f>IFERROR(T324/T444, "NA")</f>
        <v>3.8539360510719475E-2</v>
      </c>
      <c r="V324" s="2"/>
      <c r="W324" s="14">
        <f t="shared" si="78"/>
        <v>-191.40000000000146</v>
      </c>
      <c r="X324" s="15">
        <f>IFERROR(W324/W444, "NA")</f>
        <v>3.3244242006965907E-3</v>
      </c>
      <c r="Y324" s="2"/>
      <c r="Z324" s="14">
        <f>IFERROR(Z297+Z298+Z299+Z300+Z301+Z302+Z303+Z304+Z305+Z306+Z307+Z308+Z309+Z310+Z311+Z312+Z313+Z314+Z315+Z316+Z317+Z318+Z319+Z320+Z321+Z322+Z323, "NA")</f>
        <v>23126.880000000001</v>
      </c>
      <c r="AA324" s="15">
        <f>IFERROR(Z324/Z444, "NA")</f>
        <v>5.2471456543450562E-2</v>
      </c>
      <c r="AB324" s="2"/>
      <c r="AC324" s="14">
        <f t="shared" si="79"/>
        <v>4852.75</v>
      </c>
      <c r="AD324" s="15">
        <f>IFERROR(AC324/AC444, "NA")</f>
        <v>-0.16662431885839452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30046.660000000003</v>
      </c>
      <c r="C325" s="15">
        <f>IFERROR(B325/B444, "NA")</f>
        <v>0.26653425700750333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25351.540000000005</v>
      </c>
      <c r="F325" s="15">
        <f>IFERROR(E325/E444, "NA")</f>
        <v>0.22356279241625837</v>
      </c>
      <c r="G325" s="2"/>
      <c r="H325" s="14">
        <f t="shared" si="76"/>
        <v>-4695.119999999999</v>
      </c>
      <c r="I325" s="15">
        <f>IFERROR(H325/H444, "NA")</f>
        <v>7.0402159244263567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22685.79</v>
      </c>
      <c r="L325" s="15">
        <f>IFERROR(K325/K444, "NA")</f>
        <v>0.21730957791778599</v>
      </c>
      <c r="M325" s="2"/>
      <c r="N325" s="14">
        <f t="shared" si="77"/>
        <v>-7360.8700000000026</v>
      </c>
      <c r="O325" s="15">
        <f>IFERROR(N325/N444, "NA")</f>
        <v>-0.88290850382688513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105244.7</v>
      </c>
      <c r="R325" s="15">
        <f>IFERROR(Q325/Q444, "NA")</f>
        <v>0.25567932461692999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103996.40999999999</v>
      </c>
      <c r="U325" s="15">
        <f>IFERROR(T325/T444, "NA")</f>
        <v>0.22164546707331204</v>
      </c>
      <c r="V325" s="2"/>
      <c r="W325" s="14">
        <f t="shared" si="78"/>
        <v>-1248.2900000000081</v>
      </c>
      <c r="X325" s="15">
        <f>IFERROR(W325/W444, "NA")</f>
        <v>2.1681533362003881E-2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106031.05000000002</v>
      </c>
      <c r="AA325" s="15">
        <f>IFERROR(Z325/Z444, "NA")</f>
        <v>0.240568707596158</v>
      </c>
      <c r="AB325" s="2"/>
      <c r="AC325" s="14">
        <f t="shared" si="79"/>
        <v>786.35000000002037</v>
      </c>
      <c r="AD325" s="15">
        <f>IFERROR(AC325/AC444, "NA")</f>
        <v>-2.7000161379486257E-2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20059.04</v>
      </c>
      <c r="C329" s="8">
        <f>IFERROR(B329/B444, "NA")</f>
        <v>0.17793729228752175</v>
      </c>
      <c r="D329" s="9"/>
      <c r="E329" s="7">
        <v>20059.04</v>
      </c>
      <c r="F329" s="8">
        <f>IFERROR(E329/E444, "NA")</f>
        <v>0.17689083170448117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19569.79</v>
      </c>
      <c r="L329" s="8">
        <f>IFERROR(K329/K444, "NA")</f>
        <v>0.18746108488351998</v>
      </c>
      <c r="M329" s="9"/>
      <c r="N329" s="10">
        <f t="shared" si="81"/>
        <v>-489.25</v>
      </c>
      <c r="O329" s="8">
        <f>IFERROR(N329/N444, "NA")</f>
        <v>-5.8683686235092236E-2</v>
      </c>
      <c r="P329" s="9"/>
      <c r="Q329" s="7">
        <v>80236.160000000003</v>
      </c>
      <c r="R329" s="8">
        <f>IFERROR(Q329/Q444, "NA")</f>
        <v>0.19492408832611935</v>
      </c>
      <c r="S329" s="9"/>
      <c r="T329" s="7">
        <v>80236.160000000003</v>
      </c>
      <c r="U329" s="8">
        <f>IFERROR(T329/T444, "NA")</f>
        <v>0.17100572182606111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78279.16</v>
      </c>
      <c r="AA329" s="8">
        <f>IFERROR(Z329/Z444, "NA")</f>
        <v>0.17760379014366889</v>
      </c>
      <c r="AB329" s="9"/>
      <c r="AC329" s="10">
        <f t="shared" si="83"/>
        <v>-1957</v>
      </c>
      <c r="AD329" s="8">
        <f>IFERROR(AC329/AC444, "NA")</f>
        <v>6.7195670909459188E-2</v>
      </c>
    </row>
    <row r="330" spans="1:30" ht="16.5" customHeight="1" x14ac:dyDescent="0.45">
      <c r="A330" s="6" t="s">
        <v>301</v>
      </c>
      <c r="B330" s="7">
        <v>658.51</v>
      </c>
      <c r="C330" s="8">
        <f>IFERROR(B330/B444, "NA")</f>
        <v>5.8414304146288129E-3</v>
      </c>
      <c r="D330" s="9"/>
      <c r="E330" s="7">
        <v>658.51</v>
      </c>
      <c r="F330" s="8">
        <f>IFERROR(E330/E444, "NA")</f>
        <v>5.807076589194592E-3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658.51</v>
      </c>
      <c r="L330" s="8">
        <f>IFERROR(K330/K444, "NA")</f>
        <v>6.3079368254154358E-3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2634.04</v>
      </c>
      <c r="R330" s="8">
        <f>IFERROR(Q330/Q444, "NA")</f>
        <v>6.3990829772328506E-3</v>
      </c>
      <c r="S330" s="9"/>
      <c r="T330" s="7">
        <v>2634.04</v>
      </c>
      <c r="U330" s="8">
        <f>IFERROR(T330/T444, "NA")</f>
        <v>5.6138767298773758E-3</v>
      </c>
      <c r="V330" s="9"/>
      <c r="W330" s="10">
        <f t="shared" si="82"/>
        <v>0</v>
      </c>
      <c r="X330" s="8">
        <f>IFERROR(W330/W444, "NA")</f>
        <v>0</v>
      </c>
      <c r="Y330" s="9"/>
      <c r="Z330" s="7">
        <v>2634.04</v>
      </c>
      <c r="AA330" s="8">
        <f>IFERROR(Z330/Z444, "NA")</f>
        <v>5.9762456238675737E-3</v>
      </c>
      <c r="AB330" s="9"/>
      <c r="AC330" s="10">
        <f t="shared" si="83"/>
        <v>0</v>
      </c>
      <c r="AD330" s="8">
        <f>IFERROR(AC330/AC444, "NA")</f>
        <v>0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855.93</v>
      </c>
      <c r="C333" s="8">
        <f>IFERROR(B333/B444, "NA")</f>
        <v>7.592679738794004E-3</v>
      </c>
      <c r="D333" s="9"/>
      <c r="E333" s="7">
        <v>856</v>
      </c>
      <c r="F333" s="8">
        <f>IFERROR(E333/E444, "NA")</f>
        <v>7.5486439998641948E-3</v>
      </c>
      <c r="G333" s="9"/>
      <c r="H333" s="10">
        <f t="shared" si="80"/>
        <v>7.0000000000050022E-2</v>
      </c>
      <c r="I333" s="8">
        <f>IFERROR(H333/H444, "NA")</f>
        <v>-1.0496326285807334E-4</v>
      </c>
      <c r="J333" s="9"/>
      <c r="K333" s="7">
        <v>855.93</v>
      </c>
      <c r="L333" s="8">
        <f>IFERROR(K333/K444, "NA")</f>
        <v>8.1990438519959213E-3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3423.72</v>
      </c>
      <c r="R333" s="8">
        <f>IFERROR(Q333/Q444, "NA")</f>
        <v>8.317515440468503E-3</v>
      </c>
      <c r="S333" s="9"/>
      <c r="T333" s="7">
        <v>3424</v>
      </c>
      <c r="U333" s="8">
        <f>IFERROR(T333/T444, "NA")</f>
        <v>7.2975026662845423E-3</v>
      </c>
      <c r="V333" s="9"/>
      <c r="W333" s="10">
        <f t="shared" si="82"/>
        <v>0.28000000000020009</v>
      </c>
      <c r="X333" s="8">
        <f>IFERROR(W333/W444, "NA")</f>
        <v>-4.8633164900506974E-6</v>
      </c>
      <c r="Y333" s="9"/>
      <c r="Z333" s="7">
        <v>3328.43</v>
      </c>
      <c r="AA333" s="8">
        <f>IFERROR(Z333/Z444, "NA")</f>
        <v>7.5517134219106573E-3</v>
      </c>
      <c r="AB333" s="9"/>
      <c r="AC333" s="10">
        <f t="shared" si="83"/>
        <v>-95.289999999999964</v>
      </c>
      <c r="AD333" s="8">
        <f>IFERROR(AC333/AC444, "NA")</f>
        <v>3.2718832299245596E-3</v>
      </c>
    </row>
    <row r="334" spans="1:30" ht="16.5" customHeight="1" x14ac:dyDescent="0.45">
      <c r="A334" s="6" t="s">
        <v>305</v>
      </c>
      <c r="B334" s="7">
        <v>-1544.55</v>
      </c>
      <c r="C334" s="8">
        <f>IFERROR(B334/B444, "NA")</f>
        <v>-1.3701206279198392E-2</v>
      </c>
      <c r="D334" s="9"/>
      <c r="E334" s="7">
        <v>-1544.55</v>
      </c>
      <c r="F334" s="8">
        <f>IFERROR(E334/E444, "NA")</f>
        <v>-1.3620628609801684E-2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-1506.87</v>
      </c>
      <c r="L334" s="8">
        <f>IFERROR(K334/K444, "NA")</f>
        <v>-1.4434466848056609E-2</v>
      </c>
      <c r="M334" s="9"/>
      <c r="N334" s="10">
        <f t="shared" si="81"/>
        <v>37.680000000000064</v>
      </c>
      <c r="O334" s="8">
        <f>IFERROR(N334/N444, "NA")</f>
        <v>4.519573423277014E-3</v>
      </c>
      <c r="P334" s="9"/>
      <c r="Q334" s="7">
        <v>-1544.55</v>
      </c>
      <c r="R334" s="8">
        <f>IFERROR(Q334/Q444, "NA")</f>
        <v>-3.7522982234457335E-3</v>
      </c>
      <c r="S334" s="9"/>
      <c r="T334" s="7">
        <v>-1544.55</v>
      </c>
      <c r="U334" s="8">
        <f>IFERROR(T334/T444, "NA")</f>
        <v>-3.2918684997692142E-3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-1506.87</v>
      </c>
      <c r="AA334" s="8">
        <f>IFERROR(Z334/Z444, "NA")</f>
        <v>-3.4188642705643537E-3</v>
      </c>
      <c r="AB334" s="9"/>
      <c r="AC334" s="10">
        <f t="shared" si="83"/>
        <v>37.680000000000064</v>
      </c>
      <c r="AD334" s="8">
        <f>IFERROR(AC334/AC444, "NA")</f>
        <v>-1.2937827694779901E-3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2225.85</v>
      </c>
      <c r="C338" s="8">
        <f>IFERROR(B338/B444, "NA")</f>
        <v>1.974479945392104E-2</v>
      </c>
      <c r="D338" s="9"/>
      <c r="E338" s="7">
        <v>2381.35</v>
      </c>
      <c r="F338" s="8">
        <f>IFERROR(E338/E444, "NA")</f>
        <v>2.0999957230229672E-2</v>
      </c>
      <c r="G338" s="9"/>
      <c r="H338" s="10">
        <f t="shared" si="84"/>
        <v>155.5</v>
      </c>
      <c r="I338" s="8">
        <f>IFERROR(H338/H444, "NA")</f>
        <v>-0.23316839106312484</v>
      </c>
      <c r="J338" s="9"/>
      <c r="K338" s="7">
        <v>2071.14</v>
      </c>
      <c r="L338" s="8">
        <f>IFERROR(K338/K444, "NA")</f>
        <v>1.9839668762191804E-2</v>
      </c>
      <c r="M338" s="9"/>
      <c r="N338" s="10">
        <f t="shared" si="85"/>
        <v>-154.71000000000004</v>
      </c>
      <c r="O338" s="8">
        <f>IFERROR(N338/N444, "NA")</f>
        <v>-1.8556879095413637E-2</v>
      </c>
      <c r="P338" s="9"/>
      <c r="Q338" s="7">
        <v>7939.08</v>
      </c>
      <c r="R338" s="8">
        <f>IFERROR(Q338/Q444, "NA")</f>
        <v>1.9287038800811597E-2</v>
      </c>
      <c r="S338" s="9"/>
      <c r="T338" s="7">
        <v>9853.23</v>
      </c>
      <c r="U338" s="8">
        <f>IFERROR(T338/T444, "NA")</f>
        <v>2.0999991879823258E-2</v>
      </c>
      <c r="V338" s="9"/>
      <c r="W338" s="10">
        <f t="shared" si="86"/>
        <v>1914.1499999999996</v>
      </c>
      <c r="X338" s="8">
        <f>IFERROR(W338/W444, "NA")</f>
        <v>-3.3246847355085318E-2</v>
      </c>
      <c r="Y338" s="9"/>
      <c r="Z338" s="7">
        <v>7452.42</v>
      </c>
      <c r="AA338" s="8">
        <f>IFERROR(Z338/Z444, "NA")</f>
        <v>1.6908434348841771E-2</v>
      </c>
      <c r="AB338" s="9"/>
      <c r="AC338" s="10">
        <f t="shared" si="87"/>
        <v>-486.65999999999985</v>
      </c>
      <c r="AD338" s="8">
        <f>IFERROR(AC338/AC444, "NA")</f>
        <v>1.6709987329993559E-2</v>
      </c>
    </row>
    <row r="339" spans="1:30" ht="16.5" customHeight="1" x14ac:dyDescent="0.45">
      <c r="A339" s="12" t="s">
        <v>309</v>
      </c>
      <c r="B339" s="7">
        <v>1224.1600000000001</v>
      </c>
      <c r="C339" s="8">
        <f>IFERROR(B339/B444, "NA")</f>
        <v>1.0859129635650193E-2</v>
      </c>
      <c r="D339" s="9"/>
      <c r="E339" s="7">
        <v>793.78</v>
      </c>
      <c r="F339" s="8">
        <f>IFERROR(E339/E444, "NA")</f>
        <v>6.9999563483787381E-3</v>
      </c>
      <c r="G339" s="9"/>
      <c r="H339" s="10">
        <f t="shared" si="84"/>
        <v>-430.38000000000011</v>
      </c>
      <c r="I339" s="8">
        <f>IFERROR(H339/H444, "NA")</f>
        <v>0.64534412955464759</v>
      </c>
      <c r="J339" s="9"/>
      <c r="K339" s="7">
        <v>948.34</v>
      </c>
      <c r="L339" s="8">
        <f>IFERROR(K339/K444, "NA")</f>
        <v>9.0842490000371673E-3</v>
      </c>
      <c r="M339" s="9"/>
      <c r="N339" s="10">
        <f t="shared" si="85"/>
        <v>-275.82000000000005</v>
      </c>
      <c r="O339" s="8">
        <f>IFERROR(N339/N444, "NA")</f>
        <v>-3.3083565329306376E-2</v>
      </c>
      <c r="P339" s="9"/>
      <c r="Q339" s="7">
        <v>4506.62</v>
      </c>
      <c r="R339" s="8">
        <f>IFERROR(Q339/Q444, "NA")</f>
        <v>1.0948290582852618E-2</v>
      </c>
      <c r="S339" s="9"/>
      <c r="T339" s="7">
        <v>3284.41</v>
      </c>
      <c r="U339" s="8">
        <f>IFERROR(T339/T444, "NA")</f>
        <v>6.9999972932744195E-3</v>
      </c>
      <c r="V339" s="9"/>
      <c r="W339" s="10">
        <f t="shared" si="86"/>
        <v>-1222.21</v>
      </c>
      <c r="X339" s="8">
        <f>IFERROR(W339/W444, "NA")</f>
        <v>2.1228550168930771E-2</v>
      </c>
      <c r="Y339" s="9"/>
      <c r="Z339" s="7">
        <v>4688.17</v>
      </c>
      <c r="AA339" s="8">
        <f>IFERROR(Z339/Z444, "NA")</f>
        <v>1.0636761570229475E-2</v>
      </c>
      <c r="AB339" s="9"/>
      <c r="AC339" s="10">
        <f t="shared" si="87"/>
        <v>181.55000000000018</v>
      </c>
      <c r="AD339" s="8">
        <f>IFERROR(AC339/AC444, "NA")</f>
        <v>-6.2337118311764578E-3</v>
      </c>
    </row>
    <row r="340" spans="1:30" ht="16.5" customHeight="1" x14ac:dyDescent="0.45">
      <c r="A340" s="12" t="s">
        <v>310</v>
      </c>
      <c r="B340" s="7">
        <v>835.36</v>
      </c>
      <c r="C340" s="8">
        <f>IFERROR(B340/B444, "NA")</f>
        <v>7.4102098846856165E-3</v>
      </c>
      <c r="D340" s="9"/>
      <c r="E340" s="7">
        <v>793.78</v>
      </c>
      <c r="F340" s="8">
        <f>IFERROR(E340/E444, "NA")</f>
        <v>6.9999563483787381E-3</v>
      </c>
      <c r="G340" s="9"/>
      <c r="H340" s="10">
        <f t="shared" si="84"/>
        <v>-41.580000000000041</v>
      </c>
      <c r="I340" s="8">
        <f>IFERROR(H340/H444, "NA")</f>
        <v>6.2348178137651068E-2</v>
      </c>
      <c r="J340" s="9"/>
      <c r="K340" s="7">
        <v>986.4</v>
      </c>
      <c r="L340" s="8">
        <f>IFERROR(K340/K444, "NA")</f>
        <v>9.4488297589858713E-3</v>
      </c>
      <c r="M340" s="9"/>
      <c r="N340" s="10">
        <f t="shared" si="85"/>
        <v>151.03999999999996</v>
      </c>
      <c r="O340" s="8">
        <f>IFERROR(N340/N444, "NA")</f>
        <v>1.8116676482265365E-2</v>
      </c>
      <c r="P340" s="9"/>
      <c r="Q340" s="7">
        <v>3318.58</v>
      </c>
      <c r="R340" s="8">
        <f>IFERROR(Q340/Q444, "NA")</f>
        <v>8.0620904718931349E-3</v>
      </c>
      <c r="S340" s="9"/>
      <c r="T340" s="7">
        <v>3284.41</v>
      </c>
      <c r="U340" s="8">
        <f>IFERROR(T340/T444, "NA")</f>
        <v>6.9999972932744195E-3</v>
      </c>
      <c r="V340" s="9"/>
      <c r="W340" s="10">
        <f t="shared" si="86"/>
        <v>-34.170000000000073</v>
      </c>
      <c r="X340" s="8">
        <f>IFERROR(W340/W444, "NA")</f>
        <v>5.9349830166040697E-4</v>
      </c>
      <c r="Y340" s="9"/>
      <c r="Z340" s="7">
        <v>3619.55</v>
      </c>
      <c r="AA340" s="8">
        <f>IFERROR(Z340/Z444, "NA")</f>
        <v>8.2122214726693121E-3</v>
      </c>
      <c r="AB340" s="9"/>
      <c r="AC340" s="10">
        <f t="shared" si="87"/>
        <v>300.97000000000025</v>
      </c>
      <c r="AD340" s="8">
        <f>IFERROR(AC340/AC444, "NA")</f>
        <v>-1.0334124207266197E-2</v>
      </c>
    </row>
    <row r="341" spans="1:30" ht="16.5" customHeight="1" x14ac:dyDescent="0.45">
      <c r="A341" s="12" t="s">
        <v>311</v>
      </c>
      <c r="B341" s="7">
        <v>1066.19</v>
      </c>
      <c r="C341" s="8">
        <f>IFERROR(B341/B444, "NA")</f>
        <v>9.4578285732533976E-3</v>
      </c>
      <c r="D341" s="9"/>
      <c r="E341" s="7">
        <v>1020.58</v>
      </c>
      <c r="F341" s="8">
        <f>IFERROR(E341/E444, "NA")</f>
        <v>8.9999942679689256E-3</v>
      </c>
      <c r="G341" s="9"/>
      <c r="H341" s="10">
        <f t="shared" si="84"/>
        <v>-45.610000000000014</v>
      </c>
      <c r="I341" s="8">
        <f>IFERROR(H341/H444, "NA")</f>
        <v>6.8391063127904356E-2</v>
      </c>
      <c r="J341" s="9"/>
      <c r="K341" s="7">
        <v>1012.86</v>
      </c>
      <c r="L341" s="8">
        <f>IFERROR(K341/K444, "NA")</f>
        <v>9.7022928930316603E-3</v>
      </c>
      <c r="M341" s="9"/>
      <c r="N341" s="10">
        <f t="shared" si="85"/>
        <v>-53.330000000000041</v>
      </c>
      <c r="O341" s="8">
        <f>IFERROR(N341/N444, "NA")</f>
        <v>-6.3967317055032627E-3</v>
      </c>
      <c r="P341" s="9"/>
      <c r="Q341" s="7">
        <v>4196.3599999999997</v>
      </c>
      <c r="R341" s="8">
        <f>IFERROR(Q341/Q444, "NA")</f>
        <v>1.0194551275736452E-2</v>
      </c>
      <c r="S341" s="9"/>
      <c r="T341" s="7">
        <v>4222.82</v>
      </c>
      <c r="U341" s="8">
        <f>IFERROR(T341/T444, "NA")</f>
        <v>9.0000117433527132E-3</v>
      </c>
      <c r="V341" s="9"/>
      <c r="W341" s="10">
        <f t="shared" si="86"/>
        <v>26.460000000000036</v>
      </c>
      <c r="X341" s="8">
        <f>IFERROR(W341/W444, "NA")</f>
        <v>-4.5958340830946312E-4</v>
      </c>
      <c r="Y341" s="9"/>
      <c r="Z341" s="7">
        <v>4090.28</v>
      </c>
      <c r="AA341" s="8">
        <f>IFERROR(Z341/Z444, "NA")</f>
        <v>9.2802379426254189E-3</v>
      </c>
      <c r="AB341" s="9"/>
      <c r="AC341" s="10">
        <f t="shared" si="87"/>
        <v>-106.07999999999947</v>
      </c>
      <c r="AD341" s="8">
        <f>IFERROR(AC341/AC444, "NA")</f>
        <v>3.6423693255367377E-3</v>
      </c>
    </row>
    <row r="342" spans="1:30" ht="16.5" customHeight="1" x14ac:dyDescent="0.45">
      <c r="A342" s="13" t="s">
        <v>312</v>
      </c>
      <c r="B342" s="14">
        <f>IFERROR(B337+B338+B339+B340+B341, "NA")</f>
        <v>5351.5599999999995</v>
      </c>
      <c r="C342" s="15">
        <f>IFERROR(B342/B444, "NA")</f>
        <v>4.7471967547510242E-2</v>
      </c>
      <c r="D342" s="2"/>
      <c r="E342" s="14">
        <f>IFERROR(E337+E338+E339+E340+E341, "NA")</f>
        <v>4989.49</v>
      </c>
      <c r="F342" s="15">
        <f>IFERROR(E342/E444, "NA")</f>
        <v>4.3999864194956072E-2</v>
      </c>
      <c r="G342" s="2"/>
      <c r="H342" s="14">
        <f t="shared" si="84"/>
        <v>-362.06999999999971</v>
      </c>
      <c r="I342" s="15">
        <f>IFERROR(H342/H444, "NA")</f>
        <v>0.54291497975707748</v>
      </c>
      <c r="J342" s="2"/>
      <c r="K342" s="14">
        <f>IFERROR(K337+K338+K339+K340+K341, "NA")</f>
        <v>5018.74</v>
      </c>
      <c r="L342" s="15">
        <f>IFERROR(K342/K444, "NA")</f>
        <v>4.8075040414246505E-2</v>
      </c>
      <c r="M342" s="2"/>
      <c r="N342" s="14">
        <f t="shared" si="85"/>
        <v>-332.81999999999971</v>
      </c>
      <c r="O342" s="15">
        <f>IFERROR(N342/N444, "NA")</f>
        <v>-3.9920499647957859E-2</v>
      </c>
      <c r="P342" s="2"/>
      <c r="Q342" s="14">
        <f>IFERROR(Q337+Q338+Q339+Q340+Q341, "NA")</f>
        <v>19960.64</v>
      </c>
      <c r="R342" s="15">
        <f>IFERROR(Q342/Q444, "NA")</f>
        <v>4.8491971131293804E-2</v>
      </c>
      <c r="S342" s="2"/>
      <c r="T342" s="14">
        <f>IFERROR(T337+T338+T339+T340+T341, "NA")</f>
        <v>20644.87</v>
      </c>
      <c r="U342" s="15">
        <f>IFERROR(T342/T444, "NA")</f>
        <v>4.3999998209724812E-2</v>
      </c>
      <c r="V342" s="2"/>
      <c r="W342" s="14">
        <f t="shared" si="86"/>
        <v>684.22999999999956</v>
      </c>
      <c r="X342" s="15">
        <f>IFERROR(W342/W444, "NA")</f>
        <v>-1.1884382292803603E-2</v>
      </c>
      <c r="Y342" s="2"/>
      <c r="Z342" s="14">
        <f>IFERROR(Z337+Z338+Z339+Z340+Z341, "NA")</f>
        <v>19850.419999999998</v>
      </c>
      <c r="AA342" s="15">
        <f>IFERROR(Z342/Z444, "NA")</f>
        <v>4.5037655334365975E-2</v>
      </c>
      <c r="AB342" s="2"/>
      <c r="AC342" s="14">
        <f t="shared" si="87"/>
        <v>-110.22000000000116</v>
      </c>
      <c r="AD342" s="15">
        <f>IFERROR(AC342/AC444, "NA")</f>
        <v>3.7845206170877208E-3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25380.489999999998</v>
      </c>
      <c r="C343" s="15">
        <f>IFERROR(B343/B444, "NA")</f>
        <v>0.22514216370925641</v>
      </c>
      <c r="D343" s="2"/>
      <c r="E343" s="14">
        <f>IFERROR(E328+E329+E330+E331+E332+E333+E334+E335+E337+E338+E339+E340+E341, "NA")</f>
        <v>25018.489999999998</v>
      </c>
      <c r="F343" s="15">
        <f>IFERROR(E343/E444, "NA")</f>
        <v>0.22062578787869433</v>
      </c>
      <c r="G343" s="2"/>
      <c r="H343" s="14">
        <f t="shared" si="84"/>
        <v>-362</v>
      </c>
      <c r="I343" s="15">
        <f>IFERROR(H343/H444, "NA")</f>
        <v>0.54281001649421989</v>
      </c>
      <c r="J343" s="2"/>
      <c r="K343" s="14">
        <f>IFERROR(K328+K329+K330+K331+K332+K333+K334+K335+K337+K338+K339+K340+K341, "NA")</f>
        <v>24596.100000000002</v>
      </c>
      <c r="L343" s="15">
        <f>IFERROR(K343/K444, "NA")</f>
        <v>0.23560863912712127</v>
      </c>
      <c r="M343" s="2"/>
      <c r="N343" s="14">
        <f t="shared" si="85"/>
        <v>-784.38999999999578</v>
      </c>
      <c r="O343" s="15">
        <f>IFERROR(N343/N444, "NA")</f>
        <v>-9.4084612459772621E-2</v>
      </c>
      <c r="P343" s="2"/>
      <c r="Q343" s="14">
        <f>IFERROR(Q328+Q329+Q330+Q331+Q332+Q333+Q334+Q335+Q337+Q338+Q339+Q340+Q341, "NA")</f>
        <v>104710.01</v>
      </c>
      <c r="R343" s="15">
        <f>IFERROR(Q343/Q444, "NA")</f>
        <v>0.25438035965166877</v>
      </c>
      <c r="S343" s="2"/>
      <c r="T343" s="14">
        <f>IFERROR(T328+T329+T330+T331+T332+T333+T334+T335+T337+T338+T339+T340+T341, "NA")</f>
        <v>105394.51999999999</v>
      </c>
      <c r="U343" s="15">
        <f>IFERROR(T343/T444, "NA")</f>
        <v>0.22462523093217859</v>
      </c>
      <c r="V343" s="2"/>
      <c r="W343" s="14">
        <f t="shared" si="86"/>
        <v>684.50999999999476</v>
      </c>
      <c r="X343" s="15">
        <f>IFERROR(W343/W444, "NA")</f>
        <v>-1.1889245609293567E-2</v>
      </c>
      <c r="Y343" s="2"/>
      <c r="Z343" s="14">
        <f>IFERROR(Z328+Z329+Z330+Z331+Z332+Z333+Z334+Z335+Z337+Z338+Z339+Z340+Z341, "NA")</f>
        <v>102585.18</v>
      </c>
      <c r="AA343" s="15">
        <f>IFERROR(Z343/Z444, "NA")</f>
        <v>0.23275054025324873</v>
      </c>
      <c r="AB343" s="2"/>
      <c r="AC343" s="14">
        <f t="shared" si="87"/>
        <v>-2124.8300000000017</v>
      </c>
      <c r="AD343" s="15">
        <f>IFERROR(AC343/AC444, "NA")</f>
        <v>7.2958291986993495E-2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25380.489999999998</v>
      </c>
      <c r="C344" s="15">
        <f>IFERROR(B344/B444, "NA")</f>
        <v>0.22514216370925641</v>
      </c>
      <c r="D344" s="2"/>
      <c r="E344" s="14">
        <f>IFERROR(E328+E329+E330+E331+E332+E333+E334+E335+E337+E338+E339+E340+E341, "NA")</f>
        <v>25018.489999999998</v>
      </c>
      <c r="F344" s="15">
        <f>IFERROR(E344/E444, "NA")</f>
        <v>0.22062578787869433</v>
      </c>
      <c r="G344" s="2"/>
      <c r="H344" s="14">
        <f t="shared" si="84"/>
        <v>-362</v>
      </c>
      <c r="I344" s="15">
        <f>IFERROR(H344/H444, "NA")</f>
        <v>0.54281001649421989</v>
      </c>
      <c r="J344" s="2"/>
      <c r="K344" s="14">
        <f>IFERROR(K328+K329+K330+K331+K332+K333+K334+K335+K337+K338+K339+K340+K341, "NA")</f>
        <v>24596.100000000002</v>
      </c>
      <c r="L344" s="15">
        <f>IFERROR(K344/K444, "NA")</f>
        <v>0.23560863912712127</v>
      </c>
      <c r="M344" s="2"/>
      <c r="N344" s="14">
        <f t="shared" si="85"/>
        <v>-784.38999999999578</v>
      </c>
      <c r="O344" s="15">
        <f>IFERROR(N344/N444, "NA")</f>
        <v>-9.4084612459772621E-2</v>
      </c>
      <c r="P344" s="2"/>
      <c r="Q344" s="14">
        <f>IFERROR(Q328+Q329+Q330+Q331+Q332+Q333+Q334+Q335+Q337+Q338+Q339+Q340+Q341, "NA")</f>
        <v>104710.01</v>
      </c>
      <c r="R344" s="15">
        <f>IFERROR(Q344/Q444, "NA")</f>
        <v>0.25438035965166877</v>
      </c>
      <c r="S344" s="2"/>
      <c r="T344" s="14">
        <f>IFERROR(T328+T329+T330+T331+T332+T333+T334+T335+T337+T338+T339+T340+T341, "NA")</f>
        <v>105394.51999999999</v>
      </c>
      <c r="U344" s="15">
        <f>IFERROR(T344/T444, "NA")</f>
        <v>0.22462523093217859</v>
      </c>
      <c r="V344" s="2"/>
      <c r="W344" s="14">
        <f t="shared" si="86"/>
        <v>684.50999999999476</v>
      </c>
      <c r="X344" s="15">
        <f>IFERROR(W344/W444, "NA")</f>
        <v>-1.1889245609293567E-2</v>
      </c>
      <c r="Y344" s="2"/>
      <c r="Z344" s="14">
        <f>IFERROR(Z328+Z329+Z330+Z331+Z332+Z333+Z334+Z335+Z337+Z338+Z339+Z340+Z341, "NA")</f>
        <v>102585.18</v>
      </c>
      <c r="AA344" s="15">
        <f>IFERROR(Z344/Z444, "NA")</f>
        <v>0.23275054025324873</v>
      </c>
      <c r="AB344" s="2"/>
      <c r="AC344" s="14">
        <f t="shared" si="87"/>
        <v>-2124.8300000000017</v>
      </c>
      <c r="AD344" s="15">
        <f>IFERROR(AC344/AC444, "NA")</f>
        <v>7.2958291986993495E-2</v>
      </c>
    </row>
    <row r="345" spans="1:30" ht="16.5" customHeight="1" x14ac:dyDescent="0.45">
      <c r="A345" s="22" t="s">
        <v>315</v>
      </c>
      <c r="B345" s="23">
        <f>IFERROR(B198-B325-B344, "NA")</f>
        <v>-2977.8899999999558</v>
      </c>
      <c r="C345" s="24">
        <f>IFERROR(B345/B444, "NA")</f>
        <v>-2.6415904416666015E-2</v>
      </c>
      <c r="D345" s="25"/>
      <c r="E345" s="23">
        <f>IFERROR(E198-E325-E344, "NA")</f>
        <v>853.79999999999927</v>
      </c>
      <c r="F345" s="24">
        <f>IFERROR(E345/E444, "NA")</f>
        <v>7.5292432793037899E-3</v>
      </c>
      <c r="G345" s="25"/>
      <c r="H345" s="23">
        <f>IFERROR(B345-E345, "NA")</f>
        <v>-3831.689999999955</v>
      </c>
      <c r="I345" s="24">
        <f>IFERROR(H345/H444, "NA")</f>
        <v>5.7455240665765555</v>
      </c>
      <c r="J345" s="25"/>
      <c r="K345" s="23">
        <f>IFERROR(K198-K325-K344, "NA")</f>
        <v>-8178.1999999999862</v>
      </c>
      <c r="L345" s="24">
        <f>IFERROR(K345/K444, "NA")</f>
        <v>-7.8339841377674496E-2</v>
      </c>
      <c r="M345" s="25"/>
      <c r="N345" s="23">
        <f>IFERROR(B345-K345, "NA")</f>
        <v>5200.3100000000304</v>
      </c>
      <c r="O345" s="24">
        <f>IFERROR(N345/N444, "NA")</f>
        <v>0.6237575071338054</v>
      </c>
      <c r="P345" s="25"/>
      <c r="Q345" s="23">
        <f>IFERROR(Q198-Q325-Q344, "NA")</f>
        <v>-35031.619999999908</v>
      </c>
      <c r="R345" s="24">
        <f>IFERROR(Q345/Q444, "NA")</f>
        <v>-8.5105102127108659E-2</v>
      </c>
      <c r="S345" s="25"/>
      <c r="T345" s="23">
        <f>IFERROR(T198-T325-T344, "NA")</f>
        <v>1291.0300000000716</v>
      </c>
      <c r="U345" s="24">
        <f>IFERROR(T345/T444, "NA")</f>
        <v>2.7515463981465701E-3</v>
      </c>
      <c r="V345" s="25"/>
      <c r="W345" s="23">
        <f>IFERROR(Q345-T345, "NA")</f>
        <v>-36322.64999999998</v>
      </c>
      <c r="X345" s="24">
        <f>IFERROR(W345/W444, "NA")</f>
        <v>0.63088765252576307</v>
      </c>
      <c r="Y345" s="25"/>
      <c r="Z345" s="23">
        <f>IFERROR(Z198-Z325-Z344, "NA")</f>
        <v>-25800.579999999958</v>
      </c>
      <c r="AA345" s="24">
        <f>IFERROR(Z345/Z444, "NA")</f>
        <v>-5.8537684818091219E-2</v>
      </c>
      <c r="AB345" s="25"/>
      <c r="AC345" s="23">
        <f>IFERROR(Q345-Z345, "NA")</f>
        <v>-9231.0399999999499</v>
      </c>
      <c r="AD345" s="24">
        <f>IFERROR(AC345/AC444, "NA")</f>
        <v>0.3169575503280791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-2977.8899999999558</v>
      </c>
      <c r="C404" s="24">
        <f>IFERROR(B404/B444, "NA")</f>
        <v>-2.6415904416666015E-2</v>
      </c>
      <c r="D404" s="25"/>
      <c r="E404" s="23">
        <f>IFERROR(E345-E403, "NA")</f>
        <v>853.79999999999927</v>
      </c>
      <c r="F404" s="24">
        <f>IFERROR(E404/E444, "NA")</f>
        <v>7.5292432793037899E-3</v>
      </c>
      <c r="G404" s="25"/>
      <c r="H404" s="23">
        <f>IFERROR(B404-E404, "NA")</f>
        <v>-3831.689999999955</v>
      </c>
      <c r="I404" s="24">
        <f>IFERROR(H404/H444, "NA")</f>
        <v>5.7455240665765555</v>
      </c>
      <c r="J404" s="25"/>
      <c r="K404" s="23">
        <f>IFERROR(K345-K403, "NA")</f>
        <v>-8178.1999999999862</v>
      </c>
      <c r="L404" s="24">
        <f>IFERROR(K404/K444, "NA")</f>
        <v>-7.8339841377674496E-2</v>
      </c>
      <c r="M404" s="25"/>
      <c r="N404" s="23">
        <f>IFERROR(B404-K404, "NA")</f>
        <v>5200.3100000000304</v>
      </c>
      <c r="O404" s="24">
        <f>IFERROR(N404/N444, "NA")</f>
        <v>0.6237575071338054</v>
      </c>
      <c r="P404" s="25"/>
      <c r="Q404" s="23">
        <f>IFERROR(Q345-Q403, "NA")</f>
        <v>-35031.619999999908</v>
      </c>
      <c r="R404" s="24">
        <f>IFERROR(Q404/Q444, "NA")</f>
        <v>-8.5105102127108659E-2</v>
      </c>
      <c r="S404" s="25"/>
      <c r="T404" s="23">
        <f>IFERROR(T345-T403, "NA")</f>
        <v>1291.0300000000716</v>
      </c>
      <c r="U404" s="24">
        <f>IFERROR(T404/T444, "NA")</f>
        <v>2.7515463981465701E-3</v>
      </c>
      <c r="V404" s="25"/>
      <c r="W404" s="23">
        <f>IFERROR(Q404-T404, "NA")</f>
        <v>-36322.64999999998</v>
      </c>
      <c r="X404" s="24">
        <f>IFERROR(W404/W444, "NA")</f>
        <v>0.63088765252576307</v>
      </c>
      <c r="Y404" s="25"/>
      <c r="Z404" s="23">
        <f>IFERROR(Z345-Z403, "NA")</f>
        <v>-25800.579999999958</v>
      </c>
      <c r="AA404" s="24">
        <f>IFERROR(Z404/Z444, "NA")</f>
        <v>-5.8537684818091219E-2</v>
      </c>
      <c r="AB404" s="25"/>
      <c r="AC404" s="23">
        <f>IFERROR(Q404-Z404, "NA")</f>
        <v>-9231.0399999999499</v>
      </c>
      <c r="AD404" s="24">
        <f>IFERROR(AC404/AC444, "NA")</f>
        <v>0.3169575503280791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10486.78</v>
      </c>
      <c r="F407" s="8">
        <f>IFERROR(E407/E444, "NA")</f>
        <v>9.2477767435625982E-2</v>
      </c>
      <c r="G407" s="9"/>
      <c r="H407" s="10">
        <f t="shared" ref="H407:H429" si="100">IFERROR(-(B407-E407), "NA")</f>
        <v>10486.78</v>
      </c>
      <c r="I407" s="8">
        <f>IFERROR(H407/H444, "NA")</f>
        <v>-15.724666366771425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41692.22</v>
      </c>
      <c r="U407" s="8">
        <f>IFERROR(T407/T444, "NA")</f>
        <v>8.8857793987535558E-2</v>
      </c>
      <c r="V407" s="9"/>
      <c r="W407" s="10">
        <f t="shared" ref="W407:W429" si="102">IFERROR(-(Q407-T407), "NA")</f>
        <v>41692.22</v>
      </c>
      <c r="X407" s="8">
        <f>IFERROR(W407/W444, "NA")</f>
        <v>-0.72415164654527364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10648.86</v>
      </c>
      <c r="C410" s="8">
        <f>IFERROR(B410/B444, "NA")</f>
        <v>9.4462612086565409E-2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-10648.86</v>
      </c>
      <c r="I410" s="8">
        <f>IFERROR(H410/H444, "NA")</f>
        <v>15.967701304543201</v>
      </c>
      <c r="J410" s="9"/>
      <c r="K410" s="7">
        <v>9780.9</v>
      </c>
      <c r="L410" s="8">
        <f>IFERROR(K410/K444, "NA")</f>
        <v>9.3692273914907642E-2</v>
      </c>
      <c r="M410" s="9"/>
      <c r="N410" s="10">
        <f t="shared" si="101"/>
        <v>-867.96000000000095</v>
      </c>
      <c r="O410" s="8">
        <f>IFERROR(N410/N444, "NA")</f>
        <v>-0.10410851774064531</v>
      </c>
      <c r="P410" s="9"/>
      <c r="Q410" s="7">
        <v>42594.81</v>
      </c>
      <c r="R410" s="8">
        <f>IFERROR(Q410/Q444, "NA")</f>
        <v>0.10347896143925969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-42594.81</v>
      </c>
      <c r="X410" s="8">
        <f>IFERROR(W410/W444, "NA")</f>
        <v>0.73982872094081542</v>
      </c>
      <c r="Y410" s="9"/>
      <c r="Z410" s="7">
        <v>39123.589999999997</v>
      </c>
      <c r="AA410" s="8">
        <f>IFERROR(Z410/Z444, "NA")</f>
        <v>8.8765616136235265E-2</v>
      </c>
      <c r="AB410" s="9"/>
      <c r="AC410" s="10">
        <f t="shared" si="103"/>
        <v>-3471.2200000000012</v>
      </c>
      <c r="AD410" s="8">
        <f>IFERROR(AC410/AC444, "NA")</f>
        <v>0.11918802083512162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39.68</v>
      </c>
      <c r="C416" s="8">
        <f>IFERROR(B416/B444, "NA")</f>
        <v>3.5198851779391551E-4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-39.68</v>
      </c>
      <c r="I416" s="8">
        <f>IFERROR(H416/H444, "NA")</f>
        <v>5.949917528864819E-2</v>
      </c>
      <c r="J416" s="9"/>
      <c r="K416" s="7">
        <v>-71</v>
      </c>
      <c r="L416" s="8">
        <f>IFERROR(K416/K444, "NA")</f>
        <v>-6.8011649725060509E-4</v>
      </c>
      <c r="M416" s="9"/>
      <c r="N416" s="10">
        <f t="shared" si="101"/>
        <v>-110.68</v>
      </c>
      <c r="O416" s="8">
        <f>IFERROR(N416/N444, "NA")</f>
        <v>-1.3275647199795624E-2</v>
      </c>
      <c r="P416" s="9"/>
      <c r="Q416" s="7">
        <v>-102.78</v>
      </c>
      <c r="R416" s="8">
        <f>IFERROR(Q416/Q444, "NA")</f>
        <v>-2.4969163277702405E-4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102.78</v>
      </c>
      <c r="X416" s="8">
        <f>IFERROR(W416/W444, "NA")</f>
        <v>-1.7851845315966198E-3</v>
      </c>
      <c r="Y416" s="9"/>
      <c r="Z416" s="7">
        <v>224.86</v>
      </c>
      <c r="AA416" s="8">
        <f>IFERROR(Z416/Z444, "NA")</f>
        <v>5.1017394989554552E-4</v>
      </c>
      <c r="AB416" s="9"/>
      <c r="AC416" s="10">
        <f t="shared" si="103"/>
        <v>327.64</v>
      </c>
      <c r="AD416" s="8">
        <f>IFERROR(AC416/AC444, "NA")</f>
        <v>-1.1249866947764541E-2</v>
      </c>
    </row>
    <row r="417" spans="1:30" ht="16.5" customHeight="1" x14ac:dyDescent="0.45">
      <c r="A417" s="6" t="s">
        <v>382</v>
      </c>
      <c r="B417" s="7">
        <v>-55.43</v>
      </c>
      <c r="C417" s="8">
        <f>IFERROR(B417/B444, "NA")</f>
        <v>-4.9170170215011939E-4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55.43</v>
      </c>
      <c r="I417" s="8">
        <f>IFERROR(H417/H444, "NA")</f>
        <v>-8.3115909431697818E-2</v>
      </c>
      <c r="J417" s="9"/>
      <c r="K417" s="7">
        <v>-55.79</v>
      </c>
      <c r="L417" s="8">
        <f>IFERROR(K417/K444, "NA")</f>
        <v>-5.3441830114945427E-4</v>
      </c>
      <c r="M417" s="9"/>
      <c r="N417" s="10">
        <f t="shared" si="101"/>
        <v>-0.35999999999999943</v>
      </c>
      <c r="O417" s="8">
        <f>IFERROR(N417/N444, "NA")</f>
        <v>-4.3180637802009547E-5</v>
      </c>
      <c r="P417" s="9"/>
      <c r="Q417" s="7">
        <v>-108.14</v>
      </c>
      <c r="R417" s="8">
        <f>IFERROR(Q417/Q444, "NA")</f>
        <v>-2.6271310730207611E-4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108.14</v>
      </c>
      <c r="X417" s="8">
        <f>IFERROR(W417/W444, "NA")</f>
        <v>-1.8782823044060952E-3</v>
      </c>
      <c r="Y417" s="9"/>
      <c r="Z417" s="7">
        <v>-77.12</v>
      </c>
      <c r="AA417" s="8">
        <f>IFERROR(Z417/Z444, "NA")</f>
        <v>-1.7497382823065228E-4</v>
      </c>
      <c r="AB417" s="9"/>
      <c r="AC417" s="10">
        <f t="shared" si="103"/>
        <v>31.019999999999996</v>
      </c>
      <c r="AD417" s="8">
        <f>IFERROR(AC417/AC444, "NA")</f>
        <v>-1.0651046048091076E-3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10633.11</v>
      </c>
      <c r="C428" s="15">
        <f>IFERROR(B428/B444, "NA")</f>
        <v>9.4322898902209212E-2</v>
      </c>
      <c r="D428" s="2"/>
      <c r="E428" s="14">
        <f>IFERROR(E407+E408+E409+E410+E411+E412+E413+E414+E415+E416+E417+E418+E419+E420+E421+E422+E423+E424+E425+E426+E427, "NA")</f>
        <v>10486.78</v>
      </c>
      <c r="F428" s="15">
        <f>IFERROR(E428/E444, "NA")</f>
        <v>9.2477767435625982E-2</v>
      </c>
      <c r="G428" s="2"/>
      <c r="H428" s="14">
        <f t="shared" si="100"/>
        <v>-146.32999999999993</v>
      </c>
      <c r="I428" s="15">
        <f>IFERROR(H428/H444, "NA")</f>
        <v>0.21941820362872697</v>
      </c>
      <c r="J428" s="2"/>
      <c r="K428" s="14">
        <f>IFERROR(K407+K408+K409+K410+K411+K412+K413+K414+K415+K416+K417+K418+K419+K420+K421+K422+K423+K424+K425+K426+K427, "NA")</f>
        <v>9654.1099999999988</v>
      </c>
      <c r="L428" s="15">
        <f>IFERROR(K428/K444, "NA")</f>
        <v>9.2477739116507585E-2</v>
      </c>
      <c r="M428" s="2"/>
      <c r="N428" s="14">
        <f t="shared" si="101"/>
        <v>-979.00000000000182</v>
      </c>
      <c r="O428" s="15">
        <f>IFERROR(N428/N444, "NA")</f>
        <v>-0.11742734557824304</v>
      </c>
      <c r="P428" s="2"/>
      <c r="Q428" s="14">
        <f>IFERROR(Q407+Q408+Q409+Q410+Q411+Q412+Q413+Q414+Q415+Q416+Q417+Q418+Q419+Q420+Q421+Q422+Q423+Q424+Q425+Q426+Q427, "NA")</f>
        <v>42383.89</v>
      </c>
      <c r="R428" s="15">
        <f>IFERROR(Q428/Q444, "NA")</f>
        <v>0.10296655669918059</v>
      </c>
      <c r="S428" s="2"/>
      <c r="T428" s="14">
        <f>IFERROR(T407+T408+T409+T410+T411+T412+T413+T414+T415+T416+T417+T418+T419+T420+T421+T422+T423+T424+T425+T426+T427, "NA")</f>
        <v>41692.22</v>
      </c>
      <c r="U428" s="15">
        <f>IFERROR(T428/T444, "NA")</f>
        <v>8.8857793987535558E-2</v>
      </c>
      <c r="V428" s="2"/>
      <c r="W428" s="14">
        <f t="shared" si="102"/>
        <v>-691.66999999999825</v>
      </c>
      <c r="X428" s="15">
        <f>IFERROR(W428/W444, "NA")</f>
        <v>1.2013607559539121E-2</v>
      </c>
      <c r="Y428" s="2"/>
      <c r="Z428" s="14">
        <f>IFERROR(Z407+Z408+Z409+Z410+Z411+Z412+Z413+Z414+Z415+Z416+Z417+Z418+Z419+Z420+Z421+Z422+Z423+Z424+Z425+Z426+Z427, "NA")</f>
        <v>39271.329999999994</v>
      </c>
      <c r="AA428" s="15">
        <f>IFERROR(Z428/Z444, "NA")</f>
        <v>8.9100816257900159E-2</v>
      </c>
      <c r="AB428" s="2"/>
      <c r="AC428" s="14">
        <f t="shared" si="103"/>
        <v>-3112.5600000000049</v>
      </c>
      <c r="AD428" s="15">
        <f>IFERROR(AC428/AC444, "NA")</f>
        <v>0.10687304928254809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10633.11</v>
      </c>
      <c r="C429" s="15">
        <f>IFERROR(B429/B444, "NA")</f>
        <v>9.4322898902209212E-2</v>
      </c>
      <c r="D429" s="2"/>
      <c r="E429" s="14">
        <f>IFERROR(E407+E408+E409+E410+E411+E412+E413+E414+E415+E416+E417+E418+E419+E420+E421+E422+E423+E424+E425+E426+E427, "NA")</f>
        <v>10486.78</v>
      </c>
      <c r="F429" s="15">
        <f>IFERROR(E429/E444, "NA")</f>
        <v>9.2477767435625982E-2</v>
      </c>
      <c r="G429" s="2"/>
      <c r="H429" s="14">
        <f t="shared" si="100"/>
        <v>-146.32999999999993</v>
      </c>
      <c r="I429" s="15">
        <f>IFERROR(H429/H444, "NA")</f>
        <v>0.21941820362872697</v>
      </c>
      <c r="J429" s="2"/>
      <c r="K429" s="14">
        <f>IFERROR(K407+K408+K409+K410+K411+K412+K413+K414+K415+K416+K417+K418+K419+K420+K421+K422+K423+K424+K425+K426+K427, "NA")</f>
        <v>9654.1099999999988</v>
      </c>
      <c r="L429" s="15">
        <f>IFERROR(K429/K444, "NA")</f>
        <v>9.2477739116507585E-2</v>
      </c>
      <c r="M429" s="2"/>
      <c r="N429" s="14">
        <f t="shared" si="101"/>
        <v>-979.00000000000182</v>
      </c>
      <c r="O429" s="15">
        <f>IFERROR(N429/N444, "NA")</f>
        <v>-0.11742734557824304</v>
      </c>
      <c r="P429" s="2"/>
      <c r="Q429" s="14">
        <f>IFERROR(Q407+Q408+Q409+Q410+Q411+Q412+Q413+Q414+Q415+Q416+Q417+Q418+Q419+Q420+Q421+Q422+Q423+Q424+Q425+Q426+Q427, "NA")</f>
        <v>42383.89</v>
      </c>
      <c r="R429" s="15">
        <f>IFERROR(Q429/Q444, "NA")</f>
        <v>0.10296655669918059</v>
      </c>
      <c r="S429" s="2"/>
      <c r="T429" s="14">
        <f>IFERROR(T407+T408+T409+T410+T411+T412+T413+T414+T415+T416+T417+T418+T419+T420+T421+T422+T423+T424+T425+T426+T427, "NA")</f>
        <v>41692.22</v>
      </c>
      <c r="U429" s="15">
        <f>IFERROR(T429/T444, "NA")</f>
        <v>8.8857793987535558E-2</v>
      </c>
      <c r="V429" s="2"/>
      <c r="W429" s="14">
        <f t="shared" si="102"/>
        <v>-691.66999999999825</v>
      </c>
      <c r="X429" s="15">
        <f>IFERROR(W429/W444, "NA")</f>
        <v>1.2013607559539121E-2</v>
      </c>
      <c r="Y429" s="2"/>
      <c r="Z429" s="14">
        <f>IFERROR(Z407+Z408+Z409+Z410+Z411+Z412+Z413+Z414+Z415+Z416+Z417+Z418+Z419+Z420+Z421+Z422+Z423+Z424+Z425+Z426+Z427, "NA")</f>
        <v>39271.329999999994</v>
      </c>
      <c r="AA429" s="15">
        <f>IFERROR(Z429/Z444, "NA")</f>
        <v>8.9100816257900159E-2</v>
      </c>
      <c r="AB429" s="2"/>
      <c r="AC429" s="14">
        <f t="shared" si="103"/>
        <v>-3112.5600000000049</v>
      </c>
      <c r="AD429" s="15">
        <f>IFERROR(AC429/AC444, "NA")</f>
        <v>0.10687304928254809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-13610.999999999956</v>
      </c>
      <c r="C443" s="24">
        <f>IFERROR(B443/B444, "NA")</f>
        <v>-0.12073880331887522</v>
      </c>
      <c r="D443" s="25"/>
      <c r="E443" s="23">
        <f>IFERROR(E404-E429-E442, "NA")</f>
        <v>-9632.9800000000014</v>
      </c>
      <c r="F443" s="24">
        <f>IFERROR(E443/E444, "NA")</f>
        <v>-8.4948524156322189E-2</v>
      </c>
      <c r="G443" s="25"/>
      <c r="H443" s="23">
        <f>IFERROR(B443-E443, "NA")</f>
        <v>-3978.019999999955</v>
      </c>
      <c r="I443" s="24">
        <f>IFERROR(H443/H444, "NA")</f>
        <v>5.9649422702052828</v>
      </c>
      <c r="J443" s="25"/>
      <c r="K443" s="23">
        <f>IFERROR(K404-K429-K442, "NA")</f>
        <v>-17832.309999999983</v>
      </c>
      <c r="L443" s="24">
        <f>IFERROR(K443/K444, "NA")</f>
        <v>-0.17081758049418205</v>
      </c>
      <c r="M443" s="25"/>
      <c r="N443" s="23">
        <f>IFERROR(B443-K443, "NA")</f>
        <v>4221.3100000000268</v>
      </c>
      <c r="O443" s="24">
        <f>IFERROR(N443/N444, "NA")</f>
        <v>0.50633016155556221</v>
      </c>
      <c r="P443" s="25"/>
      <c r="Q443" s="23">
        <f>IFERROR(Q404-Q429-Q442, "NA")</f>
        <v>-77415.509999999907</v>
      </c>
      <c r="R443" s="24">
        <f>IFERROR(Q443/Q444, "NA")</f>
        <v>-0.18807165882628926</v>
      </c>
      <c r="S443" s="25"/>
      <c r="T443" s="23">
        <f>IFERROR(T404-T429-T442, "NA")</f>
        <v>-40401.18999999993</v>
      </c>
      <c r="U443" s="24">
        <f>IFERROR(T443/T444, "NA")</f>
        <v>-8.6106247589388979E-2</v>
      </c>
      <c r="V443" s="25"/>
      <c r="W443" s="23">
        <f>IFERROR(Q443-T443, "NA")</f>
        <v>-37014.319999999978</v>
      </c>
      <c r="X443" s="24">
        <f>IFERROR(W443/W444, "NA")</f>
        <v>0.64290126008530213</v>
      </c>
      <c r="Y443" s="25"/>
      <c r="Z443" s="23">
        <f>IFERROR(Z404-Z429-Z442, "NA")</f>
        <v>-65071.909999999953</v>
      </c>
      <c r="AA443" s="24">
        <f>IFERROR(Z443/Z444, "NA")</f>
        <v>-0.14763850107599139</v>
      </c>
      <c r="AB443" s="25"/>
      <c r="AC443" s="23">
        <f>IFERROR(Q443-Z443, "NA")</f>
        <v>-12343.599999999955</v>
      </c>
      <c r="AD443" s="24">
        <f>IFERROR(AC443/AC444, "NA")</f>
        <v>0.42383059961062719</v>
      </c>
    </row>
    <row r="444" spans="1:30" ht="15.75" hidden="1" x14ac:dyDescent="0.45">
      <c r="A444" s="26" t="s">
        <v>117</v>
      </c>
      <c r="B444" s="7">
        <v>112730.95</v>
      </c>
      <c r="C444" s="27"/>
      <c r="D444" s="9"/>
      <c r="E444" s="7">
        <v>113397.85</v>
      </c>
      <c r="F444" s="27"/>
      <c r="G444" s="9"/>
      <c r="H444" s="10">
        <f>IFERROR(B444-E444, "NA")</f>
        <v>-666.90000000000873</v>
      </c>
      <c r="I444" s="27"/>
      <c r="J444" s="9"/>
      <c r="K444" s="7">
        <v>104393.88</v>
      </c>
      <c r="L444" s="27"/>
      <c r="M444" s="9"/>
      <c r="N444" s="10">
        <f>IFERROR(B444-K444, "NA")</f>
        <v>8337.0699999999924</v>
      </c>
      <c r="O444" s="27"/>
      <c r="P444" s="9"/>
      <c r="Q444" s="7">
        <v>411627.73</v>
      </c>
      <c r="R444" s="27"/>
      <c r="S444" s="9"/>
      <c r="T444" s="7">
        <v>469201.61</v>
      </c>
      <c r="U444" s="27"/>
      <c r="V444" s="9"/>
      <c r="W444" s="10">
        <f>IFERROR(Q444-T444, "NA")</f>
        <v>-57573.880000000005</v>
      </c>
      <c r="X444" s="27"/>
      <c r="Y444" s="9"/>
      <c r="Z444" s="7">
        <v>440751.63</v>
      </c>
      <c r="AA444" s="27"/>
      <c r="AB444" s="9"/>
      <c r="AC444" s="10">
        <f>IFERROR(Q444-Z444, "NA")</f>
        <v>-29123.900000000023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2026-05-08T22:16:52Z</dcterms:created>
  <dcterms:modified xsi:type="dcterms:W3CDTF">2026-05-08T22:17:45Z</dcterms:modified>
</cp:coreProperties>
</file>